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gif" ContentType="image/gif"/>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never" codeName="ThisWorkbook" autoCompressPictures="0" defaultThemeVersion="124226"/>
  <mc:AlternateContent xmlns:mc="http://schemas.openxmlformats.org/markup-compatibility/2006">
    <mc:Choice Requires="x15">
      <x15ac:absPath xmlns:x15ac="http://schemas.microsoft.com/office/spreadsheetml/2010/11/ac" url="H:\Dropbox\Librium\"/>
    </mc:Choice>
  </mc:AlternateContent>
  <bookViews>
    <workbookView xWindow="0" yWindow="0" windowWidth="11100" windowHeight="8220" tabRatio="760" firstSheet="8" activeTab="9"/>
  </bookViews>
  <sheets>
    <sheet name="#Skill Templates" sheetId="40" state="hidden" r:id="rId1"/>
    <sheet name="Descriptions" sheetId="22" state="hidden" r:id="rId2"/>
    <sheet name="General Merits" sheetId="26" state="hidden" r:id="rId3"/>
    <sheet name="Merit Data" sheetId="27" state="hidden" r:id="rId4"/>
    <sheet name="Success Chance Calculator" sheetId="16" state="hidden" r:id="rId5"/>
    <sheet name="MiniSheet (Old)" sheetId="14" state="hidden" r:id="rId6"/>
    <sheet name="Old Inventory" sheetId="17" state="hidden" r:id="rId7"/>
    <sheet name="OLD Pro Sheet" sheetId="13" state="hidden" r:id="rId8"/>
    <sheet name="Blank Sheet" sheetId="52" r:id="rId9"/>
    <sheet name="Pro Inventory" sheetId="30" r:id="rId10"/>
    <sheet name="Spellbook" sheetId="18" state="hidden" r:id="rId11"/>
    <sheet name="OLD Blank Sheet" sheetId="31" state="hidden" r:id="rId12"/>
    <sheet name="Blank Inventory" sheetId="33" state="hidden" r:id="rId13"/>
    <sheet name="Small Sheets" sheetId="34" state="hidden" r:id="rId14"/>
  </sheets>
  <externalReferences>
    <externalReference r:id="rId15"/>
    <externalReference r:id="rId16"/>
  </externalReferences>
  <definedNames>
    <definedName name="Acrobatics">#REF!</definedName>
    <definedName name="AcrobaticsMerit">'General Merits'!$A$115</definedName>
    <definedName name="AcrobaticsTitle">#REF!</definedName>
    <definedName name="Aegis">#REF!</definedName>
    <definedName name="Age">#REF!</definedName>
    <definedName name="AGI">#REF!</definedName>
    <definedName name="AGIMerit">'General Merits'!$A$17</definedName>
    <definedName name="AGITitle">#REF!</definedName>
    <definedName name="Alchemy">#REF!</definedName>
    <definedName name="AlchemyBase">#REF!</definedName>
    <definedName name="AlchemyMerit">'General Merits'!$A$162</definedName>
    <definedName name="AlchemyTitle">#REF!</definedName>
    <definedName name="AncientDraconic">#REF!</definedName>
    <definedName name="AncientDraconicTitle">#REF!</definedName>
    <definedName name="AnimalHandling">#REF!</definedName>
    <definedName name="AnimalHandlingBase">#REF!</definedName>
    <definedName name="AnimalHandlingMerit">'General Merits'!$A$166</definedName>
    <definedName name="AnimalHandlingTitle">#REF!</definedName>
    <definedName name="Appraisal">#REF!</definedName>
    <definedName name="AppraisalBase">#REF!</definedName>
    <definedName name="AppraisalMerit">'General Merits'!$A$119</definedName>
    <definedName name="AppraisalTitle">#REF!</definedName>
    <definedName name="AquaElven">#REF!</definedName>
    <definedName name="AquaElvenTitle">#REF!</definedName>
    <definedName name="Arcana">#REF!</definedName>
    <definedName name="ArcanaBase">#REF!</definedName>
    <definedName name="ArcanaMerit">'General Merits'!$A$170</definedName>
    <definedName name="ArcanaTitle">#REF!</definedName>
    <definedName name="Archery">#REF!</definedName>
    <definedName name="ArcheryBase">#REF!</definedName>
    <definedName name="ArcheryMerit">'General Merits'!$A$52</definedName>
    <definedName name="ArcheryTitle">#REF!</definedName>
    <definedName name="Armor">#REF!</definedName>
    <definedName name="ArmorValue">#REF!</definedName>
    <definedName name="Arms">'Pro Inventory'!$AK$26</definedName>
    <definedName name="Athletics">#REF!</definedName>
    <definedName name="AthleticsMerit">'General Merits'!$A$123</definedName>
    <definedName name="AthleticsTitle">#REF!</definedName>
    <definedName name="AttackPower" localSheetId="8">#REF!</definedName>
    <definedName name="AttackPower">#REF!</definedName>
    <definedName name="Axes">#REF!</definedName>
    <definedName name="AxesBase">#REF!</definedName>
    <definedName name="AxesMerit">'General Merits'!$A$56</definedName>
    <definedName name="AxesTitle">#REF!</definedName>
    <definedName name="Back">'Pro Inventory'!$C$3</definedName>
    <definedName name="BaseAGI">#REF!</definedName>
    <definedName name="BaseCHA">#REF!</definedName>
    <definedName name="BaseCNV">#REF!</definedName>
    <definedName name="BaseCON">#REF!</definedName>
    <definedName name="BaseFOC">#REF!</definedName>
    <definedName name="BaseHeight">#REF!</definedName>
    <definedName name="BaseINS">#REF!</definedName>
    <definedName name="BaseINT">#REF!</definedName>
    <definedName name="BaseSTR">#REF!</definedName>
    <definedName name="BaseWeight">#REF!</definedName>
    <definedName name="BaseWIS">#REF!</definedName>
    <definedName name="BaseWIT">#REF!</definedName>
    <definedName name="BasicElven">#REF!</definedName>
    <definedName name="BasicElvenMerit">'General Merits'!$A$217</definedName>
    <definedName name="BasicElvenTitle">#REF!</definedName>
    <definedName name="Block">#REF!</definedName>
    <definedName name="Body">'Pro Inventory'!$S$23</definedName>
    <definedName name="Burden">#REF!</definedName>
    <definedName name="Capacity">#REF!</definedName>
    <definedName name="CHA">#REF!</definedName>
    <definedName name="CHAMerit">'General Merits'!$A$37</definedName>
    <definedName name="CHATitle">#REF!</definedName>
    <definedName name="CNV">#REF!</definedName>
    <definedName name="CNVMerit">'General Merits'!$A$45</definedName>
    <definedName name="CNVTitle">#REF!</definedName>
    <definedName name="Common">#REF!</definedName>
    <definedName name="CommonMerit">'General Merits'!$A$225</definedName>
    <definedName name="CommonTitle">#REF!</definedName>
    <definedName name="Comprehension">#REF!</definedName>
    <definedName name="ComprehensionBase">#REF!</definedName>
    <definedName name="ComprehensionMerit">'General Merits'!$A$127</definedName>
    <definedName name="ComprehensionTitle">#REF!</definedName>
    <definedName name="CON">#REF!</definedName>
    <definedName name="CONMerit">'General Merits'!$A$21</definedName>
    <definedName name="CONTitle">#REF!</definedName>
    <definedName name="Conviction">#REF!</definedName>
    <definedName name="Copper">#REF!</definedName>
    <definedName name="CopperInput">'Pro Inventory'!$AN$15</definedName>
    <definedName name="Crossbows">#REF!</definedName>
    <definedName name="CrossbowsBase">#REF!</definedName>
    <definedName name="CrossbowsMerit">'General Merits'!$A$60</definedName>
    <definedName name="CrossbowsTitle">#REF!</definedName>
    <definedName name="Currency">#REF!</definedName>
    <definedName name="Daggers">#REF!</definedName>
    <definedName name="DaggersBase">#REF!</definedName>
    <definedName name="DaggersMerit">'General Merits'!$A$64</definedName>
    <definedName name="DaggersTitle">#REF!</definedName>
    <definedName name="DarkElven">#REF!</definedName>
    <definedName name="DarkElvenMerit">'General Merits'!$A$213</definedName>
    <definedName name="DarkElvenTitle">#REF!</definedName>
    <definedName name="Davek">#REF!</definedName>
    <definedName name="DavekMerit">'General Merits'!$A$237</definedName>
    <definedName name="DavekTitle">#REF!</definedName>
    <definedName name="DeathHP">#REF!</definedName>
    <definedName name="Defense">#REF!</definedName>
    <definedName name="Deity">#REF!</definedName>
    <definedName name="Draconic">#REF!</definedName>
    <definedName name="DraconicTitle">#REF!</definedName>
    <definedName name="DropDown">[1]Picker!$A$1</definedName>
    <definedName name="Energy">#REF!</definedName>
    <definedName name="EnergyMerit">'General Merits'!$A$264</definedName>
    <definedName name="EnergyRegeneration">#REF!</definedName>
    <definedName name="Eulian">#REF!</definedName>
    <definedName name="EulianMerit">'General Merits'!$A$221</definedName>
    <definedName name="EulianTitle">#REF!</definedName>
    <definedName name="EXP.Available">#REF!</definedName>
    <definedName name="Experience">'General Merits'!$AC$5</definedName>
    <definedName name="ExperienceEarned">'General Merits'!$K$5</definedName>
    <definedName name="ExperienceSpent">'General Merits'!$T$5</definedName>
    <definedName name="ExperienceStarting">'General Merits'!$B$5</definedName>
    <definedName name="Expression">#REF!</definedName>
    <definedName name="ExpressionBase">#REF!</definedName>
    <definedName name="ExpressionMerit">'General Merits'!$A$131</definedName>
    <definedName name="ExpressionTitle">#REF!</definedName>
    <definedName name="Eyes">#REF!</definedName>
    <definedName name="Feet">'Pro Inventory'!$S$71</definedName>
    <definedName name="Fitness">#REF!</definedName>
    <definedName name="FitnessBase">#REF!</definedName>
    <definedName name="Fletching">#REF!</definedName>
    <definedName name="FletchingBase">#REF!</definedName>
    <definedName name="FletchingMerit">'General Merits'!$A$174</definedName>
    <definedName name="FletchingTitle">#REF!</definedName>
    <definedName name="FOC">#REF!</definedName>
    <definedName name="FOCMerit">'General Merits'!$A$33</definedName>
    <definedName name="FocMod">#REF!</definedName>
    <definedName name="FOCTitle">#REF!</definedName>
    <definedName name="Focus">#REF!</definedName>
    <definedName name="Fortitude">#REF!</definedName>
    <definedName name="Garonian">#REF!</definedName>
    <definedName name="GaronianMerit">'General Merits'!$A$229</definedName>
    <definedName name="GaronianTitle">#REF!</definedName>
    <definedName name="Gender">#REF!</definedName>
    <definedName name="Geovek">#REF!</definedName>
    <definedName name="GeovekMerit">'General Merits'!$A$241</definedName>
    <definedName name="GeovekTitle">#REF!</definedName>
    <definedName name="Gnomish">#REF!</definedName>
    <definedName name="GnomishMerit">'General Merits'!$A$249</definedName>
    <definedName name="GnomishTitle">#REF!</definedName>
    <definedName name="Goblin">#REF!</definedName>
    <definedName name="GoblinMerit">'General Merits'!$A$245</definedName>
    <definedName name="GoblinTitle">#REF!</definedName>
    <definedName name="Gold">#REF!</definedName>
    <definedName name="GoldInput">'Pro Inventory'!$AN$9</definedName>
    <definedName name="Hair">#REF!</definedName>
    <definedName name="Hands">'Pro Inventory'!$C$26</definedName>
    <definedName name="HandtoHandCombat">#REF!</definedName>
    <definedName name="HandtoHandCombatBase">#REF!</definedName>
    <definedName name="HandtoHandCombatMerit">'General Merits'!$A$68</definedName>
    <definedName name="HandtoHandTitle">#REF!</definedName>
    <definedName name="Head">'Pro Inventory'!$S$1</definedName>
    <definedName name="Health">#REF!</definedName>
    <definedName name="HealthMerit">'General Merits'!$A$260</definedName>
    <definedName name="HealthRegeneration">#REF!</definedName>
    <definedName name="HeavyArmor">#REF!</definedName>
    <definedName name="HeavyArmorBase">#REF!</definedName>
    <definedName name="HeavyArmorMerit">'General Merits'!$A$72</definedName>
    <definedName name="HeavyArmorTitle">#REF!</definedName>
    <definedName name="Height">#REF!</definedName>
    <definedName name="HighElven">#REF!</definedName>
    <definedName name="HighElvenMerit">'General Merits'!$A$205</definedName>
    <definedName name="HighElvenTitle">#REF!</definedName>
    <definedName name="HP">#REF!</definedName>
    <definedName name="Influence">#REF!</definedName>
    <definedName name="Initiative">#REF!</definedName>
    <definedName name="InitiativeTitle">#REF!</definedName>
    <definedName name="INS">#REF!</definedName>
    <definedName name="INSMerit">'General Merits'!$A$41</definedName>
    <definedName name="INSTitle">#REF!</definedName>
    <definedName name="INT">#REF!</definedName>
    <definedName name="INTMerit">'General Merits'!$A$25</definedName>
    <definedName name="INTTitle">#REF!</definedName>
    <definedName name="Kotaba">#REF!</definedName>
    <definedName name="KotabaTitle">#REF!</definedName>
    <definedName name="Language1">#REF!</definedName>
    <definedName name="Language2">#REF!</definedName>
    <definedName name="Language3">#REF!</definedName>
    <definedName name="Language4">#REF!</definedName>
    <definedName name="LanguageSelect3">#REF!</definedName>
    <definedName name="LanguageSelect4">#REF!</definedName>
    <definedName name="Leatherworking">#REF!</definedName>
    <definedName name="LeatherworkingBase">#REF!</definedName>
    <definedName name="LeatherworkingMerit">'General Merits'!$A$178</definedName>
    <definedName name="LeatherworkingTitle">#REF!</definedName>
    <definedName name="LightArmor">#REF!</definedName>
    <definedName name="LightArmorBase">#REF!</definedName>
    <definedName name="LightArmorMerit">'General Merits'!$A$80</definedName>
    <definedName name="LightArmorTitle">#REF!</definedName>
    <definedName name="Load">#REF!</definedName>
    <definedName name="LowerCommon">#REF!</definedName>
    <definedName name="LowerCommonMerit">'General Merits'!$A$233</definedName>
    <definedName name="LowerCommonTitle">#REF!</definedName>
    <definedName name="Maces">#REF!</definedName>
    <definedName name="MacesBase">#REF!</definedName>
    <definedName name="MacesMerit">'General Merits'!$A$84</definedName>
    <definedName name="MacesTitle">#REF!</definedName>
    <definedName name="Magicka">#REF!</definedName>
    <definedName name="MagickaBase">#REF!</definedName>
    <definedName name="MagickaMerit">'General Merits'!$A$88</definedName>
    <definedName name="MagickaTitle">#REF!</definedName>
    <definedName name="MainHand">'Pro Inventory'!$AK$39</definedName>
    <definedName name="Medicine">#REF!</definedName>
    <definedName name="MedicineBase">#REF!</definedName>
    <definedName name="MedicineMerit">'General Merits'!$A$182</definedName>
    <definedName name="MedicineTitle">#REF!</definedName>
    <definedName name="MeritData" comment="The Entirety of the Merit Data sheet.  Used to search for merit information.">'Merit Data'!$1:$1048576</definedName>
    <definedName name="Name">#REF!</definedName>
    <definedName name="OffHand">'Pro Inventory'!$C$39</definedName>
    <definedName name="OldElven">#REF!</definedName>
    <definedName name="OldElvenTItle">#REF!</definedName>
    <definedName name="Perception">#REF!</definedName>
    <definedName name="PerceptionBase">#REF!</definedName>
    <definedName name="PerceptionMerit">'General Merits'!$A$135</definedName>
    <definedName name="PerceptionTitle">#REF!</definedName>
    <definedName name="Personality">#REF!</definedName>
    <definedName name="PHP">#REF!</definedName>
    <definedName name="Player">#REF!</definedName>
    <definedName name="Polearms">#REF!</definedName>
    <definedName name="PolearmsBase">#REF!</definedName>
    <definedName name="PolearmsMerit">'General Merits'!$A$92</definedName>
    <definedName name="PolearmsTitle">#REF!</definedName>
    <definedName name="_xlnm.Print_Area" localSheetId="8">'Blank Sheet'!$D$4:$CT$81</definedName>
    <definedName name="_xlnm.Print_Area" localSheetId="11">'OLD Blank Sheet'!$A$1:$CK$74</definedName>
    <definedName name="_xlnm.Print_Area" localSheetId="7">'OLD Pro Sheet'!$A$1:$CK$148</definedName>
    <definedName name="_xlnm.Print_Area" localSheetId="13">'Small Sheets'!$A$1:$CK$74</definedName>
    <definedName name="Protection">#REF!</definedName>
    <definedName name="Race">#REF!</definedName>
    <definedName name="RaceOverride">#REF!</definedName>
    <definedName name="RacePlural">#REF!</definedName>
    <definedName name="Reflex">#REF!</definedName>
    <definedName name="Resilience">#REF!</definedName>
    <definedName name="Resilience.Mental">#REF!</definedName>
    <definedName name="Resilience.Physical">#REF!</definedName>
    <definedName name="Resilience.Social">#REF!</definedName>
    <definedName name="Resistance">#REF!</definedName>
    <definedName name="Resolve">#REF!</definedName>
    <definedName name="Ring1">'Pro Inventory'!$C$56</definedName>
    <definedName name="Ring2">'Pro Inventory'!$AK$56</definedName>
    <definedName name="Role">#REF!</definedName>
    <definedName name="Security">#REF!</definedName>
    <definedName name="SecurityBase">#REF!</definedName>
    <definedName name="SecurityMerit">'General Merits'!$A$139</definedName>
    <definedName name="SecurityTitle">#REF!</definedName>
    <definedName name="Shields">#REF!</definedName>
    <definedName name="ShieldsBase">#REF!</definedName>
    <definedName name="ShieldsMerit">'General Merits'!$A$96</definedName>
    <definedName name="ShieldsTitle">#REF!</definedName>
    <definedName name="Silver">#REF!</definedName>
    <definedName name="SilverInput">'Pro Inventory'!$AN$12</definedName>
    <definedName name="Size">#REF!</definedName>
    <definedName name="Smithing">#REF!</definedName>
    <definedName name="SmithingBase">#REF!</definedName>
    <definedName name="SmithingMerit">'General Merits'!$A$186</definedName>
    <definedName name="SmithingTitle">#REF!</definedName>
    <definedName name="Speed">#REF!</definedName>
    <definedName name="SpeedBase">#REF!</definedName>
    <definedName name="SpellPower" localSheetId="8">#REF!</definedName>
    <definedName name="SpellPower">#REF!</definedName>
    <definedName name="Staves">#REF!</definedName>
    <definedName name="StavesBase">#REF!</definedName>
    <definedName name="StavesMerit">'General Merits'!$A$100</definedName>
    <definedName name="StavesTitle">#REF!</definedName>
    <definedName name="Stealth">#REF!</definedName>
    <definedName name="StealthBase">#REF!</definedName>
    <definedName name="StealthMerit">'General Merits'!$A$143</definedName>
    <definedName name="StealthTitle">#REF!</definedName>
    <definedName name="STR">#REF!</definedName>
    <definedName name="Streetwise">#REF!</definedName>
    <definedName name="StreetwiseBase">#REF!</definedName>
    <definedName name="StreetwiseMerit">'General Merits'!$A$147</definedName>
    <definedName name="StreetwiseTitle">#REF!</definedName>
    <definedName name="STRMerit">'General Merits'!$A$13</definedName>
    <definedName name="STRTitle">#REF!</definedName>
    <definedName name="Subterfuge">#REF!</definedName>
    <definedName name="SubterfugeBase">#REF!</definedName>
    <definedName name="SubterfugeMerit">'General Merits'!$A$151</definedName>
    <definedName name="SubterfugeTitle">#REF!</definedName>
    <definedName name="Survival">#REF!</definedName>
    <definedName name="SurvivalBase">#REF!</definedName>
    <definedName name="SurvivalMerit">'General Merits'!$A$155</definedName>
    <definedName name="SurvivalTitle">#REF!</definedName>
    <definedName name="Swords">#REF!</definedName>
    <definedName name="SwordsBase">#REF!</definedName>
    <definedName name="SwordsMerit">'General Merits'!$A$104</definedName>
    <definedName name="SwordsTitle">#REF!</definedName>
    <definedName name="Sylvan">#REF!</definedName>
    <definedName name="SylvanTitle">#REF!</definedName>
    <definedName name="Tailoring">#REF!</definedName>
    <definedName name="TailoringBase">#REF!</definedName>
    <definedName name="TailoringMerit">'General Merits'!$A$190</definedName>
    <definedName name="TailoringTitle">#REF!</definedName>
    <definedName name="Taken" comment="The column that determines if a merit has been taken or not.">'Merit Data'!$C:$C</definedName>
    <definedName name="Technology">#REF!</definedName>
    <definedName name="TechnologyBase">#REF!</definedName>
    <definedName name="TechnologyMerit">'General Merits'!$A$194</definedName>
    <definedName name="TechnologyTitle">#REF!</definedName>
    <definedName name="Theology">#REF!</definedName>
    <definedName name="TheologyBase">#REF!</definedName>
    <definedName name="TheologyMerit">'General Merits'!$A$198</definedName>
    <definedName name="TheologyTitle">#REF!</definedName>
    <definedName name="Throwing">#REF!</definedName>
    <definedName name="ThrowingBase">#REF!</definedName>
    <definedName name="ThrowingMerit">'General Merits'!$A$108</definedName>
    <definedName name="ThrowingTitle">#REF!</definedName>
    <definedName name="Trinket1">'Pro Inventory'!$C$68</definedName>
    <definedName name="Trinket2">'Pro Inventory'!$AK$68</definedName>
    <definedName name="TrueDraconic">#REF!</definedName>
    <definedName name="TrueDraconicTitle">#REF!</definedName>
    <definedName name="Vision">#REF!</definedName>
    <definedName name="VitalityMerit">'General Merits'!$A$268</definedName>
    <definedName name="Volken">#REF!</definedName>
    <definedName name="VolkenMerit">'General Merits'!$A$253</definedName>
    <definedName name="VolkenTitle">#REF!</definedName>
    <definedName name="Waist">'Pro Inventory'!$S$61</definedName>
    <definedName name="Weight">#REF!</definedName>
    <definedName name="Willpower">#REF!</definedName>
    <definedName name="WIS">#REF!</definedName>
    <definedName name="WISMerit">'General Merits'!$A$29</definedName>
    <definedName name="WisMod">#REF!</definedName>
    <definedName name="WISTItle">#REF!</definedName>
    <definedName name="WIT">#REF!</definedName>
    <definedName name="WoodElven">#REF!</definedName>
    <definedName name="WoodElvenMerit">'General Merits'!$A$209</definedName>
    <definedName name="WoodElvenTitle">#REF!</definedName>
  </definedNames>
  <calcPr calcId="152511" concurrentCalc="0"/>
  <extLst>
    <ext xmlns:mx="http://schemas.microsoft.com/office/mac/excel/2008/main" uri="{7523E5D3-25F3-A5E0-1632-64F254C22452}">
      <mx:ArchID Flags="2"/>
    </ext>
  </extLst>
</workbook>
</file>

<file path=xl/calcChain.xml><?xml version="1.0" encoding="utf-8"?>
<calcChain xmlns="http://schemas.openxmlformats.org/spreadsheetml/2006/main">
  <c r="BG4" i="13" l="1"/>
  <c r="D89" i="22"/>
  <c r="D88" i="22"/>
  <c r="D90" i="22"/>
  <c r="B17" i="40"/>
  <c r="B31" i="40"/>
  <c r="I17" i="40"/>
  <c r="D20" i="40"/>
  <c r="I31" i="40"/>
  <c r="DF38" i="40"/>
  <c r="BZ38" i="40"/>
  <c r="AV38" i="40"/>
  <c r="N38" i="40"/>
  <c r="G94" i="40"/>
  <c r="D90" i="40"/>
  <c r="G80" i="40"/>
  <c r="D76" i="40"/>
  <c r="G66" i="40"/>
  <c r="D62" i="40"/>
  <c r="EL54" i="40"/>
  <c r="G52" i="40"/>
  <c r="D48" i="40"/>
  <c r="G24" i="40"/>
  <c r="B45" i="40"/>
  <c r="B59" i="40"/>
  <c r="B73" i="40"/>
  <c r="B87" i="40"/>
  <c r="FP64" i="40"/>
  <c r="DZ40" i="40"/>
  <c r="CT40" i="40"/>
  <c r="BP40" i="40"/>
  <c r="AE40" i="40"/>
  <c r="DT36" i="40"/>
  <c r="DX36" i="40"/>
  <c r="EB36" i="40"/>
  <c r="CN36" i="40"/>
  <c r="CR36" i="40"/>
  <c r="AA33" i="40"/>
  <c r="DX32" i="40"/>
  <c r="CR32" i="40"/>
  <c r="BN32" i="40"/>
  <c r="AV4" i="40"/>
  <c r="AN4" i="40"/>
  <c r="BT2" i="40"/>
  <c r="CP40" i="40"/>
  <c r="BL40" i="40"/>
  <c r="AC40" i="40"/>
  <c r="DV40" i="40"/>
  <c r="DF35" i="40"/>
  <c r="DO34" i="40"/>
  <c r="BZ35" i="40"/>
  <c r="CI34" i="40"/>
  <c r="AV35" i="40"/>
  <c r="BE34" i="40"/>
  <c r="N35" i="40"/>
  <c r="W34" i="40"/>
  <c r="AD40" i="40"/>
  <c r="AB40" i="40"/>
  <c r="BN40" i="40"/>
  <c r="BJ40" i="40"/>
  <c r="CR40" i="40"/>
  <c r="CN40" i="40"/>
  <c r="DX40" i="40"/>
  <c r="DT40" i="40"/>
  <c r="D34" i="40"/>
  <c r="I45" i="40"/>
  <c r="I59" i="40"/>
  <c r="I73" i="40"/>
  <c r="I87" i="40"/>
  <c r="G38" i="40"/>
  <c r="F8" i="40"/>
  <c r="B8" i="40"/>
  <c r="E62" i="27"/>
  <c r="E60" i="27"/>
  <c r="E58" i="27"/>
  <c r="E56" i="27"/>
  <c r="E54" i="27"/>
  <c r="E52" i="27"/>
  <c r="E50" i="27"/>
  <c r="E48" i="27"/>
  <c r="E46" i="27"/>
  <c r="E44" i="27"/>
  <c r="E42" i="27"/>
  <c r="E40" i="27"/>
  <c r="E38" i="27"/>
  <c r="E36" i="27"/>
  <c r="E34" i="27"/>
  <c r="E32" i="27"/>
  <c r="E30" i="27"/>
  <c r="E28" i="27"/>
  <c r="E26" i="27"/>
  <c r="E24" i="27"/>
  <c r="E22" i="27"/>
  <c r="E20" i="27"/>
  <c r="E18" i="27"/>
  <c r="E16" i="27"/>
  <c r="E14" i="27"/>
  <c r="E12" i="27"/>
  <c r="E10" i="27"/>
  <c r="E8" i="27"/>
  <c r="E6" i="27"/>
  <c r="E4" i="27"/>
  <c r="K271" i="26"/>
  <c r="Z268" i="26"/>
  <c r="K267" i="26"/>
  <c r="Z264" i="26"/>
  <c r="K263" i="26"/>
  <c r="Z260" i="26"/>
  <c r="U39" i="33"/>
  <c r="T39" i="33"/>
  <c r="S39" i="33"/>
  <c r="R1" i="34"/>
  <c r="A1" i="34"/>
  <c r="BK1" i="34"/>
  <c r="AT1" i="34"/>
  <c r="BK39" i="34"/>
  <c r="AT39" i="34"/>
  <c r="R39" i="34"/>
  <c r="A39" i="34"/>
  <c r="CS40" i="34"/>
  <c r="DU37" i="34"/>
  <c r="DJ37" i="34"/>
  <c r="CS37" i="34"/>
  <c r="I1" i="16"/>
  <c r="J3" i="16"/>
  <c r="J4" i="16"/>
  <c r="J5" i="16"/>
  <c r="J6" i="16"/>
  <c r="K6" i="16"/>
  <c r="L6" i="16"/>
  <c r="M6" i="16"/>
  <c r="N6" i="16"/>
  <c r="O6" i="16"/>
  <c r="P6" i="16"/>
  <c r="Q6" i="16"/>
  <c r="R6" i="16"/>
  <c r="S6" i="16"/>
  <c r="T6" i="16"/>
  <c r="U6" i="16"/>
  <c r="V6" i="16"/>
  <c r="W6" i="16"/>
  <c r="J7" i="16"/>
  <c r="K7" i="16"/>
  <c r="L7" i="16"/>
  <c r="M7" i="16"/>
  <c r="N7" i="16"/>
  <c r="O7" i="16"/>
  <c r="P7" i="16"/>
  <c r="Q7" i="16"/>
  <c r="R7" i="16"/>
  <c r="S7" i="16"/>
  <c r="T7" i="16"/>
  <c r="U7" i="16"/>
  <c r="V7" i="16"/>
  <c r="W7" i="16"/>
  <c r="J8" i="16"/>
  <c r="J9" i="16"/>
  <c r="K9" i="16"/>
  <c r="L9" i="16"/>
  <c r="M9" i="16"/>
  <c r="N9" i="16"/>
  <c r="O9" i="16"/>
  <c r="P9" i="16"/>
  <c r="Q9" i="16"/>
  <c r="R9" i="16"/>
  <c r="S9" i="16"/>
  <c r="T9" i="16"/>
  <c r="U9" i="16"/>
  <c r="V9" i="16"/>
  <c r="W9" i="16"/>
  <c r="J10" i="16"/>
  <c r="K10" i="16"/>
  <c r="L10" i="16"/>
  <c r="M10" i="16"/>
  <c r="N10" i="16"/>
  <c r="O10" i="16"/>
  <c r="P10" i="16"/>
  <c r="Q10" i="16"/>
  <c r="R10" i="16"/>
  <c r="S10" i="16"/>
  <c r="T10" i="16"/>
  <c r="U10" i="16"/>
  <c r="V10" i="16"/>
  <c r="W10" i="16"/>
  <c r="J11" i="16"/>
  <c r="K11" i="16"/>
  <c r="L11" i="16"/>
  <c r="M11" i="16"/>
  <c r="N11" i="16"/>
  <c r="O11" i="16"/>
  <c r="P11" i="16"/>
  <c r="Q11" i="16"/>
  <c r="R11" i="16"/>
  <c r="S11" i="16"/>
  <c r="T11" i="16"/>
  <c r="U11" i="16"/>
  <c r="V11" i="16"/>
  <c r="W11" i="16"/>
  <c r="J12" i="16"/>
  <c r="J13" i="16"/>
  <c r="J14" i="16"/>
  <c r="J15" i="16"/>
  <c r="K15" i="16"/>
  <c r="L15" i="16"/>
  <c r="M15" i="16"/>
  <c r="N15" i="16"/>
  <c r="O15" i="16"/>
  <c r="P15" i="16"/>
  <c r="Q15" i="16"/>
  <c r="R15" i="16"/>
  <c r="S15" i="16"/>
  <c r="T15" i="16"/>
  <c r="U15" i="16"/>
  <c r="V15" i="16"/>
  <c r="W15" i="16"/>
  <c r="J16" i="16"/>
  <c r="K16" i="16"/>
  <c r="L16" i="16"/>
  <c r="M16" i="16"/>
  <c r="N16" i="16"/>
  <c r="O16" i="16"/>
  <c r="P16" i="16"/>
  <c r="Q16" i="16"/>
  <c r="R16" i="16"/>
  <c r="S16" i="16"/>
  <c r="T16" i="16"/>
  <c r="U16" i="16"/>
  <c r="V16" i="16"/>
  <c r="W16" i="16"/>
  <c r="K3" i="16"/>
  <c r="L3" i="16"/>
  <c r="M3" i="16"/>
  <c r="N3" i="16"/>
  <c r="O3" i="16"/>
  <c r="P3" i="16"/>
  <c r="Q3" i="16"/>
  <c r="R3" i="16"/>
  <c r="S3" i="16"/>
  <c r="T3" i="16"/>
  <c r="U3" i="16"/>
  <c r="V3" i="16"/>
  <c r="W3" i="16"/>
  <c r="K5" i="16"/>
  <c r="L5" i="16"/>
  <c r="M5" i="16"/>
  <c r="N5" i="16"/>
  <c r="O5" i="16"/>
  <c r="P5" i="16"/>
  <c r="Q5" i="16"/>
  <c r="R5" i="16"/>
  <c r="S5" i="16"/>
  <c r="T5" i="16"/>
  <c r="U5" i="16"/>
  <c r="V5" i="16"/>
  <c r="W5" i="16"/>
  <c r="K8" i="16"/>
  <c r="L8" i="16"/>
  <c r="M8" i="16"/>
  <c r="N8" i="16"/>
  <c r="O8" i="16"/>
  <c r="P8" i="16"/>
  <c r="Q8" i="16"/>
  <c r="R8" i="16"/>
  <c r="S8" i="16"/>
  <c r="T8" i="16"/>
  <c r="U8" i="16"/>
  <c r="V8" i="16"/>
  <c r="W8" i="16"/>
  <c r="K13" i="16"/>
  <c r="L13" i="16"/>
  <c r="M13" i="16"/>
  <c r="N13" i="16"/>
  <c r="O13" i="16"/>
  <c r="P13" i="16"/>
  <c r="Q13" i="16"/>
  <c r="R13" i="16"/>
  <c r="S13" i="16"/>
  <c r="T13" i="16"/>
  <c r="U13" i="16"/>
  <c r="V13" i="16"/>
  <c r="W13" i="16"/>
  <c r="K14" i="16"/>
  <c r="L14" i="16"/>
  <c r="M14" i="16"/>
  <c r="N14" i="16"/>
  <c r="O14" i="16"/>
  <c r="P14" i="16"/>
  <c r="Q14" i="16"/>
  <c r="R14" i="16"/>
  <c r="S14" i="16"/>
  <c r="T14" i="16"/>
  <c r="U14" i="16"/>
  <c r="V14" i="16"/>
  <c r="W14" i="16"/>
  <c r="K12" i="16"/>
  <c r="L12" i="16"/>
  <c r="M12" i="16"/>
  <c r="N12" i="16"/>
  <c r="O12" i="16"/>
  <c r="P12" i="16"/>
  <c r="Q12" i="16"/>
  <c r="R12" i="16"/>
  <c r="S12" i="16"/>
  <c r="T12" i="16"/>
  <c r="U12" i="16"/>
  <c r="V12" i="16"/>
  <c r="W12" i="16"/>
  <c r="K4" i="16"/>
  <c r="L4" i="16"/>
  <c r="M4" i="16"/>
  <c r="N4" i="16"/>
  <c r="O4" i="16"/>
  <c r="P4" i="16"/>
  <c r="Q4" i="16"/>
  <c r="R4" i="16"/>
  <c r="S4" i="16"/>
  <c r="T4" i="16"/>
  <c r="U4" i="16"/>
  <c r="V4" i="16"/>
  <c r="W4" i="16"/>
  <c r="K275" i="26"/>
  <c r="K279" i="26"/>
  <c r="K283" i="26"/>
  <c r="K287" i="26"/>
  <c r="K291" i="26"/>
  <c r="K295" i="26"/>
  <c r="K299" i="26"/>
  <c r="K303" i="26"/>
  <c r="K307" i="26"/>
  <c r="K311" i="26"/>
  <c r="K315" i="26"/>
  <c r="K319" i="26"/>
  <c r="K323" i="26"/>
  <c r="K327" i="26"/>
  <c r="K331" i="26"/>
  <c r="K335" i="26"/>
  <c r="K339" i="26"/>
  <c r="K343" i="26"/>
  <c r="K347" i="26"/>
  <c r="K351" i="26"/>
  <c r="K355" i="26"/>
  <c r="K359" i="26"/>
  <c r="K363" i="26"/>
  <c r="K367" i="26"/>
  <c r="K371" i="26"/>
  <c r="K375" i="26"/>
  <c r="K379" i="26"/>
  <c r="K383" i="26"/>
  <c r="K387" i="26"/>
  <c r="K391" i="26"/>
  <c r="K395" i="26"/>
  <c r="K399" i="26"/>
  <c r="CK63" i="27"/>
  <c r="L63" i="27"/>
  <c r="K63" i="27"/>
  <c r="J63" i="27"/>
  <c r="CK61" i="27"/>
  <c r="L61" i="27"/>
  <c r="K61" i="27"/>
  <c r="J61" i="27"/>
  <c r="CK59" i="27"/>
  <c r="L59" i="27"/>
  <c r="K59" i="27"/>
  <c r="J59" i="27"/>
  <c r="CK57" i="27"/>
  <c r="L57" i="27"/>
  <c r="K57" i="27"/>
  <c r="J57" i="27"/>
  <c r="CK55" i="27"/>
  <c r="L55" i="27"/>
  <c r="K55" i="27"/>
  <c r="CK53" i="27"/>
  <c r="L53" i="27"/>
  <c r="K53" i="27"/>
  <c r="CK51" i="27"/>
  <c r="L51" i="27"/>
  <c r="K51" i="27"/>
  <c r="CK49" i="27"/>
  <c r="L49" i="27"/>
  <c r="CK47" i="27"/>
  <c r="L47" i="27"/>
  <c r="K47" i="27"/>
  <c r="CK45" i="27"/>
  <c r="L45" i="27"/>
  <c r="K45" i="27"/>
  <c r="L7" i="27"/>
  <c r="K7" i="27"/>
  <c r="L9" i="27"/>
  <c r="K9" i="27"/>
  <c r="L11" i="27"/>
  <c r="K11" i="27"/>
  <c r="L13" i="27"/>
  <c r="K13" i="27"/>
  <c r="J13" i="27"/>
  <c r="L15" i="27"/>
  <c r="K15" i="27"/>
  <c r="J15" i="27"/>
  <c r="L17" i="27"/>
  <c r="K17" i="27"/>
  <c r="L19" i="27"/>
  <c r="K19" i="27"/>
  <c r="L21" i="27"/>
  <c r="K21" i="27"/>
  <c r="L23" i="27"/>
  <c r="K23" i="27"/>
  <c r="L25" i="27"/>
  <c r="K25" i="27"/>
  <c r="L27" i="27"/>
  <c r="K27" i="27"/>
  <c r="L29" i="27"/>
  <c r="K29" i="27"/>
  <c r="L31" i="27"/>
  <c r="K31" i="27"/>
  <c r="J31" i="27"/>
  <c r="L33" i="27"/>
  <c r="K33" i="27"/>
  <c r="J33" i="27"/>
  <c r="L35" i="27"/>
  <c r="K35" i="27"/>
  <c r="J35" i="27"/>
  <c r="L39" i="27"/>
  <c r="K39" i="27"/>
  <c r="J39" i="27"/>
  <c r="L41" i="27"/>
  <c r="K41" i="27"/>
  <c r="L43" i="27"/>
  <c r="K43" i="27"/>
  <c r="J43" i="27"/>
  <c r="CK43" i="27"/>
  <c r="CK41" i="27"/>
  <c r="CK39" i="27"/>
  <c r="CK37" i="27"/>
  <c r="CK35" i="27"/>
  <c r="CK33" i="27"/>
  <c r="J1" i="27"/>
  <c r="K1" i="27"/>
  <c r="L1" i="27"/>
  <c r="M1" i="27"/>
  <c r="N1" i="27"/>
  <c r="O1" i="27"/>
  <c r="P1" i="27"/>
  <c r="Q1" i="27"/>
  <c r="R1" i="27"/>
  <c r="S1" i="27"/>
  <c r="T1" i="27"/>
  <c r="U1" i="27"/>
  <c r="V1" i="27"/>
  <c r="W1" i="27"/>
  <c r="X1" i="27"/>
  <c r="Y1" i="27"/>
  <c r="Z1" i="27"/>
  <c r="AA1" i="27"/>
  <c r="AB1" i="27"/>
  <c r="AC1" i="27"/>
  <c r="AD1" i="27"/>
  <c r="AE1" i="27"/>
  <c r="AF1" i="27"/>
  <c r="AG1" i="27"/>
  <c r="AH1" i="27"/>
  <c r="AI1" i="27"/>
  <c r="AJ1" i="27"/>
  <c r="AK1" i="27"/>
  <c r="AL1" i="27"/>
  <c r="AM1" i="27"/>
  <c r="AN1" i="27"/>
  <c r="AO1" i="27"/>
  <c r="AP1" i="27"/>
  <c r="AQ1" i="27"/>
  <c r="AR1" i="27"/>
  <c r="AS1" i="27"/>
  <c r="AT1" i="27"/>
  <c r="AU1" i="27"/>
  <c r="AV1" i="27"/>
  <c r="AW1" i="27"/>
  <c r="AX1" i="27"/>
  <c r="AY1" i="27"/>
  <c r="AZ1" i="27"/>
  <c r="BA1" i="27"/>
  <c r="BB1" i="27"/>
  <c r="BC1" i="27"/>
  <c r="BD1" i="27"/>
  <c r="BE1" i="27"/>
  <c r="BF1" i="27"/>
  <c r="BG1" i="27"/>
  <c r="BH1" i="27"/>
  <c r="BI1" i="27"/>
  <c r="BJ1" i="27"/>
  <c r="BK1" i="27"/>
  <c r="BL1" i="27"/>
  <c r="BM1" i="27"/>
  <c r="BN1" i="27"/>
  <c r="BO1" i="27"/>
  <c r="BP1" i="27"/>
  <c r="BQ1" i="27"/>
  <c r="BR1" i="27"/>
  <c r="BS1" i="27"/>
  <c r="BT1" i="27"/>
  <c r="BU1" i="27"/>
  <c r="BV1" i="27"/>
  <c r="BX1" i="27"/>
  <c r="BY1" i="27"/>
  <c r="BZ1" i="27"/>
  <c r="CA1" i="27"/>
  <c r="CB1" i="27"/>
  <c r="CC1" i="27"/>
  <c r="CD1" i="27"/>
  <c r="CE1" i="27"/>
  <c r="CF1" i="27"/>
  <c r="CG1" i="27"/>
  <c r="CH1" i="27"/>
  <c r="CI1" i="27"/>
  <c r="CJ1" i="27"/>
  <c r="CK1" i="27"/>
  <c r="A1" i="27"/>
  <c r="B1" i="27"/>
  <c r="C1" i="27"/>
  <c r="D1" i="27"/>
  <c r="E1" i="27"/>
  <c r="F1" i="27"/>
  <c r="G1" i="27"/>
  <c r="H1" i="27"/>
  <c r="CK31" i="27"/>
  <c r="CK29" i="27"/>
  <c r="CK27" i="27"/>
  <c r="CK25" i="27"/>
  <c r="K403" i="26"/>
  <c r="G272" i="26"/>
  <c r="F275" i="26"/>
  <c r="X275" i="26"/>
  <c r="G276" i="26"/>
  <c r="A54" i="13"/>
  <c r="A57" i="13"/>
  <c r="A48" i="13"/>
  <c r="A51" i="13"/>
  <c r="A45" i="13"/>
  <c r="A1" i="18"/>
  <c r="G280" i="26"/>
  <c r="F283" i="26"/>
  <c r="X283" i="26"/>
  <c r="F279" i="26"/>
  <c r="X279" i="26"/>
  <c r="G284" i="26"/>
  <c r="F287" i="26"/>
  <c r="X287" i="26"/>
  <c r="A42" i="13"/>
  <c r="N16" i="26"/>
  <c r="N20" i="26"/>
  <c r="N24" i="26"/>
  <c r="N28" i="26"/>
  <c r="N32" i="26"/>
  <c r="N36" i="26"/>
  <c r="N40" i="26"/>
  <c r="N44" i="26"/>
  <c r="N48" i="26"/>
  <c r="AH260" i="26"/>
  <c r="AH264" i="26"/>
  <c r="AH268" i="26"/>
  <c r="A4" i="13"/>
  <c r="AC1" i="13"/>
  <c r="R1" i="13"/>
  <c r="A1" i="13"/>
  <c r="G288" i="26"/>
  <c r="F291" i="26"/>
  <c r="X291" i="26"/>
  <c r="F16" i="26"/>
  <c r="X16" i="26"/>
  <c r="F20" i="26"/>
  <c r="X20" i="26"/>
  <c r="F24" i="26"/>
  <c r="X24" i="26"/>
  <c r="F28" i="26"/>
  <c r="X28" i="26"/>
  <c r="F32" i="26"/>
  <c r="X32" i="26"/>
  <c r="F36" i="26"/>
  <c r="X36" i="26"/>
  <c r="F40" i="26"/>
  <c r="X40" i="26"/>
  <c r="F44" i="26"/>
  <c r="X44" i="26"/>
  <c r="F48" i="26"/>
  <c r="X48" i="26"/>
  <c r="N55" i="26"/>
  <c r="F55" i="26"/>
  <c r="X55" i="26"/>
  <c r="N63" i="26"/>
  <c r="F63" i="26"/>
  <c r="X63" i="26"/>
  <c r="N67" i="26"/>
  <c r="F67" i="26"/>
  <c r="X67" i="26"/>
  <c r="N71" i="26"/>
  <c r="F71" i="26"/>
  <c r="X71" i="26"/>
  <c r="N75" i="26"/>
  <c r="F75" i="26"/>
  <c r="X75" i="26"/>
  <c r="N79" i="26"/>
  <c r="F79" i="26"/>
  <c r="X79" i="26"/>
  <c r="N83" i="26"/>
  <c r="F83" i="26"/>
  <c r="X83" i="26"/>
  <c r="N91" i="26"/>
  <c r="F91" i="26"/>
  <c r="X91" i="26"/>
  <c r="N59" i="26"/>
  <c r="F59" i="26"/>
  <c r="X59" i="26"/>
  <c r="N87" i="26"/>
  <c r="F87" i="26"/>
  <c r="X87" i="26"/>
  <c r="N107" i="26"/>
  <c r="F107" i="26"/>
  <c r="X107" i="26"/>
  <c r="N95" i="26"/>
  <c r="F95" i="26"/>
  <c r="X95" i="26"/>
  <c r="N99" i="26"/>
  <c r="F99" i="26"/>
  <c r="X99" i="26"/>
  <c r="N103" i="26"/>
  <c r="F103" i="26"/>
  <c r="X103" i="26"/>
  <c r="N111" i="26"/>
  <c r="F111" i="26"/>
  <c r="X111" i="26"/>
  <c r="N118" i="26"/>
  <c r="F118" i="26"/>
  <c r="X118" i="26"/>
  <c r="N122" i="26"/>
  <c r="F122" i="26"/>
  <c r="X122" i="26"/>
  <c r="N126" i="26"/>
  <c r="F126" i="26"/>
  <c r="X126" i="26"/>
  <c r="N130" i="26"/>
  <c r="F130" i="26"/>
  <c r="X130" i="26"/>
  <c r="N134" i="26"/>
  <c r="F134" i="26"/>
  <c r="X134" i="26"/>
  <c r="N138" i="26"/>
  <c r="F138" i="26"/>
  <c r="X138" i="26"/>
  <c r="N142" i="26"/>
  <c r="F142" i="26"/>
  <c r="X142" i="26"/>
  <c r="N146" i="26"/>
  <c r="F146" i="26"/>
  <c r="X146" i="26"/>
  <c r="N150" i="26"/>
  <c r="F150" i="26"/>
  <c r="X150" i="26"/>
  <c r="N154" i="26"/>
  <c r="F154" i="26"/>
  <c r="X154" i="26"/>
  <c r="N158" i="26"/>
  <c r="F158" i="26"/>
  <c r="X158" i="26"/>
  <c r="N165" i="26"/>
  <c r="F165" i="26"/>
  <c r="X165" i="26"/>
  <c r="N169" i="26"/>
  <c r="F169" i="26"/>
  <c r="X169" i="26"/>
  <c r="N173" i="26"/>
  <c r="F173" i="26"/>
  <c r="X173" i="26"/>
  <c r="N177" i="26"/>
  <c r="F177" i="26"/>
  <c r="X177" i="26"/>
  <c r="N181" i="26"/>
  <c r="F181" i="26"/>
  <c r="X181" i="26"/>
  <c r="N185" i="26"/>
  <c r="F185" i="26"/>
  <c r="X185" i="26"/>
  <c r="N189" i="26"/>
  <c r="F189" i="26"/>
  <c r="X189" i="26"/>
  <c r="N193" i="26"/>
  <c r="F193" i="26"/>
  <c r="X193" i="26"/>
  <c r="N197" i="26"/>
  <c r="F197" i="26"/>
  <c r="X197" i="26"/>
  <c r="N201" i="26"/>
  <c r="F201" i="26"/>
  <c r="X201" i="26"/>
  <c r="N208" i="26"/>
  <c r="F208" i="26"/>
  <c r="X208" i="26"/>
  <c r="N212" i="26"/>
  <c r="F212" i="26"/>
  <c r="X212" i="26"/>
  <c r="N216" i="26"/>
  <c r="F216" i="26"/>
  <c r="X216" i="26"/>
  <c r="N220" i="26"/>
  <c r="F220" i="26"/>
  <c r="X220" i="26"/>
  <c r="N224" i="26"/>
  <c r="F224" i="26"/>
  <c r="X224" i="26"/>
  <c r="N228" i="26"/>
  <c r="F228" i="26"/>
  <c r="X228" i="26"/>
  <c r="N232" i="26"/>
  <c r="F232" i="26"/>
  <c r="X232" i="26"/>
  <c r="N236" i="26"/>
  <c r="F236" i="26"/>
  <c r="X236" i="26"/>
  <c r="N240" i="26"/>
  <c r="F240" i="26"/>
  <c r="X240" i="26"/>
  <c r="N244" i="26"/>
  <c r="F244" i="26"/>
  <c r="X244" i="26"/>
  <c r="N248" i="26"/>
  <c r="F248" i="26"/>
  <c r="X248" i="26"/>
  <c r="N252" i="26"/>
  <c r="F252" i="26"/>
  <c r="X252" i="26"/>
  <c r="G292" i="26"/>
  <c r="F295" i="26"/>
  <c r="X295" i="26"/>
  <c r="N256" i="26"/>
  <c r="F256" i="26"/>
  <c r="X256" i="26"/>
  <c r="G296" i="26"/>
  <c r="F299" i="26"/>
  <c r="X299" i="26"/>
  <c r="G300" i="26"/>
  <c r="F303" i="26"/>
  <c r="X303" i="26"/>
  <c r="DQ7" i="13"/>
  <c r="G304" i="26"/>
  <c r="G308" i="26"/>
  <c r="F311" i="26"/>
  <c r="X311" i="26"/>
  <c r="DL15" i="13"/>
  <c r="BA1" i="30"/>
  <c r="F307" i="26"/>
  <c r="X307" i="26"/>
  <c r="G312" i="26"/>
  <c r="F315" i="26"/>
  <c r="X315" i="26"/>
  <c r="Z308" i="26"/>
  <c r="AX308" i="26"/>
  <c r="DQ15" i="13"/>
  <c r="DL7" i="13"/>
  <c r="G316" i="26"/>
  <c r="F319" i="26"/>
  <c r="X319" i="26"/>
  <c r="Z312" i="26"/>
  <c r="AX312" i="26"/>
  <c r="G320" i="26"/>
  <c r="F323" i="26"/>
  <c r="X323" i="26"/>
  <c r="AX316" i="26"/>
  <c r="Z316" i="26"/>
  <c r="G324" i="26"/>
  <c r="F327" i="26"/>
  <c r="X327" i="26"/>
  <c r="AX304" i="26"/>
  <c r="Z304" i="26"/>
  <c r="AX300" i="26"/>
  <c r="Z300" i="26"/>
  <c r="AX296" i="26"/>
  <c r="Z296" i="26"/>
  <c r="AX292" i="26"/>
  <c r="Z292" i="26"/>
  <c r="CK5" i="27"/>
  <c r="L5" i="27"/>
  <c r="K5" i="27"/>
  <c r="J5" i="27"/>
  <c r="AX320" i="26"/>
  <c r="Z320" i="26"/>
  <c r="AX324" i="26"/>
  <c r="Z324" i="26"/>
  <c r="G328" i="26"/>
  <c r="F331" i="26"/>
  <c r="X331" i="26"/>
  <c r="F267" i="26"/>
  <c r="X267" i="26"/>
  <c r="F271" i="26"/>
  <c r="X271" i="26"/>
  <c r="Z328" i="26"/>
  <c r="AX328" i="26"/>
  <c r="G332" i="26"/>
  <c r="F335" i="26"/>
  <c r="X335" i="26"/>
  <c r="CK23" i="27"/>
  <c r="CK21" i="27"/>
  <c r="CK19" i="27"/>
  <c r="CK17" i="27"/>
  <c r="CK15" i="27"/>
  <c r="CK13" i="27"/>
  <c r="CK11" i="27"/>
  <c r="CK9" i="27"/>
  <c r="CK7" i="27"/>
  <c r="Z332" i="26"/>
  <c r="AX332" i="26"/>
  <c r="G336" i="26"/>
  <c r="F339" i="26"/>
  <c r="X339" i="26"/>
  <c r="AX288" i="26"/>
  <c r="Z288" i="26"/>
  <c r="AX284" i="26"/>
  <c r="Z284" i="26"/>
  <c r="K67" i="26"/>
  <c r="K55" i="26"/>
  <c r="K71" i="26"/>
  <c r="X53" i="27"/>
  <c r="X63" i="27"/>
  <c r="X61" i="27"/>
  <c r="X59" i="27"/>
  <c r="X57" i="27"/>
  <c r="X55" i="27"/>
  <c r="X41" i="27"/>
  <c r="X49" i="27"/>
  <c r="X51" i="27"/>
  <c r="X45" i="27"/>
  <c r="X37" i="27"/>
  <c r="X47" i="27"/>
  <c r="X43" i="27"/>
  <c r="X35" i="27"/>
  <c r="X39" i="27"/>
  <c r="X33" i="27"/>
  <c r="X25" i="27"/>
  <c r="X27" i="27"/>
  <c r="X29" i="27"/>
  <c r="X31" i="27"/>
  <c r="X23" i="27"/>
  <c r="X19" i="27"/>
  <c r="X11" i="27"/>
  <c r="X21" i="27"/>
  <c r="X13" i="27"/>
  <c r="X15" i="27"/>
  <c r="X17" i="27"/>
  <c r="X9" i="27"/>
  <c r="X5" i="27"/>
  <c r="X7" i="27"/>
  <c r="Z53" i="27"/>
  <c r="Z63" i="27"/>
  <c r="Z61" i="27"/>
  <c r="Z59" i="27"/>
  <c r="Z57" i="27"/>
  <c r="Z55" i="27"/>
  <c r="Z51" i="27"/>
  <c r="Z45" i="27"/>
  <c r="Z47" i="27"/>
  <c r="Z43" i="27"/>
  <c r="Z41" i="27"/>
  <c r="Z33" i="27"/>
  <c r="Z39" i="27"/>
  <c r="Z49" i="27"/>
  <c r="Z37" i="27"/>
  <c r="Z35" i="27"/>
  <c r="Z29" i="27"/>
  <c r="Z21" i="27"/>
  <c r="Z31" i="27"/>
  <c r="Z23" i="27"/>
  <c r="Z25" i="27"/>
  <c r="Z27" i="27"/>
  <c r="Z15" i="27"/>
  <c r="Z17" i="27"/>
  <c r="Z9" i="27"/>
  <c r="Z19" i="27"/>
  <c r="Z11" i="27"/>
  <c r="Z13" i="27"/>
  <c r="Z7" i="27"/>
  <c r="Z5" i="27"/>
  <c r="AA63" i="27"/>
  <c r="AA61" i="27"/>
  <c r="AA59" i="27"/>
  <c r="AA57" i="27"/>
  <c r="AA55" i="27"/>
  <c r="AA47" i="27"/>
  <c r="AA43" i="27"/>
  <c r="AA41" i="27"/>
  <c r="AA49" i="27"/>
  <c r="AA39" i="27"/>
  <c r="AA53" i="27"/>
  <c r="AA51" i="27"/>
  <c r="AA45" i="27"/>
  <c r="AA37" i="27"/>
  <c r="AA33" i="27"/>
  <c r="AA35" i="27"/>
  <c r="AA31" i="27"/>
  <c r="AA23" i="27"/>
  <c r="AA25" i="27"/>
  <c r="AA27" i="27"/>
  <c r="AA29" i="27"/>
  <c r="AA21" i="27"/>
  <c r="AA17" i="27"/>
  <c r="AA9" i="27"/>
  <c r="AA19" i="27"/>
  <c r="AA11" i="27"/>
  <c r="AA13" i="27"/>
  <c r="AA15" i="27"/>
  <c r="AA7" i="27"/>
  <c r="AA5" i="27"/>
  <c r="G340" i="26"/>
  <c r="F343" i="26"/>
  <c r="X343" i="26"/>
  <c r="AX336" i="26"/>
  <c r="Z336" i="26"/>
  <c r="AX272" i="26"/>
  <c r="Z272" i="26"/>
  <c r="AX280" i="26"/>
  <c r="Z280" i="26"/>
  <c r="K63" i="26"/>
  <c r="AN53" i="27"/>
  <c r="AN63" i="27"/>
  <c r="AN61" i="27"/>
  <c r="AN59" i="27"/>
  <c r="AN57" i="27"/>
  <c r="AN55" i="27"/>
  <c r="AN51" i="27"/>
  <c r="AN41" i="27"/>
  <c r="AN49" i="27"/>
  <c r="AN39" i="27"/>
  <c r="AN45" i="27"/>
  <c r="AN37" i="27"/>
  <c r="AN47" i="27"/>
  <c r="AN43" i="27"/>
  <c r="AN35" i="27"/>
  <c r="AN33" i="27"/>
  <c r="AN25" i="27"/>
  <c r="AN27" i="27"/>
  <c r="AN29" i="27"/>
  <c r="AN21" i="27"/>
  <c r="AN31" i="27"/>
  <c r="AN23" i="27"/>
  <c r="AN19" i="27"/>
  <c r="AN11" i="27"/>
  <c r="AN13" i="27"/>
  <c r="AN15" i="27"/>
  <c r="AN7" i="27"/>
  <c r="AN17" i="27"/>
  <c r="AN9" i="27"/>
  <c r="AN5" i="27"/>
  <c r="AO51" i="27"/>
  <c r="AO53" i="27"/>
  <c r="AO63" i="27"/>
  <c r="AO61" i="27"/>
  <c r="AO59" i="27"/>
  <c r="AO57" i="27"/>
  <c r="AO55" i="27"/>
  <c r="AO49" i="27"/>
  <c r="AO39" i="27"/>
  <c r="AO45" i="27"/>
  <c r="AO47" i="27"/>
  <c r="AO43" i="27"/>
  <c r="AO35" i="27"/>
  <c r="AO41" i="27"/>
  <c r="AO37" i="27"/>
  <c r="AO33" i="27"/>
  <c r="AO27" i="27"/>
  <c r="AO29" i="27"/>
  <c r="AO21" i="27"/>
  <c r="AO31" i="27"/>
  <c r="AO23" i="27"/>
  <c r="AO25" i="27"/>
  <c r="AO13" i="27"/>
  <c r="AO15" i="27"/>
  <c r="AO7" i="27"/>
  <c r="AO17" i="27"/>
  <c r="AO9" i="27"/>
  <c r="AO19" i="27"/>
  <c r="AO11" i="27"/>
  <c r="AO5" i="27"/>
  <c r="Y53" i="27"/>
  <c r="Y63" i="27"/>
  <c r="Y61" i="27"/>
  <c r="Y59" i="27"/>
  <c r="Y57" i="27"/>
  <c r="Y55" i="27"/>
  <c r="Y49" i="27"/>
  <c r="Y51" i="27"/>
  <c r="Y45" i="27"/>
  <c r="Y47" i="27"/>
  <c r="Y43" i="27"/>
  <c r="Y35" i="27"/>
  <c r="Y41" i="27"/>
  <c r="Y39" i="27"/>
  <c r="Y37" i="27"/>
  <c r="Y33" i="27"/>
  <c r="Y27" i="27"/>
  <c r="Y29" i="27"/>
  <c r="Y21" i="27"/>
  <c r="Y31" i="27"/>
  <c r="Y23" i="27"/>
  <c r="Y25" i="27"/>
  <c r="Y13" i="27"/>
  <c r="Y15" i="27"/>
  <c r="Y17" i="27"/>
  <c r="Y9" i="27"/>
  <c r="Y19" i="27"/>
  <c r="Y11" i="27"/>
  <c r="Y5" i="27"/>
  <c r="Y7" i="27"/>
  <c r="AP53" i="27"/>
  <c r="AP63" i="27"/>
  <c r="AP61" i="27"/>
  <c r="AP59" i="27"/>
  <c r="AP57" i="27"/>
  <c r="AP55" i="27"/>
  <c r="AP45" i="27"/>
  <c r="AP47" i="27"/>
  <c r="AP43" i="27"/>
  <c r="AP41" i="27"/>
  <c r="AP33" i="27"/>
  <c r="AP39" i="27"/>
  <c r="AP51" i="27"/>
  <c r="AP49" i="27"/>
  <c r="AP37" i="27"/>
  <c r="AP35" i="27"/>
  <c r="AP29" i="27"/>
  <c r="AP21" i="27"/>
  <c r="AP31" i="27"/>
  <c r="AP23" i="27"/>
  <c r="AP25" i="27"/>
  <c r="AP27" i="27"/>
  <c r="AP15" i="27"/>
  <c r="AP7" i="27"/>
  <c r="AP17" i="27"/>
  <c r="AP9" i="27"/>
  <c r="AP19" i="27"/>
  <c r="AP11" i="27"/>
  <c r="AP13" i="27"/>
  <c r="AP5" i="27"/>
  <c r="AX340" i="26"/>
  <c r="Z340" i="26"/>
  <c r="G344" i="26"/>
  <c r="F347" i="26"/>
  <c r="X347" i="26"/>
  <c r="N263" i="26"/>
  <c r="N267" i="26"/>
  <c r="N271" i="26"/>
  <c r="F263" i="26"/>
  <c r="X263" i="26"/>
  <c r="J11" i="27"/>
  <c r="J9" i="27"/>
  <c r="J7" i="27"/>
  <c r="AX344" i="26"/>
  <c r="Z344" i="26"/>
  <c r="G348" i="26"/>
  <c r="F351" i="26"/>
  <c r="X351" i="26"/>
  <c r="C6" i="27"/>
  <c r="BW1" i="27"/>
  <c r="Z348" i="26"/>
  <c r="AX348" i="26"/>
  <c r="G352" i="26"/>
  <c r="F355" i="26"/>
  <c r="X355" i="26"/>
  <c r="I1" i="27"/>
  <c r="AX352" i="26"/>
  <c r="Z352" i="26"/>
  <c r="G356" i="26"/>
  <c r="F359" i="26"/>
  <c r="X359" i="26"/>
  <c r="AX268" i="26"/>
  <c r="AX264" i="26"/>
  <c r="AX260" i="26"/>
  <c r="BZ9" i="27"/>
  <c r="BZ57" i="27"/>
  <c r="BZ63" i="27"/>
  <c r="BZ17" i="27"/>
  <c r="BZ5" i="27"/>
  <c r="BZ39" i="27"/>
  <c r="BZ27" i="27"/>
  <c r="BZ59" i="27"/>
  <c r="BZ49" i="27"/>
  <c r="BZ29" i="27"/>
  <c r="BZ37" i="27"/>
  <c r="BZ47" i="27"/>
  <c r="BZ23" i="27"/>
  <c r="BZ19" i="27"/>
  <c r="BZ21" i="27"/>
  <c r="BZ51" i="27"/>
  <c r="BZ13" i="27"/>
  <c r="BZ43" i="27"/>
  <c r="BZ15" i="27"/>
  <c r="BZ11" i="27"/>
  <c r="BZ45" i="27"/>
  <c r="BZ35" i="27"/>
  <c r="BZ31" i="27"/>
  <c r="BZ33" i="27"/>
  <c r="BZ53" i="27"/>
  <c r="BZ61" i="27"/>
  <c r="BZ7" i="27"/>
  <c r="BZ41" i="27"/>
  <c r="BZ55" i="27"/>
  <c r="BZ25" i="27"/>
  <c r="BZ54" i="27"/>
  <c r="BZ60" i="27"/>
  <c r="BZ50" i="27"/>
  <c r="BZ58" i="27"/>
  <c r="BZ44" i="27"/>
  <c r="BZ24" i="27"/>
  <c r="BZ56" i="27"/>
  <c r="BZ46" i="27"/>
  <c r="BZ52" i="27"/>
  <c r="BZ28" i="27"/>
  <c r="BZ62" i="27"/>
  <c r="BZ26" i="27"/>
  <c r="BZ48" i="27"/>
  <c r="BZ30" i="27"/>
  <c r="BZ6" i="27"/>
  <c r="BZ8" i="27"/>
  <c r="BZ10" i="27"/>
  <c r="BZ12" i="27"/>
  <c r="BZ14" i="27"/>
  <c r="BZ16" i="27"/>
  <c r="BZ18" i="27"/>
  <c r="BZ20" i="27"/>
  <c r="BZ22" i="27"/>
  <c r="BZ42" i="27"/>
  <c r="AX356" i="26"/>
  <c r="Z356" i="26"/>
  <c r="G360" i="26"/>
  <c r="F363" i="26"/>
  <c r="X363" i="26"/>
  <c r="BZ4" i="27"/>
  <c r="AL3" i="26"/>
  <c r="CD43" i="27"/>
  <c r="CH51" i="27"/>
  <c r="CA61" i="27"/>
  <c r="CE61" i="27"/>
  <c r="CJ15" i="27"/>
  <c r="CA47" i="27"/>
  <c r="CA25" i="27"/>
  <c r="CA11" i="27"/>
  <c r="CI59" i="27"/>
  <c r="BZ40" i="27"/>
  <c r="CI51" i="27"/>
  <c r="CA17" i="27"/>
  <c r="CH63" i="27"/>
  <c r="CA41" i="27"/>
  <c r="CA45" i="27"/>
  <c r="CH15" i="27"/>
  <c r="BZ38" i="27"/>
  <c r="CH53" i="27"/>
  <c r="CA55" i="27"/>
  <c r="CB43" i="27"/>
  <c r="CC15" i="27"/>
  <c r="CA53" i="27"/>
  <c r="CG61" i="27"/>
  <c r="CE43" i="27"/>
  <c r="CI61" i="27"/>
  <c r="CC59" i="27"/>
  <c r="CC61" i="27"/>
  <c r="CG15" i="27"/>
  <c r="CA59" i="27"/>
  <c r="CH43" i="27"/>
  <c r="CB15" i="27"/>
  <c r="CB61" i="27"/>
  <c r="CA7" i="27"/>
  <c r="CD61" i="27"/>
  <c r="BZ34" i="27"/>
  <c r="CA31" i="27"/>
  <c r="CA39" i="27"/>
  <c r="CI43" i="27"/>
  <c r="CB63" i="27"/>
  <c r="CD63" i="27"/>
  <c r="CJ59" i="27"/>
  <c r="CF63" i="27"/>
  <c r="CD59" i="27"/>
  <c r="CA21" i="27"/>
  <c r="CG59" i="27"/>
  <c r="CE59" i="27"/>
  <c r="CA29" i="27"/>
  <c r="CA13" i="27"/>
  <c r="CD15" i="27"/>
  <c r="CJ61" i="27"/>
  <c r="CA63" i="27"/>
  <c r="CA9" i="27"/>
  <c r="CA51" i="27"/>
  <c r="CI53" i="27"/>
  <c r="CI15" i="27"/>
  <c r="CA23" i="27"/>
  <c r="CC43" i="27"/>
  <c r="CF59" i="27"/>
  <c r="CG43" i="27"/>
  <c r="CC53" i="27"/>
  <c r="CE53" i="27"/>
  <c r="CJ53" i="27"/>
  <c r="CB53" i="27"/>
  <c r="CE15" i="27"/>
  <c r="CG63" i="27"/>
  <c r="CB51" i="27"/>
  <c r="CG53" i="27"/>
  <c r="CA19" i="27"/>
  <c r="CD53" i="27"/>
  <c r="CD51" i="27"/>
  <c r="CA43" i="27"/>
  <c r="CC51" i="27"/>
  <c r="CH59" i="27"/>
  <c r="CA57" i="27"/>
  <c r="CF51" i="27"/>
  <c r="CF53" i="27"/>
  <c r="CG51" i="27"/>
  <c r="CA37" i="27"/>
  <c r="BZ32" i="27"/>
  <c r="CB59" i="27"/>
  <c r="CJ43" i="27"/>
  <c r="CA15" i="27"/>
  <c r="CC63" i="27"/>
  <c r="CJ63" i="27"/>
  <c r="CE63" i="27"/>
  <c r="CA49" i="27"/>
  <c r="CF15" i="27"/>
  <c r="CH61" i="27"/>
  <c r="CA33" i="27"/>
  <c r="CE51" i="27"/>
  <c r="CF61" i="27"/>
  <c r="BZ36" i="27"/>
  <c r="CA35" i="27"/>
  <c r="CA27" i="27"/>
  <c r="CI63" i="27"/>
  <c r="CJ51" i="27"/>
  <c r="CF43" i="27"/>
  <c r="CA40" i="27"/>
  <c r="CA34" i="27"/>
  <c r="CG42" i="27"/>
  <c r="CH42" i="27"/>
  <c r="CE42" i="27"/>
  <c r="CB42" i="27"/>
  <c r="CJ42" i="27"/>
  <c r="CI42" i="27"/>
  <c r="CF42" i="27"/>
  <c r="CC42" i="27"/>
  <c r="CA42" i="27"/>
  <c r="CD42" i="27"/>
  <c r="CA32" i="27"/>
  <c r="CA22" i="27"/>
  <c r="CA20" i="27"/>
  <c r="CA18" i="27"/>
  <c r="CA16" i="27"/>
  <c r="CJ14" i="27"/>
  <c r="CA14" i="27"/>
  <c r="CB14" i="27"/>
  <c r="CC14" i="27"/>
  <c r="CF14" i="27"/>
  <c r="CI14" i="27"/>
  <c r="CH14" i="27"/>
  <c r="CG14" i="27"/>
  <c r="CD14" i="27"/>
  <c r="CE14" i="27"/>
  <c r="CA12" i="27"/>
  <c r="CA10" i="27"/>
  <c r="CA8" i="27"/>
  <c r="CA6" i="27"/>
  <c r="CA30" i="27"/>
  <c r="CA48" i="27"/>
  <c r="CA26" i="27"/>
  <c r="CB62" i="27"/>
  <c r="CA62" i="27"/>
  <c r="CI62" i="27"/>
  <c r="CG62" i="27"/>
  <c r="CC62" i="27"/>
  <c r="CH62" i="27"/>
  <c r="CF62" i="27"/>
  <c r="CD62" i="27"/>
  <c r="CE62" i="27"/>
  <c r="CJ62" i="27"/>
  <c r="CA28" i="27"/>
  <c r="CH52" i="27"/>
  <c r="CI52" i="27"/>
  <c r="CJ52" i="27"/>
  <c r="CD52" i="27"/>
  <c r="CG52" i="27"/>
  <c r="CC52" i="27"/>
  <c r="CE52" i="27"/>
  <c r="CF52" i="27"/>
  <c r="CB52" i="27"/>
  <c r="CA52" i="27"/>
  <c r="CA46" i="27"/>
  <c r="CA56" i="27"/>
  <c r="CA24" i="27"/>
  <c r="CA44" i="27"/>
  <c r="CF58" i="27"/>
  <c r="CA58" i="27"/>
  <c r="CC58" i="27"/>
  <c r="CE58" i="27"/>
  <c r="CI58" i="27"/>
  <c r="CD58" i="27"/>
  <c r="CH58" i="27"/>
  <c r="CG58" i="27"/>
  <c r="CB58" i="27"/>
  <c r="CJ58" i="27"/>
  <c r="CD50" i="27"/>
  <c r="CH50" i="27"/>
  <c r="CE50" i="27"/>
  <c r="CJ50" i="27"/>
  <c r="CC50" i="27"/>
  <c r="CF50" i="27"/>
  <c r="CG50" i="27"/>
  <c r="CI50" i="27"/>
  <c r="CB50" i="27"/>
  <c r="CA50" i="27"/>
  <c r="CC60" i="27"/>
  <c r="CH60" i="27"/>
  <c r="CD60" i="27"/>
  <c r="CE60" i="27"/>
  <c r="CG60" i="27"/>
  <c r="CI60" i="27"/>
  <c r="CF60" i="27"/>
  <c r="CA60" i="27"/>
  <c r="CJ60" i="27"/>
  <c r="CB60" i="27"/>
  <c r="CA54" i="27"/>
  <c r="AX360" i="26"/>
  <c r="Z360" i="26"/>
  <c r="G364" i="26"/>
  <c r="F367" i="26"/>
  <c r="X367" i="26"/>
  <c r="BX42" i="27"/>
  <c r="BX52" i="27"/>
  <c r="AH364" i="26"/>
  <c r="BX50" i="27"/>
  <c r="AH360" i="26"/>
  <c r="BX60" i="27"/>
  <c r="BX58" i="27"/>
  <c r="BX62" i="27"/>
  <c r="Z364" i="26"/>
  <c r="AX364" i="26"/>
  <c r="G368" i="26"/>
  <c r="F371" i="26"/>
  <c r="X371" i="26"/>
  <c r="AX368" i="26"/>
  <c r="Z368" i="26"/>
  <c r="G372" i="26"/>
  <c r="F375" i="26"/>
  <c r="X375" i="26"/>
  <c r="AX68" i="26"/>
  <c r="Z60" i="26"/>
  <c r="Z64" i="26"/>
  <c r="Z52" i="26"/>
  <c r="Z68" i="26"/>
  <c r="A60" i="22"/>
  <c r="A58" i="22"/>
  <c r="Z372" i="26"/>
  <c r="AX372" i="26"/>
  <c r="G376" i="26"/>
  <c r="N379" i="26"/>
  <c r="F379" i="26"/>
  <c r="X379" i="26"/>
  <c r="AX376" i="26"/>
  <c r="AH376" i="26"/>
  <c r="Z376" i="26"/>
  <c r="G380" i="26"/>
  <c r="CG23" i="27"/>
  <c r="CB25" i="27"/>
  <c r="CJ35" i="27"/>
  <c r="CE21" i="27"/>
  <c r="CI47" i="27"/>
  <c r="CB41" i="27"/>
  <c r="CE7" i="27"/>
  <c r="CF21" i="27"/>
  <c r="CB33" i="27"/>
  <c r="CC35" i="27"/>
  <c r="CJ55" i="27"/>
  <c r="CD55" i="27"/>
  <c r="CJ17" i="27"/>
  <c r="CB11" i="27"/>
  <c r="CC45" i="27"/>
  <c r="CJ9" i="27"/>
  <c r="CB9" i="27"/>
  <c r="CG41" i="27"/>
  <c r="CE11" i="27"/>
  <c r="CA36" i="27"/>
  <c r="CG13" i="27"/>
  <c r="CG11" i="27"/>
  <c r="CB7" i="27"/>
  <c r="CB49" i="27"/>
  <c r="CI19" i="27"/>
  <c r="CC21" i="27"/>
  <c r="CC57" i="27"/>
  <c r="CD7" i="27"/>
  <c r="CB13" i="27"/>
  <c r="CF29" i="27"/>
  <c r="CG21" i="27"/>
  <c r="CI29" i="27"/>
  <c r="CB27" i="27"/>
  <c r="CF17" i="27"/>
  <c r="CF35" i="27"/>
  <c r="CJ11" i="27"/>
  <c r="CE17" i="27"/>
  <c r="CE57" i="27"/>
  <c r="CH21" i="27"/>
  <c r="CH7" i="27"/>
  <c r="CC19" i="27"/>
  <c r="CH57" i="27"/>
  <c r="CB57" i="27"/>
  <c r="CB47" i="27"/>
  <c r="CB45" i="27"/>
  <c r="CB39" i="27"/>
  <c r="CJ29" i="27"/>
  <c r="CB29" i="27"/>
  <c r="CI55" i="27"/>
  <c r="CI41" i="27"/>
  <c r="CI45" i="27"/>
  <c r="CB37" i="27"/>
  <c r="CH33" i="27"/>
  <c r="CI35" i="27"/>
  <c r="CI33" i="27"/>
  <c r="CB35" i="27"/>
  <c r="CG57" i="27"/>
  <c r="CF57" i="27"/>
  <c r="CA38" i="27"/>
  <c r="CH19" i="27"/>
  <c r="CG17" i="27"/>
  <c r="CE29" i="27"/>
  <c r="CF7" i="27"/>
  <c r="CE55" i="27"/>
  <c r="CG9" i="27"/>
  <c r="CE33" i="27"/>
  <c r="CG45" i="27"/>
  <c r="CC17" i="27"/>
  <c r="CH13" i="27"/>
  <c r="CI57" i="27"/>
  <c r="CF55" i="27"/>
  <c r="CD29" i="27"/>
  <c r="CI17" i="27"/>
  <c r="CD11" i="27"/>
  <c r="CE23" i="27"/>
  <c r="CJ7" i="27"/>
  <c r="CH41" i="27"/>
  <c r="CH11" i="27"/>
  <c r="CE35" i="27"/>
  <c r="CH45" i="27"/>
  <c r="CD23" i="27"/>
  <c r="CH17" i="27"/>
  <c r="CD17" i="27"/>
  <c r="CH55" i="27"/>
  <c r="CI21" i="27"/>
  <c r="CF19" i="27"/>
  <c r="CD47" i="27"/>
  <c r="CJ23" i="27"/>
  <c r="CF47" i="27"/>
  <c r="CB19" i="27"/>
  <c r="CD57" i="27"/>
  <c r="CE45" i="27"/>
  <c r="CJ41" i="27"/>
  <c r="CH29" i="27"/>
  <c r="CC55" i="27"/>
  <c r="CI11" i="27"/>
  <c r="CF23" i="27"/>
  <c r="CJ21" i="27"/>
  <c r="CD21" i="27"/>
  <c r="CG55" i="27"/>
  <c r="CG29" i="27"/>
  <c r="CF33" i="27"/>
  <c r="CB55" i="27"/>
  <c r="CC23" i="27"/>
  <c r="CD45" i="27"/>
  <c r="CF11" i="27"/>
  <c r="CD13" i="27"/>
  <c r="CJ33" i="27"/>
  <c r="CE19" i="27"/>
  <c r="CF13" i="27"/>
  <c r="CD35" i="27"/>
  <c r="CB21" i="27"/>
  <c r="CD19" i="27"/>
  <c r="CB17" i="27"/>
  <c r="CC11" i="27"/>
  <c r="CI9" i="27"/>
  <c r="CG47" i="27"/>
  <c r="CG7" i="27"/>
  <c r="CE9" i="27"/>
  <c r="CD9" i="27"/>
  <c r="CE47" i="27"/>
  <c r="CI13" i="27"/>
  <c r="CC9" i="27"/>
  <c r="CG19" i="27"/>
  <c r="CC33" i="27"/>
  <c r="CB23" i="27"/>
  <c r="CJ19" i="27"/>
  <c r="CJ13" i="27"/>
  <c r="CJ57" i="27"/>
  <c r="CH35" i="27"/>
  <c r="CE13" i="27"/>
  <c r="CH23" i="27"/>
  <c r="CF41" i="27"/>
  <c r="CC29" i="27"/>
  <c r="CF45" i="27"/>
  <c r="CI7" i="27"/>
  <c r="CH9" i="27"/>
  <c r="CF9" i="27"/>
  <c r="CC13" i="27"/>
  <c r="CH47" i="27"/>
  <c r="CC41" i="27"/>
  <c r="CJ45" i="27"/>
  <c r="CI23" i="27"/>
  <c r="CD33" i="27"/>
  <c r="CB31" i="27"/>
  <c r="CC7" i="27"/>
  <c r="CG35" i="27"/>
  <c r="CJ47" i="27"/>
  <c r="CD41" i="27"/>
  <c r="CG33" i="27"/>
  <c r="CC47" i="27"/>
  <c r="CE41" i="27"/>
  <c r="CH16" i="27"/>
  <c r="CD32" i="27"/>
  <c r="CD54" i="27"/>
  <c r="CB6" i="27"/>
  <c r="CF56" i="27"/>
  <c r="CF10" i="27"/>
  <c r="CB30" i="27"/>
  <c r="CC20" i="27"/>
  <c r="CC44" i="27"/>
  <c r="CB44" i="27"/>
  <c r="CB56" i="27"/>
  <c r="CB24" i="27"/>
  <c r="CH40" i="27"/>
  <c r="CG56" i="27"/>
  <c r="CE22" i="27"/>
  <c r="CH8" i="27"/>
  <c r="CJ18" i="27"/>
  <c r="CC10" i="27"/>
  <c r="CI44" i="27"/>
  <c r="CG44" i="27"/>
  <c r="CB54" i="27"/>
  <c r="CH10" i="27"/>
  <c r="CE56" i="27"/>
  <c r="CG34" i="27"/>
  <c r="CJ6" i="27"/>
  <c r="CF28" i="27"/>
  <c r="CI28" i="27"/>
  <c r="CJ56" i="27"/>
  <c r="CF44" i="27"/>
  <c r="CE46" i="27"/>
  <c r="CD8" i="27"/>
  <c r="CJ46" i="27"/>
  <c r="CF8" i="27"/>
  <c r="CB12" i="27"/>
  <c r="CC28" i="27"/>
  <c r="CJ28" i="27"/>
  <c r="CB16" i="27"/>
  <c r="CC8" i="27"/>
  <c r="CE10" i="27"/>
  <c r="CJ10" i="27"/>
  <c r="CI40" i="27"/>
  <c r="CB26" i="27"/>
  <c r="CJ12" i="27"/>
  <c r="CJ16" i="27"/>
  <c r="CE34" i="27"/>
  <c r="CG18" i="27"/>
  <c r="CE12" i="27"/>
  <c r="CG22" i="27"/>
  <c r="CH20" i="27"/>
  <c r="CD12" i="27"/>
  <c r="CF40" i="27"/>
  <c r="CF34" i="27"/>
  <c r="CE54" i="27"/>
  <c r="CI34" i="27"/>
  <c r="CB28" i="27"/>
  <c r="CD46" i="27"/>
  <c r="CB32" i="27"/>
  <c r="CD28" i="27"/>
  <c r="CI22" i="27"/>
  <c r="CB8" i="27"/>
  <c r="CE16" i="27"/>
  <c r="CG20" i="27"/>
  <c r="CD34" i="27"/>
  <c r="CF12" i="27"/>
  <c r="CC16" i="27"/>
  <c r="CJ22" i="27"/>
  <c r="CI18" i="27"/>
  <c r="CH44" i="27"/>
  <c r="CJ44" i="27"/>
  <c r="CH22" i="27"/>
  <c r="CF32" i="27"/>
  <c r="CD16" i="27"/>
  <c r="CC6" i="27"/>
  <c r="CG16" i="27"/>
  <c r="CF20" i="27"/>
  <c r="CC22" i="27"/>
  <c r="CG12" i="27"/>
  <c r="CI32" i="27"/>
  <c r="CD20" i="27"/>
  <c r="CG6" i="27"/>
  <c r="CF16" i="27"/>
  <c r="CB46" i="27"/>
  <c r="CG54" i="27"/>
  <c r="CC32" i="27"/>
  <c r="CG46" i="27"/>
  <c r="CD44" i="27"/>
  <c r="CB40" i="27"/>
  <c r="CF22" i="27"/>
  <c r="CD18" i="27"/>
  <c r="CF6" i="27"/>
  <c r="CI56" i="27"/>
  <c r="CF18" i="27"/>
  <c r="CE20" i="27"/>
  <c r="CE32" i="27"/>
  <c r="CC56" i="27"/>
  <c r="CE28" i="27"/>
  <c r="CE6" i="27"/>
  <c r="CG32" i="27"/>
  <c r="CD6" i="27"/>
  <c r="CI6" i="27"/>
  <c r="CJ40" i="27"/>
  <c r="CG8" i="27"/>
  <c r="CC40" i="27"/>
  <c r="CB34" i="27"/>
  <c r="CH34" i="27"/>
  <c r="CJ32" i="27"/>
  <c r="CH56" i="27"/>
  <c r="CE40" i="27"/>
  <c r="CC46" i="27"/>
  <c r="CH46" i="27"/>
  <c r="CI10" i="27"/>
  <c r="CI46" i="27"/>
  <c r="CJ20" i="27"/>
  <c r="CH6" i="27"/>
  <c r="CD22" i="27"/>
  <c r="CC34" i="27"/>
  <c r="CI8" i="27"/>
  <c r="CC18" i="27"/>
  <c r="CG28" i="27"/>
  <c r="CD10" i="27"/>
  <c r="CE8" i="27"/>
  <c r="CB22" i="27"/>
  <c r="CB18" i="27"/>
  <c r="CD56" i="27"/>
  <c r="CD40" i="27"/>
  <c r="CJ8" i="27"/>
  <c r="CH54" i="27"/>
  <c r="CG40" i="27"/>
  <c r="CF46" i="27"/>
  <c r="CJ34" i="27"/>
  <c r="CE18" i="27"/>
  <c r="CF54" i="27"/>
  <c r="CH18" i="27"/>
  <c r="CH28" i="27"/>
  <c r="CB20" i="27"/>
  <c r="CI20" i="27"/>
  <c r="CI12" i="27"/>
  <c r="CB48" i="27"/>
  <c r="CC54" i="27"/>
  <c r="CH12" i="27"/>
  <c r="CG10" i="27"/>
  <c r="CJ54" i="27"/>
  <c r="CI54" i="27"/>
  <c r="CE44" i="27"/>
  <c r="CC12" i="27"/>
  <c r="CB10" i="27"/>
  <c r="CH32" i="27"/>
  <c r="CI16" i="27"/>
  <c r="N383" i="26"/>
  <c r="F383" i="26"/>
  <c r="X383" i="26"/>
  <c r="AH380" i="26"/>
  <c r="Z380" i="26"/>
  <c r="AX380" i="26"/>
  <c r="G384" i="26"/>
  <c r="N19" i="22"/>
  <c r="N20" i="22"/>
  <c r="N21" i="22"/>
  <c r="N22" i="22"/>
  <c r="N23" i="22"/>
  <c r="N24" i="22"/>
  <c r="N25" i="22"/>
  <c r="N26" i="22"/>
  <c r="N27" i="22"/>
  <c r="N28" i="22"/>
  <c r="N29" i="22"/>
  <c r="N30" i="22"/>
  <c r="N31" i="22"/>
  <c r="N32" i="22"/>
  <c r="N33" i="22"/>
  <c r="N34" i="22"/>
  <c r="N35" i="22"/>
  <c r="N36" i="22"/>
  <c r="N37" i="22"/>
  <c r="N38" i="22"/>
  <c r="N39" i="22"/>
  <c r="N40" i="22"/>
  <c r="N41" i="22"/>
  <c r="N42" i="22"/>
  <c r="N43" i="22"/>
  <c r="N44" i="22"/>
  <c r="N45" i="22"/>
  <c r="N46" i="22"/>
  <c r="N47" i="22"/>
  <c r="N48" i="22"/>
  <c r="N49" i="22"/>
  <c r="N50" i="22"/>
  <c r="N51" i="22"/>
  <c r="CJ25" i="27"/>
  <c r="CE31" i="27"/>
  <c r="CH31" i="27"/>
  <c r="CC25" i="27"/>
  <c r="CD25" i="27"/>
  <c r="CG31" i="27"/>
  <c r="CH49" i="27"/>
  <c r="CD49" i="27"/>
  <c r="CG49" i="27"/>
  <c r="CF31" i="27"/>
  <c r="CC27" i="27"/>
  <c r="CI49" i="27"/>
  <c r="CC31" i="27"/>
  <c r="CH25" i="27"/>
  <c r="CF25" i="27"/>
  <c r="CF49" i="27"/>
  <c r="CE25" i="27"/>
  <c r="CC49" i="27"/>
  <c r="CJ49" i="27"/>
  <c r="CD31" i="27"/>
  <c r="CE49" i="27"/>
  <c r="CG25" i="27"/>
  <c r="CB38" i="27"/>
  <c r="CI31" i="27"/>
  <c r="CC37" i="27"/>
  <c r="CJ31" i="27"/>
  <c r="CI25" i="27"/>
  <c r="CB36" i="27"/>
  <c r="BX56" i="27"/>
  <c r="AH372" i="26"/>
  <c r="BX54" i="27"/>
  <c r="AH368" i="26"/>
  <c r="BX40" i="27"/>
  <c r="BX32" i="27"/>
  <c r="BX34" i="27"/>
  <c r="BX46" i="27"/>
  <c r="AH352" i="26"/>
  <c r="BX44" i="27"/>
  <c r="AH348" i="26"/>
  <c r="CG48" i="27"/>
  <c r="CC48" i="27"/>
  <c r="CC26" i="27"/>
  <c r="CF24" i="27"/>
  <c r="CE24" i="27"/>
  <c r="CE30" i="27"/>
  <c r="CC30" i="27"/>
  <c r="CJ30" i="27"/>
  <c r="CJ48" i="27"/>
  <c r="CH48" i="27"/>
  <c r="CE48" i="27"/>
  <c r="CG24" i="27"/>
  <c r="CD24" i="27"/>
  <c r="CG30" i="27"/>
  <c r="CH30" i="27"/>
  <c r="CD48" i="27"/>
  <c r="CC36" i="27"/>
  <c r="CC24" i="27"/>
  <c r="CI24" i="27"/>
  <c r="CD30" i="27"/>
  <c r="CI48" i="27"/>
  <c r="CF48" i="27"/>
  <c r="CH24" i="27"/>
  <c r="CJ24" i="27"/>
  <c r="CI30" i="27"/>
  <c r="CF30" i="27"/>
  <c r="N387" i="26"/>
  <c r="F387" i="26"/>
  <c r="X387" i="26"/>
  <c r="Z384" i="26"/>
  <c r="AX384" i="26"/>
  <c r="AH384" i="26"/>
  <c r="G388" i="26"/>
  <c r="D78" i="22"/>
  <c r="D92" i="22"/>
  <c r="D91" i="22"/>
  <c r="D87" i="22"/>
  <c r="D86" i="22"/>
  <c r="D85" i="22"/>
  <c r="D84" i="22"/>
  <c r="D83" i="22"/>
  <c r="D82" i="22"/>
  <c r="D81" i="22"/>
  <c r="D80" i="22"/>
  <c r="D79" i="22"/>
  <c r="D77" i="22"/>
  <c r="D76" i="22"/>
  <c r="D75" i="22"/>
  <c r="D74" i="22"/>
  <c r="D73" i="22"/>
  <c r="A140" i="22"/>
  <c r="CF27" i="27"/>
  <c r="CH37" i="27"/>
  <c r="CJ27" i="27"/>
  <c r="CI37" i="27"/>
  <c r="CD37" i="27"/>
  <c r="CF37" i="27"/>
  <c r="CH27" i="27"/>
  <c r="CJ37" i="27"/>
  <c r="CG37" i="27"/>
  <c r="CI27" i="27"/>
  <c r="CE37" i="27"/>
  <c r="CG27" i="27"/>
  <c r="CE27" i="27"/>
  <c r="CD27" i="27"/>
  <c r="BX48" i="27"/>
  <c r="AH356" i="26"/>
  <c r="BX24" i="27"/>
  <c r="CH36" i="27"/>
  <c r="CJ26" i="27"/>
  <c r="CD36" i="27"/>
  <c r="CI26" i="27"/>
  <c r="CI36" i="27"/>
  <c r="CH26" i="27"/>
  <c r="CF26" i="27"/>
  <c r="CG36" i="27"/>
  <c r="CD26" i="27"/>
  <c r="CE36" i="27"/>
  <c r="CJ36" i="27"/>
  <c r="CF36" i="27"/>
  <c r="CG26" i="27"/>
  <c r="CE26" i="27"/>
  <c r="N391" i="26"/>
  <c r="F391" i="26"/>
  <c r="X391" i="26"/>
  <c r="AH388" i="26"/>
  <c r="AX388" i="26"/>
  <c r="Z388" i="26"/>
  <c r="G392" i="26"/>
  <c r="AX52" i="26"/>
  <c r="CI5" i="27"/>
  <c r="CA5" i="27"/>
  <c r="AX60" i="26"/>
  <c r="CE5" i="27"/>
  <c r="AX64" i="26"/>
  <c r="CH5" i="27"/>
  <c r="CJ5" i="27"/>
  <c r="CF5" i="27"/>
  <c r="CG5" i="27"/>
  <c r="CD5" i="27"/>
  <c r="CC5" i="27"/>
  <c r="CB5" i="27"/>
  <c r="BX36" i="27"/>
  <c r="N395" i="26"/>
  <c r="F395" i="26"/>
  <c r="X395" i="26"/>
  <c r="AH392" i="26"/>
  <c r="Z392" i="26"/>
  <c r="AX392" i="26"/>
  <c r="G396" i="26"/>
  <c r="CB4" i="27"/>
  <c r="CA4" i="27"/>
  <c r="CH4" i="27"/>
  <c r="CJ4" i="27"/>
  <c r="CC4" i="27"/>
  <c r="CG4" i="27"/>
  <c r="CE4" i="27"/>
  <c r="CI4" i="27"/>
  <c r="CD4" i="27"/>
  <c r="CF4" i="27"/>
  <c r="N399" i="26"/>
  <c r="F399" i="26"/>
  <c r="X399" i="26"/>
  <c r="Z396" i="26"/>
  <c r="AH396" i="26"/>
  <c r="AX396" i="26"/>
  <c r="G400" i="26"/>
  <c r="BX20" i="27"/>
  <c r="AH300" i="26"/>
  <c r="BX16" i="27"/>
  <c r="AH292" i="26"/>
  <c r="BX12" i="27"/>
  <c r="AH284" i="26"/>
  <c r="BX14" i="27"/>
  <c r="AH288" i="26"/>
  <c r="BX4" i="27"/>
  <c r="AH340" i="26"/>
  <c r="AH344" i="26"/>
  <c r="AH332" i="26"/>
  <c r="AH324" i="26"/>
  <c r="AH328" i="26"/>
  <c r="AX400" i="26"/>
  <c r="N403" i="26"/>
  <c r="Z400" i="26"/>
  <c r="AH400" i="26"/>
  <c r="F403" i="26"/>
  <c r="X403" i="26"/>
  <c r="BX18" i="27"/>
  <c r="AH296" i="26"/>
  <c r="BX8" i="27"/>
  <c r="BX22" i="27"/>
  <c r="BX10" i="27"/>
  <c r="AH280" i="26"/>
  <c r="BX6" i="27"/>
  <c r="AH272" i="26"/>
  <c r="AH304" i="26"/>
  <c r="AH308" i="26"/>
  <c r="EF37" i="34"/>
  <c r="AN1" i="13"/>
  <c r="EM37" i="34"/>
  <c r="AU1" i="13"/>
  <c r="CV72" i="34"/>
  <c r="H36" i="13"/>
  <c r="CV62" i="34"/>
  <c r="H26" i="13"/>
  <c r="V63" i="27"/>
  <c r="V61" i="27"/>
  <c r="V59" i="27"/>
  <c r="V57" i="27"/>
  <c r="V55" i="27"/>
  <c r="V53" i="27"/>
  <c r="V47" i="27"/>
  <c r="V43" i="27"/>
  <c r="V41" i="27"/>
  <c r="V49" i="27"/>
  <c r="V39" i="27"/>
  <c r="V37" i="27"/>
  <c r="V51" i="27"/>
  <c r="V45" i="27"/>
  <c r="V35" i="27"/>
  <c r="V33" i="27"/>
  <c r="V31" i="27"/>
  <c r="V23" i="27"/>
  <c r="V25" i="27"/>
  <c r="V27" i="27"/>
  <c r="V29" i="27"/>
  <c r="V21" i="27"/>
  <c r="V17" i="27"/>
  <c r="V9" i="27"/>
  <c r="V19" i="27"/>
  <c r="V11" i="27"/>
  <c r="V13" i="27"/>
  <c r="V15" i="27"/>
  <c r="V7" i="27"/>
  <c r="V5" i="27"/>
  <c r="S53" i="27"/>
  <c r="S63" i="27"/>
  <c r="S61" i="27"/>
  <c r="S59" i="27"/>
  <c r="S57" i="27"/>
  <c r="S55" i="27"/>
  <c r="S41" i="27"/>
  <c r="S49" i="27"/>
  <c r="S51" i="27"/>
  <c r="S45" i="27"/>
  <c r="S37" i="27"/>
  <c r="S43" i="27"/>
  <c r="S47" i="27"/>
  <c r="S33" i="27"/>
  <c r="S39" i="27"/>
  <c r="S35" i="27"/>
  <c r="S25" i="27"/>
  <c r="S27" i="27"/>
  <c r="S29" i="27"/>
  <c r="S31" i="27"/>
  <c r="S23" i="27"/>
  <c r="S19" i="27"/>
  <c r="S11" i="27"/>
  <c r="S13" i="27"/>
  <c r="S15" i="27"/>
  <c r="S21" i="27"/>
  <c r="S17" i="27"/>
  <c r="S9" i="27"/>
  <c r="S5" i="27"/>
  <c r="S7" i="27"/>
  <c r="D26" i="13"/>
  <c r="D36" i="13"/>
  <c r="H20" i="13"/>
  <c r="CV46" i="34"/>
  <c r="H10" i="13"/>
  <c r="H16" i="13"/>
  <c r="CV49" i="34"/>
  <c r="H13" i="13"/>
  <c r="CV66" i="34"/>
  <c r="H30" i="13"/>
  <c r="CV69" i="34"/>
  <c r="H33" i="13"/>
  <c r="H23" i="13"/>
  <c r="CZ62" i="34"/>
  <c r="CV56" i="34"/>
  <c r="CV52" i="34"/>
  <c r="BW5" i="13"/>
  <c r="CZ72" i="34"/>
  <c r="CV59" i="34"/>
  <c r="Q53" i="27"/>
  <c r="Q63" i="27"/>
  <c r="Q61" i="27"/>
  <c r="Q59" i="27"/>
  <c r="Q57" i="27"/>
  <c r="Q55" i="27"/>
  <c r="Q51" i="27"/>
  <c r="Q45" i="27"/>
  <c r="Q47" i="27"/>
  <c r="Q43" i="27"/>
  <c r="Q41" i="27"/>
  <c r="Q33" i="27"/>
  <c r="Q39" i="27"/>
  <c r="Q49" i="27"/>
  <c r="Q35" i="27"/>
  <c r="Q37" i="27"/>
  <c r="Q29" i="27"/>
  <c r="Q31" i="27"/>
  <c r="Q23" i="27"/>
  <c r="Q25" i="27"/>
  <c r="Q27" i="27"/>
  <c r="Q21" i="27"/>
  <c r="Q15" i="27"/>
  <c r="Q17" i="27"/>
  <c r="Q9" i="27"/>
  <c r="Q19" i="27"/>
  <c r="Q11" i="27"/>
  <c r="Q13" i="27"/>
  <c r="Q7" i="27"/>
  <c r="Q5" i="27"/>
  <c r="U53" i="27"/>
  <c r="U63" i="27"/>
  <c r="U61" i="27"/>
  <c r="U59" i="27"/>
  <c r="U57" i="27"/>
  <c r="U55" i="27"/>
  <c r="U51" i="27"/>
  <c r="U45" i="27"/>
  <c r="U47" i="27"/>
  <c r="U43" i="27"/>
  <c r="U41" i="27"/>
  <c r="U33" i="27"/>
  <c r="U49" i="27"/>
  <c r="U39" i="27"/>
  <c r="U37" i="27"/>
  <c r="U35" i="27"/>
  <c r="U29" i="27"/>
  <c r="U31" i="27"/>
  <c r="U23" i="27"/>
  <c r="U25" i="27"/>
  <c r="U27" i="27"/>
  <c r="U15" i="27"/>
  <c r="U17" i="27"/>
  <c r="U9" i="27"/>
  <c r="U21" i="27"/>
  <c r="U19" i="27"/>
  <c r="U11" i="27"/>
  <c r="U13" i="27"/>
  <c r="U7" i="27"/>
  <c r="U5" i="27"/>
  <c r="N63" i="27"/>
  <c r="N61" i="27"/>
  <c r="N59" i="27"/>
  <c r="N57" i="27"/>
  <c r="N55" i="27"/>
  <c r="N47" i="27"/>
  <c r="N43" i="27"/>
  <c r="N41" i="27"/>
  <c r="N53" i="27"/>
  <c r="N49" i="27"/>
  <c r="N39" i="27"/>
  <c r="N37" i="27"/>
  <c r="N51" i="27"/>
  <c r="N45" i="27"/>
  <c r="N33" i="27"/>
  <c r="N35" i="27"/>
  <c r="N31" i="27"/>
  <c r="N23" i="27"/>
  <c r="N25" i="27"/>
  <c r="N27" i="27"/>
  <c r="N29" i="27"/>
  <c r="N21" i="27"/>
  <c r="N17" i="27"/>
  <c r="N9" i="27"/>
  <c r="N19" i="27"/>
  <c r="N11" i="27"/>
  <c r="N13" i="27"/>
  <c r="N15" i="27"/>
  <c r="N7" i="27"/>
  <c r="N5" i="27"/>
  <c r="R63" i="27"/>
  <c r="R61" i="27"/>
  <c r="R59" i="27"/>
  <c r="R57" i="27"/>
  <c r="R55" i="27"/>
  <c r="R47" i="27"/>
  <c r="R43" i="27"/>
  <c r="R53" i="27"/>
  <c r="R41" i="27"/>
  <c r="R49" i="27"/>
  <c r="R39" i="27"/>
  <c r="R51" i="27"/>
  <c r="R45" i="27"/>
  <c r="R37" i="27"/>
  <c r="R35" i="27"/>
  <c r="R33" i="27"/>
  <c r="R31" i="27"/>
  <c r="R23" i="27"/>
  <c r="R25" i="27"/>
  <c r="R27" i="27"/>
  <c r="R29" i="27"/>
  <c r="R21" i="27"/>
  <c r="R17" i="27"/>
  <c r="R9" i="27"/>
  <c r="R19" i="27"/>
  <c r="R11" i="27"/>
  <c r="R13" i="27"/>
  <c r="R15" i="27"/>
  <c r="R7" i="27"/>
  <c r="R5" i="27"/>
  <c r="AX17" i="26"/>
  <c r="O53" i="27"/>
  <c r="O63" i="27"/>
  <c r="O61" i="27"/>
  <c r="O59" i="27"/>
  <c r="O57" i="27"/>
  <c r="O55" i="27"/>
  <c r="O41" i="27"/>
  <c r="O49" i="27"/>
  <c r="O51" i="27"/>
  <c r="O45" i="27"/>
  <c r="O37" i="27"/>
  <c r="O47" i="27"/>
  <c r="O43" i="27"/>
  <c r="O33" i="27"/>
  <c r="O39" i="27"/>
  <c r="O35" i="27"/>
  <c r="O25" i="27"/>
  <c r="O27" i="27"/>
  <c r="O29" i="27"/>
  <c r="O31" i="27"/>
  <c r="O23" i="27"/>
  <c r="O19" i="27"/>
  <c r="O11" i="27"/>
  <c r="O21" i="27"/>
  <c r="O13" i="27"/>
  <c r="O15" i="27"/>
  <c r="O17" i="27"/>
  <c r="O9" i="27"/>
  <c r="O5" i="27"/>
  <c r="O7" i="27"/>
  <c r="P53" i="27"/>
  <c r="P63" i="27"/>
  <c r="P61" i="27"/>
  <c r="P59" i="27"/>
  <c r="P57" i="27"/>
  <c r="P55" i="27"/>
  <c r="P49" i="27"/>
  <c r="P51" i="27"/>
  <c r="P45" i="27"/>
  <c r="P47" i="27"/>
  <c r="P43" i="27"/>
  <c r="P35" i="27"/>
  <c r="P41" i="27"/>
  <c r="P39" i="27"/>
  <c r="P37" i="27"/>
  <c r="P33" i="27"/>
  <c r="P27" i="27"/>
  <c r="P29" i="27"/>
  <c r="P21" i="27"/>
  <c r="P31" i="27"/>
  <c r="P23" i="27"/>
  <c r="P25" i="27"/>
  <c r="P13" i="27"/>
  <c r="P15" i="27"/>
  <c r="P17" i="27"/>
  <c r="P9" i="27"/>
  <c r="P19" i="27"/>
  <c r="P11" i="27"/>
  <c r="P5" i="27"/>
  <c r="P7" i="27"/>
  <c r="T53" i="27"/>
  <c r="T63" i="27"/>
  <c r="T61" i="27"/>
  <c r="T59" i="27"/>
  <c r="T57" i="27"/>
  <c r="T55" i="27"/>
  <c r="T49" i="27"/>
  <c r="T51" i="27"/>
  <c r="T45" i="27"/>
  <c r="T47" i="27"/>
  <c r="T43" i="27"/>
  <c r="T35" i="27"/>
  <c r="T41" i="27"/>
  <c r="T39" i="27"/>
  <c r="T37" i="27"/>
  <c r="T33" i="27"/>
  <c r="T27" i="27"/>
  <c r="T29" i="27"/>
  <c r="T21" i="27"/>
  <c r="T31" i="27"/>
  <c r="T23" i="27"/>
  <c r="T25" i="27"/>
  <c r="T13" i="27"/>
  <c r="T15" i="27"/>
  <c r="T17" i="27"/>
  <c r="T9" i="27"/>
  <c r="T19" i="27"/>
  <c r="T11" i="27"/>
  <c r="T5" i="27"/>
  <c r="T7" i="27"/>
  <c r="Z17" i="26"/>
  <c r="K20" i="26"/>
  <c r="AX13" i="26"/>
  <c r="D20" i="13"/>
  <c r="D33" i="13"/>
  <c r="Z13" i="26"/>
  <c r="D23" i="13"/>
  <c r="D10" i="13"/>
  <c r="D13" i="13"/>
  <c r="D16" i="13"/>
  <c r="D30" i="13"/>
  <c r="K16" i="26"/>
  <c r="K28" i="26"/>
  <c r="K36" i="26"/>
  <c r="K40" i="26"/>
  <c r="K32" i="26"/>
  <c r="K44" i="26"/>
  <c r="K48" i="26"/>
  <c r="K24" i="26"/>
  <c r="Z25" i="26"/>
  <c r="AX25" i="26"/>
  <c r="AX21" i="26"/>
  <c r="Z45" i="26"/>
  <c r="AX45" i="26"/>
  <c r="Z41" i="26"/>
  <c r="AX41" i="26"/>
  <c r="Z21" i="26"/>
  <c r="Z33" i="26"/>
  <c r="AX33" i="26"/>
  <c r="AX37" i="26"/>
  <c r="Z37" i="26"/>
  <c r="Z29" i="26"/>
  <c r="AX29" i="26"/>
  <c r="J38" i="16"/>
  <c r="J25" i="16"/>
  <c r="J26" i="16"/>
  <c r="J27" i="16"/>
  <c r="J28" i="16"/>
  <c r="J29" i="16"/>
  <c r="J30" i="16"/>
  <c r="J31" i="16"/>
  <c r="J32" i="16"/>
  <c r="J33" i="16"/>
  <c r="J34" i="16"/>
  <c r="J35" i="16"/>
  <c r="J36" i="16"/>
  <c r="J37" i="16"/>
  <c r="BW9" i="13"/>
  <c r="CB9" i="13"/>
  <c r="CZ66" i="34"/>
  <c r="CZ69" i="34"/>
  <c r="CZ52" i="34"/>
  <c r="CZ49" i="34"/>
  <c r="CZ59" i="34"/>
  <c r="CZ56" i="34"/>
  <c r="CZ46" i="34"/>
  <c r="AB57" i="27"/>
  <c r="AD57" i="27"/>
  <c r="AE57" i="27"/>
  <c r="AF57" i="27"/>
  <c r="AG57" i="27"/>
  <c r="AH57" i="27"/>
  <c r="AI57" i="27"/>
  <c r="AJ57" i="27"/>
  <c r="AK57" i="27"/>
  <c r="AL57" i="27"/>
  <c r="AM57" i="27"/>
  <c r="AR57" i="27"/>
  <c r="AS57" i="27"/>
  <c r="AT57" i="27"/>
  <c r="AU57" i="27"/>
  <c r="AV57" i="27"/>
  <c r="AW57" i="27"/>
  <c r="AX57" i="27"/>
  <c r="AY57" i="27"/>
  <c r="AZ57" i="27"/>
  <c r="BA57" i="27"/>
  <c r="BB57" i="27"/>
  <c r="BD57" i="27"/>
  <c r="BE57" i="27"/>
  <c r="BF57" i="27"/>
  <c r="BG57" i="27"/>
  <c r="BH57" i="27"/>
  <c r="BI57" i="27"/>
  <c r="BJ57" i="27"/>
  <c r="BK57" i="27"/>
  <c r="BL57" i="27"/>
  <c r="BM57" i="27"/>
  <c r="BN57" i="27"/>
  <c r="BO57" i="27"/>
  <c r="BP57" i="27"/>
  <c r="BQ57" i="27"/>
  <c r="BR57" i="27"/>
  <c r="BS57" i="27"/>
  <c r="BT57" i="27"/>
  <c r="BU57" i="27"/>
  <c r="BV57" i="27"/>
  <c r="BW57" i="27"/>
  <c r="B56" i="27"/>
  <c r="N375" i="26"/>
  <c r="AB33" i="27"/>
  <c r="AD33" i="27"/>
  <c r="AE33" i="27"/>
  <c r="AF33" i="27"/>
  <c r="AG33" i="27"/>
  <c r="AH33" i="27"/>
  <c r="AI33" i="27"/>
  <c r="AJ33" i="27"/>
  <c r="AK33" i="27"/>
  <c r="AL33" i="27"/>
  <c r="AM33" i="27"/>
  <c r="AR33" i="27"/>
  <c r="AS33" i="27"/>
  <c r="AT33" i="27"/>
  <c r="AU33" i="27"/>
  <c r="AV33" i="27"/>
  <c r="AW33" i="27"/>
  <c r="AX33" i="27"/>
  <c r="AY33" i="27"/>
  <c r="AZ33" i="27"/>
  <c r="BA33" i="27"/>
  <c r="BB33" i="27"/>
  <c r="BD33" i="27"/>
  <c r="BE33" i="27"/>
  <c r="BF33" i="27"/>
  <c r="BG33" i="27"/>
  <c r="BH33" i="27"/>
  <c r="BI33" i="27"/>
  <c r="BJ33" i="27"/>
  <c r="BK33" i="27"/>
  <c r="BL33" i="27"/>
  <c r="BM33" i="27"/>
  <c r="BN33" i="27"/>
  <c r="BO33" i="27"/>
  <c r="BP33" i="27"/>
  <c r="BQ33" i="27"/>
  <c r="BR33" i="27"/>
  <c r="BS33" i="27"/>
  <c r="BT33" i="27"/>
  <c r="BU33" i="27"/>
  <c r="BV33" i="27"/>
  <c r="BW33" i="27"/>
  <c r="B32" i="27"/>
  <c r="N327" i="26"/>
  <c r="CH22" i="13"/>
  <c r="BW1" i="13"/>
  <c r="AW59" i="14"/>
  <c r="O59" i="14"/>
  <c r="AW9" i="14"/>
  <c r="O9" i="14"/>
  <c r="CB1" i="13"/>
  <c r="FB20" i="34"/>
  <c r="CB6" i="13"/>
  <c r="CH20" i="13"/>
  <c r="BB19" i="13"/>
  <c r="EP1" i="18"/>
  <c r="K37" i="16"/>
  <c r="K36" i="16"/>
  <c r="K35" i="16"/>
  <c r="K34" i="16"/>
  <c r="K33" i="16"/>
  <c r="K32" i="16"/>
  <c r="K31" i="16"/>
  <c r="K30" i="16"/>
  <c r="K29" i="16"/>
  <c r="K28" i="16"/>
  <c r="K27" i="16"/>
  <c r="K26" i="16"/>
  <c r="K25" i="16"/>
  <c r="K38" i="16"/>
  <c r="BL4" i="13"/>
  <c r="BW17" i="13"/>
  <c r="DG7" i="13"/>
  <c r="L38" i="16"/>
  <c r="L25" i="16"/>
  <c r="L26" i="16"/>
  <c r="L27" i="16"/>
  <c r="L28" i="16"/>
  <c r="L29" i="16"/>
  <c r="L30" i="16"/>
  <c r="L31" i="16"/>
  <c r="L32" i="16"/>
  <c r="L33" i="16"/>
  <c r="L34" i="16"/>
  <c r="L35" i="16"/>
  <c r="L36" i="16"/>
  <c r="L37" i="16"/>
  <c r="BW13" i="13"/>
  <c r="DJ67" i="13"/>
  <c r="CX61" i="13"/>
  <c r="DJ59" i="13"/>
  <c r="FB18" i="34"/>
  <c r="DJ61" i="13"/>
  <c r="CX59" i="13"/>
  <c r="CX57" i="13"/>
  <c r="DJ57" i="13"/>
  <c r="CW55" i="13"/>
  <c r="CX63" i="13"/>
  <c r="DJ65" i="13"/>
  <c r="DJ63" i="13"/>
  <c r="BB17" i="13"/>
  <c r="BB4" i="13"/>
  <c r="BQ4" i="13"/>
  <c r="DV7" i="13"/>
  <c r="M37" i="16"/>
  <c r="M36" i="16"/>
  <c r="M35" i="16"/>
  <c r="M34" i="16"/>
  <c r="M33" i="16"/>
  <c r="M32" i="16"/>
  <c r="M31" i="16"/>
  <c r="M30" i="16"/>
  <c r="M29" i="16"/>
  <c r="M28" i="16"/>
  <c r="M27" i="16"/>
  <c r="M26" i="16"/>
  <c r="M25" i="16"/>
  <c r="M38" i="16"/>
  <c r="D21" i="16"/>
  <c r="N38" i="16"/>
  <c r="N25" i="16"/>
  <c r="N26" i="16"/>
  <c r="N27" i="16"/>
  <c r="N28" i="16"/>
  <c r="N29" i="16"/>
  <c r="N30" i="16"/>
  <c r="N31" i="16"/>
  <c r="N32" i="16"/>
  <c r="N33" i="16"/>
  <c r="N34" i="16"/>
  <c r="D23" i="16"/>
  <c r="N35" i="16"/>
  <c r="N36" i="16"/>
  <c r="N37" i="16"/>
  <c r="O37" i="16"/>
  <c r="O36" i="16"/>
  <c r="O35" i="16"/>
  <c r="O34" i="16"/>
  <c r="O33" i="16"/>
  <c r="O32" i="16"/>
  <c r="O31" i="16"/>
  <c r="O30" i="16"/>
  <c r="O29" i="16"/>
  <c r="O28" i="16"/>
  <c r="O27" i="16"/>
  <c r="O26" i="16"/>
  <c r="O25" i="16"/>
  <c r="O38" i="16"/>
  <c r="D24" i="16"/>
  <c r="P38" i="16"/>
  <c r="P25" i="16"/>
  <c r="P26" i="16"/>
  <c r="P27" i="16"/>
  <c r="P28" i="16"/>
  <c r="P29" i="16"/>
  <c r="P30" i="16"/>
  <c r="P31" i="16"/>
  <c r="P32" i="16"/>
  <c r="P33" i="16"/>
  <c r="P34" i="16"/>
  <c r="D25" i="16"/>
  <c r="P35" i="16"/>
  <c r="P36" i="16"/>
  <c r="P37" i="16"/>
  <c r="Q37" i="16"/>
  <c r="Q36" i="16"/>
  <c r="Q35" i="16"/>
  <c r="Q34" i="16"/>
  <c r="Q33" i="16"/>
  <c r="Q32" i="16"/>
  <c r="Q31" i="16"/>
  <c r="Q30" i="16"/>
  <c r="Q29" i="16"/>
  <c r="Q28" i="16"/>
  <c r="Q27" i="16"/>
  <c r="Q26" i="16"/>
  <c r="Q25" i="16"/>
  <c r="Q38" i="16"/>
  <c r="D26" i="16"/>
  <c r="R38" i="16"/>
  <c r="R25" i="16"/>
  <c r="R26" i="16"/>
  <c r="R27" i="16"/>
  <c r="R28" i="16"/>
  <c r="R29" i="16"/>
  <c r="R30" i="16"/>
  <c r="R31" i="16"/>
  <c r="R32" i="16"/>
  <c r="R33" i="16"/>
  <c r="R34" i="16"/>
  <c r="R35" i="16"/>
  <c r="R36" i="16"/>
  <c r="R37" i="16"/>
  <c r="S37" i="16"/>
  <c r="S36" i="16"/>
  <c r="S35" i="16"/>
  <c r="S34" i="16"/>
  <c r="S33" i="16"/>
  <c r="S32" i="16"/>
  <c r="S31" i="16"/>
  <c r="S30" i="16"/>
  <c r="S29" i="16"/>
  <c r="S28" i="16"/>
  <c r="S27" i="16"/>
  <c r="S26" i="16"/>
  <c r="S25" i="16"/>
  <c r="S38" i="16"/>
  <c r="T38" i="16"/>
  <c r="T25" i="16"/>
  <c r="T26" i="16"/>
  <c r="T27" i="16"/>
  <c r="T28" i="16"/>
  <c r="T29" i="16"/>
  <c r="T30" i="16"/>
  <c r="T31" i="16"/>
  <c r="T32" i="16"/>
  <c r="T33" i="16"/>
  <c r="T34" i="16"/>
  <c r="T35" i="16"/>
  <c r="T36" i="16"/>
  <c r="T37" i="16"/>
  <c r="FS18" i="34"/>
  <c r="FS20" i="34"/>
  <c r="BS19" i="13"/>
  <c r="U37" i="16"/>
  <c r="U36" i="16"/>
  <c r="U35" i="16"/>
  <c r="U34" i="16"/>
  <c r="U33" i="16"/>
  <c r="U32" i="16"/>
  <c r="U31" i="16"/>
  <c r="U30" i="16"/>
  <c r="U29" i="16"/>
  <c r="U28" i="16"/>
  <c r="U27" i="16"/>
  <c r="U26" i="16"/>
  <c r="U25" i="16"/>
  <c r="U38" i="16"/>
  <c r="BS17" i="13"/>
  <c r="DK55" i="13"/>
  <c r="V38" i="16"/>
  <c r="V25" i="16"/>
  <c r="V26" i="16"/>
  <c r="V27" i="16"/>
  <c r="V28" i="16"/>
  <c r="V29" i="16"/>
  <c r="V30" i="16"/>
  <c r="V31" i="16"/>
  <c r="V32" i="16"/>
  <c r="V33" i="16"/>
  <c r="V34" i="16"/>
  <c r="V35" i="16"/>
  <c r="V36" i="16"/>
  <c r="V37" i="16"/>
  <c r="W36" i="16"/>
  <c r="W37" i="16"/>
  <c r="W33" i="16"/>
  <c r="W31" i="16"/>
  <c r="W29" i="16"/>
  <c r="W25" i="16"/>
  <c r="W27" i="16"/>
  <c r="W35" i="16"/>
  <c r="W34" i="16"/>
  <c r="W32" i="16"/>
  <c r="W30" i="16"/>
  <c r="W28" i="16"/>
  <c r="W26" i="16"/>
  <c r="W38" i="16"/>
  <c r="EZ90" i="18"/>
  <c r="FC43" i="18"/>
  <c r="EZ82" i="18"/>
  <c r="EX43" i="18"/>
  <c r="FE78" i="18"/>
  <c r="FE86" i="18"/>
  <c r="EZ78" i="18"/>
  <c r="EZ86" i="18"/>
  <c r="FE83" i="18"/>
  <c r="K59" i="26"/>
  <c r="AG51" i="27"/>
  <c r="AG53" i="27"/>
  <c r="AG63" i="27"/>
  <c r="AG61" i="27"/>
  <c r="AG59" i="27"/>
  <c r="AG55" i="27"/>
  <c r="AG49" i="27"/>
  <c r="AG45" i="27"/>
  <c r="AG47" i="27"/>
  <c r="AG43" i="27"/>
  <c r="AG35" i="27"/>
  <c r="AG41" i="27"/>
  <c r="AG37" i="27"/>
  <c r="AG39" i="27"/>
  <c r="AG27" i="27"/>
  <c r="AG29" i="27"/>
  <c r="AG21" i="27"/>
  <c r="AG31" i="27"/>
  <c r="AG23" i="27"/>
  <c r="AG25" i="27"/>
  <c r="AG13" i="27"/>
  <c r="AG15" i="27"/>
  <c r="AG7" i="27"/>
  <c r="AG17" i="27"/>
  <c r="AG9" i="27"/>
  <c r="AG19" i="27"/>
  <c r="AG11" i="27"/>
  <c r="AG5" i="27"/>
  <c r="AX56" i="26"/>
  <c r="Z56" i="26"/>
  <c r="T5" i="26"/>
  <c r="AC5" i="26"/>
  <c r="B6" i="27"/>
  <c r="N275" i="26"/>
  <c r="B8" i="27"/>
  <c r="N279" i="26"/>
  <c r="B10" i="27"/>
  <c r="N283" i="26"/>
  <c r="AB13" i="27"/>
  <c r="AD13" i="27"/>
  <c r="AE13" i="27"/>
  <c r="AF13" i="27"/>
  <c r="AH13" i="27"/>
  <c r="AI13" i="27"/>
  <c r="AJ13" i="27"/>
  <c r="AK13" i="27"/>
  <c r="AL13" i="27"/>
  <c r="AM13" i="27"/>
  <c r="AR13" i="27"/>
  <c r="AS13" i="27"/>
  <c r="AT13" i="27"/>
  <c r="AU13" i="27"/>
  <c r="AV13" i="27"/>
  <c r="AW13" i="27"/>
  <c r="AX13" i="27"/>
  <c r="AY13" i="27"/>
  <c r="AZ13" i="27"/>
  <c r="BA13" i="27"/>
  <c r="BB13" i="27"/>
  <c r="BD13" i="27"/>
  <c r="BE13" i="27"/>
  <c r="BF13" i="27"/>
  <c r="BG13" i="27"/>
  <c r="BH13" i="27"/>
  <c r="BI13" i="27"/>
  <c r="BJ13" i="27"/>
  <c r="BK13" i="27"/>
  <c r="BL13" i="27"/>
  <c r="BM13" i="27"/>
  <c r="BN13" i="27"/>
  <c r="BO13" i="27"/>
  <c r="BP13" i="27"/>
  <c r="BQ13" i="27"/>
  <c r="BR13" i="27"/>
  <c r="BS13" i="27"/>
  <c r="BT13" i="27"/>
  <c r="BU13" i="27"/>
  <c r="BV13" i="27"/>
  <c r="BW13" i="27"/>
  <c r="B12" i="27"/>
  <c r="N287" i="26"/>
  <c r="AB39" i="27"/>
  <c r="AD39" i="27"/>
  <c r="AE39" i="27"/>
  <c r="AF39" i="27"/>
  <c r="AH39" i="27"/>
  <c r="AI39" i="27"/>
  <c r="AJ39" i="27"/>
  <c r="AK39" i="27"/>
  <c r="AL39" i="27"/>
  <c r="AM39" i="27"/>
  <c r="AR39" i="27"/>
  <c r="AS39" i="27"/>
  <c r="AT39" i="27"/>
  <c r="AU39" i="27"/>
  <c r="AV39" i="27"/>
  <c r="AW39" i="27"/>
  <c r="AX39" i="27"/>
  <c r="AY39" i="27"/>
  <c r="AZ39" i="27"/>
  <c r="BA39" i="27"/>
  <c r="BB39" i="27"/>
  <c r="BD39" i="27"/>
  <c r="BE39" i="27"/>
  <c r="BF39" i="27"/>
  <c r="BG39" i="27"/>
  <c r="BH39" i="27"/>
  <c r="BI39" i="27"/>
  <c r="BJ39" i="27"/>
  <c r="BK39" i="27"/>
  <c r="BL39" i="27"/>
  <c r="BM39" i="27"/>
  <c r="BN39" i="27"/>
  <c r="BO39" i="27"/>
  <c r="BP39" i="27"/>
  <c r="BQ39" i="27"/>
  <c r="BR39" i="27"/>
  <c r="BS39" i="27"/>
  <c r="BT39" i="27"/>
  <c r="BU39" i="27"/>
  <c r="BV39" i="27"/>
  <c r="BW39" i="27"/>
  <c r="B38" i="27"/>
  <c r="AB31" i="27"/>
  <c r="AD31" i="27"/>
  <c r="AE31" i="27"/>
  <c r="AF31" i="27"/>
  <c r="AH31" i="27"/>
  <c r="AI31" i="27"/>
  <c r="AJ31" i="27"/>
  <c r="AK31" i="27"/>
  <c r="AL31" i="27"/>
  <c r="AM31" i="27"/>
  <c r="AR31" i="27"/>
  <c r="AS31" i="27"/>
  <c r="AT31" i="27"/>
  <c r="AU31" i="27"/>
  <c r="AV31" i="27"/>
  <c r="AW31" i="27"/>
  <c r="AX31" i="27"/>
  <c r="AY31" i="27"/>
  <c r="AZ31" i="27"/>
  <c r="BA31" i="27"/>
  <c r="BB31" i="27"/>
  <c r="BD31" i="27"/>
  <c r="BE31" i="27"/>
  <c r="BF31" i="27"/>
  <c r="BG31" i="27"/>
  <c r="BH31" i="27"/>
  <c r="BI31" i="27"/>
  <c r="BJ31" i="27"/>
  <c r="BK31" i="27"/>
  <c r="BL31" i="27"/>
  <c r="BM31" i="27"/>
  <c r="BN31" i="27"/>
  <c r="BO31" i="27"/>
  <c r="BP31" i="27"/>
  <c r="BQ31" i="27"/>
  <c r="BR31" i="27"/>
  <c r="BS31" i="27"/>
  <c r="BT31" i="27"/>
  <c r="BU31" i="27"/>
  <c r="BV31" i="27"/>
  <c r="BW31" i="27"/>
  <c r="B30" i="27"/>
  <c r="N323" i="26"/>
  <c r="A73" i="13"/>
  <c r="CC39" i="27"/>
  <c r="N339" i="26"/>
  <c r="CC38" i="27"/>
  <c r="AX276" i="26"/>
  <c r="Z276" i="26"/>
  <c r="AH276" i="26"/>
  <c r="C62" i="27"/>
  <c r="C58" i="27"/>
  <c r="C60" i="27"/>
  <c r="K49" i="27"/>
  <c r="C56" i="27"/>
  <c r="J55" i="27"/>
  <c r="AB55" i="27"/>
  <c r="AD55" i="27"/>
  <c r="AE55" i="27"/>
  <c r="AF55" i="27"/>
  <c r="AH55" i="27"/>
  <c r="AI55" i="27"/>
  <c r="AJ55" i="27"/>
  <c r="AK55" i="27"/>
  <c r="AL55" i="27"/>
  <c r="AM55" i="27"/>
  <c r="AR55" i="27"/>
  <c r="AS55" i="27"/>
  <c r="AT55" i="27"/>
  <c r="AU55" i="27"/>
  <c r="AV55" i="27"/>
  <c r="AW55" i="27"/>
  <c r="AX55" i="27"/>
  <c r="AY55" i="27"/>
  <c r="AZ55" i="27"/>
  <c r="BA55" i="27"/>
  <c r="BB55" i="27"/>
  <c r="BD55" i="27"/>
  <c r="BE55" i="27"/>
  <c r="BF55" i="27"/>
  <c r="BG55" i="27"/>
  <c r="BH55" i="27"/>
  <c r="BI55" i="27"/>
  <c r="BJ55" i="27"/>
  <c r="BK55" i="27"/>
  <c r="BL55" i="27"/>
  <c r="BM55" i="27"/>
  <c r="BN55" i="27"/>
  <c r="BO55" i="27"/>
  <c r="BP55" i="27"/>
  <c r="BQ55" i="27"/>
  <c r="BR55" i="27"/>
  <c r="BS55" i="27"/>
  <c r="BT55" i="27"/>
  <c r="BU55" i="27"/>
  <c r="BV55" i="27"/>
  <c r="BW55" i="27"/>
  <c r="B54" i="27"/>
  <c r="N371" i="26"/>
  <c r="C54" i="27"/>
  <c r="J53" i="27"/>
  <c r="C52" i="27"/>
  <c r="J51" i="27"/>
  <c r="C50" i="27"/>
  <c r="J49" i="27"/>
  <c r="B48" i="27"/>
  <c r="N359" i="26"/>
  <c r="C48" i="27"/>
  <c r="J47" i="27"/>
  <c r="AB47" i="27"/>
  <c r="AD47" i="27"/>
  <c r="AE47" i="27"/>
  <c r="AF47" i="27"/>
  <c r="AH47" i="27"/>
  <c r="AI47" i="27"/>
  <c r="AJ47" i="27"/>
  <c r="AK47" i="27"/>
  <c r="AL47" i="27"/>
  <c r="AM47" i="27"/>
  <c r="AR47" i="27"/>
  <c r="AS47" i="27"/>
  <c r="AT47" i="27"/>
  <c r="AU47" i="27"/>
  <c r="AV47" i="27"/>
  <c r="AW47" i="27"/>
  <c r="AX47" i="27"/>
  <c r="AY47" i="27"/>
  <c r="AZ47" i="27"/>
  <c r="BA47" i="27"/>
  <c r="BB47" i="27"/>
  <c r="BD47" i="27"/>
  <c r="BE47" i="27"/>
  <c r="BF47" i="27"/>
  <c r="BG47" i="27"/>
  <c r="BH47" i="27"/>
  <c r="BI47" i="27"/>
  <c r="BJ47" i="27"/>
  <c r="BK47" i="27"/>
  <c r="BL47" i="27"/>
  <c r="BM47" i="27"/>
  <c r="BN47" i="27"/>
  <c r="BO47" i="27"/>
  <c r="BP47" i="27"/>
  <c r="BQ47" i="27"/>
  <c r="BR47" i="27"/>
  <c r="BS47" i="27"/>
  <c r="BT47" i="27"/>
  <c r="BU47" i="27"/>
  <c r="BV47" i="27"/>
  <c r="BW47" i="27"/>
  <c r="B46" i="27"/>
  <c r="N355" i="26"/>
  <c r="C46" i="27"/>
  <c r="J41" i="27"/>
  <c r="B40" i="27"/>
  <c r="N343" i="26"/>
  <c r="J45" i="27"/>
  <c r="AB45" i="27"/>
  <c r="AD45" i="27"/>
  <c r="AE45" i="27"/>
  <c r="AF45" i="27"/>
  <c r="AH45" i="27"/>
  <c r="AI45" i="27"/>
  <c r="AJ45" i="27"/>
  <c r="AK45" i="27"/>
  <c r="AL45" i="27"/>
  <c r="AM45" i="27"/>
  <c r="AR45" i="27"/>
  <c r="AS45" i="27"/>
  <c r="AT45" i="27"/>
  <c r="AU45" i="27"/>
  <c r="AV45" i="27"/>
  <c r="AW45" i="27"/>
  <c r="AX45" i="27"/>
  <c r="AY45" i="27"/>
  <c r="AZ45" i="27"/>
  <c r="BA45" i="27"/>
  <c r="BB45" i="27"/>
  <c r="BD45" i="27"/>
  <c r="BE45" i="27"/>
  <c r="BF45" i="27"/>
  <c r="BG45" i="27"/>
  <c r="BH45" i="27"/>
  <c r="BI45" i="27"/>
  <c r="BJ45" i="27"/>
  <c r="BK45" i="27"/>
  <c r="BL45" i="27"/>
  <c r="BM45" i="27"/>
  <c r="BN45" i="27"/>
  <c r="BO45" i="27"/>
  <c r="BP45" i="27"/>
  <c r="BQ45" i="27"/>
  <c r="BR45" i="27"/>
  <c r="BS45" i="27"/>
  <c r="BT45" i="27"/>
  <c r="BU45" i="27"/>
  <c r="BV45" i="27"/>
  <c r="BW45" i="27"/>
  <c r="B44" i="27"/>
  <c r="N351" i="26"/>
  <c r="C44" i="27"/>
  <c r="C42" i="27"/>
  <c r="J19" i="27"/>
  <c r="B18" i="27"/>
  <c r="N299" i="26"/>
  <c r="J23" i="27"/>
  <c r="B22" i="27"/>
  <c r="N307" i="26"/>
  <c r="L37" i="27"/>
  <c r="J27" i="27"/>
  <c r="B26" i="27"/>
  <c r="N315" i="26"/>
  <c r="K37" i="27"/>
  <c r="J37" i="27"/>
  <c r="B36" i="27"/>
  <c r="N335" i="26"/>
  <c r="J17" i="27"/>
  <c r="B16" i="27"/>
  <c r="N295" i="26"/>
  <c r="J25" i="27"/>
  <c r="B24" i="27"/>
  <c r="N311" i="26"/>
  <c r="J29" i="27"/>
  <c r="B28" i="27"/>
  <c r="N319" i="26"/>
  <c r="J21" i="27"/>
  <c r="B20" i="27"/>
  <c r="N303" i="26"/>
  <c r="C38" i="27"/>
  <c r="C40" i="27"/>
  <c r="C34" i="27"/>
  <c r="C36" i="27"/>
  <c r="C30" i="27"/>
  <c r="C32" i="27"/>
  <c r="C26" i="27"/>
  <c r="C28" i="27"/>
  <c r="C8" i="27"/>
  <c r="C24" i="27"/>
  <c r="C4" i="27"/>
  <c r="C18" i="27"/>
  <c r="C14" i="27"/>
  <c r="C22" i="27"/>
  <c r="C20" i="27"/>
  <c r="C10" i="27"/>
  <c r="C16" i="27"/>
  <c r="C12" i="27"/>
  <c r="CD39" i="27"/>
  <c r="BX26" i="27"/>
  <c r="AH312" i="26"/>
  <c r="BX28" i="27"/>
  <c r="AH316" i="26"/>
  <c r="BX30" i="27"/>
  <c r="AH320" i="26"/>
  <c r="CD38" i="27"/>
  <c r="CE39" i="27"/>
  <c r="CE38" i="27"/>
  <c r="CF39" i="27"/>
  <c r="AB35" i="27"/>
  <c r="AD35" i="27"/>
  <c r="AE35" i="27"/>
  <c r="AF35" i="27"/>
  <c r="AH35" i="27"/>
  <c r="AI35" i="27"/>
  <c r="AJ35" i="27"/>
  <c r="AK35" i="27"/>
  <c r="AL35" i="27"/>
  <c r="AM35" i="27"/>
  <c r="AR35" i="27"/>
  <c r="AS35" i="27"/>
  <c r="AT35" i="27"/>
  <c r="AU35" i="27"/>
  <c r="AV35" i="27"/>
  <c r="AW35" i="27"/>
  <c r="AX35" i="27"/>
  <c r="AY35" i="27"/>
  <c r="AZ35" i="27"/>
  <c r="BA35" i="27"/>
  <c r="BB35" i="27"/>
  <c r="BD35" i="27"/>
  <c r="BE35" i="27"/>
  <c r="BF35" i="27"/>
  <c r="BG35" i="27"/>
  <c r="BH35" i="27"/>
  <c r="BI35" i="27"/>
  <c r="BJ35" i="27"/>
  <c r="BK35" i="27"/>
  <c r="BL35" i="27"/>
  <c r="BM35" i="27"/>
  <c r="BN35" i="27"/>
  <c r="BO35" i="27"/>
  <c r="BP35" i="27"/>
  <c r="BQ35" i="27"/>
  <c r="BR35" i="27"/>
  <c r="BS35" i="27"/>
  <c r="BT35" i="27"/>
  <c r="BU35" i="27"/>
  <c r="BV35" i="27"/>
  <c r="BW35" i="27"/>
  <c r="B34" i="27"/>
  <c r="N331" i="26"/>
  <c r="AX92" i="26"/>
  <c r="CF38" i="27"/>
  <c r="CG39" i="27"/>
  <c r="K95" i="26"/>
  <c r="BK4" i="40"/>
  <c r="AJ29" i="27"/>
  <c r="AJ21" i="27"/>
  <c r="Z92" i="26"/>
  <c r="AJ53" i="27"/>
  <c r="AJ61" i="27"/>
  <c r="AJ19" i="27"/>
  <c r="AJ23" i="27"/>
  <c r="AJ17" i="27"/>
  <c r="AJ41" i="27"/>
  <c r="AJ15" i="27"/>
  <c r="AJ27" i="27"/>
  <c r="AJ7" i="27"/>
  <c r="AJ37" i="27"/>
  <c r="AJ59" i="27"/>
  <c r="AJ9" i="27"/>
  <c r="AJ11" i="27"/>
  <c r="AJ49" i="27"/>
  <c r="AJ43" i="27"/>
  <c r="AJ51" i="27"/>
  <c r="AJ5" i="27"/>
  <c r="AJ63" i="27"/>
  <c r="AJ25" i="27"/>
  <c r="CH39" i="27"/>
  <c r="AX96" i="26"/>
  <c r="CG38" i="27"/>
  <c r="K99" i="26"/>
  <c r="AK63" i="27"/>
  <c r="AK15" i="27"/>
  <c r="AK51" i="27"/>
  <c r="AK37" i="27"/>
  <c r="AK7" i="27"/>
  <c r="AK11" i="27"/>
  <c r="Z96" i="26"/>
  <c r="AK41" i="27"/>
  <c r="AK53" i="27"/>
  <c r="AK25" i="27"/>
  <c r="AK9" i="27"/>
  <c r="AK19" i="27"/>
  <c r="AK59" i="27"/>
  <c r="AK49" i="27"/>
  <c r="AK21" i="27"/>
  <c r="AK23" i="27"/>
  <c r="AK17" i="27"/>
  <c r="AK5" i="27"/>
  <c r="AK29" i="27"/>
  <c r="AK27" i="27"/>
  <c r="AK43" i="27"/>
  <c r="AK61" i="27"/>
  <c r="K103" i="26"/>
  <c r="CI39" i="27"/>
  <c r="AX100" i="26"/>
  <c r="CH38" i="27"/>
  <c r="AL7" i="27"/>
  <c r="AL29" i="27"/>
  <c r="AL51" i="27"/>
  <c r="AL23" i="27"/>
  <c r="AL61" i="27"/>
  <c r="AL59" i="27"/>
  <c r="AL43" i="27"/>
  <c r="AL19" i="27"/>
  <c r="AL27" i="27"/>
  <c r="Z100" i="26"/>
  <c r="AL11" i="27"/>
  <c r="AL37" i="27"/>
  <c r="AL15" i="27"/>
  <c r="AL63" i="27"/>
  <c r="AL49" i="27"/>
  <c r="AL53" i="27"/>
  <c r="AL17" i="27"/>
  <c r="AL9" i="27"/>
  <c r="AL41" i="27"/>
  <c r="AL5" i="27"/>
  <c r="AL21" i="27"/>
  <c r="AL25" i="27"/>
  <c r="K107" i="26"/>
  <c r="CI38" i="27"/>
  <c r="CJ39" i="27"/>
  <c r="CJ38" i="27"/>
  <c r="BX38" i="27"/>
  <c r="AH336" i="26"/>
  <c r="AI53" i="27"/>
  <c r="AI17" i="27"/>
  <c r="AI19" i="27"/>
  <c r="AI25" i="27"/>
  <c r="AI11" i="27"/>
  <c r="AI43" i="27"/>
  <c r="AI23" i="27"/>
  <c r="AI21" i="27"/>
  <c r="AI15" i="27"/>
  <c r="AI29" i="27"/>
  <c r="AI27" i="27"/>
  <c r="Z104" i="26"/>
  <c r="AI59" i="27"/>
  <c r="AI7" i="27"/>
  <c r="AI61" i="27"/>
  <c r="AI37" i="27"/>
  <c r="AI5" i="27"/>
  <c r="AI49" i="27"/>
  <c r="AI41" i="27"/>
  <c r="AI63" i="27"/>
  <c r="AX104" i="26"/>
  <c r="AI9" i="27"/>
  <c r="AI51" i="27"/>
  <c r="AX108" i="26"/>
  <c r="K111" i="26"/>
  <c r="AM37" i="27"/>
  <c r="AM23" i="27"/>
  <c r="AM29" i="27"/>
  <c r="AM17" i="27"/>
  <c r="AM25" i="27"/>
  <c r="AM19" i="27"/>
  <c r="AM27" i="27"/>
  <c r="AM15" i="27"/>
  <c r="AM21" i="27"/>
  <c r="AM51" i="27"/>
  <c r="AM53" i="27"/>
  <c r="Z108" i="26"/>
  <c r="AM41" i="27"/>
  <c r="AM5" i="27"/>
  <c r="AM9" i="27"/>
  <c r="AM43" i="27"/>
  <c r="AM63" i="27"/>
  <c r="AM59" i="27"/>
  <c r="AM7" i="27"/>
  <c r="AM61" i="27"/>
  <c r="AM49" i="27"/>
  <c r="AM11" i="27"/>
  <c r="Z119" i="26"/>
  <c r="K122" i="26"/>
  <c r="AX119" i="26"/>
  <c r="AS49" i="27"/>
  <c r="AS17" i="27"/>
  <c r="AS63" i="27"/>
  <c r="AS29" i="27"/>
  <c r="AS11" i="27"/>
  <c r="AS41" i="27"/>
  <c r="AS21" i="27"/>
  <c r="AS7" i="27"/>
  <c r="AS5" i="27"/>
  <c r="AS51" i="27"/>
  <c r="AS43" i="27"/>
  <c r="AS9" i="27"/>
  <c r="AS15" i="27"/>
  <c r="AS53" i="27"/>
  <c r="AS61" i="27"/>
  <c r="AS59" i="27"/>
  <c r="AS25" i="27"/>
  <c r="AS37" i="27"/>
  <c r="AS23" i="27"/>
  <c r="AS19" i="27"/>
  <c r="AS27" i="27"/>
  <c r="K130" i="26"/>
  <c r="Z127" i="26"/>
  <c r="AX127" i="26"/>
  <c r="AU53" i="27"/>
  <c r="AU51" i="27"/>
  <c r="AU61" i="27"/>
  <c r="AU27" i="27"/>
  <c r="AU21" i="27"/>
  <c r="AU25" i="27"/>
  <c r="AU11" i="27"/>
  <c r="AU41" i="27"/>
  <c r="AU7" i="27"/>
  <c r="AU9" i="27"/>
  <c r="AU43" i="27"/>
  <c r="AU49" i="27"/>
  <c r="AU59" i="27"/>
  <c r="AU17" i="27"/>
  <c r="AU19" i="27"/>
  <c r="AU5" i="27"/>
  <c r="AU37" i="27"/>
  <c r="AU29" i="27"/>
  <c r="AU23" i="27"/>
  <c r="AU63" i="27"/>
  <c r="AU15" i="27"/>
  <c r="Z131" i="26"/>
  <c r="K134" i="26"/>
  <c r="AX131" i="26"/>
  <c r="AV15" i="27"/>
  <c r="AV61" i="27"/>
  <c r="AV9" i="27"/>
  <c r="AV63" i="27"/>
  <c r="AV29" i="27"/>
  <c r="AV7" i="27"/>
  <c r="AV5" i="27"/>
  <c r="AV25" i="27"/>
  <c r="AV37" i="27"/>
  <c r="AV59" i="27"/>
  <c r="AV17" i="27"/>
  <c r="AV23" i="27"/>
  <c r="AV53" i="27"/>
  <c r="AV41" i="27"/>
  <c r="AV49" i="27"/>
  <c r="AV43" i="27"/>
  <c r="AV19" i="27"/>
  <c r="AV27" i="27"/>
  <c r="AV11" i="27"/>
  <c r="AV21" i="27"/>
  <c r="AV51" i="27"/>
  <c r="Z135" i="26"/>
  <c r="AX135" i="26"/>
  <c r="K138" i="26"/>
  <c r="AW27" i="27"/>
  <c r="AW53" i="27"/>
  <c r="AW43" i="27"/>
  <c r="AW41" i="27"/>
  <c r="AW51" i="27"/>
  <c r="AW61" i="27"/>
  <c r="AW37" i="27"/>
  <c r="AW17" i="27"/>
  <c r="AW5" i="27"/>
  <c r="AW29" i="27"/>
  <c r="AW15" i="27"/>
  <c r="AW23" i="27"/>
  <c r="AW59" i="27"/>
  <c r="AW19" i="27"/>
  <c r="AW7" i="27"/>
  <c r="AW25" i="27"/>
  <c r="AW21" i="27"/>
  <c r="AW9" i="27"/>
  <c r="AW11" i="27"/>
  <c r="AW49" i="27"/>
  <c r="AW63" i="27"/>
  <c r="AX139" i="26"/>
  <c r="K142" i="26"/>
  <c r="Z139" i="26"/>
  <c r="AX17" i="27"/>
  <c r="AX53" i="27"/>
  <c r="AX7" i="27"/>
  <c r="AX49" i="27"/>
  <c r="AX43" i="27"/>
  <c r="AX61" i="27"/>
  <c r="AX29" i="27"/>
  <c r="AX37" i="27"/>
  <c r="AX41" i="27"/>
  <c r="AX23" i="27"/>
  <c r="AX63" i="27"/>
  <c r="AX59" i="27"/>
  <c r="AX15" i="27"/>
  <c r="AX19" i="27"/>
  <c r="AX51" i="27"/>
  <c r="AX11" i="27"/>
  <c r="AX5" i="27"/>
  <c r="AX27" i="27"/>
  <c r="AX25" i="27"/>
  <c r="AX21" i="27"/>
  <c r="AX9" i="27"/>
  <c r="AX143" i="26"/>
  <c r="K146" i="26"/>
  <c r="Z143" i="26"/>
  <c r="AY25" i="27"/>
  <c r="AY29" i="27"/>
  <c r="AY17" i="27"/>
  <c r="AY5" i="27"/>
  <c r="AY21" i="27"/>
  <c r="AY61" i="27"/>
  <c r="AY53" i="27"/>
  <c r="AY43" i="27"/>
  <c r="AY15" i="27"/>
  <c r="AY63" i="27"/>
  <c r="AY49" i="27"/>
  <c r="AY11" i="27"/>
  <c r="AY27" i="27"/>
  <c r="AY23" i="27"/>
  <c r="AY59" i="27"/>
  <c r="AY37" i="27"/>
  <c r="AY19" i="27"/>
  <c r="AY9" i="27"/>
  <c r="AY51" i="27"/>
  <c r="AY41" i="27"/>
  <c r="AY7" i="27"/>
  <c r="Z147" i="26"/>
  <c r="K150" i="26"/>
  <c r="AX147" i="26"/>
  <c r="AZ63" i="27"/>
  <c r="AZ21" i="27"/>
  <c r="AZ51" i="27"/>
  <c r="AZ53" i="27"/>
  <c r="AZ37" i="27"/>
  <c r="AZ41" i="27"/>
  <c r="AZ43" i="27"/>
  <c r="AZ29" i="27"/>
  <c r="AZ7" i="27"/>
  <c r="AZ23" i="27"/>
  <c r="AZ17" i="27"/>
  <c r="AZ11" i="27"/>
  <c r="AZ49" i="27"/>
  <c r="AZ59" i="27"/>
  <c r="AZ61" i="27"/>
  <c r="AZ9" i="27"/>
  <c r="AZ25" i="27"/>
  <c r="AZ5" i="27"/>
  <c r="AZ15" i="27"/>
  <c r="AZ27" i="27"/>
  <c r="AZ19" i="27"/>
  <c r="K154" i="26"/>
  <c r="Z151" i="26"/>
  <c r="AX151" i="26"/>
  <c r="BA9" i="27"/>
  <c r="BA11" i="27"/>
  <c r="BA15" i="27"/>
  <c r="BA21" i="27"/>
  <c r="BA63" i="27"/>
  <c r="BA51" i="27"/>
  <c r="BA43" i="27"/>
  <c r="BA61" i="27"/>
  <c r="BA25" i="27"/>
  <c r="BA59" i="27"/>
  <c r="BA23" i="27"/>
  <c r="BA49" i="27"/>
  <c r="BA19" i="27"/>
  <c r="BA53" i="27"/>
  <c r="BA5" i="27"/>
  <c r="BA29" i="27"/>
  <c r="BA7" i="27"/>
  <c r="BA37" i="27"/>
  <c r="BA27" i="27"/>
  <c r="BA41" i="27"/>
  <c r="BA17" i="27"/>
  <c r="K158" i="26"/>
  <c r="AX155" i="26"/>
  <c r="Z155" i="26"/>
  <c r="BB27" i="27"/>
  <c r="BB49" i="27"/>
  <c r="BB41" i="27"/>
  <c r="BB23" i="27"/>
  <c r="BB51" i="27"/>
  <c r="BB37" i="27"/>
  <c r="BB59" i="27"/>
  <c r="BB15" i="27"/>
  <c r="BB17" i="27"/>
  <c r="BB21" i="27"/>
  <c r="BB63" i="27"/>
  <c r="BB7" i="27"/>
  <c r="BB43" i="27"/>
  <c r="BB19" i="27"/>
  <c r="BB61" i="27"/>
  <c r="BB5" i="27"/>
  <c r="BB9" i="27"/>
  <c r="BB53" i="27"/>
  <c r="BB25" i="27"/>
  <c r="BB11" i="27"/>
  <c r="BB29" i="27"/>
  <c r="BD59" i="27"/>
  <c r="BD9" i="27"/>
  <c r="BD25" i="27"/>
  <c r="BD37" i="27"/>
  <c r="BD53" i="27"/>
  <c r="BD19" i="27"/>
  <c r="BD15" i="27"/>
  <c r="BD49" i="27"/>
  <c r="BD21" i="27"/>
  <c r="BD5" i="27"/>
  <c r="BD41" i="27"/>
  <c r="BD17" i="27"/>
  <c r="BD63" i="27"/>
  <c r="BD29" i="27"/>
  <c r="BD61" i="27"/>
  <c r="BD11" i="27"/>
  <c r="BD43" i="27"/>
  <c r="BD51" i="27"/>
  <c r="BD23" i="27"/>
  <c r="BD27" i="27"/>
  <c r="BD7" i="27"/>
  <c r="BE19" i="27"/>
  <c r="BE63" i="27"/>
  <c r="BE7" i="27"/>
  <c r="BE25" i="27"/>
  <c r="BE41" i="27"/>
  <c r="BE51" i="27"/>
  <c r="BE59" i="27"/>
  <c r="BE37" i="27"/>
  <c r="BE29" i="27"/>
  <c r="BE11" i="27"/>
  <c r="BE15" i="27"/>
  <c r="BE21" i="27"/>
  <c r="BE23" i="27"/>
  <c r="BE49" i="27"/>
  <c r="BE61" i="27"/>
  <c r="BE43" i="27"/>
  <c r="BE53" i="27"/>
  <c r="BE9" i="27"/>
  <c r="BE27" i="27"/>
  <c r="BE17" i="27"/>
  <c r="BE5" i="27"/>
  <c r="K220" i="26"/>
  <c r="Z217" i="26"/>
  <c r="AX217" i="26"/>
  <c r="BF17" i="27"/>
  <c r="BF9" i="27"/>
  <c r="BF51" i="27"/>
  <c r="BF41" i="27"/>
  <c r="BF37" i="27"/>
  <c r="BF23" i="27"/>
  <c r="BF53" i="27"/>
  <c r="BF29" i="27"/>
  <c r="BF27" i="27"/>
  <c r="BF5" i="27"/>
  <c r="BF19" i="27"/>
  <c r="BF21" i="27"/>
  <c r="BF15" i="27"/>
  <c r="BF63" i="27"/>
  <c r="BF25" i="27"/>
  <c r="BF59" i="27"/>
  <c r="BF61" i="27"/>
  <c r="BF49" i="27"/>
  <c r="BF7" i="27"/>
  <c r="BF43" i="27"/>
  <c r="BF11" i="27"/>
  <c r="Z225" i="26"/>
  <c r="K228" i="26"/>
  <c r="AX225" i="26"/>
  <c r="BG29" i="27"/>
  <c r="BG9" i="27"/>
  <c r="BG5" i="27"/>
  <c r="BG43" i="27"/>
  <c r="BG25" i="27"/>
  <c r="BG23" i="27"/>
  <c r="BG51" i="27"/>
  <c r="BG61" i="27"/>
  <c r="BG37" i="27"/>
  <c r="BG17" i="27"/>
  <c r="BG53" i="27"/>
  <c r="BG19" i="27"/>
  <c r="BG41" i="27"/>
  <c r="BG11" i="27"/>
  <c r="BG27" i="27"/>
  <c r="BG7" i="27"/>
  <c r="BG15" i="27"/>
  <c r="BG59" i="27"/>
  <c r="BG49" i="27"/>
  <c r="BG63" i="27"/>
  <c r="BG21" i="27"/>
  <c r="Z213" i="26"/>
  <c r="AX213" i="26"/>
  <c r="K216" i="26"/>
  <c r="BH61" i="27"/>
  <c r="BH27" i="27"/>
  <c r="BH17" i="27"/>
  <c r="BH7" i="27"/>
  <c r="BH11" i="27"/>
  <c r="BH5" i="27"/>
  <c r="BH19" i="27"/>
  <c r="BH53" i="27"/>
  <c r="BH15" i="27"/>
  <c r="BH29" i="27"/>
  <c r="BH43" i="27"/>
  <c r="BH23" i="27"/>
  <c r="BH63" i="27"/>
  <c r="BH51" i="27"/>
  <c r="BH37" i="27"/>
  <c r="BH41" i="27"/>
  <c r="BH21" i="27"/>
  <c r="BH25" i="27"/>
  <c r="BH49" i="27"/>
  <c r="BH59" i="27"/>
  <c r="BH9" i="27"/>
  <c r="AX237" i="26"/>
  <c r="K240" i="26"/>
  <c r="Z237" i="26"/>
  <c r="BI37" i="27"/>
  <c r="BI9" i="27"/>
  <c r="BI43" i="27"/>
  <c r="BI61" i="27"/>
  <c r="BI7" i="27"/>
  <c r="BI63" i="27"/>
  <c r="BI21" i="27"/>
  <c r="BI41" i="27"/>
  <c r="BI11" i="27"/>
  <c r="BI17" i="27"/>
  <c r="BI29" i="27"/>
  <c r="BI15" i="27"/>
  <c r="BI27" i="27"/>
  <c r="BI53" i="27"/>
  <c r="BI59" i="27"/>
  <c r="BI49" i="27"/>
  <c r="BI25" i="27"/>
  <c r="BI51" i="27"/>
  <c r="BI5" i="27"/>
  <c r="BI19" i="27"/>
  <c r="BI23" i="27"/>
  <c r="BJ23" i="27"/>
  <c r="BJ15" i="27"/>
  <c r="BJ63" i="27"/>
  <c r="BJ49" i="27"/>
  <c r="BJ37" i="27"/>
  <c r="BJ9" i="27"/>
  <c r="BJ61" i="27"/>
  <c r="BJ29" i="27"/>
  <c r="BJ5" i="27"/>
  <c r="BJ41" i="27"/>
  <c r="BJ17" i="27"/>
  <c r="BJ59" i="27"/>
  <c r="BJ11" i="27"/>
  <c r="BJ7" i="27"/>
  <c r="BJ25" i="27"/>
  <c r="BJ19" i="27"/>
  <c r="BJ43" i="27"/>
  <c r="BJ53" i="27"/>
  <c r="BJ21" i="27"/>
  <c r="BJ27" i="27"/>
  <c r="BJ51" i="27"/>
  <c r="AX221" i="26"/>
  <c r="K224" i="26"/>
  <c r="Z221" i="26"/>
  <c r="BK27" i="27"/>
  <c r="BK49" i="27"/>
  <c r="BK9" i="27"/>
  <c r="BK7" i="27"/>
  <c r="BK41" i="27"/>
  <c r="BK5" i="27"/>
  <c r="BK29" i="27"/>
  <c r="BK59" i="27"/>
  <c r="BK51" i="27"/>
  <c r="BK21" i="27"/>
  <c r="BK37" i="27"/>
  <c r="BK17" i="27"/>
  <c r="BK63" i="27"/>
  <c r="BK53" i="27"/>
  <c r="BK19" i="27"/>
  <c r="BK11" i="27"/>
  <c r="BK61" i="27"/>
  <c r="BK15" i="27"/>
  <c r="BK43" i="27"/>
  <c r="BK25" i="27"/>
  <c r="BK23" i="27"/>
  <c r="AX229" i="26"/>
  <c r="Z229" i="26"/>
  <c r="K232" i="26"/>
  <c r="BL29" i="27"/>
  <c r="BL59" i="27"/>
  <c r="BL15" i="27"/>
  <c r="BL41" i="27"/>
  <c r="BL51" i="27"/>
  <c r="BL53" i="27"/>
  <c r="BL63" i="27"/>
  <c r="BL19" i="27"/>
  <c r="BL49" i="27"/>
  <c r="BL17" i="27"/>
  <c r="BL23" i="27"/>
  <c r="BL27" i="27"/>
  <c r="BL37" i="27"/>
  <c r="BL61" i="27"/>
  <c r="BL43" i="27"/>
  <c r="BL21" i="27"/>
  <c r="BL25" i="27"/>
  <c r="BL9" i="27"/>
  <c r="BL5" i="27"/>
  <c r="BL7" i="27"/>
  <c r="BL11" i="27"/>
  <c r="Z241" i="26"/>
  <c r="AX241" i="26"/>
  <c r="K244" i="26"/>
  <c r="BM7" i="27"/>
  <c r="BM27" i="27"/>
  <c r="BM15" i="27"/>
  <c r="BM9" i="27"/>
  <c r="BM5" i="27"/>
  <c r="BM25" i="27"/>
  <c r="BM29" i="27"/>
  <c r="BM37" i="27"/>
  <c r="BM59" i="27"/>
  <c r="BM61" i="27"/>
  <c r="BM17" i="27"/>
  <c r="BM43" i="27"/>
  <c r="BM41" i="27"/>
  <c r="BM49" i="27"/>
  <c r="BM21" i="27"/>
  <c r="BM23" i="27"/>
  <c r="BM63" i="27"/>
  <c r="BM11" i="27"/>
  <c r="BM53" i="27"/>
  <c r="BM51" i="27"/>
  <c r="BM19" i="27"/>
  <c r="Z249" i="26"/>
  <c r="K252" i="26"/>
  <c r="AX249" i="26"/>
  <c r="BN17" i="27"/>
  <c r="BN49" i="27"/>
  <c r="BN19" i="27"/>
  <c r="BN5" i="27"/>
  <c r="BN29" i="27"/>
  <c r="BN23" i="27"/>
  <c r="BN59" i="27"/>
  <c r="BN15" i="27"/>
  <c r="BN43" i="27"/>
  <c r="BN7" i="27"/>
  <c r="BN61" i="27"/>
  <c r="BN27" i="27"/>
  <c r="BN41" i="27"/>
  <c r="BN63" i="27"/>
  <c r="BN21" i="27"/>
  <c r="BN9" i="27"/>
  <c r="BN25" i="27"/>
  <c r="BN37" i="27"/>
  <c r="BN53" i="27"/>
  <c r="BN51" i="27"/>
  <c r="BN11" i="27"/>
  <c r="K248" i="26"/>
  <c r="AX245" i="26"/>
  <c r="Z245" i="26"/>
  <c r="BO27" i="27"/>
  <c r="BO53" i="27"/>
  <c r="BO15" i="27"/>
  <c r="BO25" i="27"/>
  <c r="BO43" i="27"/>
  <c r="BO63" i="27"/>
  <c r="BO9" i="27"/>
  <c r="BO5" i="27"/>
  <c r="BO59" i="27"/>
  <c r="BO51" i="27"/>
  <c r="BO41" i="27"/>
  <c r="BO61" i="27"/>
  <c r="BO11" i="27"/>
  <c r="BO19" i="27"/>
  <c r="BO7" i="27"/>
  <c r="BO29" i="27"/>
  <c r="BO21" i="27"/>
  <c r="BO37" i="27"/>
  <c r="BO49" i="27"/>
  <c r="BO23" i="27"/>
  <c r="BO17" i="27"/>
  <c r="Z205" i="26"/>
  <c r="AX205" i="26"/>
  <c r="K208" i="26"/>
  <c r="BP9" i="27"/>
  <c r="BP43" i="27"/>
  <c r="BP61" i="27"/>
  <c r="BP17" i="27"/>
  <c r="BP23" i="27"/>
  <c r="BP63" i="27"/>
  <c r="BP51" i="27"/>
  <c r="BP7" i="27"/>
  <c r="BP5" i="27"/>
  <c r="BP59" i="27"/>
  <c r="BP15" i="27"/>
  <c r="BP41" i="27"/>
  <c r="BP27" i="27"/>
  <c r="BP11" i="27"/>
  <c r="BP21" i="27"/>
  <c r="BP25" i="27"/>
  <c r="BP19" i="27"/>
  <c r="BP53" i="27"/>
  <c r="BP29" i="27"/>
  <c r="BP49" i="27"/>
  <c r="BP37" i="27"/>
  <c r="BQ43" i="27"/>
  <c r="BQ29" i="27"/>
  <c r="BQ9" i="27"/>
  <c r="BQ23" i="27"/>
  <c r="BQ11" i="27"/>
  <c r="BQ51" i="27"/>
  <c r="BQ25" i="27"/>
  <c r="BQ53" i="27"/>
  <c r="BQ63" i="27"/>
  <c r="BQ5" i="27"/>
  <c r="BQ7" i="27"/>
  <c r="BQ49" i="27"/>
  <c r="BQ27" i="27"/>
  <c r="BQ15" i="27"/>
  <c r="BQ41" i="27"/>
  <c r="BQ21" i="27"/>
  <c r="BQ17" i="27"/>
  <c r="BQ37" i="27"/>
  <c r="BQ59" i="27"/>
  <c r="BQ61" i="27"/>
  <c r="BQ19" i="27"/>
  <c r="AX233" i="26"/>
  <c r="K236" i="26"/>
  <c r="Z233" i="26"/>
  <c r="BR53" i="27"/>
  <c r="BR15" i="27"/>
  <c r="BR23" i="27"/>
  <c r="BR49" i="27"/>
  <c r="BR59" i="27"/>
  <c r="BR19" i="27"/>
  <c r="BR17" i="27"/>
  <c r="BR37" i="27"/>
  <c r="BR25" i="27"/>
  <c r="BR27" i="27"/>
  <c r="BR51" i="27"/>
  <c r="BR63" i="27"/>
  <c r="BR43" i="27"/>
  <c r="BR5" i="27"/>
  <c r="BR41" i="27"/>
  <c r="BR61" i="27"/>
  <c r="BR21" i="27"/>
  <c r="BR11" i="27"/>
  <c r="BR29" i="27"/>
  <c r="BR7" i="27"/>
  <c r="BR9" i="27"/>
  <c r="BS25" i="27"/>
  <c r="BS49" i="27"/>
  <c r="BS63" i="27"/>
  <c r="BS5" i="27"/>
  <c r="BS53" i="27"/>
  <c r="BS17" i="27"/>
  <c r="BS43" i="27"/>
  <c r="BS19" i="27"/>
  <c r="BS9" i="27"/>
  <c r="BS51" i="27"/>
  <c r="BS61" i="27"/>
  <c r="BS59" i="27"/>
  <c r="BS37" i="27"/>
  <c r="BS41" i="27"/>
  <c r="BS15" i="27"/>
  <c r="BS27" i="27"/>
  <c r="BS11" i="27"/>
  <c r="BS23" i="27"/>
  <c r="BS21" i="27"/>
  <c r="BS7" i="27"/>
  <c r="BS29" i="27"/>
  <c r="BT11" i="27"/>
  <c r="BT37" i="27"/>
  <c r="BT27" i="27"/>
  <c r="BT15" i="27"/>
  <c r="BT49" i="27"/>
  <c r="BT7" i="27"/>
  <c r="BT41" i="27"/>
  <c r="BT51" i="27"/>
  <c r="BT5" i="27"/>
  <c r="BT19" i="27"/>
  <c r="BT63" i="27"/>
  <c r="BT17" i="27"/>
  <c r="BT25" i="27"/>
  <c r="BT61" i="27"/>
  <c r="BT53" i="27"/>
  <c r="BT59" i="27"/>
  <c r="BT29" i="27"/>
  <c r="BT23" i="27"/>
  <c r="BT9" i="27"/>
  <c r="BT21" i="27"/>
  <c r="BT43" i="27"/>
  <c r="BU11" i="27"/>
  <c r="BU51" i="27"/>
  <c r="BU37" i="27"/>
  <c r="BU19" i="27"/>
  <c r="BU61" i="27"/>
  <c r="BU5" i="27"/>
  <c r="BU21" i="27"/>
  <c r="BU9" i="27"/>
  <c r="BU29" i="27"/>
  <c r="BU63" i="27"/>
  <c r="BU27" i="27"/>
  <c r="BU15" i="27"/>
  <c r="BU59" i="27"/>
  <c r="BU41" i="27"/>
  <c r="BU49" i="27"/>
  <c r="BU23" i="27"/>
  <c r="BU53" i="27"/>
  <c r="BU7" i="27"/>
  <c r="BU25" i="27"/>
  <c r="BU17" i="27"/>
  <c r="BU43" i="27"/>
  <c r="K256" i="26"/>
  <c r="AX253" i="26"/>
  <c r="Z253" i="26"/>
  <c r="BV27" i="27"/>
  <c r="BV9" i="27"/>
  <c r="BV29" i="27"/>
  <c r="BV19" i="27"/>
  <c r="BV17" i="27"/>
  <c r="BV15" i="27"/>
  <c r="BV53" i="27"/>
  <c r="BV61" i="27"/>
  <c r="BV37" i="27"/>
  <c r="BV49" i="27"/>
  <c r="BV25" i="27"/>
  <c r="BV7" i="27"/>
  <c r="BV63" i="27"/>
  <c r="BV51" i="27"/>
  <c r="BV11" i="27"/>
  <c r="BV23" i="27"/>
  <c r="BV41" i="27"/>
  <c r="BV5" i="27"/>
  <c r="BV59" i="27"/>
  <c r="BV21" i="27"/>
  <c r="BV43" i="27"/>
  <c r="K212" i="26"/>
  <c r="Z209" i="26"/>
  <c r="AX209" i="26"/>
  <c r="BW15" i="27"/>
  <c r="BW49" i="27"/>
  <c r="BW19" i="27"/>
  <c r="BW27" i="27"/>
  <c r="BW29" i="27"/>
  <c r="BW21" i="27"/>
  <c r="BW61" i="27"/>
  <c r="BW11" i="27"/>
  <c r="BW63" i="27"/>
  <c r="BW59" i="27"/>
  <c r="BW37" i="27"/>
  <c r="BW25" i="27"/>
  <c r="BW5" i="27"/>
  <c r="BW51" i="27"/>
  <c r="BW7" i="27"/>
  <c r="BW53" i="27"/>
  <c r="BW23" i="27"/>
  <c r="BW9" i="27"/>
  <c r="BW43" i="27"/>
  <c r="BW17" i="27"/>
  <c r="BW41" i="27"/>
  <c r="AX162" i="26"/>
  <c r="Z162" i="26"/>
  <c r="K165" i="26"/>
  <c r="K169" i="26"/>
  <c r="Z166" i="26"/>
  <c r="AX166" i="26"/>
  <c r="AX170" i="26"/>
  <c r="K173" i="26"/>
  <c r="Z170" i="26"/>
  <c r="K177" i="26"/>
  <c r="AX174" i="26"/>
  <c r="Z174" i="26"/>
  <c r="K181" i="26"/>
  <c r="Z178" i="26"/>
  <c r="AX178" i="26"/>
  <c r="K185" i="26"/>
  <c r="AX182" i="26"/>
  <c r="Z182" i="26"/>
  <c r="Z186" i="26"/>
  <c r="AX186" i="26"/>
  <c r="K189" i="26"/>
  <c r="K193" i="26"/>
  <c r="AX190" i="26"/>
  <c r="Z190" i="26"/>
  <c r="Z194" i="26"/>
  <c r="AX194" i="26"/>
  <c r="K197" i="26"/>
  <c r="K201" i="26"/>
  <c r="Z198" i="26"/>
  <c r="AX198" i="26"/>
  <c r="K91" i="26"/>
  <c r="AX88" i="26"/>
  <c r="AE29" i="27"/>
  <c r="AE19" i="27"/>
  <c r="AE63" i="27"/>
  <c r="AE11" i="27"/>
  <c r="AE7" i="27"/>
  <c r="Z88" i="26"/>
  <c r="AE41" i="27"/>
  <c r="AE59" i="27"/>
  <c r="AE27" i="27"/>
  <c r="AE5" i="27"/>
  <c r="AE51" i="27"/>
  <c r="AE23" i="27"/>
  <c r="AE17" i="27"/>
  <c r="AE53" i="27"/>
  <c r="AE37" i="27"/>
  <c r="AE9" i="27"/>
  <c r="AE15" i="27"/>
  <c r="AE49" i="27"/>
  <c r="AE21" i="27"/>
  <c r="AE25" i="27"/>
  <c r="AE61" i="27"/>
  <c r="AE43" i="27"/>
  <c r="K87" i="26"/>
  <c r="AH27" i="27"/>
  <c r="AH17" i="27"/>
  <c r="AH25" i="27"/>
  <c r="AH29" i="27"/>
  <c r="AX84" i="26"/>
  <c r="AH23" i="27"/>
  <c r="AH37" i="27"/>
  <c r="AH9" i="27"/>
  <c r="AH51" i="27"/>
  <c r="AH43" i="27"/>
  <c r="AH63" i="27"/>
  <c r="AH49" i="27"/>
  <c r="AH5" i="27"/>
  <c r="AH59" i="27"/>
  <c r="AH61" i="27"/>
  <c r="AH7" i="27"/>
  <c r="AH53" i="27"/>
  <c r="AH11" i="27"/>
  <c r="AH21" i="27"/>
  <c r="AH15" i="27"/>
  <c r="Z84" i="26"/>
  <c r="AH19" i="27"/>
  <c r="AH41" i="27"/>
  <c r="K75" i="26"/>
  <c r="AX72" i="26"/>
  <c r="AB17" i="27"/>
  <c r="AB25" i="27"/>
  <c r="AB41" i="27"/>
  <c r="AB29" i="27"/>
  <c r="AB37" i="27"/>
  <c r="AB23" i="27"/>
  <c r="AB27" i="27"/>
  <c r="AB19" i="27"/>
  <c r="Z72" i="26"/>
  <c r="AB49" i="27"/>
  <c r="AB9" i="27"/>
  <c r="AB7" i="27"/>
  <c r="AB11" i="27"/>
  <c r="AB21" i="27"/>
  <c r="AB61" i="27"/>
  <c r="AB59" i="27"/>
  <c r="AB15" i="27"/>
  <c r="AB43" i="27"/>
  <c r="AB63" i="27"/>
  <c r="AB5" i="27"/>
  <c r="AB53" i="27"/>
  <c r="AB51" i="27"/>
  <c r="K79" i="26"/>
  <c r="AC35" i="27"/>
  <c r="AX76" i="26"/>
  <c r="AF37" i="27"/>
  <c r="AC23" i="27"/>
  <c r="AC13" i="27"/>
  <c r="AF25" i="27"/>
  <c r="AC9" i="27"/>
  <c r="AC49" i="27"/>
  <c r="AF41" i="27"/>
  <c r="AC29" i="27"/>
  <c r="AC11" i="27"/>
  <c r="AF53" i="27"/>
  <c r="AF27" i="27"/>
  <c r="AC7" i="27"/>
  <c r="AC37" i="27"/>
  <c r="AF11" i="27"/>
  <c r="AF21" i="27"/>
  <c r="AC45" i="27"/>
  <c r="AC17" i="27"/>
  <c r="AF43" i="27"/>
  <c r="AF59" i="27"/>
  <c r="AF5" i="27"/>
  <c r="AF61" i="27"/>
  <c r="AC39" i="27"/>
  <c r="AC57" i="27"/>
  <c r="AC21" i="27"/>
  <c r="AF29" i="27"/>
  <c r="AF7" i="27"/>
  <c r="AF9" i="27"/>
  <c r="AC55" i="27"/>
  <c r="AC33" i="27"/>
  <c r="AC19" i="27"/>
  <c r="AC27" i="27"/>
  <c r="AF19" i="27"/>
  <c r="AF23" i="27"/>
  <c r="AF49" i="27"/>
  <c r="AC47" i="27"/>
  <c r="AC31" i="27"/>
  <c r="AF15" i="27"/>
  <c r="AC25" i="27"/>
  <c r="AF51" i="27"/>
  <c r="AF63" i="27"/>
  <c r="AF17" i="27"/>
  <c r="Z76" i="26"/>
  <c r="AC41" i="27"/>
  <c r="AC43" i="27"/>
  <c r="AC59" i="27"/>
  <c r="AC15" i="27"/>
  <c r="AC63" i="27"/>
  <c r="AC61" i="27"/>
  <c r="AC51" i="27"/>
  <c r="AC53" i="27"/>
  <c r="AC5" i="27"/>
  <c r="K83" i="26"/>
  <c r="AX80" i="26"/>
  <c r="AD15" i="27"/>
  <c r="AD59" i="27"/>
  <c r="AD43" i="27"/>
  <c r="AD63" i="27"/>
  <c r="AD17" i="27"/>
  <c r="AD7" i="27"/>
  <c r="AD9" i="27"/>
  <c r="AD23" i="27"/>
  <c r="AD21" i="27"/>
  <c r="AD37" i="27"/>
  <c r="AD19" i="27"/>
  <c r="AD11" i="27"/>
  <c r="AD41" i="27"/>
  <c r="Z80" i="26"/>
  <c r="AD49" i="27"/>
  <c r="AD25" i="27"/>
  <c r="AD27" i="27"/>
  <c r="AD29" i="27"/>
  <c r="AD61" i="27"/>
  <c r="AD51" i="27"/>
  <c r="AD5" i="27"/>
  <c r="AD53" i="27"/>
  <c r="AR43" i="27"/>
  <c r="K118" i="26"/>
  <c r="AX115" i="26"/>
  <c r="Z115" i="26"/>
  <c r="AR19" i="27"/>
  <c r="AR29" i="27"/>
  <c r="AR23" i="27"/>
  <c r="AR11" i="27"/>
  <c r="AR7" i="27"/>
  <c r="AR25" i="27"/>
  <c r="AR21" i="27"/>
  <c r="AR41" i="27"/>
  <c r="AR37" i="27"/>
  <c r="AR27" i="27"/>
  <c r="AR17" i="27"/>
  <c r="AR49" i="27"/>
  <c r="AR9" i="27"/>
  <c r="AR15" i="27"/>
  <c r="AR61" i="27"/>
  <c r="AR51" i="27"/>
  <c r="AR63" i="27"/>
  <c r="AR5" i="27"/>
  <c r="AR53" i="27"/>
  <c r="AR59" i="27"/>
  <c r="K126" i="26"/>
  <c r="Z123" i="26"/>
  <c r="AX123" i="26"/>
  <c r="AT27" i="27"/>
  <c r="AT7" i="27"/>
  <c r="AT9" i="27"/>
  <c r="AT49" i="27"/>
  <c r="AT25" i="27"/>
  <c r="AT11" i="27"/>
  <c r="AT17" i="27"/>
  <c r="AT21" i="27"/>
  <c r="AT37" i="27"/>
  <c r="AT23" i="27"/>
  <c r="AT29" i="27"/>
  <c r="AT41" i="27"/>
  <c r="AT19" i="27"/>
  <c r="AT61" i="27"/>
  <c r="B60" i="27"/>
  <c r="AT51" i="27"/>
  <c r="B50" i="27"/>
  <c r="N363" i="26"/>
  <c r="AT53" i="27"/>
  <c r="B52" i="27"/>
  <c r="N367" i="26"/>
  <c r="AT5" i="27"/>
  <c r="B4" i="27"/>
  <c r="AT63" i="27"/>
  <c r="B62" i="27"/>
  <c r="AT59" i="27"/>
  <c r="B58" i="27"/>
  <c r="AT15" i="27"/>
  <c r="B14" i="27"/>
  <c r="N291" i="26"/>
  <c r="AT43" i="27"/>
  <c r="B42" i="27"/>
  <c r="N347" i="26"/>
  <c r="L5" i="13"/>
  <c r="Z5" i="13"/>
  <c r="L7" i="13"/>
  <c r="AE5" i="13"/>
  <c r="AD5" i="13"/>
  <c r="AU5" i="13"/>
  <c r="AO5" i="13"/>
  <c r="AJ5" i="13"/>
  <c r="Z7" i="13"/>
  <c r="AJ7" i="13"/>
  <c r="AO7" i="13"/>
  <c r="AE7" i="13"/>
  <c r="AD7" i="13"/>
  <c r="L9" i="13"/>
  <c r="AI5" i="13"/>
  <c r="AN5" i="13"/>
  <c r="Z9" i="13"/>
  <c r="AI7" i="13"/>
  <c r="AN7" i="13"/>
  <c r="AJ9" i="13"/>
  <c r="AE9" i="13"/>
  <c r="AD9" i="13"/>
  <c r="AO9" i="13"/>
  <c r="AU7" i="13"/>
  <c r="AI9" i="13"/>
  <c r="AN9" i="13"/>
  <c r="AU9" i="13"/>
  <c r="L11" i="13"/>
  <c r="Z11" i="13"/>
  <c r="AE11" i="13"/>
  <c r="AO11" i="13"/>
  <c r="AJ11" i="13"/>
  <c r="AD11" i="13"/>
  <c r="L13" i="13"/>
  <c r="AN11" i="13"/>
  <c r="AI11" i="13"/>
  <c r="Z13" i="13"/>
  <c r="AU11" i="13"/>
  <c r="L15" i="13"/>
  <c r="Z15" i="13"/>
  <c r="AO13" i="13"/>
  <c r="AD13" i="13"/>
  <c r="AJ13" i="13"/>
  <c r="AE13" i="13"/>
  <c r="AE15" i="13"/>
  <c r="AO15" i="13"/>
  <c r="AJ15" i="13"/>
  <c r="AD15" i="13"/>
  <c r="AI15" i="13"/>
  <c r="AN15" i="13"/>
  <c r="AU15" i="13"/>
  <c r="AN13" i="13"/>
  <c r="AI13" i="13"/>
  <c r="AU13" i="13"/>
  <c r="L17" i="13"/>
  <c r="Z17" i="13"/>
  <c r="L19" i="13"/>
  <c r="L21" i="13"/>
  <c r="AO17" i="13"/>
  <c r="AJ17" i="13"/>
  <c r="AD17" i="13"/>
  <c r="AE17" i="13"/>
  <c r="L25" i="13"/>
  <c r="L23" i="13"/>
  <c r="Z23" i="13"/>
  <c r="Z19" i="13"/>
  <c r="Z25" i="13"/>
  <c r="Z21" i="13"/>
  <c r="AD19" i="13"/>
  <c r="AO19" i="13"/>
  <c r="AJ19" i="13"/>
  <c r="AE19" i="13"/>
  <c r="AJ21" i="13"/>
  <c r="AE21" i="13"/>
  <c r="AD21" i="13"/>
  <c r="AO21" i="13"/>
  <c r="AI17" i="13"/>
  <c r="AN17" i="13"/>
  <c r="AD23" i="13"/>
  <c r="AO23" i="13"/>
  <c r="AE23" i="13"/>
  <c r="AJ23" i="13"/>
  <c r="AJ25" i="13"/>
  <c r="AE25" i="13"/>
  <c r="AD25" i="13"/>
  <c r="AO25" i="13"/>
  <c r="AN19" i="13"/>
  <c r="AI19" i="13"/>
  <c r="AU17" i="13"/>
  <c r="AI21" i="13"/>
  <c r="AN21" i="13"/>
  <c r="L27" i="13"/>
  <c r="Z27" i="13"/>
  <c r="AN25" i="13"/>
  <c r="AI25" i="13"/>
  <c r="AI23" i="13"/>
  <c r="AN23" i="13"/>
  <c r="AU19" i="13"/>
  <c r="AU21" i="13"/>
  <c r="AE27" i="13"/>
  <c r="AU23" i="13"/>
  <c r="AU25" i="13"/>
  <c r="AO27" i="13"/>
  <c r="AD27" i="13"/>
  <c r="AJ27" i="13"/>
  <c r="AI27" i="13"/>
  <c r="AN27" i="13"/>
  <c r="L29" i="13"/>
  <c r="Z29" i="13"/>
  <c r="AU27" i="13"/>
  <c r="EX38" i="18"/>
  <c r="FC38" i="18"/>
  <c r="L31" i="13"/>
  <c r="Z31" i="13"/>
  <c r="AJ29" i="13"/>
  <c r="AO29" i="13"/>
  <c r="AD29" i="13"/>
  <c r="AE29" i="13"/>
  <c r="AI29" i="13"/>
  <c r="AN29" i="13"/>
  <c r="AJ31" i="13"/>
  <c r="AD31" i="13"/>
  <c r="AE31" i="13"/>
  <c r="AO31" i="13"/>
  <c r="AI31" i="13"/>
  <c r="AN31" i="13"/>
  <c r="AU31" i="13"/>
  <c r="AU29" i="13"/>
  <c r="L33" i="13"/>
  <c r="Z33" i="13"/>
  <c r="AJ33" i="13"/>
  <c r="AE33" i="13"/>
  <c r="AO33" i="13"/>
  <c r="AI33" i="13"/>
  <c r="AN33" i="13"/>
  <c r="AU33" i="13"/>
  <c r="AD33" i="13"/>
  <c r="L35" i="13"/>
  <c r="Z35" i="13"/>
  <c r="AJ35" i="13"/>
  <c r="AD35" i="13"/>
  <c r="AO35" i="13"/>
  <c r="AE35" i="13"/>
  <c r="AI35" i="13"/>
  <c r="AN35" i="13"/>
  <c r="AU35" i="13"/>
  <c r="L37" i="13"/>
  <c r="Z37" i="13"/>
  <c r="AO37" i="13"/>
  <c r="AD37" i="13"/>
  <c r="AE37" i="13"/>
  <c r="AJ37" i="13"/>
  <c r="L39" i="13"/>
  <c r="Z39" i="13"/>
  <c r="AI37" i="13"/>
  <c r="AN37" i="13"/>
  <c r="AU37" i="13"/>
  <c r="AJ39" i="13"/>
  <c r="AO39" i="13"/>
  <c r="AE39" i="13"/>
  <c r="AI39" i="13"/>
  <c r="AN39" i="13"/>
  <c r="AU39" i="13"/>
  <c r="AD39" i="13"/>
  <c r="L41" i="13"/>
  <c r="Z41" i="13"/>
  <c r="DD41" i="34"/>
  <c r="DR41" i="34"/>
  <c r="AJ41" i="13"/>
  <c r="AD41" i="13"/>
  <c r="AE41" i="13"/>
  <c r="AO41" i="13"/>
  <c r="AI41" i="13"/>
  <c r="AN41" i="13"/>
  <c r="AU41" i="13"/>
  <c r="EB41" i="34"/>
  <c r="DV41" i="34"/>
  <c r="EG41" i="34"/>
  <c r="DW41" i="34"/>
  <c r="EA41" i="34"/>
  <c r="EF41" i="34"/>
  <c r="EM41" i="34"/>
  <c r="DD63" i="34"/>
  <c r="DR63" i="34"/>
  <c r="L43" i="13"/>
  <c r="Z43" i="13"/>
  <c r="DD67" i="34"/>
  <c r="L67" i="13"/>
  <c r="DD61" i="34"/>
  <c r="DR61" i="34"/>
  <c r="DD57" i="34"/>
  <c r="DR57" i="34"/>
  <c r="DD49" i="34"/>
  <c r="DR49" i="34"/>
  <c r="DD69" i="34"/>
  <c r="DR69" i="34"/>
  <c r="DD43" i="34"/>
  <c r="DR43" i="34"/>
  <c r="DD51" i="34"/>
  <c r="DR51" i="34"/>
  <c r="DD45" i="34"/>
  <c r="DR45" i="34"/>
  <c r="DD59" i="34"/>
  <c r="DR59" i="34"/>
  <c r="L59" i="13"/>
  <c r="Z59" i="13"/>
  <c r="L71" i="13"/>
  <c r="Z71" i="13"/>
  <c r="L63" i="13"/>
  <c r="Z63" i="13"/>
  <c r="L47" i="13"/>
  <c r="Z47" i="13"/>
  <c r="DD53" i="34"/>
  <c r="DR53" i="34"/>
  <c r="DD55" i="34"/>
  <c r="DR55" i="34"/>
  <c r="L51" i="13"/>
  <c r="Z51" i="13"/>
  <c r="L61" i="13"/>
  <c r="Z61" i="13"/>
  <c r="L65" i="13"/>
  <c r="Z65" i="13"/>
  <c r="L49" i="13"/>
  <c r="Z49" i="13"/>
  <c r="DD47" i="34"/>
  <c r="DR47" i="34"/>
  <c r="L57" i="13"/>
  <c r="Z57" i="13"/>
  <c r="L53" i="13"/>
  <c r="Z53" i="13"/>
  <c r="L55" i="13"/>
  <c r="Z55" i="13"/>
  <c r="DD73" i="34"/>
  <c r="DR73" i="34"/>
  <c r="L73" i="13"/>
  <c r="Z73" i="13"/>
  <c r="DD65" i="34"/>
  <c r="DR65" i="34"/>
  <c r="L45" i="13"/>
  <c r="Z45" i="13"/>
  <c r="L69" i="13"/>
  <c r="Z69" i="13"/>
  <c r="DD71" i="34"/>
  <c r="DR71" i="34"/>
  <c r="Z67" i="13"/>
  <c r="DR67" i="34"/>
  <c r="EG71" i="34"/>
  <c r="DW71" i="34"/>
  <c r="EM71" i="34"/>
  <c r="EB71" i="34"/>
  <c r="DV71" i="34"/>
  <c r="AE45" i="13"/>
  <c r="AO45" i="13"/>
  <c r="AI45" i="13"/>
  <c r="AJ45" i="13"/>
  <c r="AN45" i="13"/>
  <c r="AU45" i="13"/>
  <c r="AD45" i="13"/>
  <c r="AO55" i="13"/>
  <c r="AU55" i="13"/>
  <c r="AJ55" i="13"/>
  <c r="AE55" i="13"/>
  <c r="AD55" i="13"/>
  <c r="AE49" i="13"/>
  <c r="AD49" i="13"/>
  <c r="AJ49" i="13"/>
  <c r="AO49" i="13"/>
  <c r="AU49" i="13"/>
  <c r="EM55" i="34"/>
  <c r="EB55" i="34"/>
  <c r="EG55" i="34"/>
  <c r="DV55" i="34"/>
  <c r="DW55" i="34"/>
  <c r="AO71" i="13"/>
  <c r="AE71" i="13"/>
  <c r="AJ71" i="13"/>
  <c r="AD71" i="13"/>
  <c r="AU71" i="13"/>
  <c r="DV51" i="34"/>
  <c r="EB51" i="34"/>
  <c r="DW51" i="34"/>
  <c r="EM51" i="34"/>
  <c r="EG51" i="34"/>
  <c r="DW57" i="34"/>
  <c r="DV57" i="34"/>
  <c r="EB57" i="34"/>
  <c r="EG57" i="34"/>
  <c r="EM57" i="34"/>
  <c r="AJ43" i="13"/>
  <c r="AE43" i="13"/>
  <c r="AD43" i="13"/>
  <c r="AO43" i="13"/>
  <c r="AI43" i="13"/>
  <c r="AN43" i="13"/>
  <c r="AU43" i="13"/>
  <c r="EG65" i="34"/>
  <c r="DV65" i="34"/>
  <c r="EM65" i="34"/>
  <c r="DW65" i="34"/>
  <c r="EB65" i="34"/>
  <c r="AD53" i="13"/>
  <c r="AU53" i="13"/>
  <c r="AJ53" i="13"/>
  <c r="AE53" i="13"/>
  <c r="AO53" i="13"/>
  <c r="AD65" i="13"/>
  <c r="AO65" i="13"/>
  <c r="AJ65" i="13"/>
  <c r="AE65" i="13"/>
  <c r="AU65" i="13"/>
  <c r="DV53" i="34"/>
  <c r="EG53" i="34"/>
  <c r="EM53" i="34"/>
  <c r="EB53" i="34"/>
  <c r="DW53" i="34"/>
  <c r="AE59" i="13"/>
  <c r="AU59" i="13"/>
  <c r="AD59" i="13"/>
  <c r="AJ59" i="13"/>
  <c r="AO59" i="13"/>
  <c r="EG43" i="34"/>
  <c r="DW43" i="34"/>
  <c r="EA43" i="34"/>
  <c r="EB43" i="34"/>
  <c r="EF43" i="34"/>
  <c r="EM43" i="34"/>
  <c r="DV43" i="34"/>
  <c r="EG61" i="34"/>
  <c r="DV61" i="34"/>
  <c r="EM61" i="34"/>
  <c r="DW61" i="34"/>
  <c r="EB61" i="34"/>
  <c r="EB63" i="34"/>
  <c r="EG63" i="34"/>
  <c r="DW63" i="34"/>
  <c r="EM63" i="34"/>
  <c r="DV63" i="34"/>
  <c r="AO73" i="13"/>
  <c r="AD73" i="13"/>
  <c r="AE73" i="13"/>
  <c r="AU73" i="13"/>
  <c r="AJ73" i="13"/>
  <c r="AU57" i="13"/>
  <c r="AE57" i="13"/>
  <c r="AJ57" i="13"/>
  <c r="AO57" i="13"/>
  <c r="AD57" i="13"/>
  <c r="AO61" i="13"/>
  <c r="AU61" i="13"/>
  <c r="AE61" i="13"/>
  <c r="AJ61" i="13"/>
  <c r="AD61" i="13"/>
  <c r="AO47" i="13"/>
  <c r="AE47" i="13"/>
  <c r="AJ47" i="13"/>
  <c r="AI47" i="13"/>
  <c r="AN47" i="13"/>
  <c r="AU47" i="13"/>
  <c r="AD47" i="13"/>
  <c r="EM59" i="34"/>
  <c r="DW59" i="34"/>
  <c r="DV59" i="34"/>
  <c r="EB59" i="34"/>
  <c r="EG59" i="34"/>
  <c r="DW69" i="34"/>
  <c r="EB69" i="34"/>
  <c r="EM69" i="34"/>
  <c r="EG69" i="34"/>
  <c r="DV69" i="34"/>
  <c r="AE67" i="13"/>
  <c r="AJ67" i="13"/>
  <c r="AD67" i="13"/>
  <c r="AO67" i="13"/>
  <c r="AU67" i="13"/>
  <c r="AE69" i="13"/>
  <c r="AD69" i="13"/>
  <c r="AO69" i="13"/>
  <c r="AU69" i="13"/>
  <c r="AJ69" i="13"/>
  <c r="EB73" i="34"/>
  <c r="DV73" i="34"/>
  <c r="EG73" i="34"/>
  <c r="EM73" i="34"/>
  <c r="DW73" i="34"/>
  <c r="DW47" i="34"/>
  <c r="EG47" i="34"/>
  <c r="EA47" i="34"/>
  <c r="EB47" i="34"/>
  <c r="EF47" i="34"/>
  <c r="EM47" i="34"/>
  <c r="DV47" i="34"/>
  <c r="AO51" i="13"/>
  <c r="AU51" i="13"/>
  <c r="AJ51" i="13"/>
  <c r="AD51" i="13"/>
  <c r="AE51" i="13"/>
  <c r="AD63" i="13"/>
  <c r="AU63" i="13"/>
  <c r="AE63" i="13"/>
  <c r="AO63" i="13"/>
  <c r="AJ63" i="13"/>
  <c r="EG45" i="34"/>
  <c r="DW45" i="34"/>
  <c r="EA45" i="34"/>
  <c r="EB45" i="34"/>
  <c r="EF45" i="34"/>
  <c r="EM45" i="34"/>
  <c r="DV45" i="34"/>
  <c r="EM49" i="34"/>
  <c r="EG49" i="34"/>
  <c r="DW49" i="34"/>
  <c r="DV49" i="34"/>
  <c r="EB49" i="34"/>
  <c r="DW67" i="34"/>
  <c r="EG67" i="34"/>
  <c r="DV67" i="34"/>
  <c r="EM67" i="34"/>
  <c r="EB67" i="34"/>
  <c r="EF69" i="34"/>
  <c r="EA69" i="34"/>
  <c r="EF59" i="34"/>
  <c r="EA59" i="34"/>
  <c r="AN57" i="13"/>
  <c r="AI57" i="13"/>
  <c r="AN73" i="13"/>
  <c r="AI73" i="13"/>
  <c r="EA63" i="34"/>
  <c r="EF63" i="34"/>
  <c r="AN59" i="13"/>
  <c r="AI59" i="13"/>
  <c r="EF53" i="34"/>
  <c r="EA53" i="34"/>
  <c r="EA65" i="34"/>
  <c r="EF65" i="34"/>
  <c r="EF67" i="34"/>
  <c r="EA67" i="34"/>
  <c r="AN65" i="13"/>
  <c r="AI65" i="13"/>
  <c r="EF57" i="34"/>
  <c r="EA57" i="34"/>
  <c r="EA51" i="34"/>
  <c r="EF51" i="34"/>
  <c r="EA55" i="34"/>
  <c r="EF55" i="34"/>
  <c r="AN49" i="13"/>
  <c r="AI49" i="13"/>
  <c r="AI55" i="13"/>
  <c r="AN55" i="13"/>
  <c r="EA49" i="34"/>
  <c r="EF49" i="34"/>
  <c r="AN63" i="13"/>
  <c r="AI63" i="13"/>
  <c r="AN51" i="13"/>
  <c r="AI51" i="13"/>
  <c r="EF73" i="34"/>
  <c r="EA73" i="34"/>
  <c r="AI61" i="13"/>
  <c r="AN61" i="13"/>
  <c r="EF61" i="34"/>
  <c r="EA61" i="34"/>
  <c r="AN71" i="13"/>
  <c r="AI71" i="13"/>
  <c r="AN69" i="13"/>
  <c r="AI69" i="13"/>
  <c r="AI67" i="13"/>
  <c r="AN67" i="13"/>
  <c r="AI53" i="13"/>
  <c r="AN53" i="13"/>
  <c r="EF71" i="34"/>
  <c r="EA71" i="34"/>
</calcChain>
</file>

<file path=xl/comments1.xml><?xml version="1.0" encoding="utf-8"?>
<comments xmlns="http://schemas.openxmlformats.org/spreadsheetml/2006/main">
  <authors>
    <author>Michael McElrath</author>
  </authors>
  <commentList>
    <comment ref="B8" authorId="0" shapeId="0">
      <text>
        <r>
          <rPr>
            <sz val="9"/>
            <color indexed="81"/>
            <rFont val="Tahoma"/>
            <family val="2"/>
          </rPr>
          <t>Total ranks in this skill tree.</t>
        </r>
      </text>
    </comment>
    <comment ref="F8" authorId="0" shapeId="0">
      <text>
        <r>
          <rPr>
            <sz val="9"/>
            <color indexed="81"/>
            <rFont val="Tahoma"/>
            <family val="2"/>
          </rPr>
          <t xml:space="preserve">Total EXP Spent.  Should be hidden.
</t>
        </r>
      </text>
    </comment>
    <comment ref="B17" authorId="0" shapeId="0">
      <text>
        <r>
          <rPr>
            <sz val="9"/>
            <color indexed="81"/>
            <rFont val="Tahoma"/>
            <family val="2"/>
          </rPr>
          <t xml:space="preserve">Cost for the first point on this tier
</t>
        </r>
      </text>
    </comment>
    <comment ref="I17" authorId="0" shapeId="0">
      <text>
        <r>
          <rPr>
            <sz val="9"/>
            <color indexed="81"/>
            <rFont val="Tahoma"/>
            <family val="2"/>
          </rPr>
          <t xml:space="preserve">Total ranks in all previous tiers
</t>
        </r>
      </text>
    </comment>
    <comment ref="D20" authorId="0" shapeId="0">
      <text>
        <r>
          <rPr>
            <b/>
            <sz val="9"/>
            <color indexed="81"/>
            <rFont val="Tahoma"/>
            <family val="2"/>
          </rPr>
          <t>Total Ranks in this tier</t>
        </r>
      </text>
    </comment>
    <comment ref="G24" authorId="0" shapeId="0">
      <text>
        <r>
          <rPr>
            <sz val="9"/>
            <color indexed="81"/>
            <rFont val="Tahoma"/>
            <family val="2"/>
          </rPr>
          <t>Total points spent this tier</t>
        </r>
      </text>
    </comment>
    <comment ref="B31" authorId="0" shapeId="0">
      <text>
        <r>
          <rPr>
            <sz val="9"/>
            <color indexed="81"/>
            <rFont val="Tahoma"/>
            <family val="2"/>
          </rPr>
          <t xml:space="preserve">Cost for the first point on this tier
</t>
        </r>
      </text>
    </comment>
    <comment ref="I31" authorId="0" shapeId="0">
      <text>
        <r>
          <rPr>
            <sz val="9"/>
            <color indexed="81"/>
            <rFont val="Tahoma"/>
            <family val="2"/>
          </rPr>
          <t xml:space="preserve">Total ranks in all previous tiers
</t>
        </r>
      </text>
    </comment>
    <comment ref="D34" authorId="0" shapeId="0">
      <text>
        <r>
          <rPr>
            <b/>
            <sz val="9"/>
            <color indexed="81"/>
            <rFont val="Tahoma"/>
            <family val="2"/>
          </rPr>
          <t>Total Ranks in this tier</t>
        </r>
      </text>
    </comment>
    <comment ref="G38" authorId="0" shapeId="0">
      <text>
        <r>
          <rPr>
            <sz val="9"/>
            <color indexed="81"/>
            <rFont val="Tahoma"/>
            <family val="2"/>
          </rPr>
          <t>Total points spent this tier</t>
        </r>
      </text>
    </comment>
    <comment ref="B45" authorId="0" shapeId="0">
      <text>
        <r>
          <rPr>
            <sz val="9"/>
            <color indexed="81"/>
            <rFont val="Tahoma"/>
            <family val="2"/>
          </rPr>
          <t xml:space="preserve">Cost for the first point on this tier
</t>
        </r>
      </text>
    </comment>
    <comment ref="I45" authorId="0" shapeId="0">
      <text>
        <r>
          <rPr>
            <sz val="9"/>
            <color indexed="81"/>
            <rFont val="Tahoma"/>
            <family val="2"/>
          </rPr>
          <t xml:space="preserve">Total ranks in all previous tiers
</t>
        </r>
      </text>
    </comment>
    <comment ref="D48" authorId="0" shapeId="0">
      <text>
        <r>
          <rPr>
            <b/>
            <sz val="9"/>
            <color indexed="81"/>
            <rFont val="Tahoma"/>
            <family val="2"/>
          </rPr>
          <t>Total Ranks in this tier</t>
        </r>
      </text>
    </comment>
    <comment ref="G52" authorId="0" shapeId="0">
      <text>
        <r>
          <rPr>
            <sz val="9"/>
            <color indexed="81"/>
            <rFont val="Tahoma"/>
            <family val="2"/>
          </rPr>
          <t>Total points spent this tier</t>
        </r>
      </text>
    </comment>
    <comment ref="B59" authorId="0" shapeId="0">
      <text>
        <r>
          <rPr>
            <sz val="9"/>
            <color indexed="81"/>
            <rFont val="Tahoma"/>
            <family val="2"/>
          </rPr>
          <t xml:space="preserve">Cost for the first point on this tier
</t>
        </r>
      </text>
    </comment>
    <comment ref="I59" authorId="0" shapeId="0">
      <text>
        <r>
          <rPr>
            <sz val="9"/>
            <color indexed="81"/>
            <rFont val="Tahoma"/>
            <family val="2"/>
          </rPr>
          <t xml:space="preserve">Total ranks in all previous tiers
</t>
        </r>
      </text>
    </comment>
    <comment ref="D62" authorId="0" shapeId="0">
      <text>
        <r>
          <rPr>
            <b/>
            <sz val="9"/>
            <color indexed="81"/>
            <rFont val="Tahoma"/>
            <family val="2"/>
          </rPr>
          <t>Total Ranks in this tier</t>
        </r>
      </text>
    </comment>
    <comment ref="G66" authorId="0" shapeId="0">
      <text>
        <r>
          <rPr>
            <sz val="9"/>
            <color indexed="81"/>
            <rFont val="Tahoma"/>
            <family val="2"/>
          </rPr>
          <t>Total points spent this tier</t>
        </r>
      </text>
    </comment>
    <comment ref="B73" authorId="0" shapeId="0">
      <text>
        <r>
          <rPr>
            <sz val="9"/>
            <color indexed="81"/>
            <rFont val="Tahoma"/>
            <family val="2"/>
          </rPr>
          <t xml:space="preserve">Cost for the first point on this tier
</t>
        </r>
      </text>
    </comment>
    <comment ref="I73" authorId="0" shapeId="0">
      <text>
        <r>
          <rPr>
            <sz val="9"/>
            <color indexed="81"/>
            <rFont val="Tahoma"/>
            <family val="2"/>
          </rPr>
          <t xml:space="preserve">Total ranks in all previous tiers
</t>
        </r>
      </text>
    </comment>
    <comment ref="D76" authorId="0" shapeId="0">
      <text>
        <r>
          <rPr>
            <b/>
            <sz val="9"/>
            <color indexed="81"/>
            <rFont val="Tahoma"/>
            <family val="2"/>
          </rPr>
          <t>Total Ranks in this tier</t>
        </r>
      </text>
    </comment>
    <comment ref="G80" authorId="0" shapeId="0">
      <text>
        <r>
          <rPr>
            <sz val="9"/>
            <color indexed="81"/>
            <rFont val="Tahoma"/>
            <family val="2"/>
          </rPr>
          <t>Total points spent this tier</t>
        </r>
      </text>
    </comment>
    <comment ref="B87" authorId="0" shapeId="0">
      <text>
        <r>
          <rPr>
            <sz val="9"/>
            <color indexed="81"/>
            <rFont val="Tahoma"/>
            <family val="2"/>
          </rPr>
          <t xml:space="preserve">Cost for the first point on this tier
</t>
        </r>
      </text>
    </comment>
    <comment ref="I87" authorId="0" shapeId="0">
      <text>
        <r>
          <rPr>
            <sz val="9"/>
            <color indexed="81"/>
            <rFont val="Tahoma"/>
            <family val="2"/>
          </rPr>
          <t xml:space="preserve">Total ranks in all previous tiers
</t>
        </r>
      </text>
    </comment>
    <comment ref="D90" authorId="0" shapeId="0">
      <text>
        <r>
          <rPr>
            <b/>
            <sz val="9"/>
            <color indexed="81"/>
            <rFont val="Tahoma"/>
            <family val="2"/>
          </rPr>
          <t>Total Ranks in this tier</t>
        </r>
      </text>
    </comment>
    <comment ref="G94" authorId="0" shapeId="0">
      <text>
        <r>
          <rPr>
            <sz val="9"/>
            <color indexed="81"/>
            <rFont val="Tahoma"/>
            <family val="2"/>
          </rPr>
          <t>Total points spent this tier</t>
        </r>
      </text>
    </comment>
  </commentList>
</comments>
</file>

<file path=xl/sharedStrings.xml><?xml version="1.0" encoding="utf-8"?>
<sst xmlns="http://schemas.openxmlformats.org/spreadsheetml/2006/main" count="1380" uniqueCount="561">
  <si>
    <t>Score</t>
  </si>
  <si>
    <t>STR</t>
  </si>
  <si>
    <t>AGI</t>
  </si>
  <si>
    <t>CON</t>
  </si>
  <si>
    <t>INT</t>
  </si>
  <si>
    <t>WIS</t>
  </si>
  <si>
    <t>FOC</t>
  </si>
  <si>
    <t>CHA</t>
  </si>
  <si>
    <t>INS</t>
  </si>
  <si>
    <t>CNV</t>
  </si>
  <si>
    <t>Gender</t>
  </si>
  <si>
    <t>Height</t>
  </si>
  <si>
    <t>Weight</t>
  </si>
  <si>
    <t>Eyes</t>
  </si>
  <si>
    <t>Hair</t>
  </si>
  <si>
    <t>Age</t>
  </si>
  <si>
    <t>Health</t>
  </si>
  <si>
    <t>Armor</t>
  </si>
  <si>
    <t>Dice</t>
  </si>
  <si>
    <t>Race</t>
  </si>
  <si>
    <t>Mod</t>
  </si>
  <si>
    <t>Energy</t>
  </si>
  <si>
    <t>۞  Physical Defense   ۞</t>
  </si>
  <si>
    <t>Shield</t>
  </si>
  <si>
    <t>AP</t>
  </si>
  <si>
    <t>Gold</t>
  </si>
  <si>
    <t>Role</t>
  </si>
  <si>
    <t>Combat Skills</t>
  </si>
  <si>
    <t>DR</t>
  </si>
  <si>
    <t>Head</t>
  </si>
  <si>
    <t>Neck</t>
  </si>
  <si>
    <t>Notes</t>
  </si>
  <si>
    <t>General Skills</t>
  </si>
  <si>
    <t>۝ Magical Defense ۝</t>
  </si>
  <si>
    <t>Avoidance</t>
  </si>
  <si>
    <t>Hands</t>
  </si>
  <si>
    <t>Wrists</t>
  </si>
  <si>
    <t>Waist</t>
  </si>
  <si>
    <t>Feet</t>
  </si>
  <si>
    <t>Copper</t>
  </si>
  <si>
    <t>L. Ring</t>
  </si>
  <si>
    <t>R. Ring</t>
  </si>
  <si>
    <t>Pouch 1</t>
  </si>
  <si>
    <t>Pouch 2</t>
  </si>
  <si>
    <t>Items of value</t>
  </si>
  <si>
    <t>Ammo</t>
  </si>
  <si>
    <t>Resilience</t>
  </si>
  <si>
    <t>Resist</t>
  </si>
  <si>
    <t>Deflect</t>
  </si>
  <si>
    <t>Tenacity</t>
  </si>
  <si>
    <t>Deity</t>
  </si>
  <si>
    <t>Weapon Dmg</t>
  </si>
  <si>
    <t>Trinkets</t>
  </si>
  <si>
    <t>Ward</t>
  </si>
  <si>
    <t>Chest</t>
  </si>
  <si>
    <t>Character Name</t>
  </si>
  <si>
    <t>Inventory</t>
  </si>
  <si>
    <t>Reflex</t>
  </si>
  <si>
    <t>Fortitude</t>
  </si>
  <si>
    <t>Willpower</t>
  </si>
  <si>
    <t>Fervor</t>
  </si>
  <si>
    <t>Name</t>
  </si>
  <si>
    <t>Avoid</t>
  </si>
  <si>
    <t>Resil</t>
  </si>
  <si>
    <t/>
  </si>
  <si>
    <t>HP</t>
  </si>
  <si>
    <t>MP</t>
  </si>
  <si>
    <t>Init</t>
  </si>
  <si>
    <t>Weapon                                                              Range</t>
  </si>
  <si>
    <t>Acc</t>
  </si>
  <si>
    <t>Fort</t>
  </si>
  <si>
    <t>Will</t>
  </si>
  <si>
    <t>con + cnv</t>
  </si>
  <si>
    <t>foc + ins</t>
  </si>
  <si>
    <t>cnv + wis</t>
  </si>
  <si>
    <t>Race / Gender / Role</t>
  </si>
  <si>
    <t>Influence</t>
  </si>
  <si>
    <t>Spell Power</t>
  </si>
  <si>
    <t>MP / 8 Hrs</t>
  </si>
  <si>
    <t>HP / 8 Hrs</t>
  </si>
  <si>
    <t>Aegis</t>
  </si>
  <si>
    <t>Initiative</t>
  </si>
  <si>
    <t>Size</t>
  </si>
  <si>
    <t>Failure Rate</t>
  </si>
  <si>
    <t>Success Rate</t>
  </si>
  <si>
    <t>NAME</t>
  </si>
  <si>
    <t>NOTES</t>
  </si>
  <si>
    <t>FAVORITE ABILITIES</t>
  </si>
  <si>
    <t>COST</t>
  </si>
  <si>
    <t>RANGE</t>
  </si>
  <si>
    <t xml:space="preserve"> DAMAGE</t>
  </si>
  <si>
    <t xml:space="preserve"> ATTACK</t>
  </si>
  <si>
    <t>Main Hand</t>
  </si>
  <si>
    <t>Off Hand</t>
  </si>
  <si>
    <t>Back</t>
  </si>
  <si>
    <t>Body</t>
  </si>
  <si>
    <t>Arms</t>
  </si>
  <si>
    <t>Trinket 1</t>
  </si>
  <si>
    <t>Trinket 2</t>
  </si>
  <si>
    <t>Slot</t>
  </si>
  <si>
    <t>Vision</t>
  </si>
  <si>
    <t>Manakin</t>
  </si>
  <si>
    <t>Small</t>
  </si>
  <si>
    <t>Common</t>
  </si>
  <si>
    <t>Basic Elven</t>
  </si>
  <si>
    <t>SPELLBOOK</t>
  </si>
  <si>
    <t>Arcane</t>
  </si>
  <si>
    <t>Divine</t>
  </si>
  <si>
    <t>Maximum Spell Levels</t>
  </si>
  <si>
    <t>Dwarf</t>
  </si>
  <si>
    <t>Garona</t>
  </si>
  <si>
    <t>Gnome</t>
  </si>
  <si>
    <t>Half-Elf</t>
  </si>
  <si>
    <t>Human</t>
  </si>
  <si>
    <t>Kender</t>
  </si>
  <si>
    <t>Krothgar</t>
  </si>
  <si>
    <t>Shadow Elf</t>
  </si>
  <si>
    <t>Volkmyr</t>
  </si>
  <si>
    <t>Wind Elf</t>
  </si>
  <si>
    <t>Wood Elf</t>
  </si>
  <si>
    <t>Ersatz</t>
  </si>
  <si>
    <t>Lagamo</t>
  </si>
  <si>
    <t>Mau</t>
  </si>
  <si>
    <t>Sylvan</t>
  </si>
  <si>
    <t xml:space="preserve"> </t>
  </si>
  <si>
    <t>Draconic</t>
  </si>
  <si>
    <t>Elven</t>
  </si>
  <si>
    <t>Goblin</t>
  </si>
  <si>
    <t>Spells Prepared:</t>
  </si>
  <si>
    <t>Defense Bonus</t>
  </si>
  <si>
    <t>Languages</t>
  </si>
  <si>
    <t>Ancient Draconic</t>
  </si>
  <si>
    <t>True Draconic</t>
  </si>
  <si>
    <t>Old Elven</t>
  </si>
  <si>
    <t>High Elven</t>
  </si>
  <si>
    <t>Wood Elven</t>
  </si>
  <si>
    <t>Dark Elven</t>
  </si>
  <si>
    <t>Aqua Elven</t>
  </si>
  <si>
    <t>Kotaba</t>
  </si>
  <si>
    <t>Eulian</t>
  </si>
  <si>
    <t>Garonian</t>
  </si>
  <si>
    <t>Lower Common</t>
  </si>
  <si>
    <t>Davek</t>
  </si>
  <si>
    <t>Geovek</t>
  </si>
  <si>
    <t>Gnomish</t>
  </si>
  <si>
    <t>Volken</t>
  </si>
  <si>
    <t>Skill Bonus</t>
  </si>
  <si>
    <t>Weapon Proficiency</t>
  </si>
  <si>
    <t>Daggers</t>
  </si>
  <si>
    <t>Polearms</t>
  </si>
  <si>
    <t>Flanking</t>
  </si>
  <si>
    <t>Archery</t>
  </si>
  <si>
    <t>Crossbows</t>
  </si>
  <si>
    <t>Throwing</t>
  </si>
  <si>
    <t>Hand-to-Hand Weapons</t>
  </si>
  <si>
    <t>Exotic Weapons</t>
  </si>
  <si>
    <t>Heavy Armor</t>
  </si>
  <si>
    <t>Improvised Weaponry</t>
  </si>
  <si>
    <t>Light Armor</t>
  </si>
  <si>
    <t>Magicka</t>
  </si>
  <si>
    <t>Shields</t>
  </si>
  <si>
    <t>Staves</t>
  </si>
  <si>
    <t>Two-Handed Axes</t>
  </si>
  <si>
    <t>Two-Handed Maces</t>
  </si>
  <si>
    <t>Two-Handed Swords</t>
  </si>
  <si>
    <t>Training Focus</t>
  </si>
  <si>
    <t>Arcane Proficiency</t>
  </si>
  <si>
    <t>Attunement</t>
  </si>
  <si>
    <t>Dark Soul</t>
  </si>
  <si>
    <t>Fire Attunement</t>
  </si>
  <si>
    <t>Cold Attunement</t>
  </si>
  <si>
    <t>Earthen Attunement</t>
  </si>
  <si>
    <t>Water Attunement</t>
  </si>
  <si>
    <t>Null Attunement</t>
  </si>
  <si>
    <t>Balanced Attunement</t>
  </si>
  <si>
    <t>Manakin Attunement</t>
  </si>
  <si>
    <t>Neutral Core</t>
  </si>
  <si>
    <t>Electrical Attunement</t>
  </si>
  <si>
    <t>Wind Attunement</t>
  </si>
  <si>
    <t>Tiny</t>
  </si>
  <si>
    <t>Medium</t>
  </si>
  <si>
    <t>Large</t>
  </si>
  <si>
    <t>Creature Type</t>
  </si>
  <si>
    <t>Humanoid</t>
  </si>
  <si>
    <t>Goblinoid</t>
  </si>
  <si>
    <t>Fey</t>
  </si>
  <si>
    <t>Construct</t>
  </si>
  <si>
    <t>Racial Passive</t>
  </si>
  <si>
    <t>Racial Active</t>
  </si>
  <si>
    <t>TP</t>
  </si>
  <si>
    <t>Duration</t>
  </si>
  <si>
    <t>Description</t>
  </si>
  <si>
    <t>Bonuses</t>
  </si>
  <si>
    <t>Penalties</t>
  </si>
  <si>
    <t>Any</t>
  </si>
  <si>
    <t>Max</t>
  </si>
  <si>
    <t>Eclipsed Vision</t>
  </si>
  <si>
    <t>Lesser Ethereal Vision</t>
  </si>
  <si>
    <t>Normal Vision</t>
  </si>
  <si>
    <t>Penumbra Vision</t>
  </si>
  <si>
    <t>Reflective Vision</t>
  </si>
  <si>
    <t>Shadow Vision</t>
  </si>
  <si>
    <t>+1 Affinity with Fire Magic</t>
  </si>
  <si>
    <t>+1 Affinity with Ice Magic</t>
  </si>
  <si>
    <t>+1 Affinity with Air  Magic</t>
  </si>
  <si>
    <t>+1 Affinity with Earth Magic</t>
  </si>
  <si>
    <t>+1 Affinity with Lightning Magic</t>
  </si>
  <si>
    <t>+1 Affinity with Water Magic</t>
  </si>
  <si>
    <t>-1 Affinity with all elemental magic and +1 bonus to resistance.</t>
  </si>
  <si>
    <t>+1 resistance</t>
  </si>
  <si>
    <t>+1 Affinity with elementa magic of your chosen element</t>
  </si>
  <si>
    <t>+1 Affinity with dark magic, -1 affinity with light magic, and your soul polarity is negative.</t>
  </si>
  <si>
    <t>Your soul polarity is neutral.</t>
  </si>
  <si>
    <t>You can see well in normal light conditions, but poorly in low light conditions and you cannot see in darkness.</t>
  </si>
  <si>
    <t>You can see well in bright light and low light conditions, but you cannot see in darkness.</t>
  </si>
  <si>
    <t>You can see extremely well in low light to near darkness. Your eyes seem to glow in certain lighting conditions. You can see half as far as a human in daylight conditions.</t>
  </si>
  <si>
    <t>You can see perfectly well in darkness, but cannot see in daylight or other well lit conditions.</t>
  </si>
  <si>
    <t>Rank</t>
  </si>
  <si>
    <t>You can see just as well in darkness as you can in bright light or normal light, but you have difficulty seeing in low light conditions. </t>
  </si>
  <si>
    <t>You can see well in normal light conditions, but poorly in low light and you cannot see in darkness.  In any light, you can see always faintly see any creature with a soul.</t>
  </si>
  <si>
    <t>Races</t>
  </si>
  <si>
    <t>Born of the of earth and fire, dwarves are strong, stout individuals carving mighty stone fortresses in the mountainsides.  Dwarves are expert miners, smiths, and unyielding front line soldiers.</t>
  </si>
  <si>
    <t>Believed to be cousins of the Dwarves, gnomes are principally known for being inquisitive and mechanically-inclined, the innovative gnomish people explore and unearth history and previously undiscovered lands.  While not physically adept, gnomes are pioneers of ingeniuty and tactics specializing in infiltration, arcane magics, and technology.</t>
  </si>
  <si>
    <t>Of all the civilized races, humans are the most adaptable and diverse. Human settlements can be found almost anywhere, and human morals, customs, and interests vary greatly.</t>
  </si>
  <si>
    <t>The small, playful race of elves are commonly mistaken for the children of elves.  Kender have a mischievious history, seeking excitement and danger at every opportunity.  Many more refined races believe that kender fear nothing at all and see only joy and wonder in the world.</t>
  </si>
  <si>
    <t xml:space="preserve">Though the Krothgar have an ancestry of war, they turned off away from the path of pointless battle and meaningless conflict. Descending from orcs, the Krothgar are no longer the mindless servants of Il'Grek, the goblin god of war. Instead they have turned to the deities of the dwarves and, over time, earned a place under the gods' banner. Though the dwarves are still rather unforgiving of their heritage, the Krothgar lead peaceful lives among the elves, and humans of the world. </t>
  </si>
  <si>
    <t>Shadow elves are intelligent, cunning, and devious. Having a different perspective on the world than others they see the humor in the darkness, the purposefulness of death, and show an understanding and appreciation for the unknown. They find it difficult to trust others that have not proven themselves, but are capable of quickly spotting potential loyalty and friends when necessary. Their obsession for the truth drives them to constantly question the motives of others and what secrets they are hiding.</t>
  </si>
  <si>
    <t>Commonly confused for lycanthropes, the strong, noble, race of volkmyr are a fey race that have evolved directly from the wolves.  With small packs spread through much of uncivilized territories, the primary home of the volkmyr is in the cold north</t>
  </si>
  <si>
    <t xml:space="preserve">Creatures of magic with strong ties to to the sun and moon, wind elves live in vast, luxurious cities across most of the known world.  </t>
  </si>
  <si>
    <t>Magical constructs</t>
  </si>
  <si>
    <t>Wood elf description</t>
  </si>
  <si>
    <t>Ersatz construction</t>
  </si>
  <si>
    <t>Lagamo descrakda</t>
  </si>
  <si>
    <t>WSORDS</t>
  </si>
  <si>
    <t>more words</t>
  </si>
  <si>
    <t>(ILR L4)  You are able to use this language fluently and accurately with rare and unpatterened errors of pronunciation and grammar</t>
  </si>
  <si>
    <t>(ILR L5) You have complete fluency in this language.</t>
  </si>
  <si>
    <t>(ILR L3) You are able to use this language with sufficient structual accuracy and vocabulary to participate effectively in most practical conversations.</t>
  </si>
  <si>
    <t>(ILR L2) You can handle casual conversations and elementary  construction with confidence, but do not have confident grammatical control and have grasp complex lingual ideas.</t>
  </si>
  <si>
    <t>(ILR L1) You understand the basics of this language, but your vocabulary is only large enough to fulfull the most basic of needs.  Pronunciation and grammatical errors are common.</t>
  </si>
  <si>
    <t>Your carrying capacity is equal to STR * 2.0</t>
  </si>
  <si>
    <t>Dwarves</t>
  </si>
  <si>
    <t>Gnomes</t>
  </si>
  <si>
    <t>Half-elves</t>
  </si>
  <si>
    <t>Humans</t>
  </si>
  <si>
    <t>Shadow elves</t>
  </si>
  <si>
    <t>Wind Elves</t>
  </si>
  <si>
    <t>Wood elves</t>
  </si>
  <si>
    <t>Manakins</t>
  </si>
  <si>
    <t>Lagami</t>
  </si>
  <si>
    <t>Sylvans</t>
  </si>
  <si>
    <t>Plural</t>
  </si>
  <si>
    <t>Earth</t>
  </si>
  <si>
    <t>Fire</t>
  </si>
  <si>
    <t>Water</t>
  </si>
  <si>
    <t>Cold</t>
  </si>
  <si>
    <t>Lightning</t>
  </si>
  <si>
    <t>You gain a +1 bonus to attack rolls against enemies you are flanking.</t>
  </si>
  <si>
    <t>You gain a +1 bonus to attack rolls with spells of your chosen attunment.</t>
  </si>
  <si>
    <t>Alchemy</t>
  </si>
  <si>
    <t>Animal Handling</t>
  </si>
  <si>
    <t>Arcana</t>
  </si>
  <si>
    <t>Fletching</t>
  </si>
  <si>
    <t>Leatherworking</t>
  </si>
  <si>
    <t>Medicine</t>
  </si>
  <si>
    <t>Smithing</t>
  </si>
  <si>
    <t>Tailoring</t>
  </si>
  <si>
    <t>Technology</t>
  </si>
  <si>
    <t>Theology</t>
  </si>
  <si>
    <t>Hand-to-Hand Combat</t>
  </si>
  <si>
    <t>Expertise Skills</t>
  </si>
  <si>
    <t>Language Skills</t>
  </si>
  <si>
    <t>SKILL</t>
  </si>
  <si>
    <t>SPENT</t>
  </si>
  <si>
    <t>Acrobatics</t>
  </si>
  <si>
    <t>Appraisal</t>
  </si>
  <si>
    <t>Athletics</t>
  </si>
  <si>
    <t>Comprehension</t>
  </si>
  <si>
    <t>Expression</t>
  </si>
  <si>
    <t>Perception</t>
  </si>
  <si>
    <t>Security</t>
  </si>
  <si>
    <t>Stealth</t>
  </si>
  <si>
    <t>Streetwise</t>
  </si>
  <si>
    <t>Subterfuge</t>
  </si>
  <si>
    <t>Survival</t>
  </si>
  <si>
    <t>Your carrying capacity is equal to STR * 1.5, AP Cost for movement increased by 2, -1 penalty to athletics checks, Must use "small" armor and weapons.</t>
  </si>
  <si>
    <t>Skill Check DC</t>
  </si>
  <si>
    <t>Total Skill Roll:</t>
  </si>
  <si>
    <t>Number of Successes</t>
  </si>
  <si>
    <t>Chance of Outcome</t>
  </si>
  <si>
    <t>Skill Check Complexity 
(Default: 5)</t>
  </si>
  <si>
    <t>Flat Success Bonus:</t>
  </si>
  <si>
    <t>DC</t>
  </si>
  <si>
    <t>1 Success</t>
  </si>
  <si>
    <t>2 Successes</t>
  </si>
  <si>
    <t>3 Successes</t>
  </si>
  <si>
    <t>4 Successes</t>
  </si>
  <si>
    <t>5 Successes</t>
  </si>
  <si>
    <t>(ILR L0) You don't know this language, or only know a few choice words and phrases.</t>
  </si>
  <si>
    <t>Skill Tooltips</t>
  </si>
  <si>
    <t>Skill ERR.TooMany</t>
  </si>
  <si>
    <t>You've bought too many skills!  You need to reduce a skill otherwise you're a cheater and your friends won't like you!</t>
  </si>
  <si>
    <t>Skill TIP.10</t>
  </si>
  <si>
    <t>Arcana is an extremely important skill for arcane casters while Theology is important for divine casters.  Both determine your maximum spell level for related spells.</t>
  </si>
  <si>
    <t>Skill TIP.9</t>
  </si>
  <si>
    <t>General Skills only pull points from your general skill pool.  Combat skills only pull points from your combat skill pool.  Language and Expertise skills will pull from whichever is available.</t>
  </si>
  <si>
    <t>Skill TIP.8</t>
  </si>
  <si>
    <t>Skill TIP.7</t>
  </si>
  <si>
    <t>Skill TIP.6</t>
  </si>
  <si>
    <t>Skill TIP.5</t>
  </si>
  <si>
    <t>Skill TIP.4</t>
  </si>
  <si>
    <t>Skill TIP.3</t>
  </si>
  <si>
    <t>Skill TIP.2</t>
  </si>
  <si>
    <t>Skill TIP.1</t>
  </si>
  <si>
    <t>Skill TIP.0</t>
  </si>
  <si>
    <t>When you make a skill check, you roll a number of dice equal to the modifier of the skill.  Most checks will a skill check and an ability check.  Some are just two skill checks or ability checks.</t>
  </si>
  <si>
    <t>Your language skills can be increased passed level 5 fluency.  Doing so means you have more in depth information about that race's history, background, and lore.</t>
  </si>
  <si>
    <t>Don't see a language you want to learn?  It is probably one of the more uncommon languages that can't be picked up regularly, even if you already know a bit of it.</t>
  </si>
  <si>
    <t>Perception isn't the catch-all for detection.  For example, detecting man-made traps falls under security, and natural hazards under survival.</t>
  </si>
  <si>
    <t>When you have completed spending your skill points, head over to the next tab to start spending experience points.</t>
  </si>
  <si>
    <t>Can't figure out where to spend your combat points?  Try picking up an expertise skill or language skill with the leftover points, after you've spent your general skill pool.</t>
  </si>
  <si>
    <t>There isn't a single unified language.  However in order to facilitate communication there are a few easy-to-learn languages such as Common or Basic Elven.</t>
  </si>
  <si>
    <t>The modifier isn't the only important thing about your skill;  Certain merits require you to be at a minimum skill level before you can take them.</t>
  </si>
  <si>
    <t>Your combat skill will increase your accuracy, but won't increase the damage you deal.  Being better trained in a weapon will help you get past defenses as well as open other options.</t>
  </si>
  <si>
    <t>Skill ERR.LowLanguage</t>
  </si>
  <si>
    <t>You have a language that is below your racial starting value.</t>
  </si>
  <si>
    <t>Earthen Ingenuity</t>
  </si>
  <si>
    <t>Olfactory Savant</t>
  </si>
  <si>
    <t>Influential</t>
  </si>
  <si>
    <t>Innocent Demeanor</t>
  </si>
  <si>
    <t>Menacing</t>
  </si>
  <si>
    <t>Deceptive</t>
  </si>
  <si>
    <t>Keen Ears</t>
  </si>
  <si>
    <t>Diplomatic Demeanor</t>
  </si>
  <si>
    <t>Keen Perception</t>
  </si>
  <si>
    <t>Mechanical Proficiency</t>
  </si>
  <si>
    <t>Athletic</t>
  </si>
  <si>
    <t>Feline Grace</t>
  </si>
  <si>
    <t>Botany</t>
  </si>
  <si>
    <t>Arcane Knack</t>
  </si>
  <si>
    <t>The complexity for checks that involve working with stone or metal is reduced by 1.</t>
  </si>
  <si>
    <t>The complexity for checks that involve FALSE is reduced by 1.</t>
  </si>
  <si>
    <t>The complexity for checks that involve negotiating and bargaining is reduced by 1.</t>
  </si>
  <si>
    <t>The complexity for checks that involve appearing innocent or harmless is reduced by 1.</t>
  </si>
  <si>
    <t>The complexity for checks that involve appearing threatening is reduced by 1.</t>
  </si>
  <si>
    <t>The complexity for checks that involve deceiving or detecting deception is reduced by 1.</t>
  </si>
  <si>
    <t>The complexity for checks that involve detecting or tracking sounds is reduced by 1.</t>
  </si>
  <si>
    <t>The complexity for checks that involve positively influencing others is reduced by 1.</t>
  </si>
  <si>
    <t>The complexity for checks that involve THE NATURAL ENVIRONMENT??? is reduced by 1.</t>
  </si>
  <si>
    <t>The complexity for checks that involve determing or handling ethereal forces is reduced by 1.</t>
  </si>
  <si>
    <t>The complexity for checks that involve interacting with technology and constructs is reduced by 1.</t>
  </si>
  <si>
    <t>The complexity for checks that involve running and jumping is reduced by 1.</t>
  </si>
  <si>
    <t>The complexity for checks that involve balancing and acrobatics is reduced by 1.</t>
  </si>
  <si>
    <t>The complexity for checks that involve handling plants and herbs is reduced by 1.</t>
  </si>
  <si>
    <t>Chosen</t>
  </si>
  <si>
    <t>Merit Name</t>
  </si>
  <si>
    <t>Type</t>
  </si>
  <si>
    <t>Cost (Exp)</t>
  </si>
  <si>
    <t>Strength</t>
  </si>
  <si>
    <t>Agility</t>
  </si>
  <si>
    <t>Constitution</t>
  </si>
  <si>
    <t>Intelligence</t>
  </si>
  <si>
    <t>Wisdom</t>
  </si>
  <si>
    <t>Focus</t>
  </si>
  <si>
    <t>Charisma</t>
  </si>
  <si>
    <t>Insight</t>
  </si>
  <si>
    <t>Conviction</t>
  </si>
  <si>
    <t>Starting</t>
  </si>
  <si>
    <t>Earned</t>
  </si>
  <si>
    <t>Spent</t>
  </si>
  <si>
    <t>Remaining</t>
  </si>
  <si>
    <t>EXPERIENCE POINTS</t>
  </si>
  <si>
    <t xml:space="preserve">Ability Score Increase </t>
  </si>
  <si>
    <t>Rank Names</t>
  </si>
  <si>
    <t>Rank 1</t>
  </si>
  <si>
    <t>Rank 2</t>
  </si>
  <si>
    <t>Rank 3</t>
  </si>
  <si>
    <t>Rank 4</t>
  </si>
  <si>
    <t>Rank 5</t>
  </si>
  <si>
    <t>Rank 6</t>
  </si>
  <si>
    <t>Rank 7</t>
  </si>
  <si>
    <t>Minor</t>
  </si>
  <si>
    <t>Lesser</t>
  </si>
  <si>
    <t>Moderate</t>
  </si>
  <si>
    <t>Greater</t>
  </si>
  <si>
    <t>Superior</t>
  </si>
  <si>
    <t>Major</t>
  </si>
  <si>
    <t>Grand</t>
  </si>
  <si>
    <t>Rank 8</t>
  </si>
  <si>
    <t>Improved Stamina</t>
  </si>
  <si>
    <t>Improved Energy</t>
  </si>
  <si>
    <t>Improved Vitality</t>
  </si>
  <si>
    <t>Vitality</t>
  </si>
  <si>
    <t>Tough Constitution</t>
  </si>
  <si>
    <t>Purified Thoughts</t>
  </si>
  <si>
    <t>Prerequisites</t>
  </si>
  <si>
    <t>Charism</t>
  </si>
  <si>
    <t>H2H</t>
  </si>
  <si>
    <t>Improvised</t>
  </si>
  <si>
    <t>Requires</t>
  </si>
  <si>
    <t>Ability Scores</t>
  </si>
  <si>
    <t>Merit 1</t>
  </si>
  <si>
    <t>Merit 2</t>
  </si>
  <si>
    <t>Merit 3</t>
  </si>
  <si>
    <t>Merit Requirements</t>
  </si>
  <si>
    <t>Exp</t>
  </si>
  <si>
    <t>Special</t>
  </si>
  <si>
    <t>Qualify?</t>
  </si>
  <si>
    <t>Taken?</t>
  </si>
  <si>
    <t>Base Merit</t>
  </si>
  <si>
    <t>Stoic Convictions</t>
  </si>
  <si>
    <t>You gain an additional 2 health for each point of your Constitution score.</t>
  </si>
  <si>
    <t>You gain an additional 2 energy  for each point of your Focus score.</t>
  </si>
  <si>
    <t>You gain an additional 1 health and energy for each point of your Conviction score.</t>
  </si>
  <si>
    <t>Deep Sleeper</t>
  </si>
  <si>
    <t xml:space="preserve">You fall asleep quickly, allowing better sleep. You are considered restfully sleeping and receive full energy regeneration even in uncomfortable or interrupted sleep. </t>
  </si>
  <si>
    <t>Quick Reactions</t>
  </si>
  <si>
    <t>Swift Reactions</t>
  </si>
  <si>
    <t>Rapid Reactions</t>
  </si>
  <si>
    <t>Expeditious Reactions</t>
  </si>
  <si>
    <t>Rush</t>
  </si>
  <si>
    <t>You gain a +2 merit bonus to your initiative modifier</t>
  </si>
  <si>
    <t>You gain a +4 merit bonus to your initiative modifier</t>
  </si>
  <si>
    <t>You gain a +6 merit bonus to your initiative modifier</t>
  </si>
  <si>
    <t>You gain a +8 merit bonus to your initiative modifier</t>
  </si>
  <si>
    <t>1 TP: You gain 3 Action Points.  You can use this up to three times per encounter, but only at the start of your turn.</t>
  </si>
  <si>
    <t>CHANGE ME</t>
  </si>
  <si>
    <t>Value</t>
  </si>
  <si>
    <t>kg</t>
  </si>
  <si>
    <t>Damage</t>
  </si>
  <si>
    <t>Ring 1</t>
  </si>
  <si>
    <t>Ring 2</t>
  </si>
  <si>
    <t>Damage Type</t>
  </si>
  <si>
    <t>Load</t>
  </si>
  <si>
    <t>Wt.</t>
  </si>
  <si>
    <t>Note</t>
  </si>
  <si>
    <t>Silver</t>
  </si>
  <si>
    <t>Currency</t>
  </si>
  <si>
    <t>/</t>
  </si>
  <si>
    <t>Resistance</t>
  </si>
  <si>
    <t>Block</t>
  </si>
  <si>
    <t>Passive</t>
  </si>
  <si>
    <t>Appearance</t>
  </si>
  <si>
    <t>EXPERIENCE</t>
  </si>
  <si>
    <t>Available</t>
  </si>
  <si>
    <t>Earned This Session</t>
  </si>
  <si>
    <t>Tactical Points</t>
  </si>
  <si>
    <t>5*CON + 3*CNV</t>
  </si>
  <si>
    <t>Death at -25% HP</t>
  </si>
  <si>
    <t>Skill Name</t>
  </si>
  <si>
    <t>Favor</t>
  </si>
  <si>
    <t>Bonus</t>
  </si>
  <si>
    <t>Check</t>
  </si>
  <si>
    <t>5*FOC + 3*CNV</t>
  </si>
  <si>
    <t>Physical</t>
  </si>
  <si>
    <t>Mental</t>
  </si>
  <si>
    <t>Disarm</t>
  </si>
  <si>
    <t xml:space="preserve">Make a melee basic attack against your opponent with -4 accuracy and an additional -2 accuracy for each size larger the target object is compared to your weapon. Your opponent may add a weapon skill check to their avoidance against this attack. If you hit, their object is knocked to the ground. </t>
  </si>
  <si>
    <t>Improved Disarm</t>
  </si>
  <si>
    <t xml:space="preserve">When you use Disarm, roll twice and use the better result. </t>
  </si>
  <si>
    <t>Weapon Skill</t>
  </si>
  <si>
    <t>Disarming Accuracy</t>
  </si>
  <si>
    <t>When you use Disarm, you gain a +4 bonus to the attack roll.</t>
  </si>
  <si>
    <t>Evasion</t>
  </si>
  <si>
    <t xml:space="preserve">When you are attacked by the last opponent you made a melee attack against, you may pay 5 AP to add an acrobatics check to your dodge. </t>
  </si>
  <si>
    <t>Uncanny Dodge</t>
  </si>
  <si>
    <t xml:space="preserve">You are subconsciously aware of danger. When you provide advantage, you provide 2 less accuracy bonus. </t>
  </si>
  <si>
    <t>Lightning Reactions</t>
  </si>
  <si>
    <t xml:space="preserve">You do not suffer the penalty to accuracy while you are granting advantage. </t>
  </si>
  <si>
    <t>Mind and Body</t>
  </si>
  <si>
    <t xml:space="preserve">You may add your focus modifier to your avoidance. </t>
  </si>
  <si>
    <t>Parry</t>
  </si>
  <si>
    <t>While wielding a melee weapon and not wielding a shield, you gain a shield rating equal to one-half your expertise. When a melee attack hits within your shield range, make a basic attack. If you attack roll exceeds your opponents attack roll your weapon takes the damage of the attack rather than you. Otherwise it is considered a full hit.</t>
  </si>
  <si>
    <t>Riposte</t>
  </si>
  <si>
    <t xml:space="preserve">Whenever you successfully parry an attack by 10 or more with a balanced or light weapon, you may immediately make a melee basic attack with the same weapon at no cost. </t>
  </si>
  <si>
    <t>Deflection</t>
  </si>
  <si>
    <t xml:space="preserve">Increases your weapon's durability by 50% </t>
  </si>
  <si>
    <t>Dual Wield</t>
  </si>
  <si>
    <t xml:space="preserve">You do not suffer the normal accuracy penalty to your main weapon with Two Weapon Attack. </t>
  </si>
  <si>
    <t>Off-Hand Accuracy</t>
  </si>
  <si>
    <t xml:space="preserve">When you are wielding a light weapon in your offhand, You do not suffer the normal accuracy penalty to your offhand weapon with Two Weapon Attack. </t>
  </si>
  <si>
    <t>Dual Strike</t>
  </si>
  <si>
    <t>Momentum</t>
  </si>
  <si>
    <t xml:space="preserve">When you miss a melee basic attack with your mainhand weapon you may pay 15 MP to  immediately make a melee basic attack with your offhand. </t>
  </si>
  <si>
    <t xml:space="preserve">10 MP: Make a single melee basic attack using the lowest accuracy modifier. Damage is applied from both weapons as if this attack were a single weapon, but it cannot score a critical strike. </t>
  </si>
  <si>
    <t>Tactical Withdraw</t>
  </si>
  <si>
    <t>1 TP: Move 3 spaces</t>
  </si>
  <si>
    <t>Endurance</t>
  </si>
  <si>
    <t>You do not die until -35% HP.</t>
  </si>
  <si>
    <t>Diehard</t>
  </si>
  <si>
    <t>When you are reduced to 0 or fewer hit points, you may choose to remain conscious.  If you do, you are immediately drained 1 MP for each HP you are below 0 and whenever you spend AP, you lose an equal amount of MP.  When you run out of MP, you fall unconscious</t>
  </si>
  <si>
    <t>Merits</t>
  </si>
  <si>
    <t>SUCCESSES REQUIRED (DC + 1)</t>
  </si>
  <si>
    <t>Burden</t>
  </si>
  <si>
    <t>INVENTORY</t>
  </si>
  <si>
    <t>Armor Burden</t>
  </si>
  <si>
    <t>Total Burden</t>
  </si>
  <si>
    <t>Value/Damage</t>
  </si>
  <si>
    <t>Defense/AP</t>
  </si>
  <si>
    <t>Creature Name</t>
  </si>
  <si>
    <t>Tactics</t>
  </si>
  <si>
    <t>NULL</t>
  </si>
  <si>
    <t>Axes</t>
  </si>
  <si>
    <t>Maces</t>
  </si>
  <si>
    <t>Swords</t>
  </si>
  <si>
    <t>Weapon</t>
  </si>
  <si>
    <t>agi+wis</t>
  </si>
  <si>
    <t>wis/2 + ins/2</t>
  </si>
  <si>
    <t>Magical</t>
  </si>
  <si>
    <t>Wind</t>
  </si>
  <si>
    <t>۞ Defenses   ۞</t>
  </si>
  <si>
    <t>4*CON + 2*CNV</t>
  </si>
  <si>
    <t>4*FOC + 2*CNV</t>
  </si>
  <si>
    <t>INT/2 + CHA/2</t>
  </si>
  <si>
    <t>Resolve</t>
  </si>
  <si>
    <t>A T T R I B U T E S</t>
  </si>
  <si>
    <t>S T R</t>
  </si>
  <si>
    <t>C O N</t>
  </si>
  <si>
    <t>C O M B A T</t>
  </si>
  <si>
    <t>A B I L I T I E S</t>
  </si>
  <si>
    <t>I N T</t>
  </si>
  <si>
    <t>Speed</t>
  </si>
  <si>
    <t>C H A</t>
  </si>
  <si>
    <t>I N S</t>
  </si>
  <si>
    <t>S K I L L S</t>
  </si>
  <si>
    <t>DAMAGE</t>
  </si>
  <si>
    <t>Defense</t>
  </si>
  <si>
    <t>T</t>
  </si>
  <si>
    <t>E</t>
  </si>
  <si>
    <t xml:space="preserve">Expression </t>
  </si>
  <si>
    <t xml:space="preserve">Fitness </t>
  </si>
  <si>
    <t>B</t>
  </si>
  <si>
    <t>C</t>
  </si>
  <si>
    <t xml:space="preserve">Perception </t>
  </si>
  <si>
    <t xml:space="preserve">Subterfuge </t>
  </si>
  <si>
    <t>E X P E R T I S E</t>
  </si>
  <si>
    <t>A D D I T I O N A L   N O T E S</t>
  </si>
  <si>
    <t xml:space="preserve">Security </t>
  </si>
  <si>
    <t xml:space="preserve">Appraisal </t>
  </si>
  <si>
    <t xml:space="preserve">Comprehension </t>
  </si>
  <si>
    <t xml:space="preserve">Stealth </t>
  </si>
  <si>
    <t xml:space="preserve">Streetwise </t>
  </si>
  <si>
    <t xml:space="preserve">Survival </t>
  </si>
  <si>
    <t>Bonus Exp</t>
  </si>
  <si>
    <t>Free Range EXP</t>
  </si>
  <si>
    <t>of</t>
  </si>
  <si>
    <t>Helper Cells.  These columns should be hidden</t>
  </si>
  <si>
    <t>Sums Row --&gt;</t>
  </si>
  <si>
    <t>Sums --&gt;</t>
  </si>
  <si>
    <t>Cost of first rank –&gt;</t>
  </si>
  <si>
    <t>Next Point:</t>
  </si>
  <si>
    <t>4 Cell Gap</t>
  </si>
  <si>
    <t>_________ Skills</t>
  </si>
  <si>
    <t>You gain a +1 bonus on attack rolls with the chosen weapon type.</t>
  </si>
  <si>
    <t>Personality</t>
  </si>
  <si>
    <t>Protection</t>
  </si>
  <si>
    <t>Chainmail</t>
  </si>
  <si>
    <t>W I T</t>
  </si>
  <si>
    <t>P E R S O N A</t>
  </si>
  <si>
    <t>Social</t>
  </si>
  <si>
    <t>Impairments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</si>
</sst>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0.0"/>
    <numFmt numFmtId="169" formatCode="\+#;\-#;\+0"/>
    <numFmt numFmtId="170" formatCode="\+0"/>
    <numFmt numFmtId="171" formatCode="0.000"/>
  </numFmts>
  <fonts count="161" x14ac:knownFonts="1">
    <font>
      <sz val="11"/>
      <color theme="1"/>
      <name val="Calibri"/>
      <family val="2"/>
      <scheme val="minor"/>
    </font>
    <font>
      <sz val="11"/>
      <color indexed="8"/>
      <name val="Calibri"/>
      <family val="2"/>
    </font>
    <font>
      <b/>
      <sz val="11"/>
      <color indexed="8"/>
      <name val="Calibri"/>
      <family val="2"/>
    </font>
    <font>
      <b/>
      <sz val="15"/>
      <color indexed="56"/>
      <name val="Calibri"/>
      <family val="2"/>
    </font>
    <font>
      <sz val="8"/>
      <name val="Calibri"/>
      <family val="2"/>
    </font>
    <font>
      <sz val="7"/>
      <color indexed="8"/>
      <name val="Calibri"/>
      <family val="2"/>
    </font>
    <font>
      <b/>
      <sz val="13"/>
      <color indexed="56"/>
      <name val="Calibri"/>
      <family val="2"/>
    </font>
    <font>
      <b/>
      <sz val="11"/>
      <color indexed="56"/>
      <name val="Calibri"/>
      <family val="2"/>
    </font>
    <font>
      <sz val="7"/>
      <color indexed="23"/>
      <name val="Calibri"/>
      <family val="2"/>
    </font>
    <font>
      <sz val="11"/>
      <color indexed="10"/>
      <name val="Calibri"/>
      <family val="2"/>
    </font>
    <font>
      <sz val="7"/>
      <color indexed="60"/>
      <name val="Calibri"/>
      <family val="2"/>
    </font>
    <font>
      <b/>
      <sz val="11"/>
      <color indexed="60"/>
      <name val="Calibri"/>
      <family val="2"/>
    </font>
    <font>
      <u/>
      <sz val="11"/>
      <color indexed="8"/>
      <name val="Calibri"/>
      <family val="2"/>
    </font>
    <font>
      <sz val="11"/>
      <color indexed="44"/>
      <name val="Calibri"/>
      <family val="2"/>
    </font>
    <font>
      <b/>
      <sz val="18"/>
      <color indexed="9"/>
      <name val="Calibri"/>
      <family val="2"/>
    </font>
    <font>
      <sz val="11"/>
      <color indexed="27"/>
      <name val="Calibri"/>
      <family val="2"/>
    </font>
    <font>
      <sz val="7"/>
      <color indexed="8"/>
      <name val="Calibri"/>
      <family val="2"/>
    </font>
    <font>
      <sz val="7"/>
      <color indexed="60"/>
      <name val="Calibri"/>
      <family val="2"/>
    </font>
    <font>
      <sz val="7"/>
      <color indexed="60"/>
      <name val="Calibri"/>
      <family val="2"/>
    </font>
    <font>
      <sz val="7"/>
      <color indexed="51"/>
      <name val="Calibri"/>
      <family val="2"/>
    </font>
    <font>
      <sz val="10"/>
      <color indexed="9"/>
      <name val="Calibri"/>
      <family val="2"/>
    </font>
    <font>
      <sz val="20"/>
      <color indexed="27"/>
      <name val="Calibri"/>
      <family val="2"/>
    </font>
    <font>
      <b/>
      <sz val="11"/>
      <color indexed="60"/>
      <name val="Calibri"/>
      <family val="2"/>
    </font>
    <font>
      <b/>
      <sz val="10"/>
      <color indexed="9"/>
      <name val="Calibri"/>
      <family val="2"/>
    </font>
    <font>
      <sz val="20"/>
      <color indexed="8"/>
      <name val="Calibri"/>
      <family val="2"/>
    </font>
    <font>
      <sz val="7"/>
      <color indexed="44"/>
      <name val="Calibri"/>
      <family val="2"/>
    </font>
    <font>
      <sz val="7"/>
      <name val="Calibri"/>
      <family val="2"/>
    </font>
    <font>
      <sz val="11"/>
      <name val="Calibri"/>
      <family val="2"/>
    </font>
    <font>
      <b/>
      <sz val="13"/>
      <color theme="3"/>
      <name val="Calibri"/>
      <family val="2"/>
      <scheme val="minor"/>
    </font>
    <font>
      <b/>
      <sz val="11"/>
      <color theme="3"/>
      <name val="Calibri"/>
      <family val="2"/>
      <scheme val="minor"/>
    </font>
    <font>
      <b/>
      <sz val="11"/>
      <color theme="1"/>
      <name val="Calibri"/>
      <family val="2"/>
      <scheme val="minor"/>
    </font>
    <font>
      <sz val="11"/>
      <color rgb="FFC00000"/>
      <name val="Calibri"/>
      <family val="2"/>
      <scheme val="minor"/>
    </font>
    <font>
      <sz val="11"/>
      <color theme="3"/>
      <name val="Calibri"/>
      <family val="2"/>
      <scheme val="minor"/>
    </font>
    <font>
      <sz val="11"/>
      <color rgb="FF7030A0"/>
      <name val="Calibri"/>
      <family val="2"/>
      <scheme val="minor"/>
    </font>
    <font>
      <sz val="11"/>
      <color theme="8" tint="0.79998168889431442"/>
      <name val="Calibri"/>
      <family val="2"/>
    </font>
    <font>
      <b/>
      <sz val="11"/>
      <color theme="8" tint="0.79998168889431442"/>
      <name val="Calibri"/>
      <family val="2"/>
    </font>
    <font>
      <sz val="11"/>
      <color theme="8" tint="0.79998168889431442"/>
      <name val="Calibri"/>
      <family val="2"/>
      <scheme val="minor"/>
    </font>
    <font>
      <sz val="20"/>
      <color theme="8" tint="0.79998168889431442"/>
      <name val="Calibri"/>
      <family val="2"/>
    </font>
    <font>
      <sz val="11"/>
      <name val="Calibri"/>
      <family val="2"/>
      <scheme val="minor"/>
    </font>
    <font>
      <b/>
      <sz val="12"/>
      <color rgb="FFC00000"/>
      <name val="Calibri"/>
      <family val="2"/>
    </font>
    <font>
      <b/>
      <sz val="12"/>
      <color theme="3"/>
      <name val="Calibri"/>
      <family val="2"/>
    </font>
    <font>
      <b/>
      <sz val="13"/>
      <color theme="3"/>
      <name val="Calibri"/>
      <family val="2"/>
    </font>
    <font>
      <b/>
      <sz val="12"/>
      <color rgb="FF7030A0"/>
      <name val="Calibri"/>
      <family val="2"/>
    </font>
    <font>
      <sz val="7"/>
      <color rgb="FFC00000"/>
      <name val="Calibri"/>
      <family val="2"/>
    </font>
    <font>
      <sz val="7"/>
      <color theme="3"/>
      <name val="Calibri"/>
      <family val="2"/>
    </font>
    <font>
      <b/>
      <sz val="18"/>
      <color rgb="FFC00000"/>
      <name val="Calibri"/>
      <family val="2"/>
    </font>
    <font>
      <b/>
      <sz val="16"/>
      <color theme="3"/>
      <name val="Calibri"/>
      <family val="2"/>
    </font>
    <font>
      <b/>
      <sz val="16"/>
      <color rgb="FF7030A0"/>
      <name val="Calibri"/>
      <family val="2"/>
    </font>
    <font>
      <b/>
      <sz val="13"/>
      <color rgb="FFC00000"/>
      <name val="Calibri"/>
      <family val="2"/>
    </font>
    <font>
      <b/>
      <sz val="13"/>
      <color rgb="FF7030A0"/>
      <name val="Calibri"/>
      <family val="2"/>
    </font>
    <font>
      <sz val="7"/>
      <color rgb="FF7030A0"/>
      <name val="Calibri"/>
      <family val="2"/>
    </font>
    <font>
      <b/>
      <sz val="18"/>
      <color theme="3"/>
      <name val="Calibri"/>
      <family val="2"/>
    </font>
    <font>
      <b/>
      <sz val="16"/>
      <color rgb="FFC00000"/>
      <name val="Calibri"/>
      <family val="2"/>
    </font>
    <font>
      <sz val="11"/>
      <color rgb="FFC00000"/>
      <name val="Calibri"/>
      <family val="2"/>
    </font>
    <font>
      <b/>
      <sz val="18"/>
      <color rgb="FF7030A0"/>
      <name val="Calibri"/>
      <family val="2"/>
    </font>
    <font>
      <sz val="20"/>
      <color theme="3" tint="0.79998168889431442"/>
      <name val="Calibri"/>
      <family val="2"/>
    </font>
    <font>
      <sz val="11"/>
      <color theme="3" tint="0.79998168889431442"/>
      <name val="Calibri"/>
      <family val="2"/>
    </font>
    <font>
      <sz val="5"/>
      <color indexed="8"/>
      <name val="Calibri"/>
      <family val="2"/>
    </font>
    <font>
      <sz val="7"/>
      <color theme="4"/>
      <name val="Calibri"/>
      <family val="2"/>
    </font>
    <font>
      <sz val="7"/>
      <color theme="4"/>
      <name val="Calibri"/>
      <family val="2"/>
      <scheme val="minor"/>
    </font>
    <font>
      <b/>
      <sz val="11"/>
      <color theme="0"/>
      <name val="Calibri"/>
      <family val="2"/>
      <scheme val="minor"/>
    </font>
    <font>
      <sz val="11"/>
      <name val="Verdana"/>
      <family val="2"/>
    </font>
    <font>
      <b/>
      <sz val="22"/>
      <color indexed="8"/>
      <name val="Verdana"/>
      <family val="2"/>
    </font>
    <font>
      <b/>
      <sz val="34"/>
      <name val="Verdana"/>
      <family val="2"/>
    </font>
    <font>
      <sz val="7"/>
      <color theme="1"/>
      <name val="Calibri"/>
      <family val="2"/>
      <scheme val="minor"/>
    </font>
    <font>
      <sz val="7"/>
      <name val="Verdana"/>
      <family val="2"/>
    </font>
    <font>
      <sz val="6"/>
      <name val="Verdana"/>
      <family val="2"/>
    </font>
    <font>
      <sz val="6"/>
      <color theme="1"/>
      <name val="Calibri"/>
      <family val="2"/>
      <scheme val="minor"/>
    </font>
    <font>
      <b/>
      <sz val="14"/>
      <color indexed="8"/>
      <name val="Verdana"/>
      <family val="2"/>
    </font>
    <font>
      <sz val="11"/>
      <color indexed="8"/>
      <name val="Verdana"/>
      <family val="2"/>
    </font>
    <font>
      <sz val="20"/>
      <color theme="0" tint="-0.14999847407452621"/>
      <name val="Calibri"/>
      <family val="2"/>
    </font>
    <font>
      <sz val="11"/>
      <color theme="0" tint="-0.14999847407452621"/>
      <name val="Calibri"/>
      <family val="2"/>
    </font>
    <font>
      <b/>
      <sz val="11"/>
      <color indexed="8"/>
      <name val="Verdana"/>
      <family val="2"/>
    </font>
    <font>
      <sz val="11"/>
      <color theme="5" tint="0.79998168889431442"/>
      <name val="Calibri"/>
      <family val="2"/>
    </font>
    <font>
      <b/>
      <sz val="11"/>
      <color theme="3"/>
      <name val="Calibri"/>
      <family val="2"/>
    </font>
    <font>
      <sz val="11"/>
      <color rgb="FF9C0006"/>
      <name val="Calibri"/>
      <family val="2"/>
      <scheme val="minor"/>
    </font>
    <font>
      <sz val="8"/>
      <color theme="1"/>
      <name val="Calibri"/>
      <family val="2"/>
      <scheme val="minor"/>
    </font>
    <font>
      <sz val="10"/>
      <color theme="1"/>
      <name val="Calibri"/>
      <family val="2"/>
      <scheme val="minor"/>
    </font>
    <font>
      <sz val="12"/>
      <color theme="1"/>
      <name val="Calibri"/>
      <family val="2"/>
      <scheme val="minor"/>
    </font>
    <font>
      <sz val="11"/>
      <color theme="0"/>
      <name val="Calibri"/>
      <family val="2"/>
      <scheme val="minor"/>
    </font>
    <font>
      <sz val="5"/>
      <color theme="1"/>
      <name val="Calibri"/>
      <family val="2"/>
      <scheme val="minor"/>
    </font>
    <font>
      <sz val="9"/>
      <color theme="1"/>
      <name val="Calibri"/>
      <family val="2"/>
      <scheme val="minor"/>
    </font>
    <font>
      <sz val="5"/>
      <color theme="0"/>
      <name val="Calibri"/>
      <family val="2"/>
      <scheme val="minor"/>
    </font>
    <font>
      <sz val="20"/>
      <color theme="1"/>
      <name val="Calibri"/>
      <family val="2"/>
      <scheme val="minor"/>
    </font>
    <font>
      <sz val="11"/>
      <color theme="0"/>
      <name val="Verdana"/>
      <family val="2"/>
    </font>
    <font>
      <sz val="15"/>
      <color theme="1"/>
      <name val="Calibri"/>
      <family val="2"/>
      <scheme val="minor"/>
    </font>
    <font>
      <sz val="13"/>
      <color theme="1"/>
      <name val="Calibri"/>
      <family val="2"/>
      <scheme val="minor"/>
    </font>
    <font>
      <sz val="25"/>
      <color theme="1"/>
      <name val="Calibri"/>
      <family val="2"/>
      <scheme val="minor"/>
    </font>
    <font>
      <sz val="6"/>
      <color theme="0" tint="-4.9989318521683403E-2"/>
      <name val="Calibri"/>
      <family val="2"/>
      <scheme val="minor"/>
    </font>
    <font>
      <sz val="10"/>
      <color rgb="FF00B050"/>
      <name val="Calibri"/>
      <family val="2"/>
      <scheme val="minor"/>
    </font>
    <font>
      <b/>
      <sz val="11"/>
      <color theme="1"/>
      <name val="Verdana"/>
      <family val="2"/>
    </font>
    <font>
      <b/>
      <sz val="20"/>
      <color theme="1"/>
      <name val="Calibri"/>
      <family val="2"/>
      <scheme val="minor"/>
    </font>
    <font>
      <sz val="14"/>
      <color theme="1"/>
      <name val="Verdana"/>
      <family val="2"/>
    </font>
    <font>
      <b/>
      <sz val="12"/>
      <color indexed="8"/>
      <name val="Verdana"/>
      <family val="2"/>
    </font>
    <font>
      <b/>
      <sz val="10"/>
      <color rgb="FF00B050"/>
      <name val="Calibri"/>
      <family val="2"/>
      <scheme val="minor"/>
    </font>
    <font>
      <sz val="9"/>
      <color indexed="81"/>
      <name val="Tahoma"/>
      <family val="2"/>
    </font>
    <font>
      <b/>
      <sz val="9"/>
      <color indexed="81"/>
      <name val="Tahoma"/>
      <family val="2"/>
    </font>
    <font>
      <sz val="6"/>
      <name val="Calibri"/>
      <family val="2"/>
      <scheme val="minor"/>
    </font>
    <font>
      <sz val="5"/>
      <name val="Calibri"/>
      <family val="2"/>
    </font>
    <font>
      <sz val="8"/>
      <name val="Calibri"/>
      <family val="2"/>
      <scheme val="minor"/>
    </font>
    <font>
      <sz val="20"/>
      <name val="Copperplate Gothic Bold"/>
      <family val="2"/>
    </font>
    <font>
      <b/>
      <sz val="11"/>
      <name val="Calibri"/>
      <family val="2"/>
      <scheme val="minor"/>
    </font>
    <font>
      <sz val="4"/>
      <color theme="1"/>
      <name val="Calibri"/>
      <family val="2"/>
      <scheme val="minor"/>
    </font>
    <font>
      <sz val="4"/>
      <color theme="0"/>
      <name val="Calibri"/>
      <family val="2"/>
      <scheme val="minor"/>
    </font>
    <font>
      <sz val="6"/>
      <color theme="0"/>
      <name val="Calibri"/>
      <family val="2"/>
      <scheme val="minor"/>
    </font>
    <font>
      <sz val="11"/>
      <color theme="0" tint="-0.249977111117893"/>
      <name val="Calibri"/>
      <family val="2"/>
    </font>
    <font>
      <sz val="15"/>
      <name val="Calibri"/>
      <family val="2"/>
    </font>
    <font>
      <sz val="14"/>
      <color indexed="8"/>
      <name val="Calibri"/>
      <family val="2"/>
      <scheme val="minor"/>
    </font>
    <font>
      <b/>
      <sz val="13"/>
      <color indexed="9"/>
      <name val="Calibri"/>
      <family val="2"/>
    </font>
    <font>
      <sz val="11"/>
      <color theme="1"/>
      <name val="Verdana"/>
      <family val="2"/>
    </font>
    <font>
      <sz val="6"/>
      <color theme="1"/>
      <name val="Verdana"/>
      <family val="2"/>
    </font>
    <font>
      <u/>
      <sz val="11"/>
      <color theme="10"/>
      <name val="Calibri"/>
      <family val="2"/>
      <scheme val="minor"/>
    </font>
    <font>
      <u/>
      <sz val="11"/>
      <color rgb="FF0000FF"/>
      <name val="Calibri"/>
      <family val="2"/>
      <scheme val="minor"/>
    </font>
    <font>
      <b/>
      <sz val="11"/>
      <name val="Calibri"/>
      <family val="2"/>
    </font>
    <font>
      <sz val="409"/>
      <color theme="0"/>
      <name val="Calibri"/>
      <family val="2"/>
      <scheme val="minor"/>
    </font>
    <font>
      <b/>
      <sz val="13"/>
      <color theme="3"/>
      <name val="Slider"/>
    </font>
    <font>
      <b/>
      <sz val="13"/>
      <color theme="0"/>
      <name val="Slider"/>
    </font>
    <font>
      <b/>
      <sz val="13"/>
      <color theme="3" tint="0.79998168889431442"/>
      <name val="Slider"/>
    </font>
    <font>
      <b/>
      <sz val="13"/>
      <color rgb="FF1F497D"/>
      <name val="Slider"/>
    </font>
    <font>
      <u/>
      <sz val="11"/>
      <color theme="1"/>
      <name val="Calibri"/>
      <family val="2"/>
      <scheme val="minor"/>
    </font>
    <font>
      <b/>
      <sz val="13"/>
      <color theme="9" tint="0.59999389629810485"/>
      <name val="Slider"/>
    </font>
    <font>
      <sz val="11"/>
      <color theme="1"/>
      <name val="Slider"/>
    </font>
    <font>
      <sz val="7"/>
      <color rgb="FF1F497D"/>
      <name val="Myriad Pro"/>
      <family val="2"/>
    </font>
    <font>
      <b/>
      <sz val="14"/>
      <color indexed="8"/>
      <name val="Myriad Pro"/>
      <family val="2"/>
    </font>
    <font>
      <b/>
      <sz val="14"/>
      <color indexed="8"/>
      <name val="Slider"/>
    </font>
    <font>
      <b/>
      <sz val="14"/>
      <name val="Myriad Pro"/>
      <family val="2"/>
    </font>
    <font>
      <sz val="12"/>
      <color theme="1"/>
      <name val="Myriad Pro"/>
      <family val="2"/>
    </font>
    <font>
      <sz val="10"/>
      <color theme="1"/>
      <name val="Slider"/>
    </font>
    <font>
      <u/>
      <sz val="11"/>
      <color theme="0"/>
      <name val="Calibri"/>
      <family val="2"/>
      <scheme val="minor"/>
    </font>
    <font>
      <sz val="11"/>
      <color theme="3"/>
      <name val="Slider"/>
    </font>
    <font>
      <sz val="6"/>
      <color theme="1"/>
      <name val="Slider"/>
    </font>
    <font>
      <b/>
      <sz val="7"/>
      <color theme="0"/>
      <name val="Slider"/>
    </font>
    <font>
      <sz val="20"/>
      <color theme="1"/>
      <name val="Korataki"/>
    </font>
    <font>
      <sz val="11"/>
      <color theme="0"/>
      <name val="Slider"/>
    </font>
    <font>
      <sz val="10"/>
      <color theme="0"/>
      <name val="Slider"/>
    </font>
    <font>
      <u/>
      <sz val="6"/>
      <color theme="10"/>
      <name val="Myriad Pro"/>
      <family val="2"/>
    </font>
    <font>
      <sz val="6"/>
      <color theme="1"/>
      <name val="Myriad Pro"/>
      <family val="2"/>
    </font>
    <font>
      <sz val="6"/>
      <color rgb="FFFF0000"/>
      <name val="Myriad Pro"/>
      <family val="2"/>
    </font>
    <font>
      <sz val="5"/>
      <color theme="0" tint="-4.9989318521683403E-2"/>
      <name val="Calibri"/>
      <family val="2"/>
      <scheme val="minor"/>
    </font>
    <font>
      <sz val="8.5"/>
      <color theme="1"/>
      <name val="Calibri"/>
      <family val="2"/>
      <scheme val="minor"/>
    </font>
    <font>
      <sz val="8"/>
      <color theme="0" tint="-4.9989318521683403E-2"/>
      <name val="Slider"/>
    </font>
    <font>
      <sz val="8"/>
      <color theme="0" tint="-4.9989318521683403E-2"/>
      <name val="Calibri"/>
      <family val="2"/>
      <scheme val="minor"/>
    </font>
    <font>
      <sz val="10"/>
      <name val="Calibri"/>
      <family val="2"/>
      <scheme val="minor"/>
    </font>
    <font>
      <sz val="20"/>
      <color theme="1"/>
      <name val="Copperplate Gothic Bold"/>
      <family val="2"/>
    </font>
    <font>
      <sz val="11"/>
      <color theme="1"/>
      <name val="Copperplate Gothic Bold"/>
      <family val="2"/>
    </font>
    <font>
      <sz val="11"/>
      <color indexed="8"/>
      <name val="Copperplate Gothic Bold"/>
      <family val="2"/>
    </font>
    <font>
      <sz val="11"/>
      <color theme="0" tint="-4.9989318521683403E-2"/>
      <name val="Calibri"/>
      <family val="2"/>
      <scheme val="minor"/>
    </font>
    <font>
      <sz val="4"/>
      <name val="Calibri"/>
      <family val="2"/>
      <scheme val="minor"/>
    </font>
    <font>
      <b/>
      <sz val="4"/>
      <name val="Calibri"/>
      <family val="2"/>
      <scheme val="minor"/>
    </font>
    <font>
      <b/>
      <sz val="16"/>
      <color theme="0"/>
      <name val="Copperplate Gothic Bold"/>
      <family val="2"/>
    </font>
    <font>
      <b/>
      <sz val="20"/>
      <color theme="0"/>
      <name val="Copperplate Gothic Bold"/>
      <family val="2"/>
    </font>
    <font>
      <b/>
      <sz val="16"/>
      <color rgb="FFC00000"/>
      <name val="Copperplate Gothic Bold"/>
      <family val="2"/>
    </font>
    <font>
      <sz val="16"/>
      <color theme="1"/>
      <name val="Copperplate Gothic Bold"/>
      <family val="2"/>
    </font>
    <font>
      <sz val="16"/>
      <color rgb="FFC00000"/>
      <name val="Copperplate Gothic Bold"/>
      <family val="2"/>
    </font>
    <font>
      <b/>
      <sz val="16"/>
      <color rgb="FF1F497D"/>
      <name val="Copperplate Gothic Bold"/>
      <family val="2"/>
    </font>
    <font>
      <b/>
      <sz val="14"/>
      <name val="FuturaBook BT"/>
      <family val="2"/>
    </font>
    <font>
      <b/>
      <sz val="11"/>
      <color theme="1"/>
      <name val="FuturaBook BT"/>
      <family val="2"/>
    </font>
    <font>
      <b/>
      <sz val="14"/>
      <color theme="1"/>
      <name val="FuturaBook BT"/>
      <family val="2"/>
    </font>
    <font>
      <sz val="11"/>
      <color theme="1"/>
      <name val="Calibri"/>
      <family val="2"/>
      <scheme val="minor"/>
    </font>
    <font>
      <b/>
      <sz val="13"/>
      <color rgb="FFFFFF99"/>
      <name val="Slider"/>
    </font>
    <font>
      <b/>
      <sz val="16"/>
      <color theme="9"/>
      <name val="Copperplate Gothic Bold"/>
      <family val="2"/>
    </font>
  </fonts>
  <fills count="22">
    <fill>
      <patternFill patternType="none"/>
    </fill>
    <fill>
      <patternFill patternType="gray125"/>
    </fill>
    <fill>
      <patternFill patternType="solid">
        <fgColor indexed="9"/>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0"/>
        <bgColor indexed="64"/>
      </patternFill>
    </fill>
    <fill>
      <patternFill patternType="solid">
        <fgColor indexed="9"/>
        <bgColor indexed="26"/>
      </patternFill>
    </fill>
    <fill>
      <patternFill patternType="solid">
        <fgColor rgb="FFFFFFCC"/>
        <bgColor indexed="64"/>
      </patternFill>
    </fill>
    <fill>
      <patternFill patternType="solid">
        <fgColor theme="1"/>
        <bgColor indexed="64"/>
      </patternFill>
    </fill>
    <fill>
      <patternFill patternType="solid">
        <fgColor indexed="31"/>
        <bgColor indexed="22"/>
      </patternFill>
    </fill>
    <fill>
      <patternFill patternType="solid">
        <fgColor indexed="43"/>
        <bgColor indexed="26"/>
      </patternFill>
    </fill>
    <fill>
      <patternFill patternType="solid">
        <fgColor rgb="FFFFC7CE"/>
      </patternFill>
    </fill>
    <fill>
      <patternFill patternType="solid">
        <fgColor theme="0" tint="-4.9989318521683403E-2"/>
        <bgColor indexed="64"/>
      </patternFill>
    </fill>
    <fill>
      <patternFill patternType="solid">
        <fgColor rgb="FFFFFF99"/>
        <bgColor indexed="64"/>
      </patternFill>
    </fill>
    <fill>
      <patternFill patternType="solid">
        <fgColor rgb="FFFCFEFE"/>
        <bgColor indexed="64"/>
      </patternFill>
    </fill>
    <fill>
      <patternFill patternType="solid">
        <fgColor theme="0" tint="-0.24994659260841701"/>
        <bgColor indexed="64"/>
      </patternFill>
    </fill>
    <fill>
      <patternFill patternType="solid">
        <fgColor rgb="FFE4E4E4"/>
        <bgColor indexed="64"/>
      </patternFill>
    </fill>
    <fill>
      <patternFill patternType="solid">
        <fgColor rgb="FFFFC000"/>
        <bgColor indexed="64"/>
      </patternFill>
    </fill>
    <fill>
      <patternFill patternType="solid">
        <fgColor rgb="FF00B050"/>
        <bgColor indexed="64"/>
      </patternFill>
    </fill>
    <fill>
      <patternFill patternType="solid">
        <fgColor theme="4"/>
        <bgColor indexed="64"/>
      </patternFill>
    </fill>
    <fill>
      <patternFill patternType="solid">
        <fgColor rgb="FFC5D9F1"/>
        <bgColor indexed="64"/>
      </patternFill>
    </fill>
  </fills>
  <borders count="425">
    <border>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double">
        <color indexed="60"/>
      </top>
      <bottom/>
      <diagonal/>
    </border>
    <border>
      <left/>
      <right/>
      <top style="medium">
        <color indexed="30"/>
      </top>
      <bottom/>
      <diagonal/>
    </border>
    <border>
      <left style="thin">
        <color indexed="30"/>
      </left>
      <right/>
      <top style="thin">
        <color indexed="30"/>
      </top>
      <bottom/>
      <diagonal/>
    </border>
    <border>
      <left/>
      <right/>
      <top style="thin">
        <color indexed="30"/>
      </top>
      <bottom/>
      <diagonal/>
    </border>
    <border>
      <left style="thin">
        <color indexed="30"/>
      </left>
      <right/>
      <top/>
      <bottom/>
      <diagonal/>
    </border>
    <border>
      <left/>
      <right style="thin">
        <color indexed="30"/>
      </right>
      <top/>
      <bottom/>
      <diagonal/>
    </border>
    <border>
      <left/>
      <right/>
      <top/>
      <bottom style="double">
        <color indexed="60"/>
      </bottom>
      <diagonal/>
    </border>
    <border>
      <left style="double">
        <color indexed="16"/>
      </left>
      <right/>
      <top/>
      <bottom/>
      <diagonal/>
    </border>
    <border>
      <left/>
      <right style="double">
        <color indexed="60"/>
      </right>
      <top/>
      <bottom/>
      <diagonal/>
    </border>
    <border>
      <left style="double">
        <color indexed="60"/>
      </left>
      <right/>
      <top style="double">
        <color indexed="60"/>
      </top>
      <bottom/>
      <diagonal/>
    </border>
    <border>
      <left style="double">
        <color auto="1"/>
      </left>
      <right/>
      <top style="thin">
        <color auto="1"/>
      </top>
      <bottom/>
      <diagonal/>
    </border>
    <border>
      <left/>
      <right style="double">
        <color auto="1"/>
      </right>
      <top style="thin">
        <color auto="1"/>
      </top>
      <bottom/>
      <diagonal/>
    </border>
    <border>
      <left style="double">
        <color auto="1"/>
      </left>
      <right/>
      <top/>
      <bottom/>
      <diagonal/>
    </border>
    <border>
      <left/>
      <right style="double">
        <color auto="1"/>
      </right>
      <top/>
      <bottom/>
      <diagonal/>
    </border>
    <border>
      <left style="double">
        <color auto="1"/>
      </left>
      <right/>
      <top/>
      <bottom style="thin">
        <color auto="1"/>
      </bottom>
      <diagonal/>
    </border>
    <border>
      <left/>
      <right style="double">
        <color auto="1"/>
      </right>
      <top/>
      <bottom style="thin">
        <color auto="1"/>
      </bottom>
      <diagonal/>
    </border>
    <border>
      <left/>
      <right/>
      <top/>
      <bottom style="thin">
        <color indexed="60"/>
      </bottom>
      <diagonal/>
    </border>
    <border>
      <left/>
      <right style="double">
        <color indexed="60"/>
      </right>
      <top/>
      <bottom style="thin">
        <color indexed="60"/>
      </bottom>
      <diagonal/>
    </border>
    <border>
      <left/>
      <right/>
      <top/>
      <bottom style="thin">
        <color indexed="30"/>
      </bottom>
      <diagonal/>
    </border>
    <border diagonalDown="1">
      <left/>
      <right/>
      <top/>
      <bottom/>
      <diagonal style="double">
        <color indexed="60"/>
      </diagonal>
    </border>
    <border>
      <left style="double">
        <color indexed="60"/>
      </left>
      <right/>
      <top/>
      <bottom/>
      <diagonal/>
    </border>
    <border>
      <left style="double">
        <color indexed="60"/>
      </left>
      <right/>
      <top/>
      <bottom style="double">
        <color indexed="60"/>
      </bottom>
      <diagonal/>
    </border>
    <border>
      <left/>
      <right style="double">
        <color indexed="60"/>
      </right>
      <top/>
      <bottom style="double">
        <color indexed="60"/>
      </bottom>
      <diagonal/>
    </border>
    <border>
      <left/>
      <right/>
      <top/>
      <bottom style="medium">
        <color indexed="36"/>
      </bottom>
      <diagonal/>
    </border>
    <border>
      <left/>
      <right/>
      <top style="medium">
        <color indexed="60"/>
      </top>
      <bottom/>
      <diagonal/>
    </border>
    <border>
      <left/>
      <right/>
      <top/>
      <bottom style="medium">
        <color indexed="18"/>
      </bottom>
      <diagonal/>
    </border>
    <border>
      <left style="double">
        <color auto="1"/>
      </left>
      <right/>
      <top style="thin">
        <color auto="1"/>
      </top>
      <bottom style="thin">
        <color auto="1"/>
      </bottom>
      <diagonal/>
    </border>
    <border>
      <left/>
      <right style="dotted">
        <color auto="1"/>
      </right>
      <top style="thin">
        <color auto="1"/>
      </top>
      <bottom/>
      <diagonal/>
    </border>
    <border>
      <left/>
      <right style="dotted">
        <color auto="1"/>
      </right>
      <top/>
      <bottom style="thin">
        <color auto="1"/>
      </bottom>
      <diagonal/>
    </border>
    <border>
      <left/>
      <right style="dotted">
        <color auto="1"/>
      </right>
      <top/>
      <bottom/>
      <diagonal/>
    </border>
    <border diagonalDown="1">
      <left/>
      <right/>
      <top/>
      <bottom/>
      <diagonal style="thin">
        <color auto="1"/>
      </diagonal>
    </border>
    <border diagonalDown="1">
      <left/>
      <right/>
      <top/>
      <bottom style="thin">
        <color auto="1"/>
      </bottom>
      <diagonal style="thin">
        <color auto="1"/>
      </diagonal>
    </border>
    <border>
      <left style="dotted">
        <color auto="1"/>
      </left>
      <right/>
      <top style="thin">
        <color auto="1"/>
      </top>
      <bottom/>
      <diagonal/>
    </border>
    <border>
      <left style="dotted">
        <color auto="1"/>
      </left>
      <right/>
      <top/>
      <bottom style="thin">
        <color auto="1"/>
      </bottom>
      <diagonal/>
    </border>
    <border>
      <left/>
      <right/>
      <top/>
      <bottom style="medium">
        <color indexed="60"/>
      </bottom>
      <diagonal/>
    </border>
    <border>
      <left/>
      <right/>
      <top/>
      <bottom style="medium">
        <color indexed="56"/>
      </bottom>
      <diagonal/>
    </border>
    <border>
      <left/>
      <right/>
      <top style="medium">
        <color indexed="30"/>
      </top>
      <bottom style="medium">
        <color indexed="30"/>
      </bottom>
      <diagonal/>
    </border>
    <border>
      <left style="double">
        <color auto="1"/>
      </left>
      <right style="double">
        <color auto="1"/>
      </right>
      <top style="thin">
        <color auto="1"/>
      </top>
      <bottom style="thin">
        <color auto="1"/>
      </bottom>
      <diagonal/>
    </border>
    <border>
      <left/>
      <right/>
      <top style="medium">
        <color indexed="36"/>
      </top>
      <bottom/>
      <diagonal/>
    </border>
    <border>
      <left/>
      <right/>
      <top style="medium">
        <color indexed="60"/>
      </top>
      <bottom style="medium">
        <color indexed="60"/>
      </bottom>
      <diagonal/>
    </border>
    <border>
      <left/>
      <right/>
      <top style="medium">
        <color indexed="36"/>
      </top>
      <bottom style="medium">
        <color indexed="36"/>
      </bottom>
      <diagonal/>
    </border>
    <border>
      <left/>
      <right/>
      <top/>
      <bottom style="double">
        <color indexed="62"/>
      </bottom>
      <diagonal/>
    </border>
    <border>
      <left/>
      <right/>
      <top style="medium">
        <color indexed="18"/>
      </top>
      <bottom/>
      <diagonal/>
    </border>
    <border>
      <left/>
      <right/>
      <top style="medium">
        <color indexed="56"/>
      </top>
      <bottom/>
      <diagonal/>
    </border>
    <border>
      <left/>
      <right/>
      <top/>
      <bottom style="medium">
        <color indexed="51"/>
      </bottom>
      <diagonal/>
    </border>
    <border>
      <left/>
      <right/>
      <top/>
      <bottom style="medium">
        <color indexed="53"/>
      </bottom>
      <diagonal/>
    </border>
    <border>
      <left/>
      <right/>
      <top/>
      <bottom style="medium">
        <color indexed="55"/>
      </bottom>
      <diagonal/>
    </border>
    <border>
      <left style="dashed">
        <color indexed="30"/>
      </left>
      <right style="dashed">
        <color indexed="30"/>
      </right>
      <top/>
      <bottom style="medium">
        <color indexed="30"/>
      </bottom>
      <diagonal/>
    </border>
    <border>
      <left/>
      <right style="hair">
        <color indexed="60"/>
      </right>
      <top style="medium">
        <color indexed="60"/>
      </top>
      <bottom/>
      <diagonal/>
    </border>
    <border>
      <left/>
      <right style="hair">
        <color indexed="60"/>
      </right>
      <top/>
      <bottom/>
      <diagonal/>
    </border>
    <border>
      <left/>
      <right style="hair">
        <color indexed="60"/>
      </right>
      <top/>
      <bottom style="medium">
        <color indexed="60"/>
      </bottom>
      <diagonal/>
    </border>
    <border>
      <left/>
      <right/>
      <top/>
      <bottom style="thin">
        <color indexed="16"/>
      </bottom>
      <diagonal/>
    </border>
    <border>
      <left/>
      <right style="double">
        <color indexed="60"/>
      </right>
      <top/>
      <bottom style="thin">
        <color indexed="16"/>
      </bottom>
      <diagonal/>
    </border>
    <border>
      <left/>
      <right style="hair">
        <color indexed="62"/>
      </right>
      <top style="medium">
        <color indexed="30"/>
      </top>
      <bottom/>
      <diagonal/>
    </border>
    <border>
      <left/>
      <right style="hair">
        <color indexed="62"/>
      </right>
      <top/>
      <bottom/>
      <diagonal/>
    </border>
    <border>
      <left/>
      <right style="hair">
        <color indexed="62"/>
      </right>
      <top/>
      <bottom style="medium">
        <color indexed="30"/>
      </bottom>
      <diagonal/>
    </border>
    <border>
      <left/>
      <right style="hair">
        <color indexed="36"/>
      </right>
      <top/>
      <bottom/>
      <diagonal/>
    </border>
    <border>
      <left/>
      <right style="hair">
        <color indexed="36"/>
      </right>
      <top/>
      <bottom style="medium">
        <color indexed="36"/>
      </bottom>
      <diagonal/>
    </border>
    <border>
      <left style="double">
        <color auto="1"/>
      </left>
      <right style="double">
        <color auto="1"/>
      </right>
      <top/>
      <bottom style="thin">
        <color auto="1"/>
      </bottom>
      <diagonal/>
    </border>
    <border>
      <left/>
      <right style="thin">
        <color indexed="30"/>
      </right>
      <top style="thin">
        <color indexed="30"/>
      </top>
      <bottom/>
      <diagonal/>
    </border>
    <border>
      <left style="thin">
        <color indexed="30"/>
      </left>
      <right/>
      <top/>
      <bottom style="thin">
        <color indexed="30"/>
      </bottom>
      <diagonal/>
    </border>
    <border>
      <left/>
      <right style="thin">
        <color indexed="30"/>
      </right>
      <top/>
      <bottom style="thin">
        <color indexed="30"/>
      </bottom>
      <diagonal/>
    </border>
    <border>
      <left/>
      <right style="hair">
        <color indexed="36"/>
      </right>
      <top style="medium">
        <color indexed="20"/>
      </top>
      <bottom/>
      <diagonal/>
    </border>
    <border>
      <left style="hair">
        <color indexed="62"/>
      </left>
      <right/>
      <top style="medium">
        <color indexed="30"/>
      </top>
      <bottom/>
      <diagonal/>
    </border>
    <border>
      <left style="hair">
        <color indexed="62"/>
      </left>
      <right/>
      <top/>
      <bottom/>
      <diagonal/>
    </border>
    <border>
      <left style="hair">
        <color indexed="62"/>
      </left>
      <right/>
      <top/>
      <bottom style="medium">
        <color indexed="30"/>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top/>
      <bottom style="medium">
        <color rgb="FFC00000"/>
      </bottom>
      <diagonal/>
    </border>
    <border>
      <left/>
      <right/>
      <top/>
      <bottom style="medium">
        <color theme="3"/>
      </bottom>
      <diagonal/>
    </border>
    <border>
      <left/>
      <right/>
      <top style="medium">
        <color rgb="FFC00000"/>
      </top>
      <bottom style="medium">
        <color rgb="FFC00000"/>
      </bottom>
      <diagonal/>
    </border>
    <border>
      <left/>
      <right/>
      <top/>
      <bottom style="double">
        <color auto="1"/>
      </bottom>
      <diagonal/>
    </border>
    <border>
      <left style="dotted">
        <color auto="1"/>
      </left>
      <right/>
      <top/>
      <bottom/>
      <diagonal/>
    </border>
    <border>
      <left style="thin">
        <color auto="1"/>
      </left>
      <right/>
      <top/>
      <bottom/>
      <diagonal/>
    </border>
    <border>
      <left/>
      <right style="thin">
        <color auto="1"/>
      </right>
      <top/>
      <bottom/>
      <diagonal/>
    </border>
    <border>
      <left/>
      <right/>
      <top style="medium">
        <color rgb="FFC00000"/>
      </top>
      <bottom/>
      <diagonal/>
    </border>
    <border diagonalUp="1">
      <left/>
      <right/>
      <top/>
      <bottom style="thin">
        <color auto="1"/>
      </bottom>
      <diagonal style="thick">
        <color auto="1"/>
      </diagonal>
    </border>
    <border diagonalUp="1">
      <left/>
      <right/>
      <top/>
      <bottom/>
      <diagonal style="thick">
        <color auto="1"/>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right/>
      <top/>
      <bottom style="thin">
        <color auto="1"/>
      </bottom>
      <diagonal/>
    </border>
    <border>
      <left style="thin">
        <color rgb="FFFFC000"/>
      </left>
      <right/>
      <top style="thin">
        <color rgb="FFFFC000"/>
      </top>
      <bottom style="thin">
        <color rgb="FFFFC000"/>
      </bottom>
      <diagonal/>
    </border>
    <border>
      <left/>
      <right/>
      <top style="thin">
        <color rgb="FFFFC000"/>
      </top>
      <bottom style="thin">
        <color rgb="FFFFC000"/>
      </bottom>
      <diagonal/>
    </border>
    <border>
      <left/>
      <right style="thin">
        <color rgb="FFFFC000"/>
      </right>
      <top style="thin">
        <color rgb="FFFFC000"/>
      </top>
      <bottom style="thin">
        <color rgb="FFFFC000"/>
      </bottom>
      <diagonal/>
    </border>
    <border>
      <left/>
      <right style="thin">
        <color rgb="FFFFC000"/>
      </right>
      <top/>
      <bottom/>
      <diagonal/>
    </border>
    <border>
      <left style="thin">
        <color rgb="FFFFC000"/>
      </left>
      <right/>
      <top/>
      <bottom/>
      <diagonal/>
    </border>
    <border>
      <left style="thin">
        <color rgb="FF92D050"/>
      </left>
      <right/>
      <top style="thin">
        <color rgb="FF92D050"/>
      </top>
      <bottom/>
      <diagonal/>
    </border>
    <border>
      <left/>
      <right/>
      <top style="thin">
        <color rgb="FF92D050"/>
      </top>
      <bottom/>
      <diagonal/>
    </border>
    <border>
      <left/>
      <right style="thin">
        <color rgb="FF92D050"/>
      </right>
      <top style="thin">
        <color rgb="FF92D050"/>
      </top>
      <bottom/>
      <diagonal/>
    </border>
    <border>
      <left style="thin">
        <color rgb="FF92D050"/>
      </left>
      <right/>
      <top/>
      <bottom/>
      <diagonal/>
    </border>
    <border>
      <left/>
      <right style="thin">
        <color rgb="FF92D050"/>
      </right>
      <top/>
      <bottom/>
      <diagonal/>
    </border>
    <border>
      <left style="thin">
        <color rgb="FF92D050"/>
      </left>
      <right/>
      <top/>
      <bottom style="thin">
        <color rgb="FF92D050"/>
      </bottom>
      <diagonal/>
    </border>
    <border>
      <left/>
      <right/>
      <top/>
      <bottom style="thin">
        <color rgb="FF92D050"/>
      </bottom>
      <diagonal/>
    </border>
    <border>
      <left/>
      <right style="thin">
        <color rgb="FF92D050"/>
      </right>
      <top/>
      <bottom style="thin">
        <color rgb="FF92D050"/>
      </bottom>
      <diagonal/>
    </border>
    <border>
      <left style="thin">
        <color rgb="FF00B050"/>
      </left>
      <right/>
      <top style="thin">
        <color rgb="FF00B050"/>
      </top>
      <bottom/>
      <diagonal/>
    </border>
    <border>
      <left/>
      <right/>
      <top style="thin">
        <color rgb="FF00B050"/>
      </top>
      <bottom/>
      <diagonal/>
    </border>
    <border>
      <left/>
      <right style="thin">
        <color rgb="FF00B050"/>
      </right>
      <top style="thin">
        <color rgb="FF00B050"/>
      </top>
      <bottom/>
      <diagonal/>
    </border>
    <border>
      <left style="thin">
        <color rgb="FF00B050"/>
      </left>
      <right/>
      <top/>
      <bottom/>
      <diagonal/>
    </border>
    <border>
      <left/>
      <right style="thin">
        <color rgb="FF00B050"/>
      </right>
      <top/>
      <bottom/>
      <diagonal/>
    </border>
    <border>
      <left style="thin">
        <color rgb="FF00B050"/>
      </left>
      <right/>
      <top/>
      <bottom style="thin">
        <color rgb="FF00B050"/>
      </bottom>
      <diagonal/>
    </border>
    <border>
      <left/>
      <right/>
      <top/>
      <bottom style="thin">
        <color rgb="FF00B050"/>
      </bottom>
      <diagonal/>
    </border>
    <border>
      <left/>
      <right style="thin">
        <color rgb="FF00B050"/>
      </right>
      <top/>
      <bottom style="thin">
        <color rgb="FF00B050"/>
      </bottom>
      <diagonal/>
    </border>
    <border>
      <left/>
      <right style="thin">
        <color auto="1"/>
      </right>
      <top/>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right style="thin">
        <color auto="1"/>
      </right>
      <top/>
      <bottom/>
      <diagonal/>
    </border>
    <border>
      <left style="thin">
        <color auto="1"/>
      </left>
      <right/>
      <top style="thin">
        <color auto="1"/>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style="thin">
        <color auto="1"/>
      </top>
      <bottom style="thin">
        <color auto="1"/>
      </bottom>
      <diagonal/>
    </border>
    <border>
      <left style="thin">
        <color rgb="FFFFC000"/>
      </left>
      <right/>
      <top style="thin">
        <color auto="1"/>
      </top>
      <bottom/>
      <diagonal/>
    </border>
    <border>
      <left style="thin">
        <color rgb="FFFFC000"/>
      </left>
      <right/>
      <top/>
      <bottom style="thin">
        <color auto="1"/>
      </bottom>
      <diagonal/>
    </border>
    <border>
      <left/>
      <right style="thin">
        <color auto="1"/>
      </right>
      <top/>
      <bottom/>
      <diagonal/>
    </border>
    <border>
      <left/>
      <right/>
      <top/>
      <bottom style="thin">
        <color auto="1"/>
      </bottom>
      <diagonal/>
    </border>
    <border>
      <left style="thin">
        <color auto="1"/>
      </left>
      <right/>
      <top style="thin">
        <color auto="1"/>
      </top>
      <bottom/>
      <diagonal/>
    </border>
    <border>
      <left/>
      <right style="dotted">
        <color rgb="FFCCCCFF"/>
      </right>
      <top style="thin">
        <color auto="1"/>
      </top>
      <bottom/>
      <diagonal/>
    </border>
    <border>
      <left/>
      <right style="dotted">
        <color rgb="FFCCCCFF"/>
      </right>
      <top/>
      <bottom/>
      <diagonal/>
    </border>
    <border>
      <left/>
      <right style="dotted">
        <color rgb="FFCCCCFF"/>
      </right>
      <top/>
      <bottom style="thin">
        <color auto="1"/>
      </bottom>
      <diagonal/>
    </border>
    <border>
      <left style="dotted">
        <color rgb="FFCCCCFF"/>
      </left>
      <right/>
      <top style="thin">
        <color auto="1"/>
      </top>
      <bottom/>
      <diagonal/>
    </border>
    <border>
      <left style="dotted">
        <color rgb="FFCCCCFF"/>
      </left>
      <right/>
      <top/>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style="thin">
        <color auto="1"/>
      </left>
      <right/>
      <top style="thin">
        <color auto="1"/>
      </top>
      <bottom/>
      <diagonal/>
    </border>
    <border>
      <left style="dashed">
        <color auto="1"/>
      </left>
      <right/>
      <top style="thin">
        <color auto="1"/>
      </top>
      <bottom/>
      <diagonal/>
    </border>
    <border>
      <left style="dashed">
        <color auto="1"/>
      </left>
      <right/>
      <top/>
      <bottom style="thin">
        <color auto="1"/>
      </bottom>
      <diagonal/>
    </border>
    <border>
      <left/>
      <right style="dashed">
        <color auto="1"/>
      </right>
      <top/>
      <bottom style="thin">
        <color auto="1"/>
      </bottom>
      <diagonal/>
    </border>
    <border>
      <left/>
      <right/>
      <top style="thin">
        <color auto="1"/>
      </top>
      <bottom/>
      <diagonal/>
    </border>
    <border>
      <left/>
      <right style="dashed">
        <color auto="1"/>
      </right>
      <top style="thin">
        <color auto="1"/>
      </top>
      <bottom/>
      <diagonal/>
    </border>
    <border>
      <left/>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dotted">
        <color rgb="FFCCCCFF"/>
      </left>
      <right/>
      <top/>
      <bottom style="thin">
        <color auto="1"/>
      </bottom>
      <diagonal/>
    </border>
    <border>
      <left/>
      <right/>
      <top/>
      <bottom style="thin">
        <color auto="1"/>
      </bottom>
      <diagonal/>
    </border>
    <border>
      <left/>
      <right/>
      <top style="medium">
        <color auto="1"/>
      </top>
      <bottom/>
      <diagonal/>
    </border>
    <border>
      <left style="medium">
        <color rgb="FFFFAA2D"/>
      </left>
      <right/>
      <top style="medium">
        <color rgb="FFFFAA2D"/>
      </top>
      <bottom/>
      <diagonal/>
    </border>
    <border>
      <left/>
      <right/>
      <top style="medium">
        <color rgb="FFFFAA2D"/>
      </top>
      <bottom/>
      <diagonal/>
    </border>
    <border>
      <left/>
      <right style="medium">
        <color rgb="FFFFAA2D"/>
      </right>
      <top style="medium">
        <color rgb="FFFFAA2D"/>
      </top>
      <bottom/>
      <diagonal/>
    </border>
    <border>
      <left style="medium">
        <color rgb="FFFFAA2D"/>
      </left>
      <right/>
      <top/>
      <bottom/>
      <diagonal/>
    </border>
    <border>
      <left/>
      <right style="medium">
        <color rgb="FFFFAA2D"/>
      </right>
      <top/>
      <bottom/>
      <diagonal/>
    </border>
    <border>
      <left style="medium">
        <color rgb="FFFFAA2D"/>
      </left>
      <right/>
      <top/>
      <bottom style="medium">
        <color rgb="FFFFAA2D"/>
      </bottom>
      <diagonal/>
    </border>
    <border>
      <left/>
      <right/>
      <top/>
      <bottom style="medium">
        <color rgb="FFFFAA2D"/>
      </bottom>
      <diagonal/>
    </border>
    <border>
      <left/>
      <right style="medium">
        <color rgb="FFFFAA2D"/>
      </right>
      <top/>
      <bottom style="medium">
        <color rgb="FFFFAA2D"/>
      </bottom>
      <diagonal/>
    </border>
    <border>
      <left/>
      <right/>
      <top/>
      <bottom style="medium">
        <color auto="1"/>
      </bottom>
      <diagonal/>
    </border>
    <border>
      <left/>
      <right style="double">
        <color auto="1"/>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right style="medium">
        <color auto="1"/>
      </right>
      <top/>
      <bottom/>
      <diagonal/>
    </border>
    <border>
      <left/>
      <right/>
      <top/>
      <bottom style="thin">
        <color indexed="30"/>
      </bottom>
      <diagonal/>
    </border>
    <border>
      <left/>
      <right/>
      <top style="medium">
        <color theme="3"/>
      </top>
      <bottom/>
      <diagonal/>
    </border>
    <border>
      <left/>
      <right style="medium">
        <color theme="3"/>
      </right>
      <top/>
      <bottom style="medium">
        <color theme="3"/>
      </bottom>
      <diagonal/>
    </border>
    <border>
      <left style="medium">
        <color theme="3"/>
      </left>
      <right/>
      <top/>
      <bottom style="medium">
        <color theme="3"/>
      </bottom>
      <diagonal/>
    </border>
    <border>
      <left/>
      <right style="medium">
        <color theme="3"/>
      </right>
      <top/>
      <bottom/>
      <diagonal/>
    </border>
    <border>
      <left style="thin">
        <color rgb="FFFFAA2D"/>
      </left>
      <right/>
      <top/>
      <bottom style="medium">
        <color theme="3"/>
      </bottom>
      <diagonal/>
    </border>
    <border>
      <left/>
      <right style="thin">
        <color rgb="FFFFAA2D"/>
      </right>
      <top/>
      <bottom style="medium">
        <color theme="3"/>
      </bottom>
      <diagonal/>
    </border>
    <border>
      <left style="medium">
        <color theme="3"/>
      </left>
      <right/>
      <top/>
      <bottom/>
      <diagonal/>
    </border>
    <border>
      <left style="thin">
        <color rgb="FFFFAA2D"/>
      </left>
      <right/>
      <top/>
      <bottom/>
      <diagonal/>
    </border>
    <border>
      <left/>
      <right style="thin">
        <color rgb="FFFFAA2D"/>
      </right>
      <top/>
      <bottom/>
      <diagonal/>
    </border>
    <border>
      <left style="hair">
        <color auto="1"/>
      </left>
      <right/>
      <top style="thin">
        <color auto="1"/>
      </top>
      <bottom/>
      <diagonal/>
    </border>
    <border>
      <left style="hair">
        <color auto="1"/>
      </left>
      <right/>
      <top/>
      <bottom style="thin">
        <color auto="1"/>
      </bottom>
      <diagonal/>
    </border>
    <border>
      <left style="double">
        <color auto="1"/>
      </left>
      <right/>
      <top style="thin">
        <color auto="1"/>
      </top>
      <bottom/>
      <diagonal/>
    </border>
    <border>
      <left/>
      <right/>
      <top style="thin">
        <color theme="3"/>
      </top>
      <bottom/>
      <diagonal/>
    </border>
    <border>
      <left/>
      <right style="double">
        <color auto="1"/>
      </right>
      <top style="thin">
        <color auto="1"/>
      </top>
      <bottom/>
      <diagonal/>
    </border>
    <border>
      <left style="thin">
        <color auto="1"/>
      </left>
      <right/>
      <top/>
      <bottom style="double">
        <color auto="1"/>
      </bottom>
      <diagonal/>
    </border>
    <border>
      <left/>
      <right style="thin">
        <color auto="1"/>
      </right>
      <top/>
      <bottom style="double">
        <color auto="1"/>
      </bottom>
      <diagonal/>
    </border>
    <border>
      <left/>
      <right/>
      <top style="thin">
        <color indexed="30"/>
      </top>
      <bottom/>
      <diagonal/>
    </border>
    <border>
      <left style="thin">
        <color auto="1"/>
      </left>
      <right/>
      <top style="thin">
        <color auto="1"/>
      </top>
      <bottom style="thin">
        <color auto="1"/>
      </bottom>
      <diagonal/>
    </border>
    <border>
      <left style="thin">
        <color theme="3"/>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right/>
      <top style="thin">
        <color indexed="30"/>
      </top>
      <bottom/>
      <diagonal/>
    </border>
    <border>
      <left/>
      <right/>
      <top style="thin">
        <color auto="1"/>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right style="dotted">
        <color auto="1"/>
      </right>
      <top style="thin">
        <color auto="1"/>
      </top>
      <bottom/>
      <diagonal/>
    </border>
    <border>
      <left style="dotted">
        <color rgb="FFCCCCFF"/>
      </left>
      <right style="dotted">
        <color auto="1"/>
      </right>
      <top/>
      <bottom style="thin">
        <color auto="1"/>
      </bottom>
      <diagonal/>
    </border>
    <border>
      <left/>
      <right style="dotted">
        <color auto="1"/>
      </right>
      <top/>
      <bottom style="thin">
        <color auto="1"/>
      </bottom>
      <diagonal/>
    </border>
    <border>
      <left style="thin">
        <color rgb="FFFFAA2D"/>
      </left>
      <right style="thin">
        <color rgb="FFFFAA2D"/>
      </right>
      <top style="medium">
        <color theme="3"/>
      </top>
      <bottom/>
      <diagonal/>
    </border>
    <border>
      <left style="thin">
        <color rgb="FFFFAA2D"/>
      </left>
      <right style="thin">
        <color rgb="FFFFAA2D"/>
      </right>
      <top/>
      <bottom style="medium">
        <color theme="3"/>
      </bottom>
      <diagonal/>
    </border>
    <border>
      <left style="thin">
        <color rgb="FFFFAA2D"/>
      </left>
      <right/>
      <top style="medium">
        <color theme="3"/>
      </top>
      <bottom/>
      <diagonal/>
    </border>
    <border>
      <left/>
      <right style="thin">
        <color rgb="FFFFAA2D"/>
      </right>
      <top style="medium">
        <color theme="3"/>
      </top>
      <bottom/>
      <diagonal/>
    </border>
    <border>
      <left style="medium">
        <color theme="3"/>
      </left>
      <right/>
      <top style="medium">
        <color theme="3"/>
      </top>
      <bottom/>
      <diagonal/>
    </border>
    <border>
      <left/>
      <right style="medium">
        <color theme="3"/>
      </right>
      <top style="medium">
        <color theme="3"/>
      </top>
      <bottom/>
      <diagonal/>
    </border>
    <border>
      <left/>
      <right style="double">
        <color auto="1"/>
      </right>
      <top/>
      <bottom style="thin">
        <color auto="1"/>
      </bottom>
      <diagonal/>
    </border>
    <border>
      <left style="medium">
        <color auto="1"/>
      </left>
      <right/>
      <top style="medium">
        <color theme="0"/>
      </top>
      <bottom/>
      <diagonal/>
    </border>
    <border>
      <left/>
      <right/>
      <top style="medium">
        <color theme="0"/>
      </top>
      <bottom/>
      <diagonal/>
    </border>
    <border>
      <left/>
      <right style="medium">
        <color theme="0"/>
      </right>
      <top style="medium">
        <color theme="0"/>
      </top>
      <bottom/>
      <diagonal/>
    </border>
    <border>
      <left style="medium">
        <color auto="1"/>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auto="1"/>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right style="thin">
        <color auto="1"/>
      </right>
      <top style="medium">
        <color theme="0"/>
      </top>
      <bottom style="medium">
        <color theme="0"/>
      </bottom>
      <diagonal/>
    </border>
    <border>
      <left style="medium">
        <color theme="0"/>
      </left>
      <right style="thin">
        <color auto="1"/>
      </right>
      <top style="medium">
        <color theme="0"/>
      </top>
      <bottom style="medium">
        <color theme="0"/>
      </bottom>
      <diagonal/>
    </border>
    <border>
      <left style="thin">
        <color auto="1"/>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auto="1"/>
      </right>
      <top style="thin">
        <color theme="0"/>
      </top>
      <bottom style="thin">
        <color theme="0"/>
      </bottom>
      <diagonal/>
    </border>
    <border>
      <left/>
      <right style="thin">
        <color auto="1"/>
      </right>
      <top/>
      <bottom/>
      <diagonal/>
    </border>
    <border>
      <left style="thin">
        <color auto="1"/>
      </left>
      <right/>
      <top style="medium">
        <color theme="0"/>
      </top>
      <bottom/>
      <diagonal/>
    </border>
    <border>
      <left style="thin">
        <color auto="1"/>
      </left>
      <right/>
      <top/>
      <bottom style="medium">
        <color theme="0"/>
      </bottom>
      <diagonal/>
    </border>
    <border>
      <left/>
      <right style="thin">
        <color auto="1"/>
      </right>
      <top style="medium">
        <color theme="0"/>
      </top>
      <bottom/>
      <diagonal/>
    </border>
    <border>
      <left/>
      <right style="thin">
        <color auto="1"/>
      </right>
      <top/>
      <bottom style="medium">
        <color theme="0"/>
      </bottom>
      <diagonal/>
    </border>
    <border>
      <left style="thin">
        <color auto="1"/>
      </left>
      <right/>
      <top style="thin">
        <color auto="1"/>
      </top>
      <bottom style="thin">
        <color auto="1"/>
      </bottom>
      <diagonal/>
    </border>
    <border>
      <left style="thin">
        <color auto="1"/>
      </left>
      <right/>
      <top style="double">
        <color auto="1"/>
      </top>
      <bottom/>
      <diagonal/>
    </border>
    <border>
      <left/>
      <right/>
      <top style="double">
        <color auto="1"/>
      </top>
      <bottom/>
      <diagonal/>
    </border>
    <border>
      <left/>
      <right style="thin">
        <color auto="1"/>
      </right>
      <top style="double">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medium">
        <color theme="3"/>
      </left>
      <right/>
      <top style="medium">
        <color theme="3"/>
      </top>
      <bottom style="thin">
        <color theme="3"/>
      </bottom>
      <diagonal/>
    </border>
    <border>
      <left/>
      <right/>
      <top style="medium">
        <color theme="3"/>
      </top>
      <bottom style="thin">
        <color theme="3"/>
      </bottom>
      <diagonal/>
    </border>
    <border>
      <left style="thin">
        <color rgb="FFFFAA2D"/>
      </left>
      <right/>
      <top style="medium">
        <color theme="3"/>
      </top>
      <bottom style="thin">
        <color theme="3"/>
      </bottom>
      <diagonal/>
    </border>
    <border>
      <left/>
      <right style="thin">
        <color rgb="FFFFAA2D"/>
      </right>
      <top style="medium">
        <color theme="3"/>
      </top>
      <bottom style="thin">
        <color theme="3"/>
      </bottom>
      <diagonal/>
    </border>
    <border>
      <left/>
      <right style="medium">
        <color theme="3"/>
      </right>
      <top style="medium">
        <color theme="3"/>
      </top>
      <bottom style="thin">
        <color theme="3"/>
      </bottom>
      <diagonal/>
    </border>
    <border>
      <left style="medium">
        <color theme="3"/>
      </left>
      <right/>
      <top style="thin">
        <color theme="3"/>
      </top>
      <bottom style="thin">
        <color theme="3"/>
      </bottom>
      <diagonal/>
    </border>
    <border>
      <left/>
      <right/>
      <top style="thin">
        <color theme="3"/>
      </top>
      <bottom style="thin">
        <color theme="3"/>
      </bottom>
      <diagonal/>
    </border>
    <border>
      <left style="thin">
        <color rgb="FFFFAA2D"/>
      </left>
      <right/>
      <top style="thin">
        <color theme="3"/>
      </top>
      <bottom style="thin">
        <color theme="3"/>
      </bottom>
      <diagonal/>
    </border>
    <border>
      <left/>
      <right style="thin">
        <color rgb="FFFFAA2D"/>
      </right>
      <top style="thin">
        <color theme="3"/>
      </top>
      <bottom style="thin">
        <color theme="3"/>
      </bottom>
      <diagonal/>
    </border>
    <border>
      <left/>
      <right style="medium">
        <color theme="3"/>
      </right>
      <top style="thin">
        <color theme="3"/>
      </top>
      <bottom style="thin">
        <color theme="3"/>
      </bottom>
      <diagonal/>
    </border>
    <border>
      <left/>
      <right/>
      <top/>
      <bottom style="thin">
        <color indexed="53"/>
      </bottom>
      <diagonal/>
    </border>
    <border>
      <left/>
      <right/>
      <top/>
      <bottom style="thin">
        <color indexed="55"/>
      </bottom>
      <diagonal/>
    </border>
    <border>
      <left/>
      <right/>
      <top/>
      <bottom style="thin">
        <color indexed="51"/>
      </bottom>
      <diagonal/>
    </border>
    <border>
      <left style="thin">
        <color rgb="FFFFAA2D"/>
      </left>
      <right/>
      <top/>
      <bottom style="thin">
        <color rgb="FFFFAA2D"/>
      </bottom>
      <diagonal/>
    </border>
    <border>
      <left/>
      <right/>
      <top/>
      <bottom style="thin">
        <color rgb="FFFFAA2D"/>
      </bottom>
      <diagonal/>
    </border>
    <border>
      <left/>
      <right style="thin">
        <color rgb="FFFFAA2D"/>
      </right>
      <top/>
      <bottom style="thin">
        <color rgb="FFFFAA2D"/>
      </bottom>
      <diagonal/>
    </border>
    <border>
      <left style="thin">
        <color rgb="FFFFAA2D"/>
      </left>
      <right/>
      <top style="thin">
        <color rgb="FFFFAA2D"/>
      </top>
      <bottom/>
      <diagonal/>
    </border>
    <border>
      <left/>
      <right/>
      <top style="thin">
        <color rgb="FFFFAA2D"/>
      </top>
      <bottom/>
      <diagonal/>
    </border>
    <border>
      <left/>
      <right style="thin">
        <color rgb="FFFFAA2D"/>
      </right>
      <top style="thin">
        <color rgb="FFFFAA2D"/>
      </top>
      <bottom/>
      <diagonal/>
    </border>
    <border>
      <left style="thin">
        <color auto="1"/>
      </left>
      <right/>
      <top style="thin">
        <color auto="1"/>
      </top>
      <bottom/>
      <diagonal/>
    </border>
    <border>
      <left/>
      <right/>
      <top style="thin">
        <color auto="1"/>
      </top>
      <bottom/>
      <diagonal/>
    </border>
    <border>
      <left style="thin">
        <color auto="1"/>
      </left>
      <right style="medium">
        <color theme="0"/>
      </right>
      <top style="medium">
        <color theme="0"/>
      </top>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theme="0"/>
      </left>
      <right style="thin">
        <color auto="1"/>
      </right>
      <top style="medium">
        <color theme="0"/>
      </top>
      <bottom/>
      <diagonal/>
    </border>
    <border>
      <left/>
      <right style="thin">
        <color auto="1"/>
      </right>
      <top/>
      <bottom/>
      <diagonal/>
    </border>
    <border>
      <left/>
      <right/>
      <top style="thin">
        <color auto="1"/>
      </top>
      <bottom/>
      <diagonal/>
    </border>
    <border diagonalUp="1">
      <left/>
      <right/>
      <top style="thin">
        <color auto="1"/>
      </top>
      <bottom/>
      <diagonal style="thin">
        <color auto="1"/>
      </diagonal>
    </border>
    <border>
      <left style="thin">
        <color auto="1"/>
      </left>
      <right/>
      <top/>
      <bottom style="thin">
        <color auto="1"/>
      </bottom>
      <diagonal/>
    </border>
    <border diagonalDown="1">
      <left/>
      <right/>
      <top style="thin">
        <color auto="1"/>
      </top>
      <bottom/>
      <diagonal style="thin">
        <color auto="1"/>
      </diagonal>
    </border>
    <border>
      <left style="thin">
        <color auto="1"/>
      </left>
      <right/>
      <top style="thin">
        <color auto="1"/>
      </top>
      <bottom/>
      <diagonal/>
    </border>
    <border>
      <left/>
      <right/>
      <top/>
      <bottom style="thin">
        <color auto="1"/>
      </bottom>
      <diagonal/>
    </border>
    <border>
      <left/>
      <right style="dashed">
        <color auto="1"/>
      </right>
      <top/>
      <bottom style="thin">
        <color auto="1"/>
      </bottom>
      <diagonal/>
    </border>
    <border>
      <left/>
      <right/>
      <top style="thin">
        <color auto="1"/>
      </top>
      <bottom/>
      <diagonal/>
    </border>
    <border>
      <left/>
      <right style="double">
        <color auto="1"/>
      </right>
      <top style="thin">
        <color auto="1"/>
      </top>
      <bottom/>
      <diagonal/>
    </border>
    <border>
      <left/>
      <right style="double">
        <color auto="1"/>
      </right>
      <top/>
      <bottom style="thin">
        <color auto="1"/>
      </bottom>
      <diagonal/>
    </border>
    <border>
      <left style="thin">
        <color auto="1"/>
      </left>
      <right/>
      <top style="thin">
        <color auto="1"/>
      </top>
      <bottom/>
      <diagonal/>
    </border>
    <border>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right style="hair">
        <color auto="1"/>
      </right>
      <top style="thin">
        <color auto="1"/>
      </top>
      <bottom/>
      <diagonal/>
    </border>
    <border>
      <left/>
      <right style="hair">
        <color auto="1"/>
      </right>
      <top/>
      <bottom style="thin">
        <color auto="1"/>
      </bottom>
      <diagonal/>
    </border>
    <border>
      <left/>
      <right style="thin">
        <color auto="1"/>
      </right>
      <top style="thin">
        <color auto="1"/>
      </top>
      <bottom/>
      <diagonal/>
    </border>
    <border>
      <left style="dashed">
        <color auto="1"/>
      </left>
      <right/>
      <top style="thin">
        <color auto="1"/>
      </top>
      <bottom/>
      <diagonal/>
    </border>
    <border>
      <left/>
      <right style="dashed">
        <color auto="1"/>
      </right>
      <top style="thin">
        <color auto="1"/>
      </top>
      <bottom/>
      <diagonal/>
    </border>
    <border>
      <left/>
      <right style="thin">
        <color auto="1"/>
      </right>
      <top/>
      <bottom style="thin">
        <color auto="1"/>
      </bottom>
      <diagonal/>
    </border>
    <border>
      <left/>
      <right style="medium">
        <color theme="3"/>
      </right>
      <top style="thin">
        <color theme="3"/>
      </top>
      <bottom/>
      <diagonal/>
    </border>
    <border>
      <left/>
      <right style="medium">
        <color theme="3"/>
      </right>
      <top/>
      <bottom style="thin">
        <color theme="3"/>
      </bottom>
      <diagonal/>
    </border>
    <border>
      <left style="medium">
        <color theme="3"/>
      </left>
      <right/>
      <top style="thin">
        <color theme="3"/>
      </top>
      <bottom/>
      <diagonal/>
    </border>
    <border>
      <left style="medium">
        <color theme="3"/>
      </left>
      <right/>
      <top/>
      <bottom style="thin">
        <color theme="3"/>
      </bottom>
      <diagonal/>
    </border>
    <border>
      <left style="thin">
        <color theme="3"/>
      </left>
      <right style="thin">
        <color theme="3"/>
      </right>
      <top/>
      <bottom/>
      <diagonal/>
    </border>
    <border>
      <left style="thin">
        <color theme="3"/>
      </left>
      <right style="thin">
        <color theme="3"/>
      </right>
      <top/>
      <bottom style="medium">
        <color theme="3"/>
      </bottom>
      <diagonal/>
    </border>
    <border>
      <left/>
      <right style="thin">
        <color theme="3"/>
      </right>
      <top style="medium">
        <color theme="3"/>
      </top>
      <bottom/>
      <diagonal/>
    </border>
    <border>
      <left style="thin">
        <color theme="3"/>
      </left>
      <right style="thin">
        <color theme="3"/>
      </right>
      <top style="medium">
        <color theme="3"/>
      </top>
      <bottom/>
      <diagonal/>
    </border>
    <border>
      <left style="thin">
        <color theme="3"/>
      </left>
      <right/>
      <top style="medium">
        <color theme="3"/>
      </top>
      <bottom/>
      <diagonal/>
    </border>
    <border>
      <left style="thin">
        <color theme="3"/>
      </left>
      <right/>
      <top/>
      <bottom style="medium">
        <color theme="3"/>
      </bottom>
      <diagonal/>
    </border>
    <border>
      <left/>
      <right style="thin">
        <color theme="3"/>
      </right>
      <top/>
      <bottom style="medium">
        <color theme="3"/>
      </bottom>
      <diagonal/>
    </border>
    <border>
      <left style="double">
        <color auto="1"/>
      </left>
      <right/>
      <top style="thin">
        <color auto="1"/>
      </top>
      <bottom/>
      <diagonal/>
    </border>
    <border>
      <left/>
      <right/>
      <top style="thin">
        <color auto="1"/>
      </top>
      <bottom/>
      <diagonal/>
    </border>
    <border>
      <left style="double">
        <color auto="1"/>
      </left>
      <right/>
      <top/>
      <bottom style="double">
        <color auto="1"/>
      </bottom>
      <diagonal/>
    </border>
    <border>
      <left/>
      <right style="double">
        <color auto="1"/>
      </right>
      <top/>
      <bottom style="double">
        <color auto="1"/>
      </bottom>
      <diagonal/>
    </border>
    <border>
      <left style="thin">
        <color auto="1"/>
      </left>
      <right/>
      <top style="thin">
        <color auto="1"/>
      </top>
      <bottom/>
      <diagonal/>
    </border>
    <border>
      <left/>
      <right style="thin">
        <color auto="1"/>
      </right>
      <top style="thin">
        <color auto="1"/>
      </top>
      <bottom/>
      <diagonal/>
    </border>
    <border>
      <left style="medium">
        <color theme="0"/>
      </left>
      <right/>
      <top style="medium">
        <color theme="0"/>
      </top>
      <bottom/>
      <diagonal/>
    </border>
    <border>
      <left style="medium">
        <color theme="0"/>
      </left>
      <right/>
      <top/>
      <bottom style="medium">
        <color theme="0"/>
      </bottom>
      <diagonal/>
    </border>
    <border>
      <left/>
      <right style="double">
        <color auto="1"/>
      </right>
      <top style="thin">
        <color auto="1"/>
      </top>
      <bottom/>
      <diagonal/>
    </border>
    <border>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rgb="FF1F497D"/>
      </left>
      <right/>
      <top style="thin">
        <color rgb="FF1F497D"/>
      </top>
      <bottom/>
      <diagonal/>
    </border>
    <border>
      <left/>
      <right/>
      <top style="thin">
        <color rgb="FF1F497D"/>
      </top>
      <bottom/>
      <diagonal/>
    </border>
    <border>
      <left/>
      <right style="thin">
        <color rgb="FF1F497D"/>
      </right>
      <top style="thin">
        <color rgb="FF1F497D"/>
      </top>
      <bottom/>
      <diagonal/>
    </border>
    <border>
      <left style="thin">
        <color rgb="FF1F497D"/>
      </left>
      <right/>
      <top/>
      <bottom style="thin">
        <color rgb="FF1F497D"/>
      </bottom>
      <diagonal/>
    </border>
    <border>
      <left/>
      <right/>
      <top/>
      <bottom style="thin">
        <color rgb="FF1F497D"/>
      </bottom>
      <diagonal/>
    </border>
    <border>
      <left/>
      <right style="thin">
        <color rgb="FF1F497D"/>
      </right>
      <top/>
      <bottom style="thin">
        <color rgb="FF1F497D"/>
      </bottom>
      <diagonal/>
    </border>
    <border>
      <left/>
      <right style="thin">
        <color auto="1"/>
      </right>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right style="thin">
        <color rgb="FFC00000"/>
      </right>
      <top/>
      <bottom/>
      <diagonal/>
    </border>
    <border>
      <left style="thin">
        <color rgb="FFC00000"/>
      </left>
      <right style="thin">
        <color rgb="FFC00000"/>
      </right>
      <top style="thin">
        <color rgb="FFC00000"/>
      </top>
      <bottom/>
      <diagonal/>
    </border>
    <border>
      <left style="thin">
        <color rgb="FF1F497D"/>
      </left>
      <right/>
      <top/>
      <bottom/>
      <diagonal/>
    </border>
    <border>
      <left style="thin">
        <color rgb="FFC00000"/>
      </left>
      <right style="thin">
        <color rgb="FFC00000"/>
      </right>
      <top/>
      <bottom style="thin">
        <color rgb="FFC00000"/>
      </bottom>
      <diagonal/>
    </border>
    <border>
      <left/>
      <right/>
      <top/>
      <bottom style="thin">
        <color indexed="30"/>
      </bottom>
      <diagonal/>
    </border>
    <border>
      <left/>
      <right/>
      <top style="thin">
        <color indexed="30"/>
      </top>
      <bottom/>
      <diagonal/>
    </border>
    <border>
      <left style="thin">
        <color auto="1"/>
      </left>
      <right/>
      <top style="thin">
        <color auto="1"/>
      </top>
      <bottom/>
      <diagonal/>
    </border>
    <border>
      <left/>
      <right style="thin">
        <color auto="1"/>
      </right>
      <top style="thin">
        <color auto="1"/>
      </top>
      <bottom/>
      <diagonal/>
    </border>
    <border>
      <left/>
      <right style="thin">
        <color rgb="FF1F497D"/>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1F497D"/>
      </left>
      <right/>
      <top style="thin">
        <color rgb="FF1F497D"/>
      </top>
      <bottom style="thin">
        <color rgb="FF1F497D"/>
      </bottom>
      <diagonal/>
    </border>
    <border>
      <left/>
      <right style="thin">
        <color rgb="FF1F497D"/>
      </right>
      <top style="thin">
        <color rgb="FF1F497D"/>
      </top>
      <bottom style="thin">
        <color rgb="FF1F497D"/>
      </bottom>
      <diagonal/>
    </border>
    <border>
      <left/>
      <right/>
      <top style="thin">
        <color auto="1"/>
      </top>
      <bottom style="thin">
        <color auto="1"/>
      </bottom>
      <diagonal/>
    </border>
    <border diagonalUp="1">
      <left/>
      <right/>
      <top/>
      <bottom/>
      <diagonal style="thin">
        <color auto="1"/>
      </diagonal>
    </border>
    <border>
      <left/>
      <right/>
      <top style="thin">
        <color auto="1"/>
      </top>
      <bottom/>
      <diagonal/>
    </border>
    <border diagonalUp="1">
      <left/>
      <right/>
      <top/>
      <bottom style="dotted">
        <color auto="1"/>
      </bottom>
      <diagonal style="thin">
        <color auto="1"/>
      </diagonal>
    </border>
    <border>
      <left/>
      <right/>
      <top/>
      <bottom style="dotted">
        <color auto="1"/>
      </bottom>
      <diagonal/>
    </border>
    <border diagonalDown="1">
      <left/>
      <right/>
      <top/>
      <bottom style="dotted">
        <color auto="1"/>
      </bottom>
      <diagonal style="thin">
        <color auto="1"/>
      </diagonal>
    </border>
    <border>
      <left/>
      <right style="thin">
        <color auto="1"/>
      </right>
      <top style="thin">
        <color auto="1"/>
      </top>
      <bottom/>
      <diagonal/>
    </border>
    <border>
      <left/>
      <right style="thin">
        <color auto="1"/>
      </right>
      <top/>
      <bottom/>
      <diagonal/>
    </border>
    <border>
      <left/>
      <right style="thin">
        <color rgb="FFFFC000"/>
      </right>
      <top/>
      <bottom style="thin">
        <color theme="3"/>
      </bottom>
      <diagonal/>
    </border>
    <border>
      <left style="thin">
        <color rgb="FFFFC000"/>
      </left>
      <right/>
      <top/>
      <bottom style="thin">
        <color theme="3"/>
      </bottom>
      <diagonal/>
    </border>
    <border>
      <left/>
      <right style="medium">
        <color auto="1"/>
      </right>
      <top style="thin">
        <color auto="1"/>
      </top>
      <bottom/>
      <diagonal/>
    </border>
    <border>
      <left/>
      <right style="medium">
        <color auto="1"/>
      </right>
      <top/>
      <bottom style="thin">
        <color auto="1"/>
      </bottom>
      <diagonal/>
    </border>
    <border>
      <left style="thin">
        <color auto="1"/>
      </left>
      <right/>
      <top style="dotted">
        <color auto="1"/>
      </top>
      <bottom/>
      <diagonal/>
    </border>
    <border>
      <left/>
      <right/>
      <top style="dotted">
        <color auto="1"/>
      </top>
      <bottom/>
      <diagonal/>
    </border>
    <border>
      <left style="thin">
        <color theme="3"/>
      </left>
      <right style="thin">
        <color theme="3"/>
      </right>
      <top style="thin">
        <color theme="3"/>
      </top>
      <bottom/>
      <diagonal/>
    </border>
    <border>
      <left style="thin">
        <color theme="3"/>
      </left>
      <right style="thin">
        <color theme="3"/>
      </right>
      <top/>
      <bottom style="thin">
        <color theme="3"/>
      </bottom>
      <diagonal/>
    </border>
    <border>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rgb="FFFFAA2D"/>
      </left>
      <right style="thin">
        <color rgb="FFFFAA2D"/>
      </right>
      <top/>
      <bottom/>
      <diagonal/>
    </border>
    <border>
      <left style="thin">
        <color rgb="FF0000FF"/>
      </left>
      <right/>
      <top style="thin">
        <color rgb="FF0000FF"/>
      </top>
      <bottom/>
      <diagonal/>
    </border>
    <border>
      <left/>
      <right/>
      <top style="thin">
        <color rgb="FF0000FF"/>
      </top>
      <bottom/>
      <diagonal/>
    </border>
    <border>
      <left/>
      <right style="thin">
        <color rgb="FF0000FF"/>
      </right>
      <top style="thin">
        <color rgb="FF0000FF"/>
      </top>
      <bottom/>
      <diagonal/>
    </border>
    <border>
      <left style="thin">
        <color rgb="FF0000FF"/>
      </left>
      <right/>
      <top/>
      <bottom/>
      <diagonal/>
    </border>
    <border>
      <left/>
      <right style="thin">
        <color rgb="FF0000FF"/>
      </right>
      <top/>
      <bottom/>
      <diagonal/>
    </border>
    <border>
      <left style="thin">
        <color rgb="FF0000FF"/>
      </left>
      <right style="thin">
        <color rgb="FF0000FF"/>
      </right>
      <top/>
      <bottom/>
      <diagonal/>
    </border>
    <border>
      <left/>
      <right/>
      <top style="thin">
        <color auto="1"/>
      </top>
      <bottom/>
      <diagonal/>
    </border>
    <border>
      <left/>
      <right/>
      <top style="thin">
        <color rgb="FF0000FF"/>
      </top>
      <bottom style="thin">
        <color rgb="FF0000FF"/>
      </bottom>
      <diagonal/>
    </border>
    <border>
      <left/>
      <right/>
      <top style="thin">
        <color rgb="FFFFAA2D"/>
      </top>
      <bottom style="thin">
        <color rgb="FFFFAA2D"/>
      </bottom>
      <diagonal/>
    </border>
    <border>
      <left style="thin">
        <color rgb="FFFFAA2D"/>
      </left>
      <right style="thin">
        <color rgb="FF0000FF"/>
      </right>
      <top style="thin">
        <color rgb="FFFFAA2D"/>
      </top>
      <bottom/>
      <diagonal/>
    </border>
    <border>
      <left/>
      <right style="thin">
        <color rgb="FF0000FF"/>
      </right>
      <top style="thin">
        <color rgb="FFFFAA2D"/>
      </top>
      <bottom/>
      <diagonal/>
    </border>
    <border>
      <left style="thin">
        <color rgb="FFFFC000"/>
      </left>
      <right style="thin">
        <color rgb="FF0000FF"/>
      </right>
      <top/>
      <bottom/>
      <diagonal/>
    </border>
    <border>
      <left style="thin">
        <color rgb="FFFFC000"/>
      </left>
      <right style="thin">
        <color rgb="FFFFC000"/>
      </right>
      <top/>
      <bottom/>
      <diagonal/>
    </border>
    <border>
      <left style="thin">
        <color rgb="FFFFC000"/>
      </left>
      <right/>
      <top/>
      <bottom style="thin">
        <color auto="1"/>
      </bottom>
      <diagonal/>
    </border>
    <border>
      <left/>
      <right style="thin">
        <color rgb="FF0000FF"/>
      </right>
      <top/>
      <bottom style="thin">
        <color auto="1"/>
      </bottom>
      <diagonal/>
    </border>
    <border>
      <left/>
      <right/>
      <top style="thin">
        <color auto="1"/>
      </top>
      <bottom/>
      <diagonal/>
    </border>
    <border>
      <left style="thin">
        <color rgb="FF0000FF"/>
      </left>
      <right style="thin">
        <color rgb="FF0000FF"/>
      </right>
      <top style="thin">
        <color auto="1"/>
      </top>
      <bottom/>
      <diagonal/>
    </border>
    <border>
      <left/>
      <right style="thin">
        <color auto="1"/>
      </right>
      <top style="thin">
        <color auto="1"/>
      </top>
      <bottom/>
      <diagonal/>
    </border>
    <border>
      <left style="thin">
        <color rgb="FF0000FF"/>
      </left>
      <right style="thin">
        <color rgb="FF0000FF"/>
      </right>
      <top/>
      <bottom style="thin">
        <color auto="1"/>
      </bottom>
      <diagonal/>
    </border>
    <border>
      <left/>
      <right/>
      <top style="thin">
        <color auto="1"/>
      </top>
      <bottom/>
      <diagonal/>
    </border>
    <border>
      <left style="thin">
        <color rgb="FF0000FF"/>
      </left>
      <right style="thin">
        <color rgb="FF0000FF"/>
      </right>
      <top/>
      <bottom style="thin">
        <color rgb="FFFFAA2D"/>
      </bottom>
      <diagonal/>
    </border>
    <border>
      <left style="thin">
        <color rgb="FF0000FF"/>
      </left>
      <right style="thin">
        <color auto="1"/>
      </right>
      <top/>
      <bottom/>
      <diagonal/>
    </border>
    <border>
      <left style="thin">
        <color rgb="FF0000FF"/>
      </left>
      <right/>
      <top/>
      <bottom style="thin">
        <color rgb="FF0000FF"/>
      </bottom>
      <diagonal/>
    </border>
    <border>
      <left style="thin">
        <color auto="1"/>
      </left>
      <right/>
      <top style="thin">
        <color auto="1"/>
      </top>
      <bottom/>
      <diagonal/>
    </border>
    <border>
      <left/>
      <right/>
      <top style="thin">
        <color theme="3"/>
      </top>
      <bottom style="thin">
        <color auto="1"/>
      </bottom>
      <diagonal/>
    </border>
    <border>
      <left style="thin">
        <color theme="3"/>
      </left>
      <right style="thin">
        <color auto="1"/>
      </right>
      <top/>
      <bottom/>
      <diagonal/>
    </border>
    <border>
      <left style="thin">
        <color rgb="FFFFC000"/>
      </left>
      <right/>
      <top style="thin">
        <color auto="1"/>
      </top>
      <bottom/>
      <diagonal/>
    </border>
    <border>
      <left/>
      <right style="thin">
        <color rgb="FF0000FF"/>
      </right>
      <top style="thin">
        <color auto="1"/>
      </top>
      <bottom/>
      <diagonal/>
    </border>
    <border>
      <left style="thin">
        <color rgb="FF0000FF"/>
      </left>
      <right/>
      <top style="thin">
        <color rgb="FFFFAA2D"/>
      </top>
      <bottom/>
      <diagonal/>
    </border>
    <border>
      <left/>
      <right style="thin">
        <color auto="1"/>
      </right>
      <top style="thin">
        <color rgb="FF0000FF"/>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bottom/>
      <diagonal/>
    </border>
    <border>
      <left/>
      <right style="thin">
        <color auto="1"/>
      </right>
      <top style="thin">
        <color auto="1"/>
      </top>
      <bottom/>
      <diagonal/>
    </border>
    <border>
      <left/>
      <right style="thin">
        <color auto="1"/>
      </right>
      <top style="thin">
        <color rgb="FF1F497D"/>
      </top>
      <bottom/>
      <diagonal/>
    </border>
    <border>
      <left/>
      <right style="thin">
        <color auto="1"/>
      </right>
      <top/>
      <bottom style="thin">
        <color rgb="FF1F497D"/>
      </bottom>
      <diagonal/>
    </border>
  </borders>
  <cellStyleXfs count="410">
    <xf numFmtId="0" fontId="0" fillId="0" borderId="0"/>
    <xf numFmtId="43" fontId="1" fillId="0" borderId="0" applyFont="0" applyFill="0" applyBorder="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28" fillId="0" borderId="79"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6" fillId="0" borderId="2" applyNumberFormat="0" applyFill="0" applyAlignment="0" applyProtection="0"/>
    <xf numFmtId="0" fontId="29" fillId="0" borderId="80"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9" fontId="1" fillId="0" borderId="0" applyFont="0" applyFill="0" applyBorder="0" applyAlignment="0" applyProtection="0"/>
    <xf numFmtId="0" fontId="30" fillId="0" borderId="81"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5" fillId="12" borderId="0" applyNumberFormat="0" applyBorder="0" applyAlignment="0" applyProtection="0"/>
    <xf numFmtId="0" fontId="111" fillId="0" borderId="0" applyNumberFormat="0" applyFill="0" applyBorder="0" applyAlignment="0" applyProtection="0"/>
    <xf numFmtId="9" fontId="158" fillId="0" borderId="0" applyFont="0" applyFill="0" applyBorder="0" applyAlignment="0" applyProtection="0"/>
    <xf numFmtId="43" fontId="158" fillId="0" borderId="0" applyFont="0" applyFill="0" applyBorder="0" applyAlignment="0" applyProtection="0"/>
  </cellStyleXfs>
  <cellXfs count="2023">
    <xf numFmtId="0" fontId="0" fillId="0" borderId="0" xfId="0"/>
    <xf numFmtId="0" fontId="12" fillId="0" borderId="0" xfId="0" applyFont="1" applyBorder="1" applyAlignment="1">
      <alignment vertical="top"/>
    </xf>
    <xf numFmtId="0" fontId="11" fillId="0" borderId="13" xfId="163" applyFont="1" applyBorder="1" applyAlignment="1"/>
    <xf numFmtId="0" fontId="15" fillId="0" borderId="0" xfId="0" applyFont="1" applyBorder="1"/>
    <xf numFmtId="0" fontId="21" fillId="0" borderId="0" xfId="0" applyFont="1" applyBorder="1" applyAlignment="1">
      <alignment horizontal="center" vertical="center" shrinkToFit="1"/>
    </xf>
    <xf numFmtId="0" fontId="0" fillId="0" borderId="0" xfId="0"/>
    <xf numFmtId="0" fontId="0" fillId="0" borderId="0" xfId="0"/>
    <xf numFmtId="0" fontId="0" fillId="0" borderId="0" xfId="0" applyFont="1"/>
    <xf numFmtId="0" fontId="0" fillId="0" borderId="0" xfId="0" applyBorder="1" applyAlignment="1"/>
    <xf numFmtId="0" fontId="13" fillId="0" borderId="0" xfId="0" applyFont="1" applyBorder="1"/>
    <xf numFmtId="0" fontId="0" fillId="0" borderId="0" xfId="0" applyAlignment="1"/>
    <xf numFmtId="0" fontId="0" fillId="0" borderId="0" xfId="0" applyBorder="1"/>
    <xf numFmtId="0" fontId="0" fillId="0" borderId="20" xfId="0" applyBorder="1"/>
    <xf numFmtId="0" fontId="24" fillId="0" borderId="0" xfId="0" applyFont="1"/>
    <xf numFmtId="0" fontId="24" fillId="0" borderId="0" xfId="0" applyFont="1" applyBorder="1"/>
    <xf numFmtId="0" fontId="0" fillId="0" borderId="0" xfId="0"/>
    <xf numFmtId="0" fontId="0" fillId="0" borderId="0" xfId="0"/>
    <xf numFmtId="0" fontId="0" fillId="0" borderId="0" xfId="0"/>
    <xf numFmtId="0" fontId="0" fillId="0" borderId="0" xfId="0" applyBorder="1"/>
    <xf numFmtId="0" fontId="0" fillId="0" borderId="21" xfId="0" applyBorder="1"/>
    <xf numFmtId="0" fontId="0" fillId="0" borderId="13" xfId="0" applyBorder="1"/>
    <xf numFmtId="0" fontId="0" fillId="0" borderId="22" xfId="0" applyBorder="1"/>
    <xf numFmtId="0" fontId="19" fillId="0" borderId="0" xfId="0" applyFont="1" applyBorder="1" applyAlignment="1"/>
    <xf numFmtId="0" fontId="19" fillId="0" borderId="19" xfId="0" applyFont="1" applyBorder="1" applyAlignment="1"/>
    <xf numFmtId="0" fontId="34" fillId="0" borderId="0" xfId="0" applyFont="1"/>
    <xf numFmtId="0" fontId="34" fillId="0" borderId="0" xfId="0" applyFont="1" applyBorder="1" applyAlignment="1">
      <alignment shrinkToFit="1"/>
    </xf>
    <xf numFmtId="0" fontId="35" fillId="0" borderId="0" xfId="163" applyFont="1" applyBorder="1" applyAlignment="1">
      <alignment shrinkToFit="1"/>
    </xf>
    <xf numFmtId="0" fontId="36" fillId="0" borderId="0" xfId="0" applyFont="1"/>
    <xf numFmtId="0" fontId="37" fillId="0" borderId="0" xfId="0" applyFont="1"/>
    <xf numFmtId="0" fontId="38" fillId="0" borderId="0" xfId="0" applyFont="1"/>
    <xf numFmtId="0" fontId="0" fillId="0" borderId="0" xfId="0" applyBorder="1"/>
    <xf numFmtId="0" fontId="0" fillId="0" borderId="0" xfId="0" applyProtection="1">
      <protection locked="0"/>
    </xf>
    <xf numFmtId="0" fontId="34" fillId="0" borderId="0" xfId="0" applyFont="1" applyProtection="1">
      <protection locked="0"/>
    </xf>
    <xf numFmtId="0" fontId="12" fillId="0" borderId="0" xfId="0" applyFont="1" applyBorder="1" applyAlignment="1" applyProtection="1">
      <alignment vertical="top"/>
      <protection locked="0"/>
    </xf>
    <xf numFmtId="2" fontId="0" fillId="0" borderId="0" xfId="0" applyNumberFormat="1"/>
    <xf numFmtId="0" fontId="61" fillId="6" borderId="0" xfId="0" applyNumberFormat="1" applyFont="1" applyFill="1" applyBorder="1" applyAlignment="1" applyProtection="1">
      <alignment vertical="center" shrinkToFit="1"/>
      <protection hidden="1"/>
    </xf>
    <xf numFmtId="0" fontId="0" fillId="0" borderId="0" xfId="0" applyAlignment="1" applyProtection="1">
      <alignment vertical="center"/>
    </xf>
    <xf numFmtId="0" fontId="29" fillId="0" borderId="0" xfId="163" applyBorder="1" applyAlignment="1" applyProtection="1"/>
    <xf numFmtId="0" fontId="66" fillId="6" borderId="0" xfId="0" applyNumberFormat="1" applyFont="1" applyFill="1" applyBorder="1" applyAlignment="1" applyProtection="1">
      <alignment vertical="center" shrinkToFit="1"/>
      <protection hidden="1"/>
    </xf>
    <xf numFmtId="0" fontId="0" fillId="0" borderId="0" xfId="0" applyProtection="1"/>
    <xf numFmtId="0" fontId="65" fillId="2" borderId="5" xfId="0" applyNumberFormat="1" applyFont="1" applyFill="1" applyBorder="1" applyAlignment="1" applyProtection="1">
      <alignment vertical="center" shrinkToFit="1"/>
      <protection hidden="1"/>
    </xf>
    <xf numFmtId="0" fontId="69" fillId="10" borderId="0" xfId="0" applyFont="1" applyFill="1" applyBorder="1" applyAlignment="1" applyProtection="1">
      <alignment horizontal="left" vertical="center"/>
      <protection hidden="1"/>
    </xf>
    <xf numFmtId="0" fontId="61" fillId="7" borderId="0" xfId="0" applyFont="1" applyFill="1" applyBorder="1" applyAlignment="1" applyProtection="1">
      <alignment horizontal="left" vertical="center"/>
      <protection hidden="1"/>
    </xf>
    <xf numFmtId="0" fontId="69" fillId="10" borderId="5" xfId="0" applyFont="1" applyFill="1" applyBorder="1" applyAlignment="1" applyProtection="1">
      <alignment horizontal="left" vertical="center"/>
      <protection hidden="1"/>
    </xf>
    <xf numFmtId="0" fontId="69" fillId="10" borderId="0" xfId="0" applyFont="1" applyFill="1" applyBorder="1" applyAlignment="1" applyProtection="1">
      <alignment horizontal="left" vertical="center"/>
      <protection hidden="1"/>
    </xf>
    <xf numFmtId="0" fontId="61" fillId="7" borderId="0" xfId="0" applyFont="1" applyFill="1" applyBorder="1" applyAlignment="1" applyProtection="1">
      <alignment horizontal="left" vertical="center"/>
      <protection hidden="1"/>
    </xf>
    <xf numFmtId="0" fontId="69" fillId="10" borderId="5" xfId="0" applyFont="1" applyFill="1" applyBorder="1" applyAlignment="1" applyProtection="1">
      <alignment horizontal="left" vertical="center"/>
      <protection hidden="1"/>
    </xf>
    <xf numFmtId="1" fontId="0" fillId="0" borderId="0" xfId="0" applyNumberFormat="1"/>
    <xf numFmtId="9" fontId="0" fillId="0" borderId="0" xfId="324" applyNumberFormat="1" applyFont="1"/>
    <xf numFmtId="0" fontId="0" fillId="0" borderId="0" xfId="0" applyBorder="1" applyAlignment="1">
      <alignment horizontal="right"/>
    </xf>
    <xf numFmtId="0" fontId="0" fillId="0" borderId="0" xfId="0" applyFill="1" applyBorder="1" applyAlignment="1">
      <alignment horizontal="right"/>
    </xf>
    <xf numFmtId="0" fontId="0" fillId="0" borderId="93" xfId="0" applyBorder="1"/>
    <xf numFmtId="0" fontId="0" fillId="0" borderId="95" xfId="0" applyBorder="1" applyAlignment="1">
      <alignment horizontal="right"/>
    </xf>
    <xf numFmtId="0" fontId="0" fillId="0" borderId="95" xfId="0" applyFill="1" applyBorder="1" applyAlignment="1">
      <alignment horizontal="right"/>
    </xf>
    <xf numFmtId="0" fontId="30" fillId="0" borderId="0" xfId="0" applyFont="1" applyBorder="1"/>
    <xf numFmtId="0" fontId="30" fillId="0" borderId="93" xfId="0" applyFont="1" applyBorder="1"/>
    <xf numFmtId="0" fontId="0" fillId="0" borderId="0" xfId="0" applyAlignment="1">
      <alignment horizontal="right" vertical="top"/>
    </xf>
    <xf numFmtId="0" fontId="0" fillId="0" borderId="0" xfId="0" applyAlignment="1">
      <alignment horizontal="left" vertical="top"/>
    </xf>
    <xf numFmtId="0" fontId="0" fillId="13" borderId="92" xfId="0" applyFont="1" applyFill="1" applyBorder="1" applyAlignment="1">
      <alignment horizontal="center"/>
    </xf>
    <xf numFmtId="0" fontId="0" fillId="0" borderId="92" xfId="0" applyFont="1" applyBorder="1" applyAlignment="1">
      <alignment horizontal="center"/>
    </xf>
    <xf numFmtId="0" fontId="30" fillId="0" borderId="0" xfId="0" applyFont="1" applyBorder="1" applyAlignment="1">
      <alignment horizontal="left"/>
    </xf>
    <xf numFmtId="0" fontId="30" fillId="0" borderId="93" xfId="0" applyFont="1" applyBorder="1" applyAlignment="1"/>
    <xf numFmtId="0" fontId="30" fillId="0" borderId="94" xfId="0" applyFont="1" applyBorder="1" applyAlignment="1"/>
    <xf numFmtId="0" fontId="0" fillId="0" borderId="0" xfId="0" applyAlignment="1">
      <alignment horizontal="right"/>
    </xf>
    <xf numFmtId="0" fontId="30" fillId="0" borderId="93" xfId="0" applyFont="1" applyBorder="1" applyAlignment="1">
      <alignment wrapText="1"/>
    </xf>
    <xf numFmtId="0" fontId="30" fillId="0" borderId="93" xfId="0" applyFont="1" applyBorder="1" applyAlignment="1">
      <alignment horizontal="right"/>
    </xf>
    <xf numFmtId="0" fontId="0" fillId="0" borderId="0" xfId="0" quotePrefix="1"/>
    <xf numFmtId="0" fontId="30" fillId="0" borderId="0" xfId="0" applyFont="1"/>
    <xf numFmtId="43" fontId="0" fillId="0" borderId="0" xfId="1" applyFont="1"/>
    <xf numFmtId="0" fontId="85" fillId="0" borderId="0" xfId="0" applyFont="1" applyAlignment="1">
      <alignment wrapText="1"/>
    </xf>
    <xf numFmtId="1" fontId="30" fillId="0" borderId="0" xfId="0" applyNumberFormat="1" applyFont="1"/>
    <xf numFmtId="0" fontId="0" fillId="0" borderId="0" xfId="0" applyFill="1" applyBorder="1"/>
    <xf numFmtId="0" fontId="0" fillId="0" borderId="0" xfId="1" applyNumberFormat="1" applyFont="1"/>
    <xf numFmtId="0" fontId="0" fillId="0" borderId="0" xfId="0" applyNumberFormat="1"/>
    <xf numFmtId="0" fontId="69" fillId="0" borderId="104" xfId="0" applyFont="1" applyFill="1" applyBorder="1" applyAlignment="1" applyProtection="1">
      <alignment horizontal="center" vertical="center"/>
      <protection locked="0"/>
    </xf>
    <xf numFmtId="0" fontId="0" fillId="0" borderId="0" xfId="0" applyAlignment="1">
      <alignment shrinkToFit="1"/>
    </xf>
    <xf numFmtId="0" fontId="30" fillId="0" borderId="0" xfId="1" applyNumberFormat="1" applyFont="1"/>
    <xf numFmtId="0" fontId="30" fillId="0" borderId="0" xfId="0" applyFont="1" applyAlignment="1">
      <alignment horizontal="center" shrinkToFit="1"/>
    </xf>
    <xf numFmtId="0" fontId="0" fillId="0" borderId="87" xfId="0" applyBorder="1" applyAlignment="1">
      <alignment horizontal="center" wrapText="1" shrinkToFit="1"/>
    </xf>
    <xf numFmtId="0" fontId="0" fillId="0" borderId="0" xfId="0" applyAlignment="1">
      <alignment horizontal="center" wrapText="1" shrinkToFit="1"/>
    </xf>
    <xf numFmtId="0" fontId="0" fillId="0" borderId="0" xfId="0" applyAlignment="1">
      <alignment horizontal="center" textRotation="90" wrapText="1" shrinkToFit="1"/>
    </xf>
    <xf numFmtId="0" fontId="0" fillId="0" borderId="0" xfId="0" applyAlignment="1">
      <alignment textRotation="90" shrinkToFit="1"/>
    </xf>
    <xf numFmtId="0" fontId="0" fillId="9" borderId="0" xfId="0" applyFill="1" applyAlignment="1">
      <alignment shrinkToFit="1"/>
    </xf>
    <xf numFmtId="0" fontId="0" fillId="9" borderId="0" xfId="0" applyFill="1" applyAlignment="1">
      <alignment textRotation="90" shrinkToFit="1"/>
    </xf>
    <xf numFmtId="0" fontId="0" fillId="0" borderId="93" xfId="0" applyBorder="1" applyAlignment="1">
      <alignment shrinkToFit="1"/>
    </xf>
    <xf numFmtId="0" fontId="0" fillId="0" borderId="93" xfId="0" applyBorder="1" applyAlignment="1">
      <alignment horizontal="center" wrapText="1" shrinkToFit="1"/>
    </xf>
    <xf numFmtId="0" fontId="0" fillId="0" borderId="134" xfId="0" applyBorder="1" applyAlignment="1">
      <alignment horizontal="center" wrapText="1" shrinkToFit="1"/>
    </xf>
    <xf numFmtId="0" fontId="0" fillId="9" borderId="93" xfId="0" applyFill="1" applyBorder="1" applyAlignment="1">
      <alignment shrinkToFit="1"/>
    </xf>
    <xf numFmtId="0" fontId="0" fillId="0" borderId="135" xfId="0" applyBorder="1" applyAlignment="1">
      <alignment shrinkToFit="1"/>
    </xf>
    <xf numFmtId="0" fontId="0" fillId="0" borderId="135" xfId="0" applyBorder="1" applyAlignment="1">
      <alignment horizontal="center" wrapText="1" shrinkToFit="1"/>
    </xf>
    <xf numFmtId="0" fontId="0" fillId="9" borderId="135" xfId="0" applyFill="1" applyBorder="1" applyAlignment="1">
      <alignment shrinkToFit="1"/>
    </xf>
    <xf numFmtId="0" fontId="0" fillId="0" borderId="93" xfId="0" applyBorder="1" applyAlignment="1">
      <alignment horizontal="center" shrinkToFit="1"/>
    </xf>
    <xf numFmtId="0" fontId="0" fillId="0" borderId="135" xfId="0" applyNumberFormat="1" applyBorder="1" applyAlignment="1">
      <alignment shrinkToFit="1"/>
    </xf>
    <xf numFmtId="0" fontId="0" fillId="0" borderId="93" xfId="0" applyBorder="1" applyAlignment="1">
      <alignment horizontal="center" shrinkToFit="1"/>
    </xf>
    <xf numFmtId="0" fontId="0" fillId="0" borderId="93" xfId="0" applyBorder="1" applyAlignment="1">
      <alignment horizontal="center" shrinkToFit="1"/>
    </xf>
    <xf numFmtId="0" fontId="38" fillId="0" borderId="0" xfId="0" applyFont="1" applyBorder="1"/>
    <xf numFmtId="0" fontId="27" fillId="0" borderId="0" xfId="0" applyFont="1" applyBorder="1" applyProtection="1">
      <protection locked="0"/>
    </xf>
    <xf numFmtId="0" fontId="27" fillId="0" borderId="0" xfId="0" applyFont="1" applyProtection="1">
      <protection locked="0"/>
    </xf>
    <xf numFmtId="0" fontId="27" fillId="0" borderId="0" xfId="0" applyFont="1" applyBorder="1" applyAlignment="1" applyProtection="1">
      <protection locked="0"/>
    </xf>
    <xf numFmtId="0" fontId="27" fillId="0" borderId="8" xfId="0" applyFont="1" applyBorder="1" applyAlignment="1" applyProtection="1">
      <alignment vertical="top"/>
      <protection locked="0"/>
    </xf>
    <xf numFmtId="0" fontId="27" fillId="0" borderId="0" xfId="0" applyFont="1" applyAlignment="1" applyProtection="1">
      <alignment vertical="top"/>
      <protection locked="0"/>
    </xf>
    <xf numFmtId="0" fontId="38" fillId="0" borderId="0" xfId="0" applyFont="1" applyProtection="1">
      <protection locked="0"/>
    </xf>
    <xf numFmtId="0" fontId="27" fillId="0" borderId="0" xfId="0" applyFont="1" applyBorder="1" applyAlignment="1" applyProtection="1">
      <alignment vertical="top"/>
      <protection locked="0"/>
    </xf>
    <xf numFmtId="0" fontId="27" fillId="0" borderId="87" xfId="0" applyFont="1" applyBorder="1" applyAlignment="1" applyProtection="1">
      <alignment vertical="top"/>
      <protection locked="0"/>
    </xf>
    <xf numFmtId="0" fontId="27" fillId="0" borderId="141" xfId="0" applyFont="1" applyBorder="1" applyAlignment="1" applyProtection="1">
      <alignment vertical="top"/>
      <protection locked="0"/>
    </xf>
    <xf numFmtId="0" fontId="38" fillId="0" borderId="93" xfId="0" applyFont="1" applyBorder="1"/>
    <xf numFmtId="0" fontId="79" fillId="0" borderId="0" xfId="0" applyFont="1" applyAlignment="1">
      <alignment shrinkToFit="1"/>
    </xf>
    <xf numFmtId="0" fontId="38" fillId="0" borderId="0" xfId="0" applyFont="1" applyAlignment="1"/>
    <xf numFmtId="0" fontId="38" fillId="0" borderId="171" xfId="0" applyFont="1" applyBorder="1"/>
    <xf numFmtId="0" fontId="38" fillId="0" borderId="172" xfId="0" applyFont="1" applyBorder="1" applyAlignment="1"/>
    <xf numFmtId="0" fontId="38" fillId="0" borderId="173" xfId="0" applyFont="1" applyBorder="1"/>
    <xf numFmtId="0" fontId="38" fillId="0" borderId="174" xfId="0" applyFont="1" applyBorder="1"/>
    <xf numFmtId="0" fontId="38" fillId="0" borderId="175" xfId="0" applyFont="1" applyBorder="1"/>
    <xf numFmtId="0" fontId="38" fillId="0" borderId="176" xfId="0" applyFont="1" applyBorder="1"/>
    <xf numFmtId="0" fontId="38" fillId="0" borderId="177" xfId="0" applyFont="1" applyBorder="1"/>
    <xf numFmtId="0" fontId="38" fillId="0" borderId="178" xfId="0" applyFont="1" applyBorder="1"/>
    <xf numFmtId="0" fontId="38" fillId="0" borderId="162" xfId="0" applyFont="1" applyBorder="1" applyAlignment="1">
      <alignment vertical="top"/>
    </xf>
    <xf numFmtId="0" fontId="38" fillId="0" borderId="141" xfId="0" applyFont="1" applyBorder="1" applyAlignment="1">
      <alignment vertical="top"/>
    </xf>
    <xf numFmtId="0" fontId="38" fillId="0" borderId="92" xfId="0" applyFont="1" applyBorder="1" applyAlignment="1"/>
    <xf numFmtId="0" fontId="0" fillId="0" borderId="0" xfId="0" applyProtection="1">
      <protection hidden="1"/>
    </xf>
    <xf numFmtId="0" fontId="0" fillId="0" borderId="0" xfId="0" applyAlignment="1" applyProtection="1">
      <alignment vertical="center"/>
      <protection hidden="1"/>
    </xf>
    <xf numFmtId="0" fontId="64" fillId="6" borderId="5" xfId="0" applyFont="1" applyFill="1" applyBorder="1" applyAlignment="1" applyProtection="1">
      <alignment vertical="center"/>
      <protection hidden="1"/>
    </xf>
    <xf numFmtId="0" fontId="63" fillId="6" borderId="5" xfId="0" applyNumberFormat="1" applyFont="1" applyFill="1" applyBorder="1" applyAlignment="1" applyProtection="1">
      <alignment vertical="center" shrinkToFit="1"/>
      <protection hidden="1"/>
    </xf>
    <xf numFmtId="0" fontId="63" fillId="6" borderId="6" xfId="0" applyNumberFormat="1" applyFont="1" applyFill="1" applyBorder="1" applyAlignment="1" applyProtection="1">
      <alignment vertical="center" shrinkToFit="1"/>
      <protection hidden="1"/>
    </xf>
    <xf numFmtId="0" fontId="64" fillId="8" borderId="5" xfId="0" applyFont="1" applyFill="1" applyBorder="1" applyAlignment="1" applyProtection="1">
      <alignment vertical="top"/>
      <protection hidden="1"/>
    </xf>
    <xf numFmtId="0" fontId="64" fillId="8" borderId="6" xfId="0" applyFont="1" applyFill="1" applyBorder="1" applyAlignment="1" applyProtection="1">
      <alignment vertical="top"/>
      <protection hidden="1"/>
    </xf>
    <xf numFmtId="0" fontId="63" fillId="0" borderId="6" xfId="0" applyNumberFormat="1" applyFont="1" applyFill="1" applyBorder="1" applyAlignment="1" applyProtection="1">
      <alignment vertical="center" shrinkToFit="1"/>
      <protection hidden="1"/>
    </xf>
    <xf numFmtId="0" fontId="63" fillId="0" borderId="88" xfId="0" applyNumberFormat="1" applyFont="1" applyFill="1" applyBorder="1" applyAlignment="1" applyProtection="1">
      <alignment vertical="center" shrinkToFit="1"/>
      <protection hidden="1"/>
    </xf>
    <xf numFmtId="0" fontId="0" fillId="0" borderId="0" xfId="0" applyBorder="1" applyAlignment="1" applyProtection="1">
      <protection hidden="1"/>
    </xf>
    <xf numFmtId="0" fontId="0" fillId="0" borderId="0" xfId="0" applyBorder="1" applyProtection="1">
      <protection hidden="1"/>
    </xf>
    <xf numFmtId="0" fontId="0" fillId="0" borderId="0" xfId="0" applyFont="1" applyProtection="1">
      <protection hidden="1"/>
    </xf>
    <xf numFmtId="0" fontId="0" fillId="0" borderId="95" xfId="0" applyBorder="1" applyProtection="1">
      <protection hidden="1"/>
    </xf>
    <xf numFmtId="0" fontId="0" fillId="0" borderId="87" xfId="0" applyBorder="1" applyProtection="1">
      <protection hidden="1"/>
    </xf>
    <xf numFmtId="0" fontId="64" fillId="0" borderId="0" xfId="0" applyFont="1" applyBorder="1" applyAlignment="1" applyProtection="1">
      <alignment vertical="center" wrapText="1"/>
      <protection hidden="1"/>
    </xf>
    <xf numFmtId="0" fontId="89" fillId="0" borderId="0" xfId="0" applyFont="1" applyBorder="1" applyAlignment="1" applyProtection="1">
      <alignment vertical="center" wrapText="1"/>
      <protection hidden="1"/>
    </xf>
    <xf numFmtId="0" fontId="0" fillId="0" borderId="93" xfId="0" applyBorder="1" applyAlignment="1" applyProtection="1">
      <alignment horizontal="center"/>
      <protection hidden="1"/>
    </xf>
    <xf numFmtId="0" fontId="0" fillId="0" borderId="0" xfId="0" applyFont="1" applyBorder="1" applyAlignment="1" applyProtection="1">
      <alignment horizontal="center" wrapText="1"/>
      <protection hidden="1"/>
    </xf>
    <xf numFmtId="0" fontId="91" fillId="0" borderId="0" xfId="0" applyFont="1" applyBorder="1" applyAlignment="1" applyProtection="1">
      <alignment vertical="center"/>
      <protection hidden="1"/>
    </xf>
    <xf numFmtId="0" fontId="0" fillId="0" borderId="0" xfId="0" applyBorder="1" applyAlignment="1" applyProtection="1">
      <alignment horizontal="center"/>
      <protection hidden="1"/>
    </xf>
    <xf numFmtId="0" fontId="0" fillId="0" borderId="135" xfId="0" applyBorder="1" applyAlignment="1" applyProtection="1">
      <alignment horizontal="center"/>
      <protection hidden="1"/>
    </xf>
    <xf numFmtId="0" fontId="67" fillId="0" borderId="129" xfId="0" applyFont="1" applyBorder="1" applyAlignment="1" applyProtection="1">
      <alignment vertical="center"/>
      <protection hidden="1"/>
    </xf>
    <xf numFmtId="0" fontId="0" fillId="0" borderId="124" xfId="0" applyBorder="1" applyProtection="1">
      <protection hidden="1"/>
    </xf>
    <xf numFmtId="0" fontId="0" fillId="0" borderId="127" xfId="0" applyBorder="1" applyProtection="1">
      <protection hidden="1"/>
    </xf>
    <xf numFmtId="0" fontId="0" fillId="0" borderId="93" xfId="0" applyBorder="1" applyProtection="1">
      <protection hidden="1"/>
    </xf>
    <xf numFmtId="0" fontId="0" fillId="0" borderId="94" xfId="0" applyBorder="1" applyProtection="1">
      <protection hidden="1"/>
    </xf>
    <xf numFmtId="0" fontId="0" fillId="0" borderId="133" xfId="0" applyBorder="1" applyProtection="1">
      <protection hidden="1"/>
    </xf>
    <xf numFmtId="0" fontId="0" fillId="0" borderId="128" xfId="0" applyBorder="1" applyProtection="1">
      <protection hidden="1"/>
    </xf>
    <xf numFmtId="0" fontId="0" fillId="0" borderId="0" xfId="0" applyFill="1" applyBorder="1" applyProtection="1">
      <protection hidden="1"/>
    </xf>
    <xf numFmtId="0" fontId="0" fillId="0" borderId="126" xfId="0" applyBorder="1" applyProtection="1">
      <protection hidden="1"/>
    </xf>
    <xf numFmtId="0" fontId="0" fillId="0" borderId="135" xfId="0" applyBorder="1" applyProtection="1">
      <protection hidden="1"/>
    </xf>
    <xf numFmtId="0" fontId="0" fillId="0" borderId="125" xfId="0" applyBorder="1" applyProtection="1">
      <protection hidden="1"/>
    </xf>
    <xf numFmtId="0" fontId="0" fillId="0" borderId="87" xfId="0" applyFill="1" applyBorder="1" applyProtection="1">
      <protection hidden="1"/>
    </xf>
    <xf numFmtId="0" fontId="0" fillId="0" borderId="139" xfId="0" applyBorder="1" applyProtection="1">
      <protection hidden="1"/>
    </xf>
    <xf numFmtId="0" fontId="0" fillId="0" borderId="107" xfId="0" applyBorder="1" applyProtection="1">
      <protection hidden="1"/>
    </xf>
    <xf numFmtId="0" fontId="0" fillId="0" borderId="140" xfId="0" applyBorder="1" applyProtection="1">
      <protection hidden="1"/>
    </xf>
    <xf numFmtId="0" fontId="97" fillId="0" borderId="129" xfId="0" applyFont="1" applyBorder="1" applyAlignment="1" applyProtection="1">
      <alignment vertical="center"/>
      <protection hidden="1"/>
    </xf>
    <xf numFmtId="0" fontId="67" fillId="0" borderId="161" xfId="0" applyFont="1" applyBorder="1" applyAlignment="1">
      <alignment vertical="center"/>
    </xf>
    <xf numFmtId="0" fontId="0" fillId="0" borderId="181" xfId="0" applyBorder="1"/>
    <xf numFmtId="0" fontId="27" fillId="0" borderId="0" xfId="0" applyFont="1" applyBorder="1" applyAlignment="1" applyProtection="1">
      <alignment shrinkToFit="1"/>
      <protection hidden="1"/>
    </xf>
    <xf numFmtId="0" fontId="27" fillId="0" borderId="0" xfId="184" applyFont="1" applyBorder="1" applyAlignment="1" applyProtection="1">
      <alignment shrinkToFit="1"/>
      <protection hidden="1"/>
    </xf>
    <xf numFmtId="0" fontId="27" fillId="0" borderId="0" xfId="0" applyFont="1" applyProtection="1">
      <protection hidden="1"/>
    </xf>
    <xf numFmtId="0" fontId="0" fillId="6" borderId="0" xfId="0" applyFill="1" applyBorder="1" applyProtection="1">
      <protection hidden="1"/>
    </xf>
    <xf numFmtId="0" fontId="27" fillId="0" borderId="186" xfId="184" applyFont="1" applyBorder="1" applyAlignment="1" applyProtection="1">
      <alignment shrinkToFit="1"/>
      <protection hidden="1"/>
    </xf>
    <xf numFmtId="0" fontId="58" fillId="0" borderId="0" xfId="0" applyFont="1" applyAlignment="1" applyProtection="1">
      <alignment horizontal="left" vertical="center"/>
      <protection hidden="1"/>
    </xf>
    <xf numFmtId="0" fontId="0" fillId="6" borderId="0" xfId="0" applyFill="1" applyProtection="1">
      <protection hidden="1"/>
    </xf>
    <xf numFmtId="0" fontId="8" fillId="0" borderId="0" xfId="0" applyFont="1" applyBorder="1" applyAlignment="1" applyProtection="1">
      <alignment vertical="center" shrinkToFit="1"/>
      <protection hidden="1"/>
    </xf>
    <xf numFmtId="0" fontId="8" fillId="0" borderId="26" xfId="0" applyFont="1" applyBorder="1" applyAlignment="1" applyProtection="1">
      <alignment vertical="center" shrinkToFit="1"/>
      <protection hidden="1"/>
    </xf>
    <xf numFmtId="0" fontId="31" fillId="0" borderId="0" xfId="0" applyFont="1" applyAlignment="1" applyProtection="1">
      <alignment vertical="center"/>
      <protection hidden="1"/>
    </xf>
    <xf numFmtId="49" fontId="0" fillId="0" borderId="0" xfId="0" applyNumberFormat="1" applyProtection="1">
      <protection hidden="1"/>
    </xf>
    <xf numFmtId="0" fontId="32" fillId="0" borderId="0" xfId="0" applyFont="1" applyAlignment="1" applyProtection="1">
      <alignment vertical="center"/>
      <protection hidden="1"/>
    </xf>
    <xf numFmtId="0" fontId="0" fillId="0" borderId="5" xfId="0" applyBorder="1" applyProtection="1">
      <protection hidden="1"/>
    </xf>
    <xf numFmtId="0" fontId="0" fillId="0" borderId="6" xfId="0" applyBorder="1" applyProtection="1">
      <protection hidden="1"/>
    </xf>
    <xf numFmtId="0" fontId="33" fillId="0" borderId="0" xfId="0" applyFont="1" applyAlignment="1" applyProtection="1">
      <alignment vertical="center"/>
      <protection hidden="1"/>
    </xf>
    <xf numFmtId="0" fontId="0" fillId="0" borderId="8" xfId="0" applyBorder="1" applyProtection="1">
      <protection hidden="1"/>
    </xf>
    <xf numFmtId="0" fontId="0" fillId="6" borderId="8" xfId="0" applyFill="1" applyBorder="1" applyProtection="1">
      <protection hidden="1"/>
    </xf>
    <xf numFmtId="0" fontId="0" fillId="0" borderId="8" xfId="0" applyBorder="1" applyAlignment="1" applyProtection="1">
      <alignment vertical="top"/>
      <protection hidden="1"/>
    </xf>
    <xf numFmtId="0" fontId="0" fillId="0" borderId="10" xfId="0" applyBorder="1" applyProtection="1">
      <protection hidden="1"/>
    </xf>
    <xf numFmtId="0" fontId="0" fillId="0" borderId="11" xfId="0" applyBorder="1" applyProtection="1">
      <protection hidden="1"/>
    </xf>
    <xf numFmtId="0" fontId="12" fillId="0" borderId="0" xfId="0" applyFont="1" applyBorder="1" applyAlignment="1" applyProtection="1">
      <alignment vertical="top"/>
      <protection hidden="1"/>
    </xf>
    <xf numFmtId="0" fontId="0" fillId="0" borderId="0" xfId="0" applyAlignment="1">
      <alignment horizontal="right" shrinkToFit="1"/>
    </xf>
    <xf numFmtId="0" fontId="27" fillId="0" borderId="0" xfId="163" applyFont="1" applyBorder="1" applyAlignment="1" applyProtection="1">
      <alignment shrinkToFit="1"/>
      <protection hidden="1"/>
    </xf>
    <xf numFmtId="0" fontId="0" fillId="0" borderId="141" xfId="0" applyBorder="1" applyProtection="1">
      <protection hidden="1"/>
    </xf>
    <xf numFmtId="0" fontId="110" fillId="8" borderId="12" xfId="0" applyFont="1" applyFill="1" applyBorder="1" applyAlignment="1" applyProtection="1">
      <alignment vertical="top"/>
      <protection hidden="1"/>
    </xf>
    <xf numFmtId="0" fontId="0" fillId="6" borderId="141" xfId="0" applyFill="1" applyBorder="1" applyProtection="1">
      <protection hidden="1"/>
    </xf>
    <xf numFmtId="0" fontId="0" fillId="0" borderId="141" xfId="0" applyBorder="1" applyAlignment="1" applyProtection="1">
      <alignment vertical="top"/>
      <protection hidden="1"/>
    </xf>
    <xf numFmtId="0" fontId="0" fillId="0" borderId="85" xfId="0" applyBorder="1" applyProtection="1">
      <protection hidden="1"/>
    </xf>
    <xf numFmtId="0" fontId="0" fillId="0" borderId="202" xfId="0" applyBorder="1" applyProtection="1">
      <protection hidden="1"/>
    </xf>
    <xf numFmtId="0" fontId="27" fillId="0" borderId="0" xfId="0" applyFont="1" applyBorder="1" applyAlignment="1" applyProtection="1">
      <alignment shrinkToFit="1"/>
    </xf>
    <xf numFmtId="0" fontId="27" fillId="0" borderId="0" xfId="0" applyFont="1" applyProtection="1"/>
    <xf numFmtId="0" fontId="0" fillId="6" borderId="0" xfId="0" applyFill="1" applyBorder="1" applyProtection="1"/>
    <xf numFmtId="0" fontId="58" fillId="0" borderId="0" xfId="0" applyFont="1" applyAlignment="1" applyProtection="1">
      <alignment horizontal="left" vertical="center"/>
    </xf>
    <xf numFmtId="0" fontId="0" fillId="6" borderId="0" xfId="0" applyFill="1" applyProtection="1"/>
    <xf numFmtId="0" fontId="27" fillId="0" borderId="0" xfId="163" applyFont="1" applyBorder="1" applyAlignment="1" applyProtection="1">
      <alignment shrinkToFit="1"/>
    </xf>
    <xf numFmtId="0" fontId="8" fillId="0" borderId="0" xfId="0" applyFont="1" applyBorder="1" applyAlignment="1" applyProtection="1">
      <alignment vertical="center" shrinkToFit="1"/>
    </xf>
    <xf numFmtId="0" fontId="8" fillId="0" borderId="26" xfId="0" applyFont="1" applyBorder="1" applyAlignment="1" applyProtection="1">
      <alignment vertical="center" shrinkToFit="1"/>
    </xf>
    <xf numFmtId="0" fontId="0" fillId="0" borderId="0" xfId="0" applyFont="1" applyProtection="1"/>
    <xf numFmtId="0" fontId="31" fillId="0" borderId="0" xfId="0" applyFont="1" applyAlignment="1" applyProtection="1">
      <alignment vertical="center"/>
    </xf>
    <xf numFmtId="49" fontId="0" fillId="0" borderId="0" xfId="0" applyNumberFormat="1" applyProtection="1"/>
    <xf numFmtId="0" fontId="32" fillId="0" borderId="0" xfId="0" applyFont="1" applyAlignment="1" applyProtection="1">
      <alignment vertical="center"/>
    </xf>
    <xf numFmtId="0" fontId="0" fillId="0" borderId="0" xfId="0" applyBorder="1" applyProtection="1"/>
    <xf numFmtId="0" fontId="66" fillId="6" borderId="0" xfId="0" applyNumberFormat="1" applyFont="1" applyFill="1" applyBorder="1" applyAlignment="1" applyProtection="1">
      <alignment vertical="center" shrinkToFit="1"/>
    </xf>
    <xf numFmtId="0" fontId="65" fillId="2" borderId="5" xfId="0" applyNumberFormat="1" applyFont="1" applyFill="1" applyBorder="1" applyAlignment="1" applyProtection="1">
      <alignment vertical="center" shrinkToFit="1"/>
    </xf>
    <xf numFmtId="0" fontId="0" fillId="0" borderId="5" xfId="0" applyBorder="1" applyProtection="1"/>
    <xf numFmtId="0" fontId="0" fillId="0" borderId="6" xfId="0" applyBorder="1" applyProtection="1"/>
    <xf numFmtId="0" fontId="64" fillId="6" borderId="5" xfId="0" applyFont="1" applyFill="1" applyBorder="1" applyAlignment="1" applyProtection="1">
      <alignment vertical="center"/>
    </xf>
    <xf numFmtId="0" fontId="63" fillId="6" borderId="5" xfId="0" applyNumberFormat="1" applyFont="1" applyFill="1" applyBorder="1" applyAlignment="1" applyProtection="1">
      <alignment vertical="center" shrinkToFit="1"/>
    </xf>
    <xf numFmtId="0" fontId="63" fillId="6" borderId="6" xfId="0" applyNumberFormat="1" applyFont="1" applyFill="1" applyBorder="1" applyAlignment="1" applyProtection="1">
      <alignment vertical="center" shrinkToFit="1"/>
    </xf>
    <xf numFmtId="0" fontId="110" fillId="8" borderId="12" xfId="0" applyFont="1" applyFill="1" applyBorder="1" applyAlignment="1" applyProtection="1">
      <alignment vertical="top"/>
    </xf>
    <xf numFmtId="0" fontId="64" fillId="8" borderId="5" xfId="0" applyFont="1" applyFill="1" applyBorder="1" applyAlignment="1" applyProtection="1">
      <alignment vertical="top"/>
    </xf>
    <xf numFmtId="0" fontId="64" fillId="8" borderId="6" xfId="0" applyFont="1" applyFill="1" applyBorder="1" applyAlignment="1" applyProtection="1">
      <alignment vertical="top"/>
    </xf>
    <xf numFmtId="0" fontId="63" fillId="0" borderId="6" xfId="0" applyNumberFormat="1" applyFont="1" applyFill="1" applyBorder="1" applyAlignment="1" applyProtection="1">
      <alignment vertical="center" shrinkToFit="1"/>
    </xf>
    <xf numFmtId="0" fontId="63" fillId="0" borderId="88" xfId="0" applyNumberFormat="1" applyFont="1" applyFill="1" applyBorder="1" applyAlignment="1" applyProtection="1">
      <alignment vertical="center" shrinkToFit="1"/>
    </xf>
    <xf numFmtId="0" fontId="33" fillId="0" borderId="0" xfId="0" applyFont="1" applyAlignment="1" applyProtection="1">
      <alignment vertical="center"/>
    </xf>
    <xf numFmtId="0" fontId="0" fillId="0" borderId="8" xfId="0" applyBorder="1" applyProtection="1"/>
    <xf numFmtId="0" fontId="0" fillId="6" borderId="141" xfId="0" applyFill="1" applyBorder="1" applyProtection="1"/>
    <xf numFmtId="0" fontId="0" fillId="0" borderId="141" xfId="0" applyBorder="1" applyAlignment="1" applyProtection="1">
      <alignment vertical="top"/>
    </xf>
    <xf numFmtId="0" fontId="0" fillId="0" borderId="141" xfId="0" applyBorder="1" applyProtection="1"/>
    <xf numFmtId="0" fontId="0" fillId="0" borderId="85" xfId="0" applyBorder="1" applyProtection="1"/>
    <xf numFmtId="0" fontId="0" fillId="0" borderId="202" xfId="0" applyBorder="1" applyProtection="1"/>
    <xf numFmtId="0" fontId="59" fillId="0" borderId="203" xfId="0" applyFont="1" applyBorder="1" applyAlignment="1" applyProtection="1">
      <alignment vertical="center"/>
    </xf>
    <xf numFmtId="0" fontId="0" fillId="0" borderId="0" xfId="0" applyAlignment="1" applyProtection="1">
      <alignment horizontal="right" shrinkToFit="1"/>
    </xf>
    <xf numFmtId="0" fontId="61" fillId="6" borderId="0" xfId="0" applyNumberFormat="1" applyFont="1" applyFill="1" applyBorder="1" applyAlignment="1" applyProtection="1">
      <alignment vertical="center" shrinkToFit="1"/>
    </xf>
    <xf numFmtId="0" fontId="0" fillId="6" borderId="8" xfId="0" applyFill="1" applyBorder="1" applyProtection="1"/>
    <xf numFmtId="0" fontId="0" fillId="0" borderId="8" xfId="0" applyBorder="1" applyAlignment="1" applyProtection="1">
      <alignment vertical="top"/>
    </xf>
    <xf numFmtId="0" fontId="0" fillId="0" borderId="10" xfId="0" applyBorder="1" applyProtection="1"/>
    <xf numFmtId="0" fontId="0" fillId="0" borderId="11" xfId="0" applyBorder="1" applyProtection="1"/>
    <xf numFmtId="0" fontId="12" fillId="0" borderId="0" xfId="0" applyFont="1" applyBorder="1" applyAlignment="1" applyProtection="1">
      <alignment vertical="top"/>
    </xf>
    <xf numFmtId="0" fontId="16" fillId="0" borderId="38" xfId="0" applyFont="1" applyBorder="1" applyAlignment="1" applyProtection="1">
      <alignment vertical="top"/>
    </xf>
    <xf numFmtId="0" fontId="0" fillId="0" borderId="0" xfId="0" applyFont="1" applyBorder="1" applyAlignment="1" applyProtection="1">
      <alignment horizontal="center" wrapText="1"/>
      <protection hidden="1"/>
    </xf>
    <xf numFmtId="0" fontId="0" fillId="0" borderId="0" xfId="0" applyFont="1" applyBorder="1" applyAlignment="1" applyProtection="1">
      <alignment horizontal="left" vertical="top" wrapText="1"/>
      <protection hidden="1"/>
    </xf>
    <xf numFmtId="0" fontId="0" fillId="0" borderId="0" xfId="0" applyFont="1" applyBorder="1" applyAlignment="1" applyProtection="1">
      <alignment horizontal="left" wrapText="1"/>
      <protection hidden="1"/>
    </xf>
    <xf numFmtId="0" fontId="38" fillId="0" borderId="220" xfId="0" applyFont="1" applyBorder="1"/>
    <xf numFmtId="0" fontId="0" fillId="0" borderId="214" xfId="0" applyFont="1" applyBorder="1" applyAlignment="1" applyProtection="1">
      <alignment horizontal="left" wrapText="1"/>
      <protection hidden="1"/>
    </xf>
    <xf numFmtId="0" fontId="0" fillId="0" borderId="0" xfId="0" applyFont="1" applyBorder="1" applyAlignment="1" applyProtection="1">
      <alignment horizontal="left" vertical="top" wrapText="1"/>
      <protection hidden="1"/>
    </xf>
    <xf numFmtId="0" fontId="0" fillId="0" borderId="93" xfId="0" applyBorder="1" applyAlignment="1">
      <alignment horizontal="center" shrinkToFit="1"/>
    </xf>
    <xf numFmtId="0" fontId="0" fillId="0" borderId="93" xfId="0" applyBorder="1" applyAlignment="1">
      <alignment horizontal="center" shrinkToFit="1"/>
    </xf>
    <xf numFmtId="0" fontId="0" fillId="0" borderId="218" xfId="0" applyBorder="1" applyAlignment="1">
      <alignment horizontal="center" wrapText="1" shrinkToFit="1"/>
    </xf>
    <xf numFmtId="0" fontId="0" fillId="0" borderId="93" xfId="0" applyFont="1" applyBorder="1" applyAlignment="1">
      <alignment horizontal="center" shrinkToFit="1"/>
    </xf>
    <xf numFmtId="0" fontId="67" fillId="0" borderId="161" xfId="0" applyFont="1" applyBorder="1" applyAlignment="1" applyProtection="1">
      <alignment vertical="center"/>
      <protection hidden="1"/>
    </xf>
    <xf numFmtId="0" fontId="87" fillId="0" borderId="0" xfId="0" applyFont="1" applyAlignment="1"/>
    <xf numFmtId="0" fontId="77" fillId="0" borderId="0" xfId="0" applyFont="1" applyAlignment="1">
      <alignment vertical="center"/>
    </xf>
    <xf numFmtId="0" fontId="0" fillId="0" borderId="0" xfId="0" applyAlignment="1">
      <alignment horizontal="center" shrinkToFit="1"/>
    </xf>
    <xf numFmtId="0" fontId="0" fillId="0" borderId="167" xfId="0" applyBorder="1"/>
    <xf numFmtId="0" fontId="0" fillId="0" borderId="218" xfId="0" applyBorder="1"/>
    <xf numFmtId="0" fontId="0" fillId="0" borderId="7" xfId="0" applyBorder="1"/>
    <xf numFmtId="0" fontId="0" fillId="0" borderId="245" xfId="0" applyBorder="1"/>
    <xf numFmtId="0" fontId="0" fillId="0" borderId="137" xfId="0" applyBorder="1"/>
    <xf numFmtId="0" fontId="0" fillId="0" borderId="214" xfId="0" applyBorder="1"/>
    <xf numFmtId="0" fontId="0" fillId="0" borderId="217" xfId="0" applyBorder="1"/>
    <xf numFmtId="0" fontId="110" fillId="8" borderId="167" xfId="0" applyFont="1" applyFill="1" applyBorder="1" applyAlignment="1" applyProtection="1">
      <alignment vertical="top"/>
    </xf>
    <xf numFmtId="0" fontId="64" fillId="8" borderId="218" xfId="0" applyFont="1" applyFill="1" applyBorder="1" applyAlignment="1" applyProtection="1">
      <alignment vertical="top"/>
    </xf>
    <xf numFmtId="0" fontId="64" fillId="8" borderId="166" xfId="0" applyFont="1" applyFill="1" applyBorder="1" applyAlignment="1" applyProtection="1">
      <alignment vertical="top"/>
    </xf>
    <xf numFmtId="0" fontId="64" fillId="6" borderId="167" xfId="0" applyFont="1" applyFill="1" applyBorder="1" applyAlignment="1" applyProtection="1">
      <alignment vertical="center"/>
    </xf>
    <xf numFmtId="0" fontId="64" fillId="6" borderId="218" xfId="0" applyFont="1" applyFill="1" applyBorder="1" applyAlignment="1" applyProtection="1">
      <alignment vertical="center"/>
    </xf>
    <xf numFmtId="0" fontId="63" fillId="6" borderId="218" xfId="0" applyNumberFormat="1" applyFont="1" applyFill="1" applyBorder="1" applyAlignment="1" applyProtection="1">
      <alignment vertical="center" shrinkToFit="1"/>
    </xf>
    <xf numFmtId="0" fontId="63" fillId="6" borderId="166" xfId="0" applyNumberFormat="1" applyFont="1" applyFill="1" applyBorder="1" applyAlignment="1" applyProtection="1">
      <alignment vertical="center" shrinkToFit="1"/>
    </xf>
    <xf numFmtId="0" fontId="0" fillId="0" borderId="0" xfId="0" applyBorder="1" applyAlignment="1" applyProtection="1">
      <alignment vertical="top"/>
      <protection locked="0"/>
    </xf>
    <xf numFmtId="0" fontId="0" fillId="0" borderId="201" xfId="0" applyBorder="1" applyAlignment="1" applyProtection="1">
      <alignment vertical="top"/>
      <protection locked="0"/>
    </xf>
    <xf numFmtId="0" fontId="0" fillId="0" borderId="85" xfId="0" applyBorder="1" applyAlignment="1" applyProtection="1">
      <alignment vertical="top"/>
      <protection locked="0"/>
    </xf>
    <xf numFmtId="0" fontId="65" fillId="2" borderId="0" xfId="0" applyNumberFormat="1" applyFont="1" applyFill="1" applyBorder="1" applyAlignment="1" applyProtection="1">
      <alignment vertical="center" shrinkToFit="1"/>
    </xf>
    <xf numFmtId="0" fontId="64" fillId="6" borderId="7" xfId="0" applyFont="1" applyFill="1" applyBorder="1" applyAlignment="1" applyProtection="1">
      <alignment vertical="center"/>
    </xf>
    <xf numFmtId="0" fontId="64" fillId="6" borderId="0" xfId="0" applyFont="1" applyFill="1" applyBorder="1" applyAlignment="1" applyProtection="1">
      <alignment vertical="center"/>
    </xf>
    <xf numFmtId="0" fontId="63" fillId="6" borderId="0" xfId="0" applyNumberFormat="1" applyFont="1" applyFill="1" applyBorder="1" applyAlignment="1" applyProtection="1">
      <alignment vertical="center" shrinkToFit="1"/>
    </xf>
    <xf numFmtId="0" fontId="63" fillId="6" borderId="245" xfId="0" applyNumberFormat="1" applyFont="1" applyFill="1" applyBorder="1" applyAlignment="1" applyProtection="1">
      <alignment vertical="center" shrinkToFit="1"/>
    </xf>
    <xf numFmtId="0" fontId="110" fillId="8" borderId="7" xfId="0" applyFont="1" applyFill="1" applyBorder="1" applyAlignment="1" applyProtection="1">
      <alignment vertical="top"/>
    </xf>
    <xf numFmtId="0" fontId="64" fillId="8" borderId="0" xfId="0" applyFont="1" applyFill="1" applyBorder="1" applyAlignment="1" applyProtection="1">
      <alignment vertical="top"/>
    </xf>
    <xf numFmtId="0" fontId="64" fillId="8" borderId="245" xfId="0" applyFont="1" applyFill="1" applyBorder="1" applyAlignment="1" applyProtection="1">
      <alignment vertical="top"/>
    </xf>
    <xf numFmtId="0" fontId="65" fillId="2" borderId="218" xfId="0" applyNumberFormat="1" applyFont="1" applyFill="1" applyBorder="1" applyAlignment="1" applyProtection="1">
      <alignment vertical="center" shrinkToFit="1"/>
    </xf>
    <xf numFmtId="0" fontId="0" fillId="0" borderId="218" xfId="0" applyBorder="1" applyProtection="1"/>
    <xf numFmtId="0" fontId="65" fillId="2" borderId="252" xfId="0" applyNumberFormat="1" applyFont="1" applyFill="1" applyBorder="1" applyAlignment="1" applyProtection="1">
      <alignment vertical="center" shrinkToFit="1"/>
    </xf>
    <xf numFmtId="0" fontId="0" fillId="0" borderId="252" xfId="0" applyBorder="1" applyProtection="1"/>
    <xf numFmtId="0" fontId="64" fillId="6" borderId="251" xfId="0" applyFont="1" applyFill="1" applyBorder="1" applyAlignment="1" applyProtection="1">
      <alignment vertical="center"/>
    </xf>
    <xf numFmtId="0" fontId="64" fillId="6" borderId="252" xfId="0" applyFont="1" applyFill="1" applyBorder="1" applyAlignment="1" applyProtection="1">
      <alignment vertical="center"/>
    </xf>
    <xf numFmtId="0" fontId="63" fillId="6" borderId="252" xfId="0" applyNumberFormat="1" applyFont="1" applyFill="1" applyBorder="1" applyAlignment="1" applyProtection="1">
      <alignment vertical="center" shrinkToFit="1"/>
    </xf>
    <xf numFmtId="0" fontId="63" fillId="6" borderId="253" xfId="0" applyNumberFormat="1" applyFont="1" applyFill="1" applyBorder="1" applyAlignment="1" applyProtection="1">
      <alignment vertical="center" shrinkToFit="1"/>
    </xf>
    <xf numFmtId="0" fontId="110" fillId="8" borderId="251" xfId="0" applyFont="1" applyFill="1" applyBorder="1" applyAlignment="1" applyProtection="1">
      <alignment vertical="top"/>
    </xf>
    <xf numFmtId="0" fontId="64" fillId="8" borderId="252" xfId="0" applyFont="1" applyFill="1" applyBorder="1" applyAlignment="1" applyProtection="1">
      <alignment vertical="top"/>
    </xf>
    <xf numFmtId="0" fontId="64" fillId="8" borderId="253" xfId="0" applyFont="1" applyFill="1" applyBorder="1" applyAlignment="1" applyProtection="1">
      <alignment vertical="top"/>
    </xf>
    <xf numFmtId="0" fontId="0" fillId="0" borderId="132" xfId="0" applyBorder="1" applyAlignment="1">
      <alignment horizontal="center" textRotation="45" wrapText="1" shrinkToFit="1"/>
    </xf>
    <xf numFmtId="0" fontId="99" fillId="0" borderId="214" xfId="0" applyFont="1" applyBorder="1" applyAlignment="1">
      <alignment horizontal="right" vertical="center"/>
    </xf>
    <xf numFmtId="0" fontId="99" fillId="0" borderId="257" xfId="0" applyFont="1" applyBorder="1" applyAlignment="1">
      <alignment horizontal="center" vertical="center"/>
    </xf>
    <xf numFmtId="0" fontId="38" fillId="0" borderId="194" xfId="0" applyFont="1" applyBorder="1"/>
    <xf numFmtId="0" fontId="38" fillId="0" borderId="195" xfId="0" applyFont="1" applyBorder="1"/>
    <xf numFmtId="0" fontId="38" fillId="0" borderId="275" xfId="0" applyFont="1" applyBorder="1"/>
    <xf numFmtId="0" fontId="38" fillId="0" borderId="276" xfId="0" applyFont="1" applyBorder="1"/>
    <xf numFmtId="0" fontId="38" fillId="0" borderId="277" xfId="0" applyFont="1" applyBorder="1"/>
    <xf numFmtId="0" fontId="38" fillId="0" borderId="278" xfId="0" applyFont="1" applyBorder="1"/>
    <xf numFmtId="0" fontId="38" fillId="0" borderId="280" xfId="0" applyFont="1" applyBorder="1" applyAlignment="1"/>
    <xf numFmtId="0" fontId="0" fillId="14" borderId="0" xfId="0" applyFill="1" applyProtection="1"/>
    <xf numFmtId="0" fontId="0" fillId="18" borderId="0" xfId="0" applyFill="1" applyProtection="1"/>
    <xf numFmtId="0" fontId="0" fillId="19" borderId="0" xfId="0" applyFill="1" applyProtection="1"/>
    <xf numFmtId="0" fontId="0" fillId="20" borderId="0" xfId="0" applyFill="1" applyProtection="1"/>
    <xf numFmtId="0" fontId="38" fillId="0" borderId="287" xfId="0" applyFont="1" applyBorder="1"/>
    <xf numFmtId="0" fontId="27" fillId="0" borderId="0" xfId="0" applyFont="1" applyBorder="1" applyAlignment="1" applyProtection="1">
      <alignment horizontal="center" vertical="top"/>
      <protection locked="0"/>
    </xf>
    <xf numFmtId="0" fontId="0" fillId="0" borderId="295" xfId="0" applyBorder="1" applyProtection="1"/>
    <xf numFmtId="0" fontId="0" fillId="0" borderId="296" xfId="0" applyBorder="1" applyProtection="1"/>
    <xf numFmtId="0" fontId="0" fillId="0" borderId="0" xfId="0" applyBorder="1" applyAlignment="1" applyProtection="1"/>
    <xf numFmtId="0" fontId="38" fillId="0" borderId="295" xfId="0" applyFont="1" applyBorder="1" applyAlignment="1">
      <alignment vertical="top"/>
    </xf>
    <xf numFmtId="0" fontId="38" fillId="0" borderId="0" xfId="0" applyFont="1" applyBorder="1" applyAlignment="1">
      <alignment vertical="top"/>
    </xf>
    <xf numFmtId="0" fontId="27" fillId="0" borderId="295" xfId="0" applyFont="1" applyBorder="1" applyAlignment="1" applyProtection="1">
      <alignment horizontal="center" vertical="top"/>
      <protection locked="0"/>
    </xf>
    <xf numFmtId="0" fontId="79" fillId="0" borderId="295" xfId="0" applyFont="1" applyBorder="1" applyAlignment="1">
      <alignment shrinkToFit="1"/>
    </xf>
    <xf numFmtId="0" fontId="79" fillId="0" borderId="300" xfId="0" applyFont="1" applyBorder="1" applyAlignment="1">
      <alignment shrinkToFit="1"/>
    </xf>
    <xf numFmtId="0" fontId="27" fillId="0" borderId="300" xfId="0" applyFont="1" applyBorder="1" applyAlignment="1" applyProtection="1">
      <alignment horizontal="center" vertical="top"/>
      <protection locked="0"/>
    </xf>
    <xf numFmtId="0" fontId="27" fillId="0" borderId="287" xfId="0" applyFont="1" applyBorder="1" applyAlignment="1" applyProtection="1">
      <alignment horizontal="center" vertical="top"/>
      <protection locked="0"/>
    </xf>
    <xf numFmtId="0" fontId="0" fillId="0" borderId="87" xfId="0" applyBorder="1"/>
    <xf numFmtId="0" fontId="105" fillId="0" borderId="302" xfId="0" applyFont="1" applyBorder="1" applyAlignment="1" applyProtection="1">
      <alignment vertical="top"/>
      <protection locked="0"/>
    </xf>
    <xf numFmtId="0" fontId="105" fillId="0" borderId="299" xfId="0" applyFont="1" applyBorder="1" applyAlignment="1" applyProtection="1">
      <alignment vertical="top"/>
      <protection locked="0"/>
    </xf>
    <xf numFmtId="0" fontId="38" fillId="0" borderId="299" xfId="0" applyFont="1" applyBorder="1" applyAlignment="1">
      <alignment vertical="top"/>
    </xf>
    <xf numFmtId="0" fontId="0" fillId="15" borderId="314" xfId="0" applyFill="1" applyBorder="1" applyAlignment="1" applyProtection="1">
      <alignment shrinkToFit="1"/>
      <protection hidden="1"/>
    </xf>
    <xf numFmtId="0" fontId="0" fillId="15" borderId="315" xfId="0" applyFill="1" applyBorder="1" applyAlignment="1" applyProtection="1">
      <alignment shrinkToFit="1"/>
      <protection hidden="1"/>
    </xf>
    <xf numFmtId="0" fontId="0" fillId="15" borderId="317" xfId="0" applyFill="1" applyBorder="1" applyAlignment="1" applyProtection="1">
      <alignment shrinkToFit="1"/>
      <protection hidden="1"/>
    </xf>
    <xf numFmtId="0" fontId="0" fillId="15" borderId="318" xfId="0" applyFill="1" applyBorder="1" applyAlignment="1" applyProtection="1">
      <alignment shrinkToFit="1"/>
      <protection hidden="1"/>
    </xf>
    <xf numFmtId="0" fontId="0" fillId="15" borderId="207" xfId="0" applyFill="1" applyBorder="1" applyAlignment="1" applyProtection="1">
      <alignment shrinkToFit="1"/>
      <protection hidden="1"/>
    </xf>
    <xf numFmtId="0" fontId="0" fillId="15" borderId="319" xfId="0" applyFill="1" applyBorder="1" applyAlignment="1" applyProtection="1">
      <alignment shrinkToFit="1"/>
      <protection hidden="1"/>
    </xf>
    <xf numFmtId="0" fontId="0" fillId="15" borderId="287" xfId="0" applyFill="1" applyBorder="1" applyAlignment="1" applyProtection="1">
      <alignment shrinkToFit="1"/>
      <protection hidden="1"/>
    </xf>
    <xf numFmtId="0" fontId="0" fillId="0" borderId="342" xfId="0" applyBorder="1" applyProtection="1"/>
    <xf numFmtId="0" fontId="0" fillId="0" borderId="87" xfId="0" applyBorder="1" applyProtection="1"/>
    <xf numFmtId="0" fontId="119" fillId="0" borderId="0" xfId="0" applyFont="1" applyBorder="1" applyProtection="1"/>
    <xf numFmtId="0" fontId="0" fillId="0" borderId="299" xfId="0" applyBorder="1" applyProtection="1"/>
    <xf numFmtId="0" fontId="0" fillId="0" borderId="309" xfId="0" applyBorder="1" applyProtection="1"/>
    <xf numFmtId="0" fontId="0" fillId="0" borderId="137" xfId="0" applyBorder="1" applyProtection="1"/>
    <xf numFmtId="0" fontId="119" fillId="0" borderId="299" xfId="0" applyFont="1" applyBorder="1" applyProtection="1"/>
    <xf numFmtId="0" fontId="119" fillId="0" borderId="0" xfId="0" applyFont="1" applyProtection="1"/>
    <xf numFmtId="0" fontId="86" fillId="0" borderId="0" xfId="0" applyFont="1"/>
    <xf numFmtId="0" fontId="86" fillId="0" borderId="0" xfId="0" applyFont="1" applyProtection="1"/>
    <xf numFmtId="0" fontId="110" fillId="8" borderId="87" xfId="0" applyFont="1" applyFill="1" applyBorder="1" applyAlignment="1" applyProtection="1">
      <alignment horizontal="left" vertical="top"/>
    </xf>
    <xf numFmtId="0" fontId="110" fillId="8" borderId="0" xfId="0" applyFont="1" applyFill="1" applyBorder="1" applyAlignment="1" applyProtection="1">
      <alignment horizontal="left" vertical="top"/>
    </xf>
    <xf numFmtId="0" fontId="110" fillId="8" borderId="342" xfId="0" applyFont="1" applyFill="1" applyBorder="1" applyAlignment="1" applyProtection="1">
      <alignment horizontal="left" vertical="top"/>
    </xf>
    <xf numFmtId="0" fontId="0" fillId="0" borderId="343" xfId="0" applyBorder="1" applyProtection="1"/>
    <xf numFmtId="0" fontId="0" fillId="0" borderId="360" xfId="0" applyBorder="1" applyProtection="1"/>
    <xf numFmtId="0" fontId="79" fillId="0" borderId="0" xfId="0" applyFont="1" applyProtection="1"/>
    <xf numFmtId="0" fontId="0" fillId="0" borderId="356" xfId="0" applyBorder="1" applyProtection="1"/>
    <xf numFmtId="0" fontId="0" fillId="0" borderId="357" xfId="0" applyBorder="1" applyProtection="1"/>
    <xf numFmtId="0" fontId="128" fillId="0" borderId="0" xfId="0" applyFont="1" applyProtection="1"/>
    <xf numFmtId="0" fontId="127" fillId="0" borderId="0" xfId="0" applyFont="1" applyAlignment="1" applyProtection="1">
      <alignment horizontal="right" shrinkToFit="1"/>
    </xf>
    <xf numFmtId="0" fontId="0" fillId="0" borderId="0" xfId="0" applyAlignment="1" applyProtection="1">
      <alignment horizontal="right"/>
    </xf>
    <xf numFmtId="0" fontId="79" fillId="0" borderId="0" xfId="0" applyFont="1"/>
    <xf numFmtId="0" fontId="79" fillId="0" borderId="359" xfId="0" applyFont="1" applyBorder="1" applyAlignment="1" applyProtection="1"/>
    <xf numFmtId="0" fontId="79" fillId="0" borderId="0" xfId="0" applyFont="1" applyAlignment="1" applyProtection="1"/>
    <xf numFmtId="0" fontId="79" fillId="6" borderId="0" xfId="0" applyFont="1" applyFill="1" applyProtection="1"/>
    <xf numFmtId="0" fontId="0" fillId="0" borderId="353" xfId="0" applyBorder="1" applyProtection="1"/>
    <xf numFmtId="0" fontId="0" fillId="0" borderId="352" xfId="0" applyBorder="1" applyProtection="1"/>
    <xf numFmtId="0" fontId="0" fillId="0" borderId="170" xfId="0" applyBorder="1"/>
    <xf numFmtId="0" fontId="0" fillId="0" borderId="179" xfId="0" applyBorder="1"/>
    <xf numFmtId="0" fontId="0" fillId="6" borderId="0" xfId="0" applyFill="1" applyBorder="1"/>
    <xf numFmtId="0" fontId="79" fillId="0" borderId="0" xfId="0" applyFont="1" applyBorder="1"/>
    <xf numFmtId="0" fontId="121" fillId="0" borderId="0" xfId="0" applyFont="1" applyProtection="1">
      <protection hidden="1"/>
    </xf>
    <xf numFmtId="0" fontId="134" fillId="6" borderId="0" xfId="0" applyFont="1" applyFill="1" applyBorder="1" applyAlignment="1" applyProtection="1">
      <alignment vertical="center" shrinkToFit="1"/>
      <protection hidden="1"/>
    </xf>
    <xf numFmtId="0" fontId="114" fillId="6" borderId="0" xfId="0" applyFont="1" applyFill="1" applyBorder="1" applyAlignment="1" applyProtection="1">
      <alignment horizontal="right"/>
      <protection hidden="1"/>
    </xf>
    <xf numFmtId="0" fontId="0" fillId="6" borderId="87" xfId="0" applyFill="1" applyBorder="1" applyProtection="1">
      <protection hidden="1"/>
    </xf>
    <xf numFmtId="0" fontId="0" fillId="6" borderId="365" xfId="0" applyFill="1" applyBorder="1" applyProtection="1">
      <protection hidden="1"/>
    </xf>
    <xf numFmtId="0" fontId="0" fillId="6" borderId="369" xfId="0" applyFill="1" applyBorder="1" applyProtection="1">
      <protection hidden="1"/>
    </xf>
    <xf numFmtId="0" fontId="0" fillId="6" borderId="370" xfId="0" applyFill="1" applyBorder="1" applyProtection="1">
      <protection hidden="1"/>
    </xf>
    <xf numFmtId="0" fontId="77" fillId="0" borderId="0" xfId="0" applyFont="1" applyBorder="1" applyAlignment="1" applyProtection="1">
      <alignment horizontal="center" vertical="center"/>
      <protection hidden="1"/>
    </xf>
    <xf numFmtId="0" fontId="0" fillId="0" borderId="373" xfId="0" applyBorder="1"/>
    <xf numFmtId="0" fontId="0" fillId="0" borderId="185" xfId="0" applyBorder="1"/>
    <xf numFmtId="0" fontId="0" fillId="0" borderId="184" xfId="0" applyBorder="1"/>
    <xf numFmtId="0" fontId="0" fillId="0" borderId="356" xfId="0" applyBorder="1"/>
    <xf numFmtId="0" fontId="0" fillId="0" borderId="374" xfId="0" applyBorder="1"/>
    <xf numFmtId="0" fontId="121" fillId="6" borderId="0" xfId="0" applyFont="1" applyFill="1" applyProtection="1">
      <protection hidden="1"/>
    </xf>
    <xf numFmtId="0" fontId="133" fillId="6" borderId="0" xfId="0" applyFont="1" applyFill="1" applyBorder="1" applyAlignment="1" applyProtection="1">
      <alignment horizontal="right"/>
      <protection hidden="1"/>
    </xf>
    <xf numFmtId="0" fontId="79" fillId="6" borderId="87" xfId="0" applyFont="1" applyFill="1" applyBorder="1" applyProtection="1">
      <protection hidden="1"/>
    </xf>
    <xf numFmtId="0" fontId="79" fillId="6" borderId="0" xfId="0" applyFont="1" applyFill="1" applyBorder="1" applyProtection="1">
      <protection hidden="1"/>
    </xf>
    <xf numFmtId="0" fontId="79" fillId="0" borderId="87" xfId="0" applyFont="1" applyBorder="1"/>
    <xf numFmtId="0" fontId="79" fillId="6" borderId="87" xfId="0" applyFont="1" applyFill="1" applyBorder="1"/>
    <xf numFmtId="0" fontId="121" fillId="6" borderId="0" xfId="0" applyFont="1" applyFill="1" applyBorder="1" applyProtection="1">
      <protection hidden="1"/>
    </xf>
    <xf numFmtId="0" fontId="133" fillId="6" borderId="87" xfId="0" applyFont="1" applyFill="1" applyBorder="1" applyAlignment="1" applyProtection="1">
      <alignment vertical="center"/>
      <protection hidden="1"/>
    </xf>
    <xf numFmtId="0" fontId="133" fillId="6" borderId="0" xfId="0" applyFont="1" applyFill="1" applyBorder="1" applyAlignment="1" applyProtection="1">
      <alignment vertical="center"/>
      <protection hidden="1"/>
    </xf>
    <xf numFmtId="0" fontId="141" fillId="6" borderId="0" xfId="0" applyFont="1" applyFill="1" applyBorder="1" applyProtection="1">
      <protection hidden="1"/>
    </xf>
    <xf numFmtId="0" fontId="76" fillId="6" borderId="0" xfId="0" applyFont="1" applyFill="1" applyBorder="1" applyProtection="1">
      <protection hidden="1"/>
    </xf>
    <xf numFmtId="0" fontId="121" fillId="0" borderId="0" xfId="0" applyFont="1" applyBorder="1" applyProtection="1">
      <protection hidden="1"/>
    </xf>
    <xf numFmtId="0" fontId="0" fillId="6" borderId="379" xfId="0" applyFill="1" applyBorder="1" applyProtection="1">
      <protection hidden="1"/>
    </xf>
    <xf numFmtId="0" fontId="0" fillId="6" borderId="380" xfId="0" applyFill="1" applyBorder="1" applyProtection="1">
      <protection hidden="1"/>
    </xf>
    <xf numFmtId="0" fontId="0" fillId="0" borderId="382" xfId="0" applyBorder="1" applyProtection="1">
      <protection hidden="1"/>
    </xf>
    <xf numFmtId="0" fontId="0" fillId="0" borderId="381" xfId="0" applyBorder="1" applyProtection="1">
      <protection hidden="1"/>
    </xf>
    <xf numFmtId="0" fontId="0" fillId="0" borderId="381" xfId="0" applyBorder="1"/>
    <xf numFmtId="0" fontId="0" fillId="0" borderId="383" xfId="0" applyBorder="1"/>
    <xf numFmtId="0" fontId="0" fillId="0" borderId="370" xfId="0" applyBorder="1"/>
    <xf numFmtId="0" fontId="64" fillId="0" borderId="0" xfId="0" applyFont="1" applyAlignment="1" applyProtection="1">
      <alignment vertical="center"/>
      <protection hidden="1"/>
    </xf>
    <xf numFmtId="0" fontId="132" fillId="0" borderId="0" xfId="0" applyFont="1" applyAlignment="1" applyProtection="1">
      <protection hidden="1"/>
    </xf>
    <xf numFmtId="0" fontId="0" fillId="0" borderId="384" xfId="0" applyBorder="1"/>
    <xf numFmtId="0" fontId="0" fillId="0" borderId="386" xfId="0" applyBorder="1" applyProtection="1">
      <protection hidden="1"/>
    </xf>
    <xf numFmtId="0" fontId="0" fillId="0" borderId="207" xfId="0" applyBorder="1"/>
    <xf numFmtId="0" fontId="139" fillId="6" borderId="210" xfId="0" applyFont="1" applyFill="1" applyBorder="1" applyAlignment="1" applyProtection="1">
      <alignment vertical="center" wrapText="1"/>
      <protection hidden="1"/>
    </xf>
    <xf numFmtId="0" fontId="0" fillId="0" borderId="392" xfId="0" applyBorder="1"/>
    <xf numFmtId="0" fontId="0" fillId="0" borderId="390" xfId="0" applyBorder="1"/>
    <xf numFmtId="0" fontId="64" fillId="0" borderId="393" xfId="0" applyFont="1" applyBorder="1" applyAlignment="1">
      <alignment vertical="center"/>
    </xf>
    <xf numFmtId="0" fontId="0" fillId="0" borderId="393" xfId="0" applyBorder="1"/>
    <xf numFmtId="0" fontId="0" fillId="0" borderId="384" xfId="0" applyBorder="1" applyProtection="1">
      <protection hidden="1"/>
    </xf>
    <xf numFmtId="0" fontId="0" fillId="0" borderId="195" xfId="0" applyBorder="1"/>
    <xf numFmtId="0" fontId="0" fillId="0" borderId="278" xfId="0" applyBorder="1"/>
    <xf numFmtId="0" fontId="80" fillId="0" borderId="395" xfId="0" applyFont="1" applyBorder="1" applyAlignment="1">
      <alignment vertical="center"/>
    </xf>
    <xf numFmtId="0" fontId="0" fillId="0" borderId="389" xfId="0" applyBorder="1" applyProtection="1">
      <protection hidden="1"/>
    </xf>
    <xf numFmtId="0" fontId="0" fillId="0" borderId="394" xfId="0" applyBorder="1" applyProtection="1">
      <protection hidden="1"/>
    </xf>
    <xf numFmtId="0" fontId="0" fillId="0" borderId="275" xfId="0" applyBorder="1" applyProtection="1">
      <protection hidden="1"/>
    </xf>
    <xf numFmtId="0" fontId="69" fillId="0" borderId="388" xfId="0" applyFont="1" applyFill="1" applyBorder="1" applyAlignment="1" applyProtection="1">
      <alignment vertical="center"/>
      <protection hidden="1"/>
    </xf>
    <xf numFmtId="0" fontId="69" fillId="0" borderId="396" xfId="0" applyFont="1" applyFill="1" applyBorder="1" applyAlignment="1" applyProtection="1">
      <alignment vertical="center"/>
      <protection hidden="1"/>
    </xf>
    <xf numFmtId="0" fontId="0" fillId="0" borderId="356" xfId="0" applyBorder="1" applyProtection="1">
      <protection hidden="1"/>
    </xf>
    <xf numFmtId="0" fontId="0" fillId="0" borderId="390" xfId="0" applyBorder="1" applyProtection="1">
      <protection hidden="1"/>
    </xf>
    <xf numFmtId="0" fontId="64" fillId="0" borderId="397" xfId="0" applyFont="1" applyBorder="1" applyAlignment="1" applyProtection="1">
      <alignment vertical="top" textRotation="180"/>
      <protection hidden="1"/>
    </xf>
    <xf numFmtId="0" fontId="0" fillId="0" borderId="397" xfId="0" applyBorder="1" applyProtection="1">
      <protection hidden="1"/>
    </xf>
    <xf numFmtId="0" fontId="69" fillId="0" borderId="0" xfId="0" applyFont="1" applyFill="1" applyBorder="1" applyAlignment="1" applyProtection="1">
      <alignment horizontal="center" vertical="center"/>
      <protection hidden="1"/>
    </xf>
    <xf numFmtId="0" fontId="0" fillId="0" borderId="400" xfId="0" applyBorder="1"/>
    <xf numFmtId="0" fontId="0" fillId="0" borderId="401" xfId="0" applyBorder="1"/>
    <xf numFmtId="0" fontId="0" fillId="0" borderId="402" xfId="0" applyBorder="1"/>
    <xf numFmtId="0" fontId="0" fillId="0" borderId="403" xfId="0" applyBorder="1"/>
    <xf numFmtId="0" fontId="0" fillId="0" borderId="357" xfId="0" applyBorder="1"/>
    <xf numFmtId="0" fontId="0" fillId="0" borderId="405" xfId="0" applyBorder="1" applyProtection="1">
      <protection hidden="1"/>
    </xf>
    <xf numFmtId="0" fontId="0" fillId="0" borderId="406" xfId="0" applyBorder="1"/>
    <xf numFmtId="0" fontId="0" fillId="0" borderId="407" xfId="0" applyBorder="1"/>
    <xf numFmtId="0" fontId="0" fillId="0" borderId="386" xfId="0" applyBorder="1"/>
    <xf numFmtId="0" fontId="0" fillId="0" borderId="407" xfId="0" applyBorder="1" applyProtection="1">
      <protection hidden="1"/>
    </xf>
    <xf numFmtId="0" fontId="0" fillId="0" borderId="388" xfId="0" applyBorder="1"/>
    <xf numFmtId="171" fontId="88" fillId="6" borderId="357" xfId="0" applyNumberFormat="1" applyFont="1" applyFill="1" applyBorder="1" applyAlignment="1" applyProtection="1">
      <alignment vertical="center"/>
      <protection hidden="1"/>
    </xf>
    <xf numFmtId="0" fontId="67" fillId="6" borderId="357" xfId="0" applyFont="1" applyFill="1" applyBorder="1" applyAlignment="1" applyProtection="1">
      <alignment vertical="center"/>
      <protection hidden="1"/>
    </xf>
    <xf numFmtId="0" fontId="67" fillId="6" borderId="370" xfId="0" applyFont="1" applyFill="1" applyBorder="1" applyProtection="1">
      <protection hidden="1"/>
    </xf>
    <xf numFmtId="0" fontId="67" fillId="6" borderId="410" xfId="0" applyFont="1" applyFill="1" applyBorder="1" applyAlignment="1" applyProtection="1">
      <protection hidden="1"/>
    </xf>
    <xf numFmtId="0" fontId="102" fillId="0" borderId="268" xfId="0" applyFont="1" applyBorder="1" applyAlignment="1" applyProtection="1">
      <alignment vertical="center"/>
      <protection hidden="1"/>
    </xf>
    <xf numFmtId="0" fontId="102" fillId="0" borderId="210" xfId="0" applyFont="1" applyBorder="1" applyAlignment="1" applyProtection="1">
      <alignment vertical="center"/>
      <protection hidden="1"/>
    </xf>
    <xf numFmtId="1" fontId="147" fillId="6" borderId="357" xfId="0" applyNumberFormat="1" applyFont="1" applyFill="1" applyBorder="1" applyAlignment="1" applyProtection="1">
      <alignment vertical="center"/>
      <protection hidden="1"/>
    </xf>
    <xf numFmtId="1" fontId="147" fillId="0" borderId="210" xfId="0" applyNumberFormat="1" applyFont="1" applyBorder="1" applyAlignment="1" applyProtection="1">
      <alignment vertical="center"/>
      <protection hidden="1"/>
    </xf>
    <xf numFmtId="0" fontId="148" fillId="6" borderId="210" xfId="0" applyFont="1" applyFill="1" applyBorder="1" applyAlignment="1" applyProtection="1">
      <alignment vertical="center" shrinkToFit="1"/>
      <protection hidden="1"/>
    </xf>
    <xf numFmtId="0" fontId="64" fillId="0" borderId="411" xfId="0" applyFont="1" applyBorder="1" applyAlignment="1" applyProtection="1">
      <alignment vertical="top" textRotation="180"/>
      <protection hidden="1"/>
    </xf>
    <xf numFmtId="0" fontId="64" fillId="0" borderId="107" xfId="0" applyFont="1" applyBorder="1" applyAlignment="1" applyProtection="1">
      <alignment vertical="top" textRotation="180"/>
      <protection hidden="1"/>
    </xf>
    <xf numFmtId="0" fontId="64" fillId="0" borderId="398" xfId="0" applyFont="1" applyBorder="1" applyAlignment="1" applyProtection="1">
      <alignment vertical="top" textRotation="180"/>
      <protection hidden="1"/>
    </xf>
    <xf numFmtId="0" fontId="0" fillId="0" borderId="413" xfId="0" applyBorder="1" applyProtection="1">
      <protection hidden="1"/>
    </xf>
    <xf numFmtId="0" fontId="64" fillId="0" borderId="386" xfId="0" applyFont="1" applyBorder="1" applyAlignment="1">
      <alignment vertical="center"/>
    </xf>
    <xf numFmtId="0" fontId="0" fillId="0" borderId="414" xfId="0" applyBorder="1"/>
    <xf numFmtId="0" fontId="75" fillId="12" borderId="0" xfId="406"/>
    <xf numFmtId="0" fontId="75" fillId="12" borderId="0" xfId="406" applyAlignment="1">
      <alignment horizontal="right"/>
    </xf>
    <xf numFmtId="0" fontId="152" fillId="0" borderId="0" xfId="0" applyFont="1" applyAlignment="1">
      <alignment horizontal="center" vertical="center"/>
    </xf>
    <xf numFmtId="0" fontId="152" fillId="0" borderId="0" xfId="0" applyFont="1" applyAlignment="1" applyProtection="1">
      <alignment horizontal="center" vertical="center"/>
    </xf>
    <xf numFmtId="0" fontId="153" fillId="0" borderId="0" xfId="0" applyFont="1" applyAlignment="1" applyProtection="1">
      <alignment horizontal="center" vertical="center"/>
    </xf>
    <xf numFmtId="0" fontId="156" fillId="0" borderId="0" xfId="0" applyFont="1" applyProtection="1"/>
    <xf numFmtId="0" fontId="157" fillId="0" borderId="0" xfId="0" applyFont="1" applyProtection="1"/>
    <xf numFmtId="0" fontId="0" fillId="0" borderId="355" xfId="0" applyBorder="1"/>
    <xf numFmtId="0" fontId="64" fillId="0" borderId="0" xfId="0" applyFont="1" applyAlignment="1" applyProtection="1">
      <alignment vertical="top" wrapText="1"/>
    </xf>
    <xf numFmtId="0" fontId="0" fillId="0" borderId="0" xfId="0" applyAlignment="1" applyProtection="1"/>
    <xf numFmtId="0" fontId="0" fillId="0" borderId="421" xfId="0" applyBorder="1" applyAlignment="1" applyProtection="1"/>
    <xf numFmtId="0" fontId="130" fillId="0" borderId="0" xfId="0" applyFont="1" applyAlignment="1" applyProtection="1">
      <alignment horizontal="right" vertical="center" shrinkToFit="1"/>
    </xf>
    <xf numFmtId="0" fontId="80" fillId="0" borderId="0" xfId="0" applyFont="1"/>
    <xf numFmtId="0" fontId="121" fillId="0" borderId="0" xfId="0" applyFont="1" applyFill="1" applyAlignment="1" applyProtection="1">
      <alignment vertical="center"/>
    </xf>
    <xf numFmtId="0" fontId="0" fillId="0" borderId="0" xfId="0" applyFill="1" applyProtection="1"/>
    <xf numFmtId="0" fontId="79" fillId="0" borderId="0" xfId="0" applyFont="1" applyFill="1" applyAlignment="1" applyProtection="1">
      <alignment vertical="center"/>
    </xf>
    <xf numFmtId="0" fontId="79" fillId="0" borderId="0" xfId="0" applyFont="1" applyFill="1" applyBorder="1" applyAlignment="1" applyProtection="1">
      <alignment vertical="center"/>
    </xf>
    <xf numFmtId="0" fontId="0" fillId="0" borderId="0" xfId="0" applyFill="1" applyBorder="1" applyProtection="1"/>
    <xf numFmtId="0" fontId="121" fillId="0" borderId="0" xfId="0" applyFont="1" applyFill="1" applyAlignment="1">
      <alignment vertical="center"/>
    </xf>
    <xf numFmtId="0" fontId="0" fillId="0" borderId="421" xfId="0" applyBorder="1" applyProtection="1"/>
    <xf numFmtId="0" fontId="143" fillId="0" borderId="0" xfId="0" applyFont="1" applyAlignment="1" applyProtection="1">
      <alignment horizontal="center" vertical="center"/>
      <protection hidden="1"/>
    </xf>
    <xf numFmtId="0" fontId="0" fillId="0" borderId="0" xfId="0" applyBorder="1" applyAlignment="1" applyProtection="1">
      <alignment horizontal="center"/>
      <protection hidden="1"/>
    </xf>
    <xf numFmtId="0" fontId="0" fillId="0" borderId="0" xfId="0" applyAlignment="1" applyProtection="1">
      <alignment horizontal="center"/>
      <protection hidden="1"/>
    </xf>
    <xf numFmtId="0" fontId="94" fillId="0" borderId="108" xfId="0" applyFont="1" applyBorder="1" applyAlignment="1" applyProtection="1">
      <alignment horizontal="center" vertical="center" wrapText="1"/>
      <protection hidden="1"/>
    </xf>
    <xf numFmtId="0" fontId="94" fillId="0" borderId="109" xfId="0" applyFont="1" applyBorder="1" applyAlignment="1" applyProtection="1">
      <alignment horizontal="center" vertical="center" wrapText="1"/>
      <protection hidden="1"/>
    </xf>
    <xf numFmtId="0" fontId="94" fillId="0" borderId="110" xfId="0" applyFont="1" applyBorder="1" applyAlignment="1" applyProtection="1">
      <alignment horizontal="center" vertical="center" wrapText="1"/>
      <protection hidden="1"/>
    </xf>
    <xf numFmtId="0" fontId="94" fillId="0" borderId="111" xfId="0" applyFont="1" applyBorder="1" applyAlignment="1" applyProtection="1">
      <alignment horizontal="center" vertical="center" wrapText="1"/>
      <protection hidden="1"/>
    </xf>
    <xf numFmtId="0" fontId="94" fillId="0" borderId="0" xfId="0" applyFont="1" applyBorder="1" applyAlignment="1" applyProtection="1">
      <alignment horizontal="center" vertical="center" wrapText="1"/>
      <protection hidden="1"/>
    </xf>
    <xf numFmtId="0" fontId="94" fillId="0" borderId="112" xfId="0" applyFont="1" applyBorder="1" applyAlignment="1" applyProtection="1">
      <alignment horizontal="center" vertical="center" wrapText="1"/>
      <protection hidden="1"/>
    </xf>
    <xf numFmtId="0" fontId="94" fillId="0" borderId="113" xfId="0" applyFont="1" applyBorder="1" applyAlignment="1" applyProtection="1">
      <alignment horizontal="center" vertical="center" wrapText="1"/>
      <protection hidden="1"/>
    </xf>
    <xf numFmtId="0" fontId="94" fillId="0" borderId="114" xfId="0" applyFont="1" applyBorder="1" applyAlignment="1" applyProtection="1">
      <alignment horizontal="center" vertical="center" wrapText="1"/>
      <protection hidden="1"/>
    </xf>
    <xf numFmtId="0" fontId="94" fillId="0" borderId="115" xfId="0" applyFont="1" applyBorder="1" applyAlignment="1" applyProtection="1">
      <alignment horizontal="center" vertical="center" wrapText="1"/>
      <protection hidden="1"/>
    </xf>
    <xf numFmtId="0" fontId="64" fillId="0" borderId="0" xfId="0" applyFont="1" applyBorder="1" applyAlignment="1" applyProtection="1">
      <alignment horizontal="center" vertical="center" wrapText="1"/>
      <protection hidden="1"/>
    </xf>
    <xf numFmtId="0" fontId="64" fillId="0" borderId="370" xfId="0" applyFont="1" applyBorder="1" applyAlignment="1" applyProtection="1">
      <alignment horizontal="center" vertical="center" wrapText="1"/>
      <protection hidden="1"/>
    </xf>
    <xf numFmtId="1" fontId="90" fillId="0" borderId="96" xfId="0" applyNumberFormat="1" applyFont="1" applyBorder="1" applyAlignment="1" applyProtection="1">
      <alignment horizontal="center"/>
      <protection hidden="1"/>
    </xf>
    <xf numFmtId="0" fontId="90" fillId="0" borderId="97" xfId="0" applyFont="1" applyBorder="1" applyAlignment="1" applyProtection="1">
      <alignment horizontal="center"/>
      <protection hidden="1"/>
    </xf>
    <xf numFmtId="0" fontId="90" fillId="0" borderId="98" xfId="0" applyFont="1" applyBorder="1" applyAlignment="1" applyProtection="1">
      <alignment horizontal="center"/>
      <protection hidden="1"/>
    </xf>
    <xf numFmtId="0" fontId="90" fillId="0" borderId="99" xfId="0" applyFont="1" applyBorder="1" applyAlignment="1" applyProtection="1">
      <alignment horizontal="center"/>
      <protection hidden="1"/>
    </xf>
    <xf numFmtId="0" fontId="90" fillId="0" borderId="100" xfId="0" applyFont="1" applyBorder="1" applyAlignment="1" applyProtection="1">
      <alignment horizontal="center"/>
      <protection hidden="1"/>
    </xf>
    <xf numFmtId="0" fontId="90" fillId="0" borderId="101" xfId="0" applyFont="1" applyBorder="1" applyAlignment="1" applyProtection="1">
      <alignment horizontal="center"/>
      <protection hidden="1"/>
    </xf>
    <xf numFmtId="0" fontId="30" fillId="0" borderId="107" xfId="0" applyFont="1" applyBorder="1" applyAlignment="1" applyProtection="1">
      <alignment horizontal="center"/>
      <protection hidden="1"/>
    </xf>
    <xf numFmtId="0" fontId="30" fillId="0" borderId="0" xfId="0" applyFont="1" applyAlignment="1" applyProtection="1">
      <alignment horizontal="center"/>
      <protection hidden="1"/>
    </xf>
    <xf numFmtId="0" fontId="30" fillId="0" borderId="106" xfId="0" applyFont="1" applyBorder="1" applyAlignment="1" applyProtection="1">
      <alignment horizontal="center"/>
      <protection hidden="1"/>
    </xf>
    <xf numFmtId="0" fontId="69" fillId="0" borderId="103" xfId="0" applyFont="1" applyFill="1" applyBorder="1" applyAlignment="1" applyProtection="1">
      <alignment horizontal="center" vertical="center"/>
      <protection hidden="1"/>
    </xf>
    <xf numFmtId="0" fontId="69" fillId="0" borderId="104" xfId="0" applyFont="1" applyFill="1" applyBorder="1" applyAlignment="1" applyProtection="1">
      <alignment horizontal="center" vertical="center"/>
      <protection hidden="1"/>
    </xf>
    <xf numFmtId="0" fontId="69" fillId="0" borderId="105" xfId="0" applyFont="1" applyFill="1" applyBorder="1" applyAlignment="1" applyProtection="1">
      <alignment horizontal="center" vertical="center"/>
      <protection hidden="1"/>
    </xf>
    <xf numFmtId="0" fontId="69" fillId="11" borderId="96" xfId="0" applyFont="1" applyFill="1" applyBorder="1" applyAlignment="1" applyProtection="1">
      <alignment horizontal="center" vertical="center"/>
      <protection locked="0" hidden="1"/>
    </xf>
    <xf numFmtId="0" fontId="69" fillId="11" borderId="97" xfId="0" applyFont="1" applyFill="1" applyBorder="1" applyAlignment="1" applyProtection="1">
      <alignment horizontal="center" vertical="center"/>
      <protection locked="0" hidden="1"/>
    </xf>
    <xf numFmtId="0" fontId="69" fillId="11" borderId="98" xfId="0" applyFont="1" applyFill="1" applyBorder="1" applyAlignment="1" applyProtection="1">
      <alignment horizontal="center" vertical="center"/>
      <protection locked="0" hidden="1"/>
    </xf>
    <xf numFmtId="0" fontId="69" fillId="11" borderId="99" xfId="0" applyFont="1" applyFill="1" applyBorder="1" applyAlignment="1" applyProtection="1">
      <alignment horizontal="center" vertical="center"/>
      <protection locked="0" hidden="1"/>
    </xf>
    <xf numFmtId="0" fontId="69" fillId="11" borderId="100" xfId="0" applyFont="1" applyFill="1" applyBorder="1" applyAlignment="1" applyProtection="1">
      <alignment horizontal="center" vertical="center"/>
      <protection locked="0" hidden="1"/>
    </xf>
    <xf numFmtId="0" fontId="69" fillId="11" borderId="101" xfId="0" applyFont="1" applyFill="1" applyBorder="1" applyAlignment="1" applyProtection="1">
      <alignment horizontal="center" vertical="center"/>
      <protection locked="0" hidden="1"/>
    </xf>
    <xf numFmtId="0" fontId="64" fillId="0" borderId="391" xfId="0" applyFont="1" applyBorder="1" applyAlignment="1" applyProtection="1">
      <alignment horizontal="center" vertical="center" textRotation="90"/>
      <protection hidden="1"/>
    </xf>
    <xf numFmtId="0" fontId="64" fillId="0" borderId="0" xfId="0" applyFont="1" applyBorder="1" applyAlignment="1" applyProtection="1">
      <alignment horizontal="center" vertical="center" textRotation="90"/>
      <protection hidden="1"/>
    </xf>
    <xf numFmtId="1" fontId="77" fillId="0" borderId="388" xfId="0" applyNumberFormat="1" applyFont="1" applyBorder="1" applyAlignment="1" applyProtection="1">
      <alignment horizontal="center" vertical="center"/>
      <protection hidden="1"/>
    </xf>
    <xf numFmtId="1" fontId="77" fillId="0" borderId="0" xfId="0" applyNumberFormat="1" applyFont="1" applyBorder="1" applyAlignment="1" applyProtection="1">
      <alignment horizontal="center" vertical="center"/>
      <protection hidden="1"/>
    </xf>
    <xf numFmtId="1" fontId="77" fillId="0" borderId="194" xfId="0" applyNumberFormat="1" applyFont="1" applyBorder="1" applyAlignment="1" applyProtection="1">
      <alignment horizontal="center" vertical="center"/>
      <protection hidden="1"/>
    </xf>
    <xf numFmtId="0" fontId="69" fillId="0" borderId="96" xfId="0" applyFont="1" applyFill="1" applyBorder="1" applyAlignment="1" applyProtection="1">
      <alignment horizontal="center" vertical="center"/>
      <protection hidden="1"/>
    </xf>
    <xf numFmtId="0" fontId="69" fillId="0" borderId="97" xfId="0" applyFont="1" applyFill="1" applyBorder="1" applyAlignment="1" applyProtection="1">
      <alignment horizontal="center" vertical="center"/>
      <protection hidden="1"/>
    </xf>
    <xf numFmtId="0" fontId="69" fillId="0" borderId="98" xfId="0" applyFont="1" applyFill="1" applyBorder="1" applyAlignment="1" applyProtection="1">
      <alignment horizontal="center" vertical="center"/>
      <protection hidden="1"/>
    </xf>
    <xf numFmtId="0" fontId="69" fillId="0" borderId="99" xfId="0" applyFont="1" applyFill="1" applyBorder="1" applyAlignment="1" applyProtection="1">
      <alignment horizontal="center" vertical="center"/>
      <protection hidden="1"/>
    </xf>
    <xf numFmtId="0" fontId="69" fillId="0" borderId="100" xfId="0" applyFont="1" applyFill="1" applyBorder="1" applyAlignment="1" applyProtection="1">
      <alignment horizontal="center" vertical="center"/>
      <protection hidden="1"/>
    </xf>
    <xf numFmtId="0" fontId="69" fillId="0" borderId="106" xfId="0" applyFont="1" applyFill="1" applyBorder="1" applyAlignment="1" applyProtection="1">
      <alignment horizontal="center" vertical="center"/>
      <protection hidden="1"/>
    </xf>
    <xf numFmtId="0" fontId="69" fillId="0" borderId="385" xfId="0" applyFont="1" applyFill="1" applyBorder="1" applyAlignment="1" applyProtection="1">
      <alignment horizontal="center" vertical="center"/>
      <protection hidden="1"/>
    </xf>
    <xf numFmtId="0" fontId="69" fillId="0" borderId="386" xfId="0" applyFont="1" applyFill="1" applyBorder="1" applyAlignment="1" applyProtection="1">
      <alignment horizontal="center" vertical="center"/>
      <protection hidden="1"/>
    </xf>
    <xf numFmtId="0" fontId="69" fillId="0" borderId="387" xfId="0" applyFont="1" applyFill="1" applyBorder="1" applyAlignment="1" applyProtection="1">
      <alignment horizontal="center" vertical="center"/>
      <protection hidden="1"/>
    </xf>
    <xf numFmtId="0" fontId="69" fillId="0" borderId="388" xfId="0" applyFont="1" applyFill="1" applyBorder="1" applyAlignment="1" applyProtection="1">
      <alignment horizontal="center" vertical="center"/>
      <protection hidden="1"/>
    </xf>
    <xf numFmtId="0" fontId="69" fillId="0" borderId="0" xfId="0" applyFont="1" applyFill="1" applyBorder="1" applyAlignment="1" applyProtection="1">
      <alignment horizontal="center" vertical="center"/>
      <protection hidden="1"/>
    </xf>
    <xf numFmtId="0" fontId="69" fillId="0" borderId="389" xfId="0" applyFont="1" applyFill="1" applyBorder="1" applyAlignment="1" applyProtection="1">
      <alignment horizontal="center" vertical="center"/>
      <protection hidden="1"/>
    </xf>
    <xf numFmtId="0" fontId="64" fillId="0" borderId="384" xfId="0" applyFont="1" applyBorder="1" applyAlignment="1" applyProtection="1">
      <alignment horizontal="center" vertical="top" textRotation="180"/>
      <protection hidden="1"/>
    </xf>
    <xf numFmtId="0" fontId="64" fillId="0" borderId="390" xfId="0" applyFont="1" applyBorder="1" applyAlignment="1" applyProtection="1">
      <alignment horizontal="center" vertical="top" textRotation="180"/>
      <protection hidden="1"/>
    </xf>
    <xf numFmtId="0" fontId="142" fillId="0" borderId="87" xfId="0" applyFont="1" applyBorder="1" applyAlignment="1" applyProtection="1">
      <alignment horizontal="center" vertical="center"/>
      <protection hidden="1"/>
    </xf>
    <xf numFmtId="0" fontId="142" fillId="0" borderId="370" xfId="0" applyFont="1" applyBorder="1" applyAlignment="1" applyProtection="1">
      <alignment horizontal="center" vertical="center"/>
      <protection hidden="1"/>
    </xf>
    <xf numFmtId="0" fontId="142" fillId="0" borderId="9" xfId="0" applyFont="1" applyBorder="1" applyAlignment="1" applyProtection="1">
      <alignment horizontal="center" vertical="center"/>
      <protection hidden="1"/>
    </xf>
    <xf numFmtId="0" fontId="142" fillId="0" borderId="357" xfId="0" applyFont="1" applyBorder="1" applyAlignment="1" applyProtection="1">
      <alignment horizontal="center" vertical="center"/>
      <protection hidden="1"/>
    </xf>
    <xf numFmtId="1" fontId="77" fillId="0" borderId="87" xfId="0" applyNumberFormat="1" applyFont="1" applyBorder="1" applyAlignment="1" applyProtection="1">
      <alignment horizontal="center" vertical="center"/>
      <protection hidden="1"/>
    </xf>
    <xf numFmtId="0" fontId="77" fillId="0" borderId="370" xfId="0" applyFont="1" applyBorder="1" applyAlignment="1" applyProtection="1">
      <alignment horizontal="center" vertical="center"/>
      <protection hidden="1"/>
    </xf>
    <xf numFmtId="0" fontId="77" fillId="0" borderId="355" xfId="0" applyFont="1" applyBorder="1" applyAlignment="1" applyProtection="1">
      <alignment horizontal="center" vertical="center"/>
      <protection hidden="1"/>
    </xf>
    <xf numFmtId="0" fontId="77" fillId="0" borderId="357" xfId="0" applyFont="1" applyBorder="1" applyAlignment="1" applyProtection="1">
      <alignment horizontal="center" vertical="center"/>
      <protection hidden="1"/>
    </xf>
    <xf numFmtId="0" fontId="144" fillId="6" borderId="365" xfId="0" applyFont="1" applyFill="1" applyBorder="1" applyAlignment="1" applyProtection="1">
      <alignment horizontal="center" vertical="center"/>
      <protection hidden="1"/>
    </xf>
    <xf numFmtId="0" fontId="144" fillId="6" borderId="367" xfId="0" applyFont="1" applyFill="1" applyBorder="1" applyAlignment="1" applyProtection="1">
      <alignment horizontal="center" vertical="center"/>
      <protection hidden="1"/>
    </xf>
    <xf numFmtId="0" fontId="133" fillId="6" borderId="43" xfId="0" applyFont="1" applyFill="1" applyBorder="1" applyAlignment="1" applyProtection="1">
      <alignment horizontal="center"/>
      <protection hidden="1"/>
    </xf>
    <xf numFmtId="0" fontId="133" fillId="6" borderId="368" xfId="0" applyFont="1" applyFill="1" applyBorder="1" applyAlignment="1" applyProtection="1">
      <alignment horizontal="center"/>
      <protection hidden="1"/>
    </xf>
    <xf numFmtId="0" fontId="135" fillId="6" borderId="356" xfId="407" applyFont="1" applyFill="1" applyBorder="1" applyAlignment="1" applyProtection="1">
      <alignment horizontal="center" vertical="center"/>
      <protection hidden="1"/>
    </xf>
    <xf numFmtId="0" fontId="136" fillId="6" borderId="356" xfId="0" applyFont="1" applyFill="1" applyBorder="1" applyAlignment="1" applyProtection="1">
      <alignment horizontal="center" vertical="center"/>
      <protection hidden="1"/>
    </xf>
    <xf numFmtId="0" fontId="136" fillId="6" borderId="0" xfId="0" applyFont="1" applyFill="1" applyBorder="1" applyAlignment="1" applyProtection="1">
      <alignment horizontal="center" vertical="center"/>
      <protection hidden="1"/>
    </xf>
    <xf numFmtId="0" fontId="140" fillId="6" borderId="375" xfId="0" applyFont="1" applyFill="1" applyBorder="1" applyAlignment="1" applyProtection="1">
      <alignment horizontal="center" vertical="center" shrinkToFit="1"/>
      <protection hidden="1"/>
    </xf>
    <xf numFmtId="0" fontId="140" fillId="6" borderId="376" xfId="0" applyFont="1" applyFill="1" applyBorder="1" applyAlignment="1" applyProtection="1">
      <alignment horizontal="center" vertical="center" shrinkToFit="1"/>
      <protection hidden="1"/>
    </xf>
    <xf numFmtId="0" fontId="140" fillId="6" borderId="87" xfId="0" applyFont="1" applyFill="1" applyBorder="1" applyAlignment="1" applyProtection="1">
      <alignment horizontal="center" vertical="center" shrinkToFit="1"/>
      <protection hidden="1"/>
    </xf>
    <xf numFmtId="0" fontId="140" fillId="6" borderId="0" xfId="0" applyFont="1" applyFill="1" applyBorder="1" applyAlignment="1" applyProtection="1">
      <alignment horizontal="center" vertical="center" shrinkToFit="1"/>
      <protection hidden="1"/>
    </xf>
    <xf numFmtId="0" fontId="135" fillId="6" borderId="376" xfId="407" applyFont="1" applyFill="1" applyBorder="1" applyAlignment="1" applyProtection="1">
      <alignment horizontal="center" vertical="center"/>
      <protection hidden="1"/>
    </xf>
    <xf numFmtId="0" fontId="136" fillId="6" borderId="376" xfId="0" applyFont="1" applyFill="1" applyBorder="1" applyAlignment="1" applyProtection="1">
      <alignment horizontal="center" vertical="center"/>
      <protection hidden="1"/>
    </xf>
    <xf numFmtId="0" fontId="121" fillId="6" borderId="364" xfId="0" applyFont="1" applyFill="1" applyBorder="1" applyAlignment="1" applyProtection="1">
      <alignment horizontal="center"/>
      <protection hidden="1"/>
    </xf>
    <xf numFmtId="0" fontId="121" fillId="6" borderId="366" xfId="0" applyFont="1" applyFill="1" applyBorder="1" applyAlignment="1" applyProtection="1">
      <alignment horizontal="center"/>
      <protection hidden="1"/>
    </xf>
    <xf numFmtId="0" fontId="133" fillId="6" borderId="377" xfId="0" applyFont="1" applyFill="1" applyBorder="1" applyAlignment="1" applyProtection="1">
      <alignment horizontal="center" vertical="center"/>
      <protection hidden="1"/>
    </xf>
    <xf numFmtId="0" fontId="133" fillId="6" borderId="378" xfId="0" applyFont="1" applyFill="1" applyBorder="1" applyAlignment="1" applyProtection="1">
      <alignment horizontal="center" vertical="center"/>
      <protection hidden="1"/>
    </xf>
    <xf numFmtId="0" fontId="139" fillId="6" borderId="0" xfId="0" applyFont="1" applyFill="1" applyBorder="1" applyAlignment="1" applyProtection="1">
      <alignment horizontal="center" vertical="center"/>
      <protection hidden="1"/>
    </xf>
    <xf numFmtId="0" fontId="139" fillId="6" borderId="106" xfId="0" applyFont="1" applyFill="1" applyBorder="1" applyAlignment="1" applyProtection="1">
      <alignment horizontal="center" vertical="center"/>
      <protection hidden="1"/>
    </xf>
    <xf numFmtId="0" fontId="139" fillId="6" borderId="210" xfId="0" applyFont="1" applyFill="1" applyBorder="1" applyAlignment="1" applyProtection="1">
      <alignment horizontal="center" vertical="center"/>
      <protection hidden="1"/>
    </xf>
    <xf numFmtId="0" fontId="139" fillId="6" borderId="371" xfId="0" applyFont="1" applyFill="1" applyBorder="1" applyAlignment="1" applyProtection="1">
      <alignment horizontal="center" vertical="center"/>
      <protection hidden="1"/>
    </xf>
    <xf numFmtId="1" fontId="145" fillId="6" borderId="96" xfId="0" applyNumberFormat="1" applyFont="1" applyFill="1" applyBorder="1" applyAlignment="1" applyProtection="1">
      <alignment horizontal="center" vertical="center" shrinkToFit="1"/>
      <protection hidden="1"/>
    </xf>
    <xf numFmtId="1" fontId="145" fillId="6" borderId="97" xfId="0" applyNumberFormat="1" applyFont="1" applyFill="1" applyBorder="1" applyAlignment="1" applyProtection="1">
      <alignment horizontal="center" vertical="center" shrinkToFit="1"/>
      <protection hidden="1"/>
    </xf>
    <xf numFmtId="1" fontId="145" fillId="6" borderId="98" xfId="0" applyNumberFormat="1" applyFont="1" applyFill="1" applyBorder="1" applyAlignment="1" applyProtection="1">
      <alignment horizontal="center" vertical="center" shrinkToFit="1"/>
      <protection hidden="1"/>
    </xf>
    <xf numFmtId="1" fontId="145" fillId="6" borderId="372" xfId="0" applyNumberFormat="1" applyFont="1" applyFill="1" applyBorder="1" applyAlignment="1" applyProtection="1">
      <alignment horizontal="center" vertical="center" shrinkToFit="1"/>
      <protection hidden="1"/>
    </xf>
    <xf numFmtId="1" fontId="145" fillId="6" borderId="210" xfId="0" applyNumberFormat="1" applyFont="1" applyFill="1" applyBorder="1" applyAlignment="1" applyProtection="1">
      <alignment horizontal="center" vertical="center" shrinkToFit="1"/>
      <protection hidden="1"/>
    </xf>
    <xf numFmtId="1" fontId="145" fillId="6" borderId="371" xfId="0" applyNumberFormat="1" applyFont="1" applyFill="1" applyBorder="1" applyAlignment="1" applyProtection="1">
      <alignment horizontal="center" vertical="center" shrinkToFit="1"/>
      <protection hidden="1"/>
    </xf>
    <xf numFmtId="0" fontId="79" fillId="0" borderId="205" xfId="0" applyFont="1" applyBorder="1" applyAlignment="1" applyProtection="1">
      <alignment horizontal="center"/>
      <protection hidden="1"/>
    </xf>
    <xf numFmtId="0" fontId="79" fillId="0" borderId="199" xfId="0" applyFont="1" applyBorder="1" applyAlignment="1" applyProtection="1">
      <alignment horizontal="center"/>
      <protection hidden="1"/>
    </xf>
    <xf numFmtId="0" fontId="79" fillId="0" borderId="206" xfId="0" applyFont="1" applyBorder="1" applyAlignment="1" applyProtection="1">
      <alignment horizontal="center"/>
      <protection hidden="1"/>
    </xf>
    <xf numFmtId="0" fontId="79" fillId="0" borderId="209" xfId="0" applyFont="1" applyBorder="1" applyAlignment="1" applyProtection="1">
      <alignment horizontal="center"/>
      <protection hidden="1"/>
    </xf>
    <xf numFmtId="0" fontId="79" fillId="0" borderId="210" xfId="0" applyFont="1" applyBorder="1" applyAlignment="1" applyProtection="1">
      <alignment horizontal="center"/>
      <protection hidden="1"/>
    </xf>
    <xf numFmtId="0" fontId="79" fillId="0" borderId="211" xfId="0" applyFont="1" applyBorder="1" applyAlignment="1" applyProtection="1">
      <alignment horizontal="center"/>
      <protection hidden="1"/>
    </xf>
    <xf numFmtId="0" fontId="129" fillId="6" borderId="205" xfId="0" applyFont="1" applyFill="1" applyBorder="1" applyAlignment="1" applyProtection="1">
      <alignment horizontal="center" vertical="center"/>
      <protection hidden="1"/>
    </xf>
    <xf numFmtId="0" fontId="129" fillId="6" borderId="199" xfId="0" applyFont="1" applyFill="1" applyBorder="1" applyAlignment="1" applyProtection="1">
      <alignment horizontal="center" vertical="center"/>
      <protection hidden="1"/>
    </xf>
    <xf numFmtId="0" fontId="129" fillId="6" borderId="206" xfId="0" applyFont="1" applyFill="1" applyBorder="1" applyAlignment="1" applyProtection="1">
      <alignment horizontal="center" vertical="center"/>
      <protection hidden="1"/>
    </xf>
    <xf numFmtId="0" fontId="129" fillId="6" borderId="209" xfId="0" applyFont="1" applyFill="1" applyBorder="1" applyAlignment="1" applyProtection="1">
      <alignment horizontal="center" vertical="center"/>
      <protection hidden="1"/>
    </xf>
    <xf numFmtId="0" fontId="129" fillId="6" borderId="210" xfId="0" applyFont="1" applyFill="1" applyBorder="1" applyAlignment="1" applyProtection="1">
      <alignment horizontal="center" vertical="center"/>
      <protection hidden="1"/>
    </xf>
    <xf numFmtId="0" fontId="129" fillId="6" borderId="211" xfId="0" applyFont="1" applyFill="1" applyBorder="1" applyAlignment="1" applyProtection="1">
      <alignment horizontal="center" vertical="center"/>
      <protection hidden="1"/>
    </xf>
    <xf numFmtId="0" fontId="67" fillId="6" borderId="410" xfId="0" applyFont="1" applyFill="1" applyBorder="1" applyAlignment="1" applyProtection="1">
      <alignment horizontal="center"/>
      <protection hidden="1"/>
    </xf>
    <xf numFmtId="0" fontId="144" fillId="6" borderId="96" xfId="0" applyFont="1" applyFill="1" applyBorder="1" applyAlignment="1" applyProtection="1">
      <alignment horizontal="center" vertical="center"/>
      <protection hidden="1"/>
    </xf>
    <xf numFmtId="0" fontId="144" fillId="6" borderId="97" xfId="0" applyFont="1" applyFill="1" applyBorder="1" applyAlignment="1" applyProtection="1">
      <alignment horizontal="center" vertical="center"/>
      <protection hidden="1"/>
    </xf>
    <xf numFmtId="0" fontId="144" fillId="6" borderId="98" xfId="0" applyFont="1" applyFill="1" applyBorder="1" applyAlignment="1" applyProtection="1">
      <alignment horizontal="center" vertical="center"/>
      <protection hidden="1"/>
    </xf>
    <xf numFmtId="0" fontId="144" fillId="6" borderId="99" xfId="0" applyFont="1" applyFill="1" applyBorder="1" applyAlignment="1" applyProtection="1">
      <alignment horizontal="center" vertical="center"/>
      <protection hidden="1"/>
    </xf>
    <xf numFmtId="0" fontId="144" fillId="6" borderId="100" xfId="0" applyFont="1" applyFill="1" applyBorder="1" applyAlignment="1" applyProtection="1">
      <alignment horizontal="center" vertical="center"/>
      <protection hidden="1"/>
    </xf>
    <xf numFmtId="0" fontId="144" fillId="6" borderId="101" xfId="0" applyFont="1" applyFill="1" applyBorder="1" applyAlignment="1" applyProtection="1">
      <alignment horizontal="center" vertical="center"/>
      <protection hidden="1"/>
    </xf>
    <xf numFmtId="0" fontId="146" fillId="6" borderId="205" xfId="0" applyFont="1" applyFill="1" applyBorder="1" applyAlignment="1" applyProtection="1">
      <alignment horizontal="center"/>
      <protection hidden="1"/>
    </xf>
    <xf numFmtId="0" fontId="146" fillId="6" borderId="199" xfId="0" applyFont="1" applyFill="1" applyBorder="1" applyAlignment="1" applyProtection="1">
      <alignment horizontal="center"/>
      <protection hidden="1"/>
    </xf>
    <xf numFmtId="0" fontId="146" fillId="6" borderId="209" xfId="0" applyFont="1" applyFill="1" applyBorder="1" applyAlignment="1" applyProtection="1">
      <alignment horizontal="center"/>
      <protection hidden="1"/>
    </xf>
    <xf numFmtId="0" fontId="146" fillId="6" borderId="210" xfId="0" applyFont="1" applyFill="1" applyBorder="1" applyAlignment="1" applyProtection="1">
      <alignment horizontal="center"/>
      <protection hidden="1"/>
    </xf>
    <xf numFmtId="0" fontId="146" fillId="6" borderId="206" xfId="0" applyFont="1" applyFill="1" applyBorder="1" applyAlignment="1" applyProtection="1">
      <alignment horizontal="center"/>
      <protection hidden="1"/>
    </xf>
    <xf numFmtId="0" fontId="146" fillId="6" borderId="211" xfId="0" applyFont="1" applyFill="1" applyBorder="1" applyAlignment="1" applyProtection="1">
      <alignment horizontal="center"/>
      <protection hidden="1"/>
    </xf>
    <xf numFmtId="0" fontId="137" fillId="6" borderId="87" xfId="0" applyFont="1" applyFill="1" applyBorder="1" applyAlignment="1" applyProtection="1">
      <alignment horizontal="left" vertical="center" wrapText="1"/>
      <protection hidden="1"/>
    </xf>
    <xf numFmtId="0" fontId="137" fillId="6" borderId="0" xfId="0" applyFont="1" applyFill="1" applyBorder="1" applyAlignment="1" applyProtection="1">
      <alignment horizontal="left" vertical="center" wrapText="1"/>
      <protection hidden="1"/>
    </xf>
    <xf numFmtId="0" fontId="137" fillId="6" borderId="355" xfId="0" applyFont="1" applyFill="1" applyBorder="1" applyAlignment="1" applyProtection="1">
      <alignment horizontal="left" vertical="center" wrapText="1"/>
      <protection hidden="1"/>
    </xf>
    <xf numFmtId="0" fontId="137" fillId="6" borderId="356" xfId="0" applyFont="1" applyFill="1" applyBorder="1" applyAlignment="1" applyProtection="1">
      <alignment horizontal="left" vertical="center" wrapText="1"/>
      <protection hidden="1"/>
    </xf>
    <xf numFmtId="0" fontId="148" fillId="6" borderId="210" xfId="0" applyFont="1" applyFill="1" applyBorder="1" applyAlignment="1" applyProtection="1">
      <alignment horizontal="center" vertical="center" shrinkToFit="1"/>
      <protection hidden="1"/>
    </xf>
    <xf numFmtId="171" fontId="147" fillId="0" borderId="268" xfId="0" applyNumberFormat="1" applyFont="1" applyBorder="1" applyAlignment="1" applyProtection="1">
      <alignment horizontal="center" vertical="center"/>
      <protection hidden="1"/>
    </xf>
    <xf numFmtId="171" fontId="147" fillId="6" borderId="409" xfId="0" applyNumberFormat="1" applyFont="1" applyFill="1" applyBorder="1" applyAlignment="1" applyProtection="1">
      <alignment horizontal="center" vertical="center"/>
      <protection hidden="1"/>
    </xf>
    <xf numFmtId="0" fontId="102" fillId="0" borderId="268" xfId="0" applyFont="1" applyBorder="1" applyAlignment="1" applyProtection="1">
      <alignment horizontal="center" vertical="center"/>
      <protection hidden="1"/>
    </xf>
    <xf numFmtId="0" fontId="102" fillId="0" borderId="210" xfId="0" applyFont="1" applyBorder="1" applyAlignment="1" applyProtection="1">
      <alignment horizontal="center" vertical="center"/>
      <protection hidden="1"/>
    </xf>
    <xf numFmtId="171" fontId="147" fillId="0" borderId="210" xfId="0" applyNumberFormat="1" applyFont="1" applyBorder="1" applyAlignment="1" applyProtection="1">
      <alignment horizontal="center" vertical="center"/>
      <protection hidden="1"/>
    </xf>
    <xf numFmtId="171" fontId="147" fillId="6" borderId="356" xfId="0" applyNumberFormat="1" applyFont="1" applyFill="1" applyBorder="1" applyAlignment="1" applyProtection="1">
      <alignment horizontal="center" vertical="center"/>
      <protection hidden="1"/>
    </xf>
    <xf numFmtId="0" fontId="138" fillId="6" borderId="87" xfId="0" applyFont="1" applyFill="1" applyBorder="1" applyAlignment="1" applyProtection="1">
      <alignment horizontal="center"/>
      <protection hidden="1"/>
    </xf>
    <xf numFmtId="0" fontId="138" fillId="6" borderId="0" xfId="0" applyFont="1" applyFill="1" applyBorder="1" applyAlignment="1" applyProtection="1">
      <alignment horizontal="center"/>
      <protection hidden="1"/>
    </xf>
    <xf numFmtId="0" fontId="76" fillId="0" borderId="408" xfId="0" applyFont="1" applyBorder="1" applyAlignment="1">
      <alignment horizontal="center" vertical="center" textRotation="180"/>
    </xf>
    <xf numFmtId="0" fontId="76" fillId="0" borderId="404" xfId="0" applyFont="1" applyBorder="1" applyAlignment="1">
      <alignment horizontal="center" vertical="center" textRotation="180"/>
    </xf>
    <xf numFmtId="0" fontId="76" fillId="0" borderId="87" xfId="0" applyFont="1" applyBorder="1" applyAlignment="1">
      <alignment horizontal="center" vertical="center" textRotation="180"/>
    </xf>
    <xf numFmtId="0" fontId="76" fillId="0" borderId="0" xfId="0" applyFont="1" applyBorder="1" applyAlignment="1">
      <alignment horizontal="center" vertical="center" textRotation="180"/>
    </xf>
    <xf numFmtId="0" fontId="76" fillId="0" borderId="355" xfId="0" applyFont="1" applyBorder="1" applyAlignment="1">
      <alignment horizontal="center" vertical="center" textRotation="180"/>
    </xf>
    <xf numFmtId="0" fontId="76" fillId="0" borderId="356" xfId="0" applyFont="1" applyBorder="1" applyAlignment="1">
      <alignment horizontal="center" vertical="center" textRotation="180"/>
    </xf>
    <xf numFmtId="0" fontId="76" fillId="0" borderId="411" xfId="0" applyFont="1" applyBorder="1" applyAlignment="1">
      <alignment horizontal="center" vertical="center" textRotation="180"/>
    </xf>
    <xf numFmtId="0" fontId="76" fillId="0" borderId="412" xfId="0" applyFont="1" applyBorder="1" applyAlignment="1">
      <alignment horizontal="center" vertical="center" textRotation="180"/>
    </xf>
    <xf numFmtId="0" fontId="76" fillId="0" borderId="107" xfId="0" applyFont="1" applyBorder="1" applyAlignment="1">
      <alignment horizontal="center" vertical="center" textRotation="180"/>
    </xf>
    <xf numFmtId="0" fontId="76" fillId="0" borderId="389" xfId="0" applyFont="1" applyBorder="1" applyAlignment="1">
      <alignment horizontal="center" vertical="center" textRotation="180"/>
    </xf>
    <xf numFmtId="0" fontId="76" fillId="0" borderId="398" xfId="0" applyFont="1" applyBorder="1" applyAlignment="1">
      <alignment horizontal="center" vertical="center" textRotation="180"/>
    </xf>
    <xf numFmtId="0" fontId="76" fillId="0" borderId="399" xfId="0" applyFont="1" applyBorder="1" applyAlignment="1">
      <alignment horizontal="center" vertical="center" textRotation="180"/>
    </xf>
    <xf numFmtId="0" fontId="0" fillId="0" borderId="100" xfId="0" applyBorder="1" applyAlignment="1" applyProtection="1">
      <alignment horizontal="center"/>
      <protection hidden="1"/>
    </xf>
    <xf numFmtId="0" fontId="69" fillId="0" borderId="101" xfId="0" applyFont="1" applyFill="1" applyBorder="1" applyAlignment="1" applyProtection="1">
      <alignment horizontal="center" vertical="center"/>
      <protection hidden="1"/>
    </xf>
    <xf numFmtId="0" fontId="65" fillId="2" borderId="12" xfId="0" applyNumberFormat="1" applyFont="1" applyFill="1" applyBorder="1" applyAlignment="1" applyProtection="1">
      <alignment horizontal="center" vertical="center" shrinkToFit="1"/>
      <protection hidden="1"/>
    </xf>
    <xf numFmtId="0" fontId="65" fillId="2" borderId="5" xfId="0" applyNumberFormat="1" applyFont="1" applyFill="1" applyBorder="1" applyAlignment="1" applyProtection="1">
      <alignment horizontal="center" vertical="center" shrinkToFit="1"/>
      <protection hidden="1"/>
    </xf>
    <xf numFmtId="0" fontId="93" fillId="11" borderId="96" xfId="0" applyFont="1" applyFill="1" applyBorder="1" applyAlignment="1" applyProtection="1">
      <alignment horizontal="center" vertical="center"/>
      <protection hidden="1"/>
    </xf>
    <xf numFmtId="0" fontId="93" fillId="11" borderId="97" xfId="0" applyFont="1" applyFill="1" applyBorder="1" applyAlignment="1" applyProtection="1">
      <alignment horizontal="center" vertical="center"/>
      <protection hidden="1"/>
    </xf>
    <xf numFmtId="0" fontId="93" fillId="11" borderId="98" xfId="0" applyFont="1" applyFill="1" applyBorder="1" applyAlignment="1" applyProtection="1">
      <alignment horizontal="center" vertical="center"/>
      <protection hidden="1"/>
    </xf>
    <xf numFmtId="0" fontId="93" fillId="11" borderId="107" xfId="0" applyFont="1" applyFill="1" applyBorder="1" applyAlignment="1" applyProtection="1">
      <alignment horizontal="center" vertical="center"/>
      <protection hidden="1"/>
    </xf>
    <xf numFmtId="0" fontId="93" fillId="11" borderId="0" xfId="0" applyFont="1" applyFill="1" applyBorder="1" applyAlignment="1" applyProtection="1">
      <alignment horizontal="center" vertical="center"/>
      <protection hidden="1"/>
    </xf>
    <xf numFmtId="0" fontId="93" fillId="11" borderId="106" xfId="0" applyFont="1" applyFill="1" applyBorder="1" applyAlignment="1" applyProtection="1">
      <alignment horizontal="center" vertical="center"/>
      <protection hidden="1"/>
    </xf>
    <xf numFmtId="0" fontId="93" fillId="11" borderId="99" xfId="0" applyFont="1" applyFill="1" applyBorder="1" applyAlignment="1" applyProtection="1">
      <alignment horizontal="center" vertical="center"/>
      <protection hidden="1"/>
    </xf>
    <xf numFmtId="0" fontId="93" fillId="11" borderId="100" xfId="0" applyFont="1" applyFill="1" applyBorder="1" applyAlignment="1" applyProtection="1">
      <alignment horizontal="center" vertical="center"/>
      <protection hidden="1"/>
    </xf>
    <xf numFmtId="0" fontId="93" fillId="11" borderId="101" xfId="0" applyFont="1" applyFill="1" applyBorder="1" applyAlignment="1" applyProtection="1">
      <alignment horizontal="center" vertical="center"/>
      <protection hidden="1"/>
    </xf>
    <xf numFmtId="0" fontId="92" fillId="0" borderId="93" xfId="0" applyFont="1" applyBorder="1" applyAlignment="1" applyProtection="1">
      <alignment horizontal="center" vertical="center" shrinkToFit="1"/>
      <protection hidden="1"/>
    </xf>
    <xf numFmtId="0" fontId="92" fillId="0" borderId="0" xfId="0" applyFont="1" applyBorder="1" applyAlignment="1" applyProtection="1">
      <alignment horizontal="center" vertical="center" shrinkToFit="1"/>
      <protection hidden="1"/>
    </xf>
    <xf numFmtId="0" fontId="92" fillId="0" borderId="131" xfId="0" applyFont="1" applyBorder="1" applyAlignment="1" applyProtection="1">
      <alignment horizontal="center" vertical="center" shrinkToFit="1"/>
      <protection hidden="1"/>
    </xf>
    <xf numFmtId="0" fontId="83" fillId="0" borderId="93" xfId="0" applyFont="1" applyBorder="1" applyAlignment="1" applyProtection="1">
      <alignment horizontal="right" vertical="center"/>
      <protection hidden="1"/>
    </xf>
    <xf numFmtId="0" fontId="83" fillId="0" borderId="94" xfId="0" applyFont="1" applyBorder="1" applyAlignment="1" applyProtection="1">
      <alignment horizontal="right" vertical="center"/>
      <protection hidden="1"/>
    </xf>
    <xf numFmtId="0" fontId="83" fillId="0" borderId="0" xfId="0" applyFont="1" applyBorder="1" applyAlignment="1" applyProtection="1">
      <alignment horizontal="right" vertical="center"/>
      <protection hidden="1"/>
    </xf>
    <xf numFmtId="0" fontId="83" fillId="0" borderId="141" xfId="0" applyFont="1" applyBorder="1" applyAlignment="1" applyProtection="1">
      <alignment horizontal="right" vertical="center"/>
      <protection hidden="1"/>
    </xf>
    <xf numFmtId="0" fontId="83" fillId="0" borderId="135" xfId="0" applyFont="1" applyBorder="1" applyAlignment="1" applyProtection="1">
      <alignment horizontal="right" vertical="center"/>
      <protection hidden="1"/>
    </xf>
    <xf numFmtId="0" fontId="83" fillId="0" borderId="136" xfId="0" applyFont="1" applyBorder="1" applyAlignment="1" applyProtection="1">
      <alignment horizontal="right" vertical="center"/>
      <protection hidden="1"/>
    </xf>
    <xf numFmtId="0" fontId="76" fillId="0" borderId="134" xfId="0" applyFont="1" applyBorder="1" applyAlignment="1" applyProtection="1">
      <alignment horizontal="left" vertical="top" wrapText="1"/>
      <protection hidden="1"/>
    </xf>
    <xf numFmtId="0" fontId="76" fillId="0" borderId="93" xfId="0" applyFont="1" applyBorder="1" applyAlignment="1" applyProtection="1">
      <alignment horizontal="left" vertical="top" wrapText="1"/>
      <protection hidden="1"/>
    </xf>
    <xf numFmtId="0" fontId="76" fillId="0" borderId="94" xfId="0" applyFont="1" applyBorder="1" applyAlignment="1" applyProtection="1">
      <alignment horizontal="left" vertical="top" wrapText="1"/>
      <protection hidden="1"/>
    </xf>
    <xf numFmtId="0" fontId="76" fillId="0" borderId="87" xfId="0" applyFont="1" applyBorder="1" applyAlignment="1" applyProtection="1">
      <alignment horizontal="left" vertical="top" wrapText="1"/>
      <protection hidden="1"/>
    </xf>
    <xf numFmtId="0" fontId="76" fillId="0" borderId="0" xfId="0" applyFont="1" applyBorder="1" applyAlignment="1" applyProtection="1">
      <alignment horizontal="left" vertical="top" wrapText="1"/>
      <protection hidden="1"/>
    </xf>
    <xf numFmtId="0" fontId="76" fillId="0" borderId="141" xfId="0" applyFont="1" applyBorder="1" applyAlignment="1" applyProtection="1">
      <alignment horizontal="left" vertical="top" wrapText="1"/>
      <protection hidden="1"/>
    </xf>
    <xf numFmtId="0" fontId="76" fillId="0" borderId="137" xfId="0" applyFont="1" applyBorder="1" applyAlignment="1" applyProtection="1">
      <alignment horizontal="left" vertical="top" wrapText="1"/>
      <protection hidden="1"/>
    </xf>
    <xf numFmtId="0" fontId="76" fillId="0" borderId="135" xfId="0" applyFont="1" applyBorder="1" applyAlignment="1" applyProtection="1">
      <alignment horizontal="left" vertical="top" wrapText="1"/>
      <protection hidden="1"/>
    </xf>
    <xf numFmtId="0" fontId="76" fillId="0" borderId="136" xfId="0" applyFont="1" applyBorder="1" applyAlignment="1" applyProtection="1">
      <alignment horizontal="left" vertical="top" wrapText="1"/>
      <protection hidden="1"/>
    </xf>
    <xf numFmtId="0" fontId="0" fillId="0" borderId="134" xfId="0" applyFont="1" applyBorder="1" applyAlignment="1" applyProtection="1">
      <alignment horizontal="left" vertical="top" wrapText="1"/>
      <protection hidden="1"/>
    </xf>
    <xf numFmtId="0" fontId="0" fillId="0" borderId="93" xfId="0" applyFont="1" applyBorder="1" applyAlignment="1" applyProtection="1">
      <alignment horizontal="left" vertical="top" wrapText="1"/>
      <protection hidden="1"/>
    </xf>
    <xf numFmtId="0" fontId="0" fillId="0" borderId="94" xfId="0" applyFont="1" applyBorder="1" applyAlignment="1" applyProtection="1">
      <alignment horizontal="left" vertical="top" wrapText="1"/>
      <protection hidden="1"/>
    </xf>
    <xf numFmtId="0" fontId="0" fillId="0" borderId="87" xfId="0" applyFont="1" applyBorder="1" applyAlignment="1" applyProtection="1">
      <alignment horizontal="left" vertical="top" wrapText="1"/>
      <protection hidden="1"/>
    </xf>
    <xf numFmtId="0" fontId="0" fillId="0" borderId="0" xfId="0" applyFont="1" applyBorder="1" applyAlignment="1" applyProtection="1">
      <alignment horizontal="left" vertical="top" wrapText="1"/>
      <protection hidden="1"/>
    </xf>
    <xf numFmtId="0" fontId="0" fillId="0" borderId="141" xfId="0" applyFont="1" applyBorder="1" applyAlignment="1" applyProtection="1">
      <alignment horizontal="left" vertical="top" wrapText="1"/>
      <protection hidden="1"/>
    </xf>
    <xf numFmtId="0" fontId="0" fillId="0" borderId="137" xfId="0" applyFont="1" applyBorder="1" applyAlignment="1" applyProtection="1">
      <alignment horizontal="left" vertical="top" wrapText="1"/>
      <protection hidden="1"/>
    </xf>
    <xf numFmtId="0" fontId="0" fillId="0" borderId="135" xfId="0" applyFont="1" applyBorder="1" applyAlignment="1" applyProtection="1">
      <alignment horizontal="left" vertical="top" wrapText="1"/>
      <protection hidden="1"/>
    </xf>
    <xf numFmtId="0" fontId="0" fillId="0" borderId="136" xfId="0" applyFont="1" applyBorder="1" applyAlignment="1" applyProtection="1">
      <alignment horizontal="left" vertical="top" wrapText="1"/>
      <protection hidden="1"/>
    </xf>
    <xf numFmtId="0" fontId="82" fillId="0" borderId="161" xfId="0" applyFont="1" applyBorder="1" applyAlignment="1" applyProtection="1">
      <alignment horizontal="center" vertical="center" shrinkToFit="1"/>
      <protection hidden="1"/>
    </xf>
    <xf numFmtId="0" fontId="104" fillId="0" borderId="138" xfId="0" applyFont="1" applyBorder="1" applyAlignment="1" applyProtection="1">
      <alignment horizontal="center" vertical="center"/>
      <protection hidden="1"/>
    </xf>
    <xf numFmtId="0" fontId="82" fillId="0" borderId="138" xfId="0" applyFont="1" applyBorder="1" applyAlignment="1" applyProtection="1">
      <alignment horizontal="center" vertical="center"/>
      <protection hidden="1"/>
    </xf>
    <xf numFmtId="0" fontId="111" fillId="0" borderId="161" xfId="407" applyBorder="1" applyAlignment="1" applyProtection="1">
      <alignment horizontal="center" vertical="center" shrinkToFit="1"/>
      <protection hidden="1"/>
    </xf>
    <xf numFmtId="0" fontId="112" fillId="0" borderId="130" xfId="0" applyFont="1" applyBorder="1" applyAlignment="1" applyProtection="1">
      <alignment horizontal="center" vertical="center" shrinkToFit="1"/>
      <protection hidden="1"/>
    </xf>
    <xf numFmtId="0" fontId="0" fillId="0" borderId="87" xfId="0" applyFont="1" applyBorder="1" applyAlignment="1" applyProtection="1">
      <alignment horizontal="center" shrinkToFit="1"/>
      <protection hidden="1"/>
    </xf>
    <xf numFmtId="0" fontId="0" fillId="0" borderId="137" xfId="0" applyFont="1" applyBorder="1" applyAlignment="1" applyProtection="1">
      <alignment horizontal="center" shrinkToFit="1"/>
      <protection hidden="1"/>
    </xf>
    <xf numFmtId="0" fontId="91" fillId="0" borderId="93" xfId="0" applyFont="1" applyBorder="1" applyAlignment="1" applyProtection="1">
      <alignment horizontal="center"/>
      <protection hidden="1"/>
    </xf>
    <xf numFmtId="0" fontId="91" fillId="0" borderId="0" xfId="0" applyFont="1" applyBorder="1" applyAlignment="1" applyProtection="1">
      <alignment horizontal="center"/>
      <protection hidden="1"/>
    </xf>
    <xf numFmtId="0" fontId="91" fillId="0" borderId="94" xfId="0" applyFont="1" applyBorder="1" applyAlignment="1" applyProtection="1">
      <alignment horizontal="center"/>
      <protection hidden="1"/>
    </xf>
    <xf numFmtId="0" fontId="91" fillId="0" borderId="128" xfId="0" applyFont="1" applyBorder="1" applyAlignment="1" applyProtection="1">
      <alignment horizontal="center"/>
      <protection hidden="1"/>
    </xf>
    <xf numFmtId="0" fontId="83" fillId="0" borderId="133" xfId="0" applyFont="1" applyBorder="1" applyAlignment="1" applyProtection="1">
      <alignment horizontal="right" vertical="center"/>
      <protection hidden="1"/>
    </xf>
    <xf numFmtId="0" fontId="83" fillId="0" borderId="128" xfId="0" applyFont="1" applyBorder="1" applyAlignment="1" applyProtection="1">
      <alignment horizontal="right" vertical="center"/>
      <protection hidden="1"/>
    </xf>
    <xf numFmtId="0" fontId="83" fillId="0" borderId="95" xfId="0" applyFont="1" applyBorder="1" applyAlignment="1" applyProtection="1">
      <alignment horizontal="right" vertical="center"/>
      <protection hidden="1"/>
    </xf>
    <xf numFmtId="0" fontId="83" fillId="0" borderId="125" xfId="0" applyFont="1" applyBorder="1" applyAlignment="1" applyProtection="1">
      <alignment horizontal="right" vertical="center"/>
      <protection hidden="1"/>
    </xf>
    <xf numFmtId="0" fontId="0" fillId="0" borderId="133" xfId="0" applyFont="1" applyBorder="1" applyAlignment="1" applyProtection="1">
      <alignment horizontal="left" vertical="top" wrapText="1"/>
      <protection hidden="1"/>
    </xf>
    <xf numFmtId="0" fontId="0" fillId="0" borderId="128" xfId="0" applyFont="1" applyBorder="1" applyAlignment="1" applyProtection="1">
      <alignment horizontal="left" vertical="top" wrapText="1"/>
      <protection hidden="1"/>
    </xf>
    <xf numFmtId="0" fontId="0" fillId="0" borderId="95" xfId="0" applyFont="1" applyBorder="1" applyAlignment="1" applyProtection="1">
      <alignment horizontal="left" vertical="top" wrapText="1"/>
      <protection hidden="1"/>
    </xf>
    <xf numFmtId="0" fontId="0" fillId="0" borderId="125" xfId="0" applyFont="1" applyBorder="1" applyAlignment="1" applyProtection="1">
      <alignment horizontal="left" vertical="top" wrapText="1"/>
      <protection hidden="1"/>
    </xf>
    <xf numFmtId="0" fontId="0" fillId="0" borderId="127" xfId="0" applyBorder="1" applyAlignment="1" applyProtection="1">
      <alignment horizontal="center"/>
      <protection hidden="1"/>
    </xf>
    <xf numFmtId="0" fontId="0" fillId="0" borderId="93" xfId="0" applyBorder="1" applyAlignment="1" applyProtection="1">
      <alignment horizontal="center"/>
      <protection hidden="1"/>
    </xf>
    <xf numFmtId="0" fontId="0" fillId="0" borderId="94" xfId="0" applyBorder="1" applyAlignment="1" applyProtection="1">
      <alignment horizontal="center"/>
      <protection hidden="1"/>
    </xf>
    <xf numFmtId="0" fontId="0" fillId="0" borderId="87" xfId="0" applyBorder="1" applyAlignment="1" applyProtection="1">
      <alignment horizontal="center"/>
      <protection hidden="1"/>
    </xf>
    <xf numFmtId="0" fontId="0" fillId="0" borderId="133" xfId="0" applyBorder="1" applyAlignment="1" applyProtection="1">
      <alignment horizontal="center"/>
      <protection hidden="1"/>
    </xf>
    <xf numFmtId="0" fontId="0" fillId="0" borderId="128" xfId="0" applyBorder="1" applyAlignment="1" applyProtection="1">
      <alignment horizontal="center"/>
      <protection hidden="1"/>
    </xf>
    <xf numFmtId="0" fontId="0" fillId="0" borderId="126" xfId="0" applyBorder="1" applyAlignment="1" applyProtection="1">
      <alignment horizontal="center"/>
      <protection hidden="1"/>
    </xf>
    <xf numFmtId="0" fontId="0" fillId="0" borderId="95" xfId="0" applyBorder="1" applyAlignment="1" applyProtection="1">
      <alignment horizontal="center"/>
      <protection hidden="1"/>
    </xf>
    <xf numFmtId="0" fontId="0" fillId="0" borderId="135" xfId="0" applyBorder="1" applyAlignment="1" applyProtection="1">
      <alignment horizontal="center"/>
      <protection hidden="1"/>
    </xf>
    <xf numFmtId="0" fontId="0" fillId="0" borderId="125" xfId="0" applyBorder="1" applyAlignment="1" applyProtection="1">
      <alignment horizontal="center"/>
      <protection hidden="1"/>
    </xf>
    <xf numFmtId="0" fontId="82" fillId="0" borderId="104" xfId="0" applyFont="1" applyBorder="1" applyAlignment="1" applyProtection="1">
      <alignment horizontal="center" vertical="center" shrinkToFit="1"/>
      <protection hidden="1"/>
    </xf>
    <xf numFmtId="0" fontId="64" fillId="0" borderId="116" xfId="0" applyFont="1" applyBorder="1" applyAlignment="1" applyProtection="1">
      <alignment horizontal="center" vertical="center" wrapText="1"/>
      <protection hidden="1"/>
    </xf>
    <xf numFmtId="0" fontId="64" fillId="0" borderId="117" xfId="0" applyFont="1" applyBorder="1" applyAlignment="1" applyProtection="1">
      <alignment horizontal="center" vertical="center" wrapText="1"/>
      <protection hidden="1"/>
    </xf>
    <xf numFmtId="0" fontId="64" fillId="0" borderId="118" xfId="0" applyFont="1" applyBorder="1" applyAlignment="1" applyProtection="1">
      <alignment horizontal="center" vertical="center" wrapText="1"/>
      <protection hidden="1"/>
    </xf>
    <xf numFmtId="0" fontId="64" fillId="0" borderId="119" xfId="0" applyFont="1" applyBorder="1" applyAlignment="1" applyProtection="1">
      <alignment horizontal="center" vertical="center" wrapText="1"/>
      <protection hidden="1"/>
    </xf>
    <xf numFmtId="0" fontId="64" fillId="0" borderId="120" xfId="0" applyFont="1" applyBorder="1" applyAlignment="1" applyProtection="1">
      <alignment horizontal="center" vertical="center" wrapText="1"/>
      <protection hidden="1"/>
    </xf>
    <xf numFmtId="0" fontId="64" fillId="0" borderId="121" xfId="0" applyFont="1" applyBorder="1" applyAlignment="1" applyProtection="1">
      <alignment horizontal="center" vertical="center" wrapText="1"/>
      <protection hidden="1"/>
    </xf>
    <xf numFmtId="0" fontId="64" fillId="0" borderId="122" xfId="0" applyFont="1" applyBorder="1" applyAlignment="1" applyProtection="1">
      <alignment horizontal="center" vertical="center" wrapText="1"/>
      <protection hidden="1"/>
    </xf>
    <xf numFmtId="0" fontId="64" fillId="0" borderId="123" xfId="0" applyFont="1" applyBorder="1" applyAlignment="1" applyProtection="1">
      <alignment horizontal="center" vertical="center" wrapText="1"/>
      <protection hidden="1"/>
    </xf>
    <xf numFmtId="0" fontId="89" fillId="0" borderId="108" xfId="0" applyFont="1" applyBorder="1" applyAlignment="1" applyProtection="1">
      <alignment horizontal="center" vertical="center" wrapText="1"/>
      <protection hidden="1"/>
    </xf>
    <xf numFmtId="0" fontId="89" fillId="0" borderId="109" xfId="0" applyFont="1" applyBorder="1" applyAlignment="1" applyProtection="1">
      <alignment horizontal="center" vertical="center" wrapText="1"/>
      <protection hidden="1"/>
    </xf>
    <xf numFmtId="0" fontId="89" fillId="0" borderId="110" xfId="0" applyFont="1" applyBorder="1" applyAlignment="1" applyProtection="1">
      <alignment horizontal="center" vertical="center" wrapText="1"/>
      <protection hidden="1"/>
    </xf>
    <xf numFmtId="0" fontId="89" fillId="0" borderId="111" xfId="0" applyFont="1" applyBorder="1" applyAlignment="1" applyProtection="1">
      <alignment horizontal="center" vertical="center" wrapText="1"/>
      <protection hidden="1"/>
    </xf>
    <xf numFmtId="0" fontId="89" fillId="0" borderId="0" xfId="0" applyFont="1" applyBorder="1" applyAlignment="1" applyProtection="1">
      <alignment horizontal="center" vertical="center" wrapText="1"/>
      <protection hidden="1"/>
    </xf>
    <xf numFmtId="0" fontId="89" fillId="0" borderId="112" xfId="0" applyFont="1" applyBorder="1" applyAlignment="1" applyProtection="1">
      <alignment horizontal="center" vertical="center" wrapText="1"/>
      <protection hidden="1"/>
    </xf>
    <xf numFmtId="0" fontId="89" fillId="0" borderId="113" xfId="0" applyFont="1" applyBorder="1" applyAlignment="1" applyProtection="1">
      <alignment horizontal="center" vertical="center" wrapText="1"/>
      <protection hidden="1"/>
    </xf>
    <xf numFmtId="0" fontId="89" fillId="0" borderId="114" xfId="0" applyFont="1" applyBorder="1" applyAlignment="1" applyProtection="1">
      <alignment horizontal="center" vertical="center" wrapText="1"/>
      <protection hidden="1"/>
    </xf>
    <xf numFmtId="0" fontId="89" fillId="0" borderId="115" xfId="0" applyFont="1" applyBorder="1" applyAlignment="1" applyProtection="1">
      <alignment horizontal="center" vertical="center" wrapText="1"/>
      <protection hidden="1"/>
    </xf>
    <xf numFmtId="0" fontId="0" fillId="0" borderId="87" xfId="0" applyFont="1" applyBorder="1" applyAlignment="1" applyProtection="1">
      <alignment horizontal="left" wrapText="1"/>
      <protection hidden="1"/>
    </xf>
    <xf numFmtId="0" fontId="0" fillId="0" borderId="0" xfId="0" applyFont="1" applyBorder="1" applyAlignment="1" applyProtection="1">
      <alignment horizontal="left" wrapText="1"/>
      <protection hidden="1"/>
    </xf>
    <xf numFmtId="0" fontId="0" fillId="0" borderId="137" xfId="0" applyFont="1" applyBorder="1" applyAlignment="1" applyProtection="1">
      <alignment horizontal="left" wrapText="1"/>
      <protection hidden="1"/>
    </xf>
    <xf numFmtId="0" fontId="0" fillId="0" borderId="135" xfId="0" applyFont="1" applyBorder="1" applyAlignment="1" applyProtection="1">
      <alignment horizontal="left" wrapText="1"/>
      <protection hidden="1"/>
    </xf>
    <xf numFmtId="0" fontId="0" fillId="0" borderId="9" xfId="0" applyFont="1" applyBorder="1" applyAlignment="1" applyProtection="1">
      <alignment horizontal="left" vertical="top" wrapText="1"/>
      <protection hidden="1"/>
    </xf>
    <xf numFmtId="0" fontId="0" fillId="0" borderId="124" xfId="0" applyBorder="1" applyAlignment="1" applyProtection="1">
      <alignment horizontal="center"/>
      <protection hidden="1"/>
    </xf>
    <xf numFmtId="0" fontId="104" fillId="0" borderId="161" xfId="0" applyFont="1" applyBorder="1" applyAlignment="1">
      <alignment horizontal="center" vertical="center"/>
    </xf>
    <xf numFmtId="0" fontId="84" fillId="0" borderId="100" xfId="0" applyFont="1" applyFill="1" applyBorder="1" applyAlignment="1" applyProtection="1">
      <alignment horizontal="center" vertical="center"/>
      <protection hidden="1"/>
    </xf>
    <xf numFmtId="0" fontId="84" fillId="0" borderId="97" xfId="0" applyFont="1" applyFill="1" applyBorder="1" applyAlignment="1" applyProtection="1">
      <alignment horizontal="center" vertical="center"/>
      <protection hidden="1"/>
    </xf>
    <xf numFmtId="0" fontId="72" fillId="0" borderId="96" xfId="0" applyFont="1" applyFill="1" applyBorder="1" applyAlignment="1" applyProtection="1">
      <alignment horizontal="center" vertical="center"/>
      <protection hidden="1"/>
    </xf>
    <xf numFmtId="0" fontId="72" fillId="0" borderId="97" xfId="0" applyFont="1" applyFill="1" applyBorder="1" applyAlignment="1" applyProtection="1">
      <alignment horizontal="center" vertical="center"/>
      <protection hidden="1"/>
    </xf>
    <xf numFmtId="0" fontId="72" fillId="0" borderId="98" xfId="0" applyFont="1" applyFill="1" applyBorder="1" applyAlignment="1" applyProtection="1">
      <alignment horizontal="center" vertical="center"/>
      <protection hidden="1"/>
    </xf>
    <xf numFmtId="0" fontId="72" fillId="0" borderId="99" xfId="0" applyFont="1" applyFill="1" applyBorder="1" applyAlignment="1" applyProtection="1">
      <alignment horizontal="center" vertical="center"/>
      <protection hidden="1"/>
    </xf>
    <xf numFmtId="0" fontId="72" fillId="0" borderId="100" xfId="0" applyFont="1" applyFill="1" applyBorder="1" applyAlignment="1" applyProtection="1">
      <alignment horizontal="center" vertical="center"/>
      <protection hidden="1"/>
    </xf>
    <xf numFmtId="0" fontId="72" fillId="0" borderId="101" xfId="0" applyFont="1" applyFill="1" applyBorder="1" applyAlignment="1" applyProtection="1">
      <alignment horizontal="center" vertical="center"/>
      <protection hidden="1"/>
    </xf>
    <xf numFmtId="0" fontId="91" fillId="0" borderId="93" xfId="0" applyFont="1" applyBorder="1" applyAlignment="1" applyProtection="1">
      <alignment horizontal="center" vertical="center"/>
      <protection hidden="1"/>
    </xf>
    <xf numFmtId="0" fontId="91" fillId="0" borderId="0" xfId="0" applyFont="1" applyBorder="1" applyAlignment="1" applyProtection="1">
      <alignment horizontal="center" vertical="center"/>
      <protection hidden="1"/>
    </xf>
    <xf numFmtId="0" fontId="69" fillId="14" borderId="96" xfId="0" applyFont="1" applyFill="1" applyBorder="1" applyAlignment="1" applyProtection="1">
      <alignment horizontal="center" vertical="center"/>
      <protection locked="0" hidden="1"/>
    </xf>
    <xf numFmtId="0" fontId="69" fillId="14" borderId="97" xfId="0" applyFont="1" applyFill="1" applyBorder="1" applyAlignment="1" applyProtection="1">
      <alignment horizontal="center" vertical="center"/>
      <protection locked="0" hidden="1"/>
    </xf>
    <xf numFmtId="0" fontId="69" fillId="14" borderId="98" xfId="0" applyFont="1" applyFill="1" applyBorder="1" applyAlignment="1" applyProtection="1">
      <alignment horizontal="center" vertical="center"/>
      <protection locked="0" hidden="1"/>
    </xf>
    <xf numFmtId="0" fontId="69" fillId="14" borderId="99" xfId="0" applyFont="1" applyFill="1" applyBorder="1" applyAlignment="1" applyProtection="1">
      <alignment horizontal="center" vertical="center"/>
      <protection locked="0" hidden="1"/>
    </xf>
    <xf numFmtId="0" fontId="69" fillId="14" borderId="100" xfId="0" applyFont="1" applyFill="1" applyBorder="1" applyAlignment="1" applyProtection="1">
      <alignment horizontal="center" vertical="center"/>
      <protection locked="0" hidden="1"/>
    </xf>
    <xf numFmtId="0" fontId="69" fillId="14" borderId="101" xfId="0" applyFont="1" applyFill="1" applyBorder="1" applyAlignment="1" applyProtection="1">
      <alignment horizontal="center" vertical="center"/>
      <protection locked="0" hidden="1"/>
    </xf>
    <xf numFmtId="0" fontId="104" fillId="6" borderId="161" xfId="0" applyFont="1" applyFill="1" applyBorder="1" applyAlignment="1">
      <alignment horizontal="center" vertical="center"/>
    </xf>
    <xf numFmtId="0" fontId="97" fillId="0" borderId="138" xfId="0" applyFont="1" applyBorder="1" applyAlignment="1" applyProtection="1">
      <alignment horizontal="center" vertical="center"/>
      <protection hidden="1"/>
    </xf>
    <xf numFmtId="0" fontId="92" fillId="0" borderId="135" xfId="0" applyFont="1" applyBorder="1" applyAlignment="1" applyProtection="1">
      <alignment horizontal="center" vertical="center" shrinkToFit="1"/>
      <protection hidden="1"/>
    </xf>
    <xf numFmtId="0" fontId="82" fillId="6" borderId="104" xfId="0" applyFont="1" applyFill="1" applyBorder="1" applyAlignment="1" applyProtection="1">
      <alignment horizontal="center" vertical="center" shrinkToFit="1"/>
      <protection hidden="1"/>
    </xf>
    <xf numFmtId="0" fontId="0" fillId="0" borderId="93" xfId="0" applyBorder="1" applyAlignment="1">
      <alignment horizontal="left" vertical="top" wrapText="1" shrinkToFit="1"/>
    </xf>
    <xf numFmtId="0" fontId="0" fillId="0" borderId="135" xfId="0" applyBorder="1" applyAlignment="1">
      <alignment horizontal="left" vertical="top" wrapText="1" shrinkToFit="1"/>
    </xf>
    <xf numFmtId="0" fontId="0" fillId="0" borderId="93" xfId="0" applyBorder="1" applyAlignment="1">
      <alignment horizontal="center" shrinkToFit="1"/>
    </xf>
    <xf numFmtId="0" fontId="0" fillId="0" borderId="135" xfId="0" applyBorder="1" applyAlignment="1">
      <alignment horizontal="center" shrinkToFit="1"/>
    </xf>
    <xf numFmtId="0" fontId="76" fillId="0" borderId="93" xfId="0" applyFont="1" applyBorder="1" applyAlignment="1">
      <alignment horizontal="center" vertical="center" wrapText="1"/>
    </xf>
    <xf numFmtId="0" fontId="76" fillId="0" borderId="135" xfId="0" applyFont="1" applyBorder="1" applyAlignment="1">
      <alignment horizontal="center" vertical="center" wrapText="1"/>
    </xf>
    <xf numFmtId="0" fontId="0" fillId="0" borderId="93" xfId="0" applyBorder="1" applyAlignment="1">
      <alignment horizontal="center" vertical="top" shrinkToFit="1"/>
    </xf>
    <xf numFmtId="0" fontId="0" fillId="0" borderId="135" xfId="0" applyBorder="1" applyAlignment="1">
      <alignment horizontal="center" vertical="top" shrinkToFit="1"/>
    </xf>
    <xf numFmtId="0" fontId="0" fillId="0" borderId="93" xfId="0" applyBorder="1" applyAlignment="1">
      <alignment horizontal="center" vertical="center" shrinkToFit="1"/>
    </xf>
    <xf numFmtId="0" fontId="0" fillId="0" borderId="135" xfId="0" applyBorder="1" applyAlignment="1">
      <alignment horizontal="center" vertical="center" shrinkToFit="1"/>
    </xf>
    <xf numFmtId="0" fontId="0" fillId="0" borderId="218" xfId="0" applyBorder="1" applyAlignment="1">
      <alignment horizontal="center" vertical="center" shrinkToFit="1"/>
    </xf>
    <xf numFmtId="0" fontId="0" fillId="0" borderId="214" xfId="0" applyBorder="1" applyAlignment="1">
      <alignment horizontal="center" vertical="center" shrinkToFit="1"/>
    </xf>
    <xf numFmtId="0" fontId="0" fillId="0" borderId="93" xfId="0" quotePrefix="1" applyBorder="1" applyAlignment="1">
      <alignment horizontal="left" vertical="top" wrapText="1" shrinkToFit="1"/>
    </xf>
    <xf numFmtId="0" fontId="30" fillId="0" borderId="0" xfId="0" applyFont="1" applyAlignment="1">
      <alignment horizontal="center" wrapText="1" shrinkToFit="1"/>
    </xf>
    <xf numFmtId="0" fontId="30" fillId="0" borderId="0" xfId="0" applyFont="1" applyAlignment="1">
      <alignment horizontal="center" shrinkToFit="1"/>
    </xf>
    <xf numFmtId="0" fontId="30" fillId="0" borderId="141" xfId="0" applyFont="1" applyBorder="1" applyAlignment="1">
      <alignment horizontal="center" wrapText="1" shrinkToFit="1"/>
    </xf>
    <xf numFmtId="0" fontId="0" fillId="0" borderId="0" xfId="0" applyAlignment="1">
      <alignment horizontal="center"/>
    </xf>
    <xf numFmtId="10" fontId="0" fillId="0" borderId="0" xfId="324" applyNumberFormat="1" applyFont="1" applyAlignment="1">
      <alignment horizontal="center"/>
    </xf>
    <xf numFmtId="0" fontId="87" fillId="0" borderId="0" xfId="0" applyFont="1" applyAlignment="1">
      <alignment horizontal="center"/>
    </xf>
    <xf numFmtId="0" fontId="30" fillId="0" borderId="0" xfId="0" applyFont="1" applyAlignment="1">
      <alignment horizontal="center"/>
    </xf>
    <xf numFmtId="0" fontId="83" fillId="0" borderId="0" xfId="0" applyFont="1" applyAlignment="1">
      <alignment horizontal="center" wrapText="1"/>
    </xf>
    <xf numFmtId="0" fontId="78" fillId="0" borderId="0" xfId="0" applyFont="1" applyAlignment="1">
      <alignment horizontal="center" wrapText="1"/>
    </xf>
    <xf numFmtId="10" fontId="85" fillId="0" borderId="0" xfId="324" applyNumberFormat="1" applyFont="1" applyAlignment="1">
      <alignment horizontal="center" wrapText="1"/>
    </xf>
    <xf numFmtId="0" fontId="87" fillId="0" borderId="0" xfId="0" applyFont="1" applyAlignment="1">
      <alignment horizontal="center" wrapText="1"/>
    </xf>
    <xf numFmtId="0" fontId="87" fillId="0" borderId="0" xfId="0" applyFont="1" applyAlignment="1">
      <alignment horizontal="center" vertical="center" wrapText="1"/>
    </xf>
    <xf numFmtId="0" fontId="86" fillId="0" borderId="0" xfId="0" applyFont="1" applyAlignment="1">
      <alignment horizontal="center" vertical="center" wrapText="1"/>
    </xf>
    <xf numFmtId="0" fontId="25" fillId="0" borderId="60" xfId="0" applyFont="1" applyBorder="1" applyAlignment="1">
      <alignment horizontal="center" vertical="center"/>
    </xf>
    <xf numFmtId="0" fontId="37" fillId="0" borderId="0" xfId="0" applyFont="1" applyBorder="1" applyAlignment="1">
      <alignment horizontal="center" vertical="center" shrinkToFit="1"/>
    </xf>
    <xf numFmtId="49" fontId="39" fillId="4" borderId="0" xfId="82" applyNumberFormat="1" applyFont="1" applyFill="1" applyBorder="1" applyAlignment="1">
      <alignment horizontal="center"/>
    </xf>
    <xf numFmtId="49" fontId="39" fillId="4" borderId="47" xfId="82" applyNumberFormat="1" applyFont="1" applyFill="1" applyBorder="1" applyAlignment="1">
      <alignment horizontal="center"/>
    </xf>
    <xf numFmtId="0" fontId="48" fillId="4" borderId="52" xfId="82" applyFont="1" applyFill="1" applyBorder="1" applyAlignment="1">
      <alignment horizontal="center"/>
    </xf>
    <xf numFmtId="49" fontId="40" fillId="5" borderId="0" xfId="82" applyNumberFormat="1" applyFont="1" applyFill="1" applyBorder="1" applyAlignment="1">
      <alignment horizontal="center"/>
    </xf>
    <xf numFmtId="49" fontId="40" fillId="5" borderId="83" xfId="82" applyNumberFormat="1" applyFont="1" applyFill="1" applyBorder="1" applyAlignment="1">
      <alignment horizontal="center"/>
    </xf>
    <xf numFmtId="0" fontId="46" fillId="0" borderId="14" xfId="82" applyFont="1" applyFill="1" applyBorder="1" applyAlignment="1">
      <alignment horizontal="center"/>
    </xf>
    <xf numFmtId="49" fontId="50" fillId="0" borderId="51" xfId="0" quotePrefix="1" applyNumberFormat="1" applyFont="1" applyBorder="1" applyAlignment="1">
      <alignment horizontal="center" vertical="center"/>
    </xf>
    <xf numFmtId="49" fontId="50" fillId="0" borderId="51" xfId="0" applyNumberFormat="1" applyFont="1" applyBorder="1" applyAlignment="1">
      <alignment horizontal="center" vertical="center"/>
    </xf>
    <xf numFmtId="49" fontId="43" fillId="0" borderId="37" xfId="0" quotePrefix="1" applyNumberFormat="1" applyFont="1" applyBorder="1" applyAlignment="1">
      <alignment horizontal="center" vertical="center"/>
    </xf>
    <xf numFmtId="49" fontId="43" fillId="0" borderId="37" xfId="0" applyNumberFormat="1" applyFont="1" applyBorder="1" applyAlignment="1">
      <alignment horizontal="center" vertical="center"/>
    </xf>
    <xf numFmtId="0" fontId="49" fillId="3" borderId="53" xfId="82" applyFont="1" applyFill="1" applyBorder="1" applyAlignment="1">
      <alignment horizontal="center"/>
    </xf>
    <xf numFmtId="0" fontId="41" fillId="5" borderId="49" xfId="82" applyFont="1" applyFill="1" applyBorder="1" applyAlignment="1">
      <alignment horizontal="center"/>
    </xf>
    <xf numFmtId="0" fontId="35" fillId="0" borderId="0" xfId="163" applyFont="1" applyBorder="1" applyAlignment="1">
      <alignment horizontal="center" shrinkToFit="1"/>
    </xf>
    <xf numFmtId="0" fontId="34" fillId="0" borderId="0" xfId="0" applyFont="1"/>
    <xf numFmtId="0" fontId="34" fillId="0" borderId="31" xfId="0" applyFont="1" applyBorder="1"/>
    <xf numFmtId="0" fontId="0" fillId="0" borderId="0" xfId="0" applyBorder="1" applyAlignment="1">
      <alignment horizontal="center"/>
    </xf>
    <xf numFmtId="0" fontId="0" fillId="0" borderId="21"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17" fillId="0" borderId="0" xfId="0" applyFont="1" applyBorder="1" applyAlignment="1">
      <alignment horizontal="center" vertical="center"/>
    </xf>
    <xf numFmtId="0" fontId="17" fillId="0" borderId="21" xfId="0" applyFont="1" applyBorder="1" applyAlignment="1">
      <alignment horizontal="center" vertical="center"/>
    </xf>
    <xf numFmtId="0" fontId="22" fillId="0" borderId="22" xfId="173" applyFont="1" applyBorder="1" applyAlignment="1">
      <alignment horizontal="center"/>
    </xf>
    <xf numFmtId="0" fontId="22" fillId="0" borderId="13" xfId="173" applyFont="1" applyBorder="1" applyAlignment="1">
      <alignment horizontal="center"/>
    </xf>
    <xf numFmtId="0" fontId="22" fillId="0" borderId="33" xfId="173" applyFont="1" applyBorder="1" applyAlignment="1">
      <alignment horizontal="center"/>
    </xf>
    <xf numFmtId="0" fontId="22" fillId="0" borderId="0" xfId="173" applyFont="1" applyBorder="1" applyAlignment="1">
      <alignment horizontal="center"/>
    </xf>
    <xf numFmtId="0" fontId="22" fillId="0" borderId="21" xfId="173" applyFont="1" applyBorder="1" applyAlignment="1">
      <alignment horizontal="center"/>
    </xf>
    <xf numFmtId="0" fontId="22" fillId="0" borderId="34" xfId="173" applyFont="1" applyBorder="1" applyAlignment="1">
      <alignment horizontal="center"/>
    </xf>
    <xf numFmtId="0" fontId="22" fillId="0" borderId="19" xfId="173" applyFont="1" applyBorder="1" applyAlignment="1">
      <alignment horizontal="center"/>
    </xf>
    <xf numFmtId="0" fontId="22" fillId="0" borderId="35" xfId="173" applyFont="1" applyBorder="1" applyAlignment="1">
      <alignment horizontal="center"/>
    </xf>
    <xf numFmtId="0" fontId="11" fillId="0" borderId="32" xfId="163" applyFont="1" applyBorder="1" applyAlignment="1">
      <alignment horizontal="center"/>
    </xf>
    <xf numFmtId="0" fontId="11" fillId="0" borderId="0" xfId="163" applyFont="1" applyBorder="1" applyAlignment="1">
      <alignment horizontal="center"/>
    </xf>
    <xf numFmtId="0" fontId="11" fillId="0" borderId="29" xfId="163" applyFont="1" applyBorder="1" applyAlignment="1">
      <alignment horizontal="center"/>
    </xf>
    <xf numFmtId="0" fontId="52" fillId="4" borderId="37" xfId="82" quotePrefix="1" applyFont="1" applyFill="1" applyBorder="1" applyAlignment="1">
      <alignment horizontal="center"/>
    </xf>
    <xf numFmtId="0" fontId="31" fillId="4" borderId="37" xfId="0" applyFont="1" applyFill="1" applyBorder="1"/>
    <xf numFmtId="0" fontId="31" fillId="4" borderId="61" xfId="0" applyFont="1" applyFill="1" applyBorder="1"/>
    <xf numFmtId="0" fontId="31" fillId="4" borderId="0" xfId="0" applyFont="1" applyFill="1" applyBorder="1"/>
    <xf numFmtId="0" fontId="31" fillId="4" borderId="62" xfId="0" applyFont="1" applyFill="1" applyBorder="1"/>
    <xf numFmtId="0" fontId="31" fillId="4" borderId="47" xfId="0" applyFont="1" applyFill="1" applyBorder="1"/>
    <xf numFmtId="0" fontId="31" fillId="4" borderId="63" xfId="0" applyFont="1" applyFill="1" applyBorder="1"/>
    <xf numFmtId="0" fontId="46" fillId="5" borderId="14" xfId="82" applyFont="1" applyFill="1" applyBorder="1" applyAlignment="1">
      <alignment horizontal="center"/>
    </xf>
    <xf numFmtId="0" fontId="46" fillId="5" borderId="66" xfId="82" applyFont="1" applyFill="1" applyBorder="1" applyAlignment="1">
      <alignment horizontal="center"/>
    </xf>
    <xf numFmtId="0" fontId="46" fillId="5" borderId="0" xfId="82" applyFont="1" applyFill="1" applyBorder="1" applyAlignment="1">
      <alignment horizontal="center"/>
    </xf>
    <xf numFmtId="0" fontId="46" fillId="5" borderId="67" xfId="82" applyFont="1" applyFill="1" applyBorder="1" applyAlignment="1">
      <alignment horizontal="center"/>
    </xf>
    <xf numFmtId="0" fontId="46" fillId="5" borderId="3" xfId="82" applyFont="1" applyFill="1" applyBorder="1" applyAlignment="1">
      <alignment horizontal="center"/>
    </xf>
    <xf numFmtId="0" fontId="46" fillId="5" borderId="68" xfId="82" applyFont="1" applyFill="1" applyBorder="1" applyAlignment="1">
      <alignment horizontal="center"/>
    </xf>
    <xf numFmtId="0" fontId="17" fillId="0" borderId="22" xfId="0" applyFont="1" applyBorder="1" applyAlignment="1">
      <alignment horizontal="center" vertical="center"/>
    </xf>
    <xf numFmtId="0" fontId="17" fillId="0" borderId="13" xfId="0" applyFont="1" applyBorder="1" applyAlignment="1">
      <alignment horizontal="center" vertical="center"/>
    </xf>
    <xf numFmtId="0" fontId="18" fillId="0" borderId="19" xfId="0" applyFont="1" applyBorder="1" applyAlignment="1">
      <alignment horizontal="center" vertical="center"/>
    </xf>
    <xf numFmtId="0" fontId="18" fillId="0" borderId="35" xfId="0" applyFont="1" applyBorder="1" applyAlignment="1">
      <alignment horizontal="center" vertical="center"/>
    </xf>
    <xf numFmtId="0" fontId="37" fillId="0" borderId="23" xfId="0" applyFont="1" applyBorder="1" applyAlignment="1">
      <alignment horizontal="center"/>
    </xf>
    <xf numFmtId="0" fontId="37" fillId="0" borderId="5" xfId="0" applyFont="1" applyBorder="1" applyAlignment="1">
      <alignment horizontal="center"/>
    </xf>
    <xf numFmtId="0" fontId="37" fillId="0" borderId="25" xfId="0" applyFont="1" applyBorder="1" applyAlignment="1">
      <alignment horizontal="center"/>
    </xf>
    <xf numFmtId="0" fontId="37" fillId="0" borderId="0" xfId="0" applyFont="1" applyBorder="1" applyAlignment="1">
      <alignment horizontal="center"/>
    </xf>
    <xf numFmtId="0" fontId="37" fillId="0" borderId="27" xfId="0" applyFont="1" applyBorder="1" applyAlignment="1">
      <alignment horizontal="center"/>
    </xf>
    <xf numFmtId="0" fontId="37" fillId="0" borderId="10" xfId="0" applyFont="1" applyBorder="1" applyAlignment="1">
      <alignment horizontal="center"/>
    </xf>
    <xf numFmtId="0" fontId="37" fillId="0" borderId="50" xfId="0" applyFont="1" applyBorder="1" applyAlignment="1">
      <alignment horizontal="center"/>
    </xf>
    <xf numFmtId="0" fontId="52" fillId="4" borderId="0" xfId="82" quotePrefix="1" applyFont="1" applyFill="1" applyBorder="1" applyAlignment="1">
      <alignment horizontal="center"/>
    </xf>
    <xf numFmtId="0" fontId="48" fillId="4" borderId="47" xfId="82" applyFont="1" applyFill="1" applyBorder="1" applyAlignment="1">
      <alignment horizontal="center"/>
    </xf>
    <xf numFmtId="0" fontId="46" fillId="5" borderId="0" xfId="82" quotePrefix="1" applyFont="1" applyFill="1" applyBorder="1" applyAlignment="1">
      <alignment horizontal="center"/>
    </xf>
    <xf numFmtId="0" fontId="47" fillId="3" borderId="0" xfId="82" quotePrefix="1" applyFont="1" applyFill="1" applyBorder="1" applyAlignment="1">
      <alignment horizontal="center"/>
    </xf>
    <xf numFmtId="0" fontId="47" fillId="3" borderId="0" xfId="82" applyFont="1" applyFill="1" applyBorder="1" applyAlignment="1">
      <alignment horizontal="center"/>
    </xf>
    <xf numFmtId="0" fontId="47" fillId="3" borderId="69" xfId="82" applyFont="1" applyFill="1" applyBorder="1" applyAlignment="1">
      <alignment horizontal="center"/>
    </xf>
    <xf numFmtId="0" fontId="47" fillId="3" borderId="36" xfId="82" applyFont="1" applyFill="1" applyBorder="1" applyAlignment="1">
      <alignment horizontal="center"/>
    </xf>
    <xf numFmtId="0" fontId="47" fillId="3" borderId="70" xfId="82" applyFont="1" applyFill="1" applyBorder="1" applyAlignment="1">
      <alignment horizontal="center"/>
    </xf>
    <xf numFmtId="0" fontId="49" fillId="3" borderId="36" xfId="82" applyFont="1" applyFill="1" applyBorder="1" applyAlignment="1">
      <alignment horizontal="center"/>
    </xf>
    <xf numFmtId="0" fontId="52" fillId="4" borderId="37" xfId="82" applyFont="1" applyFill="1" applyBorder="1" applyAlignment="1">
      <alignment horizontal="center"/>
    </xf>
    <xf numFmtId="49" fontId="42" fillId="3" borderId="0" xfId="82" applyNumberFormat="1" applyFont="1" applyFill="1" applyBorder="1" applyAlignment="1">
      <alignment horizontal="center"/>
    </xf>
    <xf numFmtId="49" fontId="42" fillId="3" borderId="36" xfId="82" applyNumberFormat="1" applyFont="1" applyFill="1" applyBorder="1" applyAlignment="1">
      <alignment horizontal="center"/>
    </xf>
    <xf numFmtId="0" fontId="37" fillId="0" borderId="23" xfId="0" applyFont="1" applyBorder="1" applyAlignment="1">
      <alignment horizontal="center" vertical="center" shrinkToFit="1"/>
    </xf>
    <xf numFmtId="0" fontId="34" fillId="0" borderId="5" xfId="0" applyFont="1" applyBorder="1"/>
    <xf numFmtId="0" fontId="34" fillId="0" borderId="25" xfId="0" applyFont="1" applyBorder="1"/>
    <xf numFmtId="0" fontId="34" fillId="0" borderId="27" xfId="0" applyFont="1" applyBorder="1"/>
    <xf numFmtId="0" fontId="34" fillId="0" borderId="10" xfId="0" applyFont="1" applyBorder="1"/>
    <xf numFmtId="0" fontId="37" fillId="0" borderId="5" xfId="0" applyFont="1" applyBorder="1" applyAlignment="1">
      <alignment horizontal="center" vertical="center" shrinkToFit="1"/>
    </xf>
    <xf numFmtId="0" fontId="37" fillId="0" borderId="24" xfId="0" applyFont="1" applyBorder="1" applyAlignment="1">
      <alignment horizontal="center" vertical="center" shrinkToFit="1"/>
    </xf>
    <xf numFmtId="0" fontId="37" fillId="0" borderId="25" xfId="0" applyFont="1" applyBorder="1" applyAlignment="1">
      <alignment horizontal="center" vertical="center" shrinkToFit="1"/>
    </xf>
    <xf numFmtId="0" fontId="37" fillId="0" borderId="26" xfId="0" applyFont="1" applyBorder="1" applyAlignment="1">
      <alignment horizontal="center" vertical="center" shrinkToFit="1"/>
    </xf>
    <xf numFmtId="0" fontId="37" fillId="0" borderId="27" xfId="0" applyFont="1" applyBorder="1" applyAlignment="1">
      <alignment horizontal="center" vertical="center" shrinkToFit="1"/>
    </xf>
    <xf numFmtId="0" fontId="37" fillId="0" borderId="10" xfId="0" applyFont="1" applyBorder="1" applyAlignment="1">
      <alignment horizontal="center" vertical="center" shrinkToFit="1"/>
    </xf>
    <xf numFmtId="0" fontId="37" fillId="0" borderId="28" xfId="0" applyFont="1" applyBorder="1" applyAlignment="1">
      <alignment horizontal="center" vertical="center" shrinkToFit="1"/>
    </xf>
    <xf numFmtId="0" fontId="54" fillId="3" borderId="51" xfId="82" applyFont="1" applyFill="1" applyBorder="1" applyAlignment="1">
      <alignment horizontal="center" vertical="center"/>
    </xf>
    <xf numFmtId="0" fontId="54" fillId="3" borderId="0" xfId="82" applyFont="1" applyFill="1" applyBorder="1" applyAlignment="1">
      <alignment horizontal="center" vertical="center"/>
    </xf>
    <xf numFmtId="0" fontId="54" fillId="3" borderId="36" xfId="82" applyFont="1" applyFill="1" applyBorder="1" applyAlignment="1">
      <alignment horizontal="center" vertical="center"/>
    </xf>
    <xf numFmtId="0" fontId="19" fillId="0" borderId="33" xfId="0" applyFont="1" applyBorder="1" applyAlignment="1">
      <alignment horizontal="left"/>
    </xf>
    <xf numFmtId="0" fontId="19" fillId="0" borderId="0" xfId="0" applyFont="1" applyBorder="1" applyAlignment="1">
      <alignment horizontal="left"/>
    </xf>
    <xf numFmtId="0" fontId="19" fillId="0" borderId="34" xfId="0" applyFont="1" applyBorder="1" applyAlignment="1">
      <alignment horizontal="left"/>
    </xf>
    <xf numFmtId="0" fontId="19" fillId="0" borderId="19" xfId="0" applyFont="1" applyBorder="1" applyAlignment="1">
      <alignment horizontal="left"/>
    </xf>
    <xf numFmtId="0" fontId="0" fillId="0" borderId="64" xfId="0" applyBorder="1" applyAlignment="1">
      <alignment horizontal="center"/>
    </xf>
    <xf numFmtId="0" fontId="0" fillId="0" borderId="65" xfId="0" applyBorder="1" applyAlignment="1">
      <alignment horizontal="center"/>
    </xf>
    <xf numFmtId="0" fontId="37" fillId="0" borderId="24" xfId="0" applyFont="1" applyBorder="1" applyAlignment="1">
      <alignment horizontal="center"/>
    </xf>
    <xf numFmtId="0" fontId="37" fillId="0" borderId="26" xfId="0" applyFont="1" applyBorder="1" applyAlignment="1">
      <alignment horizontal="center"/>
    </xf>
    <xf numFmtId="0" fontId="37" fillId="0" borderId="28" xfId="0" applyFont="1" applyBorder="1" applyAlignment="1">
      <alignment horizontal="center"/>
    </xf>
    <xf numFmtId="9" fontId="37" fillId="0" borderId="23" xfId="324" applyFont="1" applyBorder="1" applyAlignment="1">
      <alignment horizontal="center" vertical="center" shrinkToFit="1"/>
    </xf>
    <xf numFmtId="9" fontId="37" fillId="0" borderId="5" xfId="324" applyFont="1" applyBorder="1" applyAlignment="1">
      <alignment horizontal="center" vertical="center" shrinkToFit="1"/>
    </xf>
    <xf numFmtId="9" fontId="37" fillId="0" borderId="24" xfId="324" applyFont="1" applyBorder="1" applyAlignment="1">
      <alignment horizontal="center" vertical="center" shrinkToFit="1"/>
    </xf>
    <xf numFmtId="9" fontId="37" fillId="0" borderId="25" xfId="324" applyFont="1" applyBorder="1" applyAlignment="1">
      <alignment horizontal="center" vertical="center" shrinkToFit="1"/>
    </xf>
    <xf numFmtId="9" fontId="37" fillId="0" borderId="0" xfId="324" applyFont="1" applyBorder="1" applyAlignment="1">
      <alignment horizontal="center" vertical="center" shrinkToFit="1"/>
    </xf>
    <xf numFmtId="9" fontId="37" fillId="0" borderId="26" xfId="324" applyFont="1" applyBorder="1" applyAlignment="1">
      <alignment horizontal="center" vertical="center" shrinkToFit="1"/>
    </xf>
    <xf numFmtId="9" fontId="37" fillId="0" borderId="27" xfId="324" applyFont="1" applyBorder="1" applyAlignment="1">
      <alignment horizontal="center" vertical="center" shrinkToFit="1"/>
    </xf>
    <xf numFmtId="9" fontId="37" fillId="0" borderId="10" xfId="324" applyFont="1" applyBorder="1" applyAlignment="1">
      <alignment horizontal="center" vertical="center" shrinkToFit="1"/>
    </xf>
    <xf numFmtId="9" fontId="37" fillId="0" borderId="28" xfId="324" applyFont="1" applyBorder="1" applyAlignment="1">
      <alignment horizontal="center" vertical="center" shrinkToFit="1"/>
    </xf>
    <xf numFmtId="0" fontId="37" fillId="0" borderId="6" xfId="0" applyFont="1" applyBorder="1" applyAlignment="1">
      <alignment horizontal="center"/>
    </xf>
    <xf numFmtId="0" fontId="37" fillId="0" borderId="8" xfId="0" applyFont="1" applyBorder="1" applyAlignment="1">
      <alignment horizontal="center"/>
    </xf>
    <xf numFmtId="0" fontId="37" fillId="0" borderId="11" xfId="0" applyFont="1" applyBorder="1" applyAlignment="1">
      <alignment horizontal="center"/>
    </xf>
    <xf numFmtId="0" fontId="26" fillId="0" borderId="0" xfId="0" applyFont="1" applyAlignment="1">
      <alignment horizontal="center" vertical="center"/>
    </xf>
    <xf numFmtId="0" fontId="26" fillId="0" borderId="71" xfId="0" applyFont="1" applyBorder="1" applyAlignment="1">
      <alignment horizontal="center" vertical="center"/>
    </xf>
    <xf numFmtId="0" fontId="26" fillId="0" borderId="5" xfId="0" applyFont="1" applyBorder="1" applyAlignment="1">
      <alignment horizontal="center" vertical="center"/>
    </xf>
    <xf numFmtId="0" fontId="51" fillId="5" borderId="55" xfId="82" applyFont="1" applyFill="1" applyBorder="1" applyAlignment="1">
      <alignment horizontal="center" vertical="center"/>
    </xf>
    <xf numFmtId="0" fontId="51" fillId="5" borderId="0" xfId="82" applyFont="1" applyFill="1" applyBorder="1" applyAlignment="1">
      <alignment horizontal="center" vertical="center"/>
    </xf>
    <xf numFmtId="49" fontId="50" fillId="0" borderId="37" xfId="0" applyNumberFormat="1" applyFont="1" applyBorder="1" applyAlignment="1">
      <alignment horizontal="center"/>
    </xf>
    <xf numFmtId="0" fontId="41" fillId="5" borderId="3" xfId="82" applyFont="1" applyFill="1" applyBorder="1" applyAlignment="1">
      <alignment horizontal="center"/>
    </xf>
    <xf numFmtId="0" fontId="45" fillId="4" borderId="37" xfId="82" applyFont="1" applyFill="1" applyBorder="1" applyAlignment="1">
      <alignment horizontal="center" vertical="center"/>
    </xf>
    <xf numFmtId="0" fontId="53" fillId="4" borderId="37" xfId="0" applyFont="1" applyFill="1" applyBorder="1"/>
    <xf numFmtId="0" fontId="53" fillId="4" borderId="0" xfId="0" applyFont="1" applyFill="1" applyBorder="1"/>
    <xf numFmtId="0" fontId="53" fillId="4" borderId="47" xfId="0" applyFont="1" applyFill="1" applyBorder="1"/>
    <xf numFmtId="0" fontId="16" fillId="0" borderId="15" xfId="0" applyFont="1" applyBorder="1" applyAlignment="1">
      <alignment horizontal="left" vertical="top"/>
    </xf>
    <xf numFmtId="0" fontId="16" fillId="0" borderId="16" xfId="0" applyFont="1" applyBorder="1" applyAlignment="1">
      <alignment horizontal="left" vertical="top"/>
    </xf>
    <xf numFmtId="0" fontId="16" fillId="0" borderId="72" xfId="0" applyFont="1" applyBorder="1" applyAlignment="1">
      <alignment horizontal="left" vertical="top"/>
    </xf>
    <xf numFmtId="0" fontId="16" fillId="0" borderId="17" xfId="0" applyFont="1" applyBorder="1" applyAlignment="1">
      <alignment horizontal="left" vertical="top"/>
    </xf>
    <xf numFmtId="0" fontId="16" fillId="0" borderId="0" xfId="0" applyFont="1" applyBorder="1" applyAlignment="1">
      <alignment horizontal="left" vertical="top"/>
    </xf>
    <xf numFmtId="0" fontId="16" fillId="0" borderId="18" xfId="0" applyFont="1" applyBorder="1" applyAlignment="1">
      <alignment horizontal="left" vertical="top"/>
    </xf>
    <xf numFmtId="0" fontId="16" fillId="0" borderId="73" xfId="0" applyFont="1" applyBorder="1" applyAlignment="1">
      <alignment horizontal="left" vertical="top"/>
    </xf>
    <xf numFmtId="0" fontId="16" fillId="0" borderId="31" xfId="0" applyFont="1" applyBorder="1" applyAlignment="1">
      <alignment horizontal="left" vertical="top"/>
    </xf>
    <xf numFmtId="0" fontId="16" fillId="0" borderId="74" xfId="0" applyFont="1" applyBorder="1" applyAlignment="1">
      <alignment horizontal="left" vertical="top"/>
    </xf>
    <xf numFmtId="0" fontId="47" fillId="3" borderId="51" xfId="82" applyFont="1" applyFill="1" applyBorder="1" applyAlignment="1">
      <alignment horizontal="center"/>
    </xf>
    <xf numFmtId="0" fontId="47" fillId="3" borderId="75" xfId="82" applyFont="1" applyFill="1" applyBorder="1" applyAlignment="1">
      <alignment horizontal="center"/>
    </xf>
    <xf numFmtId="49" fontId="44" fillId="0" borderId="0" xfId="0" applyNumberFormat="1" applyFont="1" applyBorder="1" applyAlignment="1">
      <alignment horizontal="center" vertical="center"/>
    </xf>
    <xf numFmtId="0" fontId="41" fillId="5" borderId="76" xfId="82" applyFont="1" applyFill="1" applyBorder="1" applyAlignment="1">
      <alignment horizontal="center"/>
    </xf>
    <xf numFmtId="0" fontId="41" fillId="5" borderId="14" xfId="82" applyFont="1" applyFill="1" applyBorder="1" applyAlignment="1">
      <alignment horizontal="center"/>
    </xf>
    <xf numFmtId="0" fontId="41" fillId="5" borderId="77" xfId="82" applyFont="1" applyFill="1" applyBorder="1" applyAlignment="1">
      <alignment horizontal="center"/>
    </xf>
    <xf numFmtId="0" fontId="41" fillId="5" borderId="0" xfId="82" applyFont="1" applyFill="1" applyBorder="1" applyAlignment="1">
      <alignment horizontal="center"/>
    </xf>
    <xf numFmtId="0" fontId="41" fillId="5" borderId="78" xfId="82" applyFont="1" applyFill="1" applyBorder="1" applyAlignment="1">
      <alignment horizontal="center"/>
    </xf>
    <xf numFmtId="0" fontId="27" fillId="0" borderId="12" xfId="0" applyFont="1" applyBorder="1" applyAlignment="1" applyProtection="1">
      <alignment horizontal="center" vertical="top"/>
      <protection locked="0"/>
    </xf>
    <xf numFmtId="0" fontId="27" fillId="0" borderId="5" xfId="0" applyFont="1" applyBorder="1" applyAlignment="1" applyProtection="1">
      <alignment horizontal="center" vertical="top"/>
      <protection locked="0"/>
    </xf>
    <xf numFmtId="0" fontId="27" fillId="0" borderId="9" xfId="0" applyFont="1" applyBorder="1" applyAlignment="1" applyProtection="1">
      <alignment horizontal="center" vertical="top"/>
      <protection locked="0"/>
    </xf>
    <xf numFmtId="0" fontId="27" fillId="0" borderId="10" xfId="0" applyFont="1" applyBorder="1" applyAlignment="1" applyProtection="1">
      <alignment horizontal="center" vertical="top"/>
      <protection locked="0"/>
    </xf>
    <xf numFmtId="0" fontId="34" fillId="0" borderId="12" xfId="0" applyFont="1" applyBorder="1" applyAlignment="1" applyProtection="1">
      <alignment horizontal="center"/>
      <protection locked="0"/>
    </xf>
    <xf numFmtId="0" fontId="34" fillId="0" borderId="5" xfId="0" applyFont="1" applyBorder="1" applyAlignment="1" applyProtection="1">
      <alignment horizontal="center"/>
      <protection locked="0"/>
    </xf>
    <xf numFmtId="0" fontId="34" fillId="0" borderId="40" xfId="0" applyFont="1" applyBorder="1" applyAlignment="1" applyProtection="1">
      <alignment horizontal="center"/>
      <protection locked="0"/>
    </xf>
    <xf numFmtId="0" fontId="34" fillId="0" borderId="7" xfId="0" applyFont="1" applyBorder="1" applyAlignment="1" applyProtection="1">
      <alignment horizontal="center"/>
      <protection locked="0"/>
    </xf>
    <xf numFmtId="0" fontId="34" fillId="0" borderId="0" xfId="0" applyFont="1" applyBorder="1" applyAlignment="1" applyProtection="1">
      <alignment horizontal="center"/>
      <protection locked="0"/>
    </xf>
    <xf numFmtId="0" fontId="34" fillId="0" borderId="42" xfId="0" applyFont="1" applyBorder="1" applyAlignment="1" applyProtection="1">
      <alignment horizontal="center"/>
      <protection locked="0"/>
    </xf>
    <xf numFmtId="0" fontId="27" fillId="0" borderId="43" xfId="0" applyFont="1" applyBorder="1" applyAlignment="1" applyProtection="1">
      <alignment horizontal="center" vertical="top"/>
      <protection locked="0"/>
    </xf>
    <xf numFmtId="0" fontId="27" fillId="0" borderId="44" xfId="0" applyFont="1" applyBorder="1" applyAlignment="1" applyProtection="1">
      <alignment horizontal="center" vertical="top"/>
      <protection locked="0"/>
    </xf>
    <xf numFmtId="0" fontId="34" fillId="0" borderId="45" xfId="0" applyFont="1" applyBorder="1" applyAlignment="1" applyProtection="1">
      <alignment horizontal="center"/>
      <protection locked="0"/>
    </xf>
    <xf numFmtId="0" fontId="34" fillId="0" borderId="6" xfId="0" applyFont="1" applyBorder="1" applyAlignment="1" applyProtection="1">
      <alignment horizontal="center"/>
      <protection locked="0"/>
    </xf>
    <xf numFmtId="0" fontId="34" fillId="0" borderId="46" xfId="0" applyFont="1" applyBorder="1" applyAlignment="1" applyProtection="1">
      <alignment horizontal="center"/>
      <protection locked="0"/>
    </xf>
    <xf numFmtId="0" fontId="34" fillId="0" borderId="10" xfId="0" applyFont="1" applyBorder="1" applyAlignment="1" applyProtection="1">
      <alignment horizontal="center"/>
      <protection locked="0"/>
    </xf>
    <xf numFmtId="0" fontId="34" fillId="0" borderId="11" xfId="0" applyFont="1" applyBorder="1" applyAlignment="1" applyProtection="1">
      <alignment horizontal="center"/>
      <protection locked="0"/>
    </xf>
    <xf numFmtId="0" fontId="27" fillId="0" borderId="12" xfId="0" quotePrefix="1" applyFont="1" applyBorder="1" applyAlignment="1" applyProtection="1">
      <alignment horizontal="center" vertical="top"/>
      <protection locked="0"/>
    </xf>
    <xf numFmtId="0" fontId="38" fillId="0" borderId="5" xfId="0" applyFont="1" applyBorder="1" applyProtection="1">
      <protection locked="0"/>
    </xf>
    <xf numFmtId="0" fontId="38" fillId="0" borderId="6" xfId="0" applyFont="1" applyBorder="1" applyProtection="1">
      <protection locked="0"/>
    </xf>
    <xf numFmtId="0" fontId="38" fillId="0" borderId="7" xfId="0" applyFont="1" applyBorder="1" applyProtection="1">
      <protection locked="0"/>
    </xf>
    <xf numFmtId="0" fontId="38" fillId="0" borderId="0" xfId="0" applyFont="1" applyProtection="1">
      <protection locked="0"/>
    </xf>
    <xf numFmtId="0" fontId="38" fillId="0" borderId="8" xfId="0" applyFont="1" applyBorder="1" applyProtection="1">
      <protection locked="0"/>
    </xf>
    <xf numFmtId="0" fontId="38" fillId="0" borderId="9" xfId="0" applyFont="1" applyBorder="1" applyProtection="1">
      <protection locked="0"/>
    </xf>
    <xf numFmtId="0" fontId="38" fillId="0" borderId="10" xfId="0" applyFont="1" applyBorder="1" applyProtection="1">
      <protection locked="0"/>
    </xf>
    <xf numFmtId="0" fontId="38" fillId="0" borderId="11" xfId="0" applyFont="1" applyBorder="1" applyProtection="1">
      <protection locked="0"/>
    </xf>
    <xf numFmtId="0" fontId="27" fillId="0" borderId="6" xfId="0" applyFont="1" applyBorder="1" applyAlignment="1" applyProtection="1">
      <alignment horizontal="center" vertical="top"/>
      <protection locked="0"/>
    </xf>
    <xf numFmtId="0" fontId="27" fillId="0" borderId="11" xfId="0" applyFont="1" applyBorder="1" applyAlignment="1" applyProtection="1">
      <alignment horizontal="center" vertical="top"/>
      <protection locked="0"/>
    </xf>
    <xf numFmtId="0" fontId="27" fillId="0" borderId="43" xfId="0" applyFont="1" applyBorder="1" applyProtection="1">
      <protection locked="0"/>
    </xf>
    <xf numFmtId="0" fontId="27" fillId="0" borderId="44" xfId="0" applyFont="1" applyBorder="1" applyProtection="1">
      <protection locked="0"/>
    </xf>
    <xf numFmtId="0" fontId="27" fillId="0" borderId="5" xfId="0" applyFont="1" applyBorder="1" applyProtection="1">
      <protection locked="0"/>
    </xf>
    <xf numFmtId="0" fontId="27" fillId="0" borderId="9" xfId="0" applyFont="1" applyBorder="1" applyProtection="1">
      <protection locked="0"/>
    </xf>
    <xf numFmtId="0" fontId="27" fillId="0" borderId="10" xfId="0" applyFont="1" applyBorder="1" applyProtection="1">
      <protection locked="0"/>
    </xf>
    <xf numFmtId="0" fontId="27" fillId="0" borderId="7" xfId="0" applyFont="1" applyBorder="1" applyAlignment="1" applyProtection="1">
      <alignment horizontal="center" vertical="top"/>
      <protection locked="0"/>
    </xf>
    <xf numFmtId="0" fontId="27" fillId="0" borderId="0" xfId="0" applyFont="1" applyBorder="1" applyAlignment="1" applyProtection="1">
      <alignment horizontal="center" vertical="top"/>
      <protection locked="0"/>
    </xf>
    <xf numFmtId="0" fontId="27" fillId="0" borderId="8" xfId="0" applyFont="1" applyBorder="1" applyAlignment="1" applyProtection="1">
      <alignment horizontal="center" vertical="top"/>
      <protection locked="0"/>
    </xf>
    <xf numFmtId="0" fontId="27" fillId="0" borderId="43" xfId="0" applyFont="1" applyBorder="1" applyAlignment="1" applyProtection="1">
      <alignment horizontal="center"/>
      <protection locked="0"/>
    </xf>
    <xf numFmtId="0" fontId="27" fillId="0" borderId="44" xfId="0" applyFont="1" applyBorder="1" applyAlignment="1" applyProtection="1">
      <alignment horizontal="center"/>
      <protection locked="0"/>
    </xf>
    <xf numFmtId="0" fontId="27" fillId="0" borderId="12" xfId="0" applyFont="1" applyBorder="1" applyAlignment="1" applyProtection="1">
      <alignment horizontal="center"/>
      <protection locked="0"/>
    </xf>
    <xf numFmtId="0" fontId="27" fillId="0" borderId="5" xfId="0" applyFont="1" applyBorder="1" applyAlignment="1" applyProtection="1">
      <alignment horizontal="center"/>
      <protection locked="0"/>
    </xf>
    <xf numFmtId="0" fontId="27" fillId="0" borderId="9" xfId="0" applyFont="1" applyBorder="1" applyAlignment="1" applyProtection="1">
      <alignment horizontal="center"/>
      <protection locked="0"/>
    </xf>
    <xf numFmtId="0" fontId="27" fillId="0" borderId="10" xfId="0" applyFont="1" applyBorder="1" applyAlignment="1" applyProtection="1">
      <alignment horizontal="center"/>
      <protection locked="0"/>
    </xf>
    <xf numFmtId="0" fontId="12" fillId="0" borderId="12" xfId="0" applyFont="1" applyBorder="1" applyAlignment="1" applyProtection="1">
      <alignment horizontal="left" vertical="top"/>
      <protection locked="0"/>
    </xf>
    <xf numFmtId="0" fontId="12" fillId="0" borderId="5" xfId="0" applyFont="1" applyBorder="1" applyAlignment="1" applyProtection="1">
      <alignment horizontal="left" vertical="top"/>
      <protection locked="0"/>
    </xf>
    <xf numFmtId="0" fontId="12" fillId="0" borderId="6" xfId="0" applyFont="1" applyBorder="1" applyAlignment="1" applyProtection="1">
      <alignment horizontal="left" vertical="top"/>
      <protection locked="0"/>
    </xf>
    <xf numFmtId="0" fontId="12" fillId="0" borderId="7" xfId="0" applyFont="1" applyBorder="1" applyAlignment="1" applyProtection="1">
      <alignment horizontal="left" vertical="top"/>
      <protection locked="0"/>
    </xf>
    <xf numFmtId="0" fontId="12" fillId="0" borderId="0" xfId="0" applyFont="1" applyBorder="1" applyAlignment="1" applyProtection="1">
      <alignment horizontal="left" vertical="top"/>
      <protection locked="0"/>
    </xf>
    <xf numFmtId="0" fontId="12" fillId="0" borderId="8" xfId="0" applyFont="1" applyBorder="1" applyAlignment="1" applyProtection="1">
      <alignment horizontal="left" vertical="top"/>
      <protection locked="0"/>
    </xf>
    <xf numFmtId="0" fontId="12" fillId="0" borderId="9" xfId="0" applyFont="1" applyBorder="1" applyAlignment="1" applyProtection="1">
      <alignment horizontal="left" vertical="top"/>
      <protection locked="0"/>
    </xf>
    <xf numFmtId="0" fontId="12" fillId="0" borderId="10" xfId="0" applyFont="1" applyBorder="1" applyAlignment="1" applyProtection="1">
      <alignment horizontal="left" vertical="top"/>
      <protection locked="0"/>
    </xf>
    <xf numFmtId="0" fontId="12" fillId="0" borderId="11" xfId="0" applyFont="1" applyBorder="1" applyAlignment="1" applyProtection="1">
      <alignment horizontal="left" vertical="top"/>
      <protection locked="0"/>
    </xf>
    <xf numFmtId="0" fontId="34" fillId="0" borderId="9" xfId="0" applyFont="1" applyBorder="1" applyAlignment="1" applyProtection="1">
      <alignment horizontal="center"/>
      <protection locked="0"/>
    </xf>
    <xf numFmtId="0" fontId="34" fillId="0" borderId="41" xfId="0" applyFont="1" applyBorder="1" applyAlignment="1" applyProtection="1">
      <alignment horizontal="center"/>
      <protection locked="0"/>
    </xf>
    <xf numFmtId="0" fontId="27" fillId="0" borderId="6" xfId="0" applyFont="1" applyBorder="1" applyProtection="1">
      <protection locked="0"/>
    </xf>
    <xf numFmtId="0" fontId="27" fillId="0" borderId="7" xfId="0" applyFont="1" applyBorder="1" applyProtection="1">
      <protection locked="0"/>
    </xf>
    <xf numFmtId="0" fontId="27" fillId="0" borderId="0" xfId="0" applyFont="1" applyProtection="1">
      <protection locked="0"/>
    </xf>
    <xf numFmtId="0" fontId="27" fillId="0" borderId="8" xfId="0" applyFont="1" applyBorder="1" applyProtection="1">
      <protection locked="0"/>
    </xf>
    <xf numFmtId="0" fontId="27" fillId="0" borderId="11" xfId="0" applyFont="1" applyBorder="1" applyProtection="1">
      <protection locked="0"/>
    </xf>
    <xf numFmtId="0" fontId="34" fillId="0" borderId="43" xfId="0" applyFont="1" applyBorder="1" applyAlignment="1" applyProtection="1">
      <alignment horizontal="center"/>
      <protection locked="0"/>
    </xf>
    <xf numFmtId="0" fontId="34" fillId="0" borderId="44" xfId="0" applyFont="1" applyBorder="1" applyAlignment="1" applyProtection="1">
      <alignment horizontal="center"/>
      <protection locked="0"/>
    </xf>
    <xf numFmtId="0" fontId="127" fillId="0" borderId="0" xfId="0" applyFont="1" applyAlignment="1" applyProtection="1">
      <alignment horizontal="right" vertical="center" shrinkToFit="1"/>
    </xf>
    <xf numFmtId="0" fontId="127" fillId="0" borderId="354" xfId="0" applyFont="1" applyBorder="1" applyAlignment="1" applyProtection="1">
      <alignment horizontal="right" vertical="center" shrinkToFit="1"/>
    </xf>
    <xf numFmtId="0" fontId="116" fillId="6" borderId="336" xfId="82" applyFont="1" applyFill="1" applyBorder="1" applyAlignment="1" applyProtection="1">
      <alignment horizontal="center" vertical="center"/>
    </xf>
    <xf numFmtId="0" fontId="116" fillId="6" borderId="337" xfId="82" applyFont="1" applyFill="1" applyBorder="1" applyAlignment="1" applyProtection="1">
      <alignment horizontal="center" vertical="center"/>
    </xf>
    <xf numFmtId="0" fontId="116" fillId="6" borderId="338" xfId="82" applyFont="1" applyFill="1" applyBorder="1" applyAlignment="1" applyProtection="1">
      <alignment horizontal="center" vertical="center"/>
    </xf>
    <xf numFmtId="0" fontId="116" fillId="6" borderId="339" xfId="82" applyFont="1" applyFill="1" applyBorder="1" applyAlignment="1" applyProtection="1">
      <alignment horizontal="center" vertical="center"/>
    </xf>
    <xf numFmtId="0" fontId="116" fillId="6" borderId="340" xfId="82" applyFont="1" applyFill="1" applyBorder="1" applyAlignment="1" applyProtection="1">
      <alignment horizontal="center" vertical="center"/>
    </xf>
    <xf numFmtId="0" fontId="116" fillId="6" borderId="341" xfId="82" applyFont="1" applyFill="1" applyBorder="1" applyAlignment="1" applyProtection="1">
      <alignment horizontal="center" vertical="center"/>
    </xf>
    <xf numFmtId="0" fontId="115" fillId="6" borderId="336" xfId="82" applyFont="1" applyFill="1" applyBorder="1" applyAlignment="1" applyProtection="1">
      <alignment horizontal="center" vertical="center"/>
    </xf>
    <xf numFmtId="0" fontId="115" fillId="6" borderId="337" xfId="82" applyFont="1" applyFill="1" applyBorder="1" applyAlignment="1" applyProtection="1">
      <alignment horizontal="center" vertical="center"/>
    </xf>
    <xf numFmtId="0" fontId="115" fillId="6" borderId="338" xfId="82" applyFont="1" applyFill="1" applyBorder="1" applyAlignment="1" applyProtection="1">
      <alignment horizontal="center" vertical="center"/>
    </xf>
    <xf numFmtId="0" fontId="115" fillId="6" borderId="339" xfId="82" applyFont="1" applyFill="1" applyBorder="1" applyAlignment="1" applyProtection="1">
      <alignment horizontal="center" vertical="center"/>
    </xf>
    <xf numFmtId="0" fontId="115" fillId="6" borderId="340" xfId="82" applyFont="1" applyFill="1" applyBorder="1" applyAlignment="1" applyProtection="1">
      <alignment horizontal="center" vertical="center"/>
    </xf>
    <xf numFmtId="0" fontId="115" fillId="6" borderId="341" xfId="82" applyFont="1" applyFill="1" applyBorder="1" applyAlignment="1" applyProtection="1">
      <alignment horizontal="center" vertical="center"/>
    </xf>
    <xf numFmtId="0" fontId="30" fillId="15" borderId="187" xfId="0" applyFont="1" applyFill="1" applyBorder="1" applyAlignment="1" applyProtection="1">
      <alignment horizontal="center" shrinkToFit="1"/>
    </xf>
    <xf numFmtId="0" fontId="30" fillId="15" borderId="227" xfId="0" applyFont="1" applyFill="1" applyBorder="1" applyAlignment="1" applyProtection="1">
      <alignment horizontal="center" shrinkToFit="1"/>
    </xf>
    <xf numFmtId="0" fontId="30" fillId="15" borderId="83" xfId="0" applyFont="1" applyFill="1" applyBorder="1" applyAlignment="1" applyProtection="1">
      <alignment horizontal="center" shrinkToFit="1"/>
    </xf>
    <xf numFmtId="0" fontId="30" fillId="15" borderId="188" xfId="0" applyFont="1" applyFill="1" applyBorder="1" applyAlignment="1" applyProtection="1">
      <alignment horizontal="center" shrinkToFit="1"/>
    </xf>
    <xf numFmtId="0" fontId="102" fillId="15" borderId="187" xfId="0" applyFont="1" applyFill="1" applyBorder="1" applyAlignment="1" applyProtection="1">
      <alignment horizontal="center" shrinkToFit="1"/>
    </xf>
    <xf numFmtId="0" fontId="102" fillId="15" borderId="83" xfId="0" applyFont="1" applyFill="1" applyBorder="1" applyAlignment="1" applyProtection="1">
      <alignment horizontal="center" shrinkToFit="1"/>
    </xf>
    <xf numFmtId="0" fontId="103" fillId="15" borderId="222" xfId="0" applyFont="1" applyFill="1" applyBorder="1" applyAlignment="1" applyProtection="1">
      <alignment horizontal="center" shrinkToFit="1"/>
    </xf>
    <xf numFmtId="0" fontId="103" fillId="15" borderId="223" xfId="0" applyFont="1" applyFill="1" applyBorder="1" applyAlignment="1" applyProtection="1">
      <alignment horizontal="center" shrinkToFit="1"/>
    </xf>
    <xf numFmtId="0" fontId="0" fillId="8" borderId="224" xfId="0" applyFill="1" applyBorder="1" applyAlignment="1" applyProtection="1">
      <alignment horizontal="center" shrinkToFit="1"/>
      <protection locked="0"/>
    </xf>
    <xf numFmtId="0" fontId="0" fillId="8" borderId="187" xfId="0" applyFill="1" applyBorder="1" applyAlignment="1" applyProtection="1">
      <alignment horizontal="center" shrinkToFit="1"/>
      <protection locked="0"/>
    </xf>
    <xf numFmtId="0" fontId="0" fillId="8" borderId="225" xfId="0" applyFill="1" applyBorder="1" applyAlignment="1" applyProtection="1">
      <alignment horizontal="center" shrinkToFit="1"/>
      <protection locked="0"/>
    </xf>
    <xf numFmtId="0" fontId="0" fillId="8" borderId="191" xfId="0" applyFill="1" applyBorder="1" applyAlignment="1" applyProtection="1">
      <alignment horizontal="center" shrinkToFit="1"/>
      <protection locked="0"/>
    </xf>
    <xf numFmtId="0" fontId="0" fillId="8" borderId="83" xfId="0" applyFill="1" applyBorder="1" applyAlignment="1" applyProtection="1">
      <alignment horizontal="center" shrinkToFit="1"/>
      <protection locked="0"/>
    </xf>
    <xf numFmtId="0" fontId="0" fillId="8" borderId="192" xfId="0" applyFill="1" applyBorder="1" applyAlignment="1" applyProtection="1">
      <alignment horizontal="center" shrinkToFit="1"/>
      <protection locked="0"/>
    </xf>
    <xf numFmtId="0" fontId="0" fillId="15" borderId="226" xfId="0" applyFill="1" applyBorder="1" applyAlignment="1" applyProtection="1">
      <alignment horizontal="center" shrinkToFit="1"/>
    </xf>
    <xf numFmtId="0" fontId="0" fillId="15" borderId="187" xfId="0" applyFill="1" applyBorder="1" applyAlignment="1" applyProtection="1">
      <alignment horizontal="center" shrinkToFit="1"/>
    </xf>
    <xf numFmtId="0" fontId="0" fillId="15" borderId="189" xfId="0" applyFill="1" applyBorder="1" applyAlignment="1" applyProtection="1">
      <alignment horizontal="center" shrinkToFit="1"/>
    </xf>
    <xf numFmtId="0" fontId="0" fillId="15" borderId="83" xfId="0" applyFill="1" applyBorder="1" applyAlignment="1" applyProtection="1">
      <alignment horizontal="center" shrinkToFit="1"/>
    </xf>
    <xf numFmtId="0" fontId="62" fillId="2" borderId="7" xfId="0" applyNumberFormat="1" applyFont="1" applyFill="1" applyBorder="1" applyAlignment="1" applyProtection="1">
      <alignment horizontal="center" vertical="center" shrinkToFit="1"/>
      <protection locked="0"/>
    </xf>
    <xf numFmtId="0" fontId="62" fillId="2" borderId="0" xfId="0" applyNumberFormat="1" applyFont="1" applyFill="1" applyBorder="1" applyAlignment="1" applyProtection="1">
      <alignment horizontal="center" vertical="center" shrinkToFit="1"/>
      <protection locked="0"/>
    </xf>
    <xf numFmtId="0" fontId="62" fillId="2" borderId="8" xfId="0" applyNumberFormat="1" applyFont="1" applyFill="1" applyBorder="1" applyAlignment="1" applyProtection="1">
      <alignment horizontal="center" vertical="center" shrinkToFit="1"/>
      <protection locked="0"/>
    </xf>
    <xf numFmtId="0" fontId="62" fillId="2" borderId="9" xfId="0" applyNumberFormat="1" applyFont="1" applyFill="1" applyBorder="1" applyAlignment="1" applyProtection="1">
      <alignment horizontal="center" vertical="center" shrinkToFit="1"/>
      <protection locked="0"/>
    </xf>
    <xf numFmtId="0" fontId="62" fillId="2" borderId="10" xfId="0" applyNumberFormat="1" applyFont="1" applyFill="1" applyBorder="1" applyAlignment="1" applyProtection="1">
      <alignment horizontal="center" vertical="center" shrinkToFit="1"/>
      <protection locked="0"/>
    </xf>
    <xf numFmtId="0" fontId="62" fillId="2" borderId="11" xfId="0" applyNumberFormat="1" applyFont="1" applyFill="1" applyBorder="1" applyAlignment="1" applyProtection="1">
      <alignment horizontal="center" vertical="center" shrinkToFit="1"/>
      <protection locked="0"/>
    </xf>
    <xf numFmtId="0" fontId="0" fillId="8" borderId="167" xfId="0" applyFill="1" applyBorder="1" applyAlignment="1" applyProtection="1">
      <alignment horizontal="center"/>
      <protection locked="0"/>
    </xf>
    <xf numFmtId="0" fontId="0" fillId="8" borderId="165" xfId="0" applyFill="1" applyBorder="1" applyAlignment="1" applyProtection="1">
      <alignment horizontal="center"/>
      <protection locked="0"/>
    </xf>
    <xf numFmtId="0" fontId="0" fillId="8" borderId="166" xfId="0" applyFill="1" applyBorder="1" applyAlignment="1" applyProtection="1">
      <alignment horizontal="center"/>
      <protection locked="0"/>
    </xf>
    <xf numFmtId="0" fontId="0" fillId="8" borderId="87" xfId="0" applyFill="1" applyBorder="1" applyAlignment="1" applyProtection="1">
      <alignment horizontal="center"/>
      <protection locked="0"/>
    </xf>
    <xf numFmtId="0" fontId="0" fillId="8" borderId="0" xfId="0" applyFill="1" applyBorder="1" applyAlignment="1" applyProtection="1">
      <alignment horizontal="center"/>
      <protection locked="0"/>
    </xf>
    <xf numFmtId="0" fontId="0" fillId="8" borderId="141" xfId="0" applyFill="1" applyBorder="1" applyAlignment="1" applyProtection="1">
      <alignment horizontal="center"/>
      <protection locked="0"/>
    </xf>
    <xf numFmtId="0" fontId="0" fillId="8" borderId="9" xfId="0" applyFill="1" applyBorder="1" applyAlignment="1" applyProtection="1">
      <alignment horizontal="center"/>
      <protection locked="0"/>
    </xf>
    <xf numFmtId="0" fontId="0" fillId="8" borderId="102" xfId="0" applyFill="1" applyBorder="1" applyAlignment="1" applyProtection="1">
      <alignment horizontal="center"/>
      <protection locked="0"/>
    </xf>
    <xf numFmtId="0" fontId="0" fillId="8" borderId="11" xfId="0" applyFill="1" applyBorder="1" applyAlignment="1" applyProtection="1">
      <alignment horizontal="center"/>
      <protection locked="0"/>
    </xf>
    <xf numFmtId="0" fontId="66" fillId="6" borderId="5" xfId="0" applyNumberFormat="1" applyFont="1" applyFill="1" applyBorder="1" applyAlignment="1" applyProtection="1">
      <alignment horizontal="left" vertical="center" shrinkToFit="1"/>
    </xf>
    <xf numFmtId="0" fontId="0" fillId="17" borderId="241" xfId="0" applyFill="1" applyBorder="1" applyAlignment="1" applyProtection="1">
      <alignment horizontal="right"/>
    </xf>
    <xf numFmtId="0" fontId="0" fillId="17" borderId="239" xfId="0" applyFill="1" applyBorder="1" applyAlignment="1" applyProtection="1">
      <alignment horizontal="right"/>
    </xf>
    <xf numFmtId="0" fontId="107" fillId="0" borderId="204" xfId="0" applyNumberFormat="1" applyFont="1" applyFill="1" applyBorder="1" applyAlignment="1" applyProtection="1">
      <alignment horizontal="center" vertical="center"/>
    </xf>
    <xf numFmtId="0" fontId="107" fillId="0" borderId="161" xfId="0" applyNumberFormat="1" applyFont="1" applyFill="1" applyBorder="1" applyAlignment="1" applyProtection="1">
      <alignment horizontal="center" vertical="center"/>
    </xf>
    <xf numFmtId="0" fontId="107" fillId="0" borderId="130" xfId="0" applyNumberFormat="1" applyFont="1" applyFill="1" applyBorder="1" applyAlignment="1" applyProtection="1">
      <alignment horizontal="center" vertical="center"/>
    </xf>
    <xf numFmtId="0" fontId="0" fillId="0" borderId="87" xfId="0" applyBorder="1" applyAlignment="1" applyProtection="1">
      <alignment horizontal="left" vertical="top"/>
      <protection locked="0"/>
    </xf>
    <xf numFmtId="0" fontId="0" fillId="0" borderId="0" xfId="0" applyBorder="1" applyAlignment="1" applyProtection="1">
      <alignment horizontal="left" vertical="top"/>
      <protection locked="0"/>
    </xf>
    <xf numFmtId="0" fontId="0" fillId="0" borderId="9" xfId="0" applyBorder="1" applyAlignment="1" applyProtection="1">
      <alignment horizontal="left" vertical="top"/>
      <protection locked="0"/>
    </xf>
    <xf numFmtId="0" fontId="0" fillId="0" borderId="102" xfId="0" applyBorder="1" applyAlignment="1" applyProtection="1">
      <alignment horizontal="left" vertical="top"/>
      <protection locked="0"/>
    </xf>
    <xf numFmtId="0" fontId="65" fillId="2" borderId="12" xfId="0" applyNumberFormat="1" applyFont="1" applyFill="1" applyBorder="1" applyAlignment="1" applyProtection="1">
      <alignment horizontal="center" vertical="center" shrinkToFit="1"/>
    </xf>
    <xf numFmtId="0" fontId="65" fillId="2" borderId="5" xfId="0" applyNumberFormat="1" applyFont="1" applyFill="1" applyBorder="1" applyAlignment="1" applyProtection="1">
      <alignment horizontal="center" vertical="center" shrinkToFit="1"/>
    </xf>
    <xf numFmtId="0" fontId="0" fillId="0" borderId="201" xfId="0" applyBorder="1" applyAlignment="1" applyProtection="1">
      <alignment horizontal="left" vertical="top"/>
      <protection locked="0"/>
    </xf>
    <xf numFmtId="0" fontId="0" fillId="0" borderId="85" xfId="0" applyBorder="1" applyAlignment="1" applyProtection="1">
      <alignment horizontal="left" vertical="top"/>
      <protection locked="0"/>
    </xf>
    <xf numFmtId="0" fontId="66" fillId="6" borderId="7" xfId="0" applyNumberFormat="1" applyFont="1" applyFill="1" applyBorder="1" applyAlignment="1" applyProtection="1">
      <alignment horizontal="left" vertical="center" shrinkToFit="1"/>
    </xf>
    <xf numFmtId="0" fontId="66" fillId="6" borderId="0" xfId="0" applyNumberFormat="1" applyFont="1" applyFill="1" applyBorder="1" applyAlignment="1" applyProtection="1">
      <alignment horizontal="left" vertical="center" shrinkToFit="1"/>
    </xf>
    <xf numFmtId="0" fontId="63" fillId="6" borderId="7" xfId="0" applyNumberFormat="1" applyFont="1" applyFill="1" applyBorder="1" applyAlignment="1" applyProtection="1">
      <alignment horizontal="center" vertical="center" shrinkToFit="1"/>
      <protection locked="0"/>
    </xf>
    <xf numFmtId="0" fontId="63" fillId="6" borderId="0" xfId="0" applyNumberFormat="1" applyFont="1" applyFill="1" applyBorder="1" applyAlignment="1" applyProtection="1">
      <alignment horizontal="center" vertical="center" shrinkToFit="1"/>
      <protection locked="0"/>
    </xf>
    <xf numFmtId="0" fontId="63" fillId="6" borderId="8" xfId="0" applyNumberFormat="1" applyFont="1" applyFill="1" applyBorder="1" applyAlignment="1" applyProtection="1">
      <alignment horizontal="center" vertical="center" shrinkToFit="1"/>
      <protection locked="0"/>
    </xf>
    <xf numFmtId="0" fontId="63" fillId="6" borderId="9" xfId="0" applyNumberFormat="1" applyFont="1" applyFill="1" applyBorder="1" applyAlignment="1" applyProtection="1">
      <alignment horizontal="center" vertical="center" shrinkToFit="1"/>
      <protection locked="0"/>
    </xf>
    <xf numFmtId="0" fontId="63" fillId="6" borderId="10" xfId="0" applyNumberFormat="1" applyFont="1" applyFill="1" applyBorder="1" applyAlignment="1" applyProtection="1">
      <alignment horizontal="center" vertical="center" shrinkToFit="1"/>
      <protection locked="0"/>
    </xf>
    <xf numFmtId="0" fontId="63" fillId="6" borderId="11" xfId="0" applyNumberFormat="1" applyFont="1" applyFill="1" applyBorder="1" applyAlignment="1" applyProtection="1">
      <alignment horizontal="center" vertical="center" shrinkToFit="1"/>
      <protection locked="0"/>
    </xf>
    <xf numFmtId="0" fontId="0" fillId="0" borderId="0" xfId="0" applyBorder="1" applyAlignment="1" applyProtection="1">
      <alignment horizontal="center" vertical="center"/>
    </xf>
    <xf numFmtId="0" fontId="0" fillId="0" borderId="10" xfId="0" applyBorder="1" applyAlignment="1" applyProtection="1">
      <alignment horizontal="center" vertical="center"/>
    </xf>
    <xf numFmtId="0" fontId="70" fillId="0" borderId="23" xfId="0" applyFont="1" applyBorder="1" applyAlignment="1" applyProtection="1">
      <alignment horizontal="center" vertical="center" shrinkToFit="1"/>
    </xf>
    <xf numFmtId="0" fontId="70" fillId="0" borderId="5" xfId="0" applyFont="1" applyBorder="1" applyAlignment="1" applyProtection="1">
      <alignment horizontal="center" vertical="center" shrinkToFit="1"/>
    </xf>
    <xf numFmtId="0" fontId="70" fillId="0" borderId="24" xfId="0" applyFont="1" applyBorder="1" applyAlignment="1" applyProtection="1">
      <alignment horizontal="center" vertical="center" shrinkToFit="1"/>
    </xf>
    <xf numFmtId="0" fontId="70" fillId="0" borderId="25" xfId="0" applyFont="1" applyBorder="1" applyAlignment="1" applyProtection="1">
      <alignment horizontal="center" vertical="center" shrinkToFit="1"/>
    </xf>
    <xf numFmtId="0" fontId="70" fillId="0" borderId="0" xfId="0" applyFont="1" applyBorder="1" applyAlignment="1" applyProtection="1">
      <alignment horizontal="center" vertical="center" shrinkToFit="1"/>
    </xf>
    <xf numFmtId="0" fontId="70" fillId="0" borderId="26" xfId="0" applyFont="1" applyBorder="1" applyAlignment="1" applyProtection="1">
      <alignment horizontal="center" vertical="center" shrinkToFit="1"/>
    </xf>
    <xf numFmtId="0" fontId="70" fillId="0" borderId="27" xfId="0" applyFont="1" applyBorder="1" applyAlignment="1" applyProtection="1">
      <alignment horizontal="center" vertical="center" shrinkToFit="1"/>
    </xf>
    <xf numFmtId="0" fontId="70" fillId="0" borderId="10" xfId="0" applyFont="1" applyBorder="1" applyAlignment="1" applyProtection="1">
      <alignment horizontal="center" vertical="center" shrinkToFit="1"/>
    </xf>
    <xf numFmtId="0" fontId="70" fillId="0" borderId="28" xfId="0" applyFont="1" applyBorder="1" applyAlignment="1" applyProtection="1">
      <alignment horizontal="center" vertical="center" shrinkToFit="1"/>
    </xf>
    <xf numFmtId="0" fontId="0" fillId="0" borderId="289" xfId="0" applyBorder="1" applyAlignment="1" applyProtection="1">
      <alignment horizontal="center"/>
    </xf>
    <xf numFmtId="0" fontId="26" fillId="0" borderId="39" xfId="0" applyFont="1" applyBorder="1" applyAlignment="1" applyProtection="1">
      <alignment horizontal="center" vertical="center" shrinkToFit="1"/>
    </xf>
    <xf numFmtId="0" fontId="26" fillId="0" borderId="161" xfId="0" applyFont="1" applyBorder="1" applyAlignment="1" applyProtection="1">
      <alignment horizontal="center" vertical="center" shrinkToFit="1"/>
    </xf>
    <xf numFmtId="0" fontId="26" fillId="0" borderId="180" xfId="0" applyFont="1" applyBorder="1" applyAlignment="1" applyProtection="1">
      <alignment horizontal="center" vertical="center" shrinkToFit="1"/>
    </xf>
    <xf numFmtId="0" fontId="107" fillId="0" borderId="292" xfId="0" applyNumberFormat="1" applyFont="1" applyFill="1" applyBorder="1" applyAlignment="1" applyProtection="1">
      <alignment horizontal="center" vertical="center" shrinkToFit="1"/>
    </xf>
    <xf numFmtId="0" fontId="107" fillId="0" borderId="288" xfId="0" applyNumberFormat="1" applyFont="1" applyFill="1" applyBorder="1" applyAlignment="1" applyProtection="1">
      <alignment horizontal="center" vertical="center" shrinkToFit="1"/>
    </xf>
    <xf numFmtId="0" fontId="107" fillId="0" borderId="137" xfId="0" applyNumberFormat="1" applyFont="1" applyFill="1" applyBorder="1" applyAlignment="1" applyProtection="1">
      <alignment horizontal="center" vertical="center" shrinkToFit="1"/>
    </xf>
    <xf numFmtId="0" fontId="107" fillId="0" borderId="293" xfId="0" applyNumberFormat="1" applyFont="1" applyFill="1" applyBorder="1" applyAlignment="1" applyProtection="1">
      <alignment horizontal="center" vertical="center" shrinkToFit="1"/>
    </xf>
    <xf numFmtId="0" fontId="107" fillId="0" borderId="282" xfId="0" applyNumberFormat="1" applyFont="1" applyFill="1" applyBorder="1" applyAlignment="1" applyProtection="1">
      <alignment horizontal="center" vertical="center"/>
    </xf>
    <xf numFmtId="0" fontId="107" fillId="0" borderId="214" xfId="0" applyNumberFormat="1" applyFont="1" applyFill="1" applyBorder="1" applyAlignment="1" applyProtection="1">
      <alignment horizontal="center" vertical="center"/>
    </xf>
    <xf numFmtId="0" fontId="0" fillId="17" borderId="242" xfId="0" applyFill="1" applyBorder="1" applyAlignment="1" applyProtection="1">
      <alignment horizontal="left" vertical="center" shrinkToFit="1"/>
    </xf>
    <xf numFmtId="0" fontId="0" fillId="17" borderId="243" xfId="0" applyFill="1" applyBorder="1" applyAlignment="1" applyProtection="1">
      <alignment horizontal="left" vertical="center" shrinkToFit="1"/>
    </xf>
    <xf numFmtId="0" fontId="0" fillId="17" borderId="244" xfId="0" applyFill="1" applyBorder="1" applyAlignment="1" applyProtection="1">
      <alignment horizontal="left" vertical="center" shrinkToFit="1"/>
    </xf>
    <xf numFmtId="0" fontId="0" fillId="16" borderId="229" xfId="0" applyFill="1" applyBorder="1" applyAlignment="1" applyProtection="1">
      <alignment horizontal="left" vertical="center" shrinkToFit="1"/>
    </xf>
    <xf numFmtId="0" fontId="0" fillId="16" borderId="230" xfId="0" applyFill="1" applyBorder="1" applyAlignment="1" applyProtection="1">
      <alignment horizontal="left" vertical="center" shrinkToFit="1"/>
    </xf>
    <xf numFmtId="0" fontId="0" fillId="16" borderId="231" xfId="0" applyFill="1" applyBorder="1" applyAlignment="1" applyProtection="1">
      <alignment horizontal="left" vertical="center" shrinkToFit="1"/>
    </xf>
    <xf numFmtId="0" fontId="0" fillId="16" borderId="232" xfId="0" applyFill="1" applyBorder="1" applyAlignment="1" applyProtection="1">
      <alignment horizontal="left" vertical="center" shrinkToFit="1"/>
    </xf>
    <xf numFmtId="0" fontId="0" fillId="16" borderId="233" xfId="0" applyFill="1" applyBorder="1" applyAlignment="1" applyProtection="1">
      <alignment horizontal="left" vertical="center" shrinkToFit="1"/>
    </xf>
    <xf numFmtId="0" fontId="0" fillId="16" borderId="234" xfId="0" applyFill="1" applyBorder="1" applyAlignment="1" applyProtection="1">
      <alignment horizontal="left" vertical="center" shrinkToFit="1"/>
    </xf>
    <xf numFmtId="0" fontId="0" fillId="16" borderId="242" xfId="0" applyFill="1" applyBorder="1" applyAlignment="1" applyProtection="1">
      <alignment horizontal="left" vertical="center" shrinkToFit="1"/>
    </xf>
    <xf numFmtId="0" fontId="0" fillId="16" borderId="243" xfId="0" applyFill="1" applyBorder="1" applyAlignment="1" applyProtection="1">
      <alignment horizontal="left" vertical="center" shrinkToFit="1"/>
    </xf>
    <xf numFmtId="0" fontId="0" fillId="16" borderId="244" xfId="0" applyFill="1" applyBorder="1" applyAlignment="1" applyProtection="1">
      <alignment horizontal="left" vertical="center" shrinkToFit="1"/>
    </xf>
    <xf numFmtId="0" fontId="45" fillId="4" borderId="37" xfId="82" applyFont="1" applyFill="1" applyBorder="1" applyAlignment="1" applyProtection="1">
      <alignment horizontal="center" vertical="center"/>
    </xf>
    <xf numFmtId="0" fontId="45" fillId="4" borderId="0" xfId="82" applyFont="1" applyFill="1" applyBorder="1" applyAlignment="1" applyProtection="1">
      <alignment horizontal="center" vertical="center"/>
    </xf>
    <xf numFmtId="0" fontId="45" fillId="4" borderId="47" xfId="82" applyFont="1" applyFill="1" applyBorder="1" applyAlignment="1" applyProtection="1">
      <alignment horizontal="center" vertical="center"/>
    </xf>
    <xf numFmtId="0" fontId="56" fillId="0" borderId="0" xfId="0" applyFont="1" applyBorder="1" applyAlignment="1" applyProtection="1">
      <alignment horizontal="center" shrinkToFit="1"/>
    </xf>
    <xf numFmtId="0" fontId="56" fillId="0" borderId="3" xfId="0" applyFont="1" applyBorder="1" applyAlignment="1" applyProtection="1">
      <alignment horizontal="center" shrinkToFit="1"/>
    </xf>
    <xf numFmtId="0" fontId="73" fillId="0" borderId="37" xfId="184" applyFont="1" applyBorder="1" applyAlignment="1" applyProtection="1">
      <alignment horizontal="center" shrinkToFit="1"/>
    </xf>
    <xf numFmtId="0" fontId="73" fillId="0" borderId="47" xfId="184" applyFont="1" applyBorder="1" applyAlignment="1" applyProtection="1">
      <alignment horizontal="center" shrinkToFit="1"/>
    </xf>
    <xf numFmtId="0" fontId="5" fillId="0" borderId="14" xfId="0" applyFont="1" applyBorder="1" applyAlignment="1" applyProtection="1">
      <alignment horizontal="center" vertical="top"/>
    </xf>
    <xf numFmtId="0" fontId="23" fillId="4" borderId="37" xfId="82" applyFont="1" applyFill="1" applyBorder="1" applyAlignment="1" applyProtection="1">
      <alignment horizontal="center"/>
    </xf>
    <xf numFmtId="0" fontId="23" fillId="4" borderId="0" xfId="82" applyFont="1" applyFill="1" applyBorder="1" applyAlignment="1" applyProtection="1">
      <alignment horizontal="center"/>
    </xf>
    <xf numFmtId="0" fontId="23" fillId="5" borderId="56" xfId="82" applyFont="1" applyFill="1" applyBorder="1" applyAlignment="1" applyProtection="1">
      <alignment horizontal="center" vertical="center"/>
    </xf>
    <xf numFmtId="0" fontId="23" fillId="5" borderId="0" xfId="82" applyFont="1" applyFill="1" applyBorder="1" applyAlignment="1" applyProtection="1">
      <alignment horizontal="center" vertical="center"/>
    </xf>
    <xf numFmtId="0" fontId="51" fillId="5" borderId="55" xfId="82" applyFont="1" applyFill="1" applyBorder="1" applyAlignment="1" applyProtection="1">
      <alignment horizontal="center" vertical="center"/>
    </xf>
    <xf numFmtId="0" fontId="32" fillId="5" borderId="55" xfId="0" applyFont="1" applyFill="1" applyBorder="1" applyProtection="1"/>
    <xf numFmtId="0" fontId="32" fillId="5" borderId="0" xfId="0" applyFont="1" applyFill="1" applyProtection="1"/>
    <xf numFmtId="0" fontId="32" fillId="5" borderId="38" xfId="0" applyFont="1" applyFill="1" applyBorder="1" applyProtection="1"/>
    <xf numFmtId="0" fontId="5" fillId="0" borderId="37" xfId="0" applyFont="1" applyBorder="1" applyAlignment="1" applyProtection="1">
      <alignment horizontal="center" vertical="top"/>
    </xf>
    <xf numFmtId="0" fontId="16" fillId="0" borderId="37" xfId="0" applyFont="1" applyBorder="1" applyAlignment="1" applyProtection="1">
      <alignment horizontal="center" vertical="top"/>
    </xf>
    <xf numFmtId="0" fontId="16" fillId="0" borderId="38" xfId="0" applyFont="1" applyBorder="1" applyAlignment="1" applyProtection="1">
      <alignment horizontal="center" vertical="top"/>
    </xf>
    <xf numFmtId="0" fontId="14" fillId="5" borderId="0" xfId="82" applyFont="1" applyFill="1" applyBorder="1" applyAlignment="1" applyProtection="1">
      <alignment horizontal="center" vertical="top"/>
      <protection locked="0"/>
    </xf>
    <xf numFmtId="0" fontId="14" fillId="5" borderId="48" xfId="82" applyFont="1" applyFill="1" applyBorder="1" applyAlignment="1" applyProtection="1">
      <alignment horizontal="center" vertical="top"/>
      <protection locked="0"/>
    </xf>
    <xf numFmtId="0" fontId="107" fillId="0" borderId="0" xfId="0" applyNumberFormat="1" applyFont="1" applyFill="1" applyBorder="1" applyAlignment="1" applyProtection="1">
      <alignment horizontal="center" vertical="center"/>
    </xf>
    <xf numFmtId="0" fontId="107" fillId="0" borderId="287" xfId="0" applyNumberFormat="1" applyFont="1" applyFill="1" applyBorder="1" applyAlignment="1" applyProtection="1">
      <alignment horizontal="center" vertical="center"/>
    </xf>
    <xf numFmtId="0" fontId="107" fillId="0" borderId="217" xfId="0" applyNumberFormat="1" applyFont="1" applyFill="1" applyBorder="1" applyAlignment="1" applyProtection="1">
      <alignment horizontal="center" vertical="center"/>
    </xf>
    <xf numFmtId="0" fontId="0" fillId="0" borderId="0" xfId="0" applyFont="1" applyBorder="1" applyAlignment="1" applyProtection="1">
      <alignment horizontal="center" vertical="center"/>
    </xf>
    <xf numFmtId="0" fontId="0" fillId="0" borderId="102" xfId="0" applyFont="1" applyBorder="1" applyAlignment="1" applyProtection="1">
      <alignment horizontal="center" vertical="center"/>
    </xf>
    <xf numFmtId="0" fontId="70" fillId="0" borderId="198" xfId="0" applyFont="1" applyBorder="1" applyAlignment="1" applyProtection="1">
      <alignment horizontal="center" vertical="center" shrinkToFit="1"/>
    </xf>
    <xf numFmtId="0" fontId="70" fillId="0" borderId="165" xfId="0" applyFont="1" applyBorder="1" applyAlignment="1" applyProtection="1">
      <alignment horizontal="center" vertical="center" shrinkToFit="1"/>
    </xf>
    <xf numFmtId="0" fontId="70" fillId="0" borderId="200" xfId="0" applyFont="1" applyBorder="1" applyAlignment="1" applyProtection="1">
      <alignment horizontal="center" vertical="center" shrinkToFit="1"/>
    </xf>
    <xf numFmtId="0" fontId="70" fillId="0" borderId="102" xfId="0" applyFont="1" applyBorder="1" applyAlignment="1" applyProtection="1">
      <alignment horizontal="center" vertical="center" shrinkToFit="1"/>
    </xf>
    <xf numFmtId="0" fontId="14" fillId="4" borderId="0" xfId="82" applyFont="1" applyFill="1" applyBorder="1" applyAlignment="1" applyProtection="1">
      <alignment horizontal="center" vertical="top"/>
      <protection locked="0"/>
    </xf>
    <xf numFmtId="0" fontId="0" fillId="0" borderId="25" xfId="0" applyBorder="1" applyAlignment="1" applyProtection="1">
      <alignment horizontal="center"/>
    </xf>
    <xf numFmtId="0" fontId="0" fillId="0" borderId="0" xfId="0" applyBorder="1" applyAlignment="1" applyProtection="1">
      <alignment horizontal="center"/>
    </xf>
    <xf numFmtId="0" fontId="0" fillId="0" borderId="26" xfId="0" applyBorder="1" applyAlignment="1" applyProtection="1">
      <alignment horizontal="center"/>
    </xf>
    <xf numFmtId="0" fontId="0" fillId="0" borderId="323" xfId="0" applyBorder="1" applyAlignment="1" applyProtection="1">
      <alignment horizontal="center"/>
    </xf>
    <xf numFmtId="0" fontId="0" fillId="0" borderId="85" xfId="0" applyBorder="1" applyAlignment="1" applyProtection="1">
      <alignment horizontal="center"/>
    </xf>
    <xf numFmtId="0" fontId="0" fillId="0" borderId="324" xfId="0" applyBorder="1" applyAlignment="1" applyProtection="1">
      <alignment horizontal="center"/>
    </xf>
    <xf numFmtId="0" fontId="0" fillId="0" borderId="27" xfId="0" applyBorder="1" applyAlignment="1" applyProtection="1">
      <alignment horizontal="center"/>
    </xf>
    <xf numFmtId="0" fontId="0" fillId="0" borderId="299" xfId="0" applyBorder="1" applyAlignment="1" applyProtection="1">
      <alignment horizontal="center"/>
    </xf>
    <xf numFmtId="0" fontId="0" fillId="0" borderId="297" xfId="0" applyBorder="1" applyAlignment="1" applyProtection="1">
      <alignment horizontal="center"/>
    </xf>
    <xf numFmtId="0" fontId="60" fillId="9" borderId="12" xfId="0" applyFont="1" applyFill="1" applyBorder="1" applyAlignment="1" applyProtection="1">
      <alignment horizontal="center" vertical="center"/>
    </xf>
    <xf numFmtId="0" fontId="60" fillId="9" borderId="5" xfId="0" applyFont="1" applyFill="1" applyBorder="1" applyAlignment="1" applyProtection="1">
      <alignment horizontal="center" vertical="center"/>
    </xf>
    <xf numFmtId="0" fontId="60" fillId="9" borderId="6" xfId="0" applyFont="1" applyFill="1" applyBorder="1" applyAlignment="1" applyProtection="1">
      <alignment horizontal="center" vertical="center"/>
    </xf>
    <xf numFmtId="0" fontId="60" fillId="9" borderId="9" xfId="0" applyFont="1" applyFill="1" applyBorder="1" applyAlignment="1" applyProtection="1">
      <alignment horizontal="center" vertical="center"/>
    </xf>
    <xf numFmtId="0" fontId="60" fillId="9" borderId="10" xfId="0" applyFont="1" applyFill="1" applyBorder="1" applyAlignment="1" applyProtection="1">
      <alignment horizontal="center" vertical="center"/>
    </xf>
    <xf numFmtId="0" fontId="60" fillId="9" borderId="11" xfId="0" applyFont="1" applyFill="1" applyBorder="1" applyAlignment="1" applyProtection="1">
      <alignment horizontal="center" vertical="center"/>
    </xf>
    <xf numFmtId="0" fontId="0" fillId="0" borderId="291" xfId="0" applyBorder="1" applyAlignment="1" applyProtection="1">
      <alignment horizontal="center"/>
    </xf>
    <xf numFmtId="0" fontId="108" fillId="4" borderId="0" xfId="82" applyFont="1" applyFill="1" applyBorder="1" applyAlignment="1" applyProtection="1">
      <alignment horizontal="center" vertical="center" shrinkToFit="1"/>
    </xf>
    <xf numFmtId="0" fontId="108" fillId="4" borderId="47" xfId="82" applyFont="1" applyFill="1" applyBorder="1" applyAlignment="1" applyProtection="1">
      <alignment horizontal="center" vertical="center" shrinkToFit="1"/>
    </xf>
    <xf numFmtId="169" fontId="107" fillId="0" borderId="181" xfId="0" applyNumberFormat="1" applyFont="1" applyFill="1" applyBorder="1" applyAlignment="1" applyProtection="1">
      <alignment horizontal="center" vertical="center"/>
    </xf>
    <xf numFmtId="169" fontId="107" fillId="0" borderId="170" xfId="0" applyNumberFormat="1" applyFont="1" applyFill="1" applyBorder="1" applyAlignment="1" applyProtection="1">
      <alignment horizontal="center" vertical="center"/>
    </xf>
    <xf numFmtId="169" fontId="107" fillId="0" borderId="182" xfId="0" applyNumberFormat="1" applyFont="1" applyFill="1" applyBorder="1" applyAlignment="1" applyProtection="1">
      <alignment horizontal="center" vertical="center"/>
    </xf>
    <xf numFmtId="169" fontId="107" fillId="0" borderId="183" xfId="0" applyNumberFormat="1" applyFont="1" applyFill="1" applyBorder="1" applyAlignment="1" applyProtection="1">
      <alignment horizontal="center" vertical="center"/>
    </xf>
    <xf numFmtId="169" fontId="107" fillId="0" borderId="179" xfId="0" applyNumberFormat="1" applyFont="1" applyFill="1" applyBorder="1" applyAlignment="1" applyProtection="1">
      <alignment horizontal="center" vertical="center"/>
    </xf>
    <xf numFmtId="169" fontId="107" fillId="0" borderId="184" xfId="0" applyNumberFormat="1" applyFont="1" applyFill="1" applyBorder="1" applyAlignment="1" applyProtection="1">
      <alignment horizontal="center" vertical="center"/>
    </xf>
    <xf numFmtId="0" fontId="66" fillId="6" borderId="161" xfId="0" applyNumberFormat="1" applyFont="1" applyFill="1" applyBorder="1" applyAlignment="1" applyProtection="1">
      <alignment horizontal="left" vertical="center" shrinkToFit="1"/>
    </xf>
    <xf numFmtId="0" fontId="66" fillId="6" borderId="102" xfId="0" applyNumberFormat="1" applyFont="1" applyFill="1" applyBorder="1" applyAlignment="1" applyProtection="1">
      <alignment horizontal="left" vertical="center" shrinkToFit="1"/>
    </xf>
    <xf numFmtId="0" fontId="63" fillId="6" borderId="87" xfId="0" applyNumberFormat="1" applyFont="1" applyFill="1" applyBorder="1" applyAlignment="1" applyProtection="1">
      <alignment horizontal="center" vertical="center" shrinkToFit="1"/>
      <protection locked="0"/>
    </xf>
    <xf numFmtId="0" fontId="63" fillId="6" borderId="141" xfId="0" applyNumberFormat="1" applyFont="1" applyFill="1" applyBorder="1" applyAlignment="1" applyProtection="1">
      <alignment horizontal="center" vertical="center" shrinkToFit="1"/>
      <protection locked="0"/>
    </xf>
    <xf numFmtId="0" fontId="63" fillId="6" borderId="102" xfId="0" applyNumberFormat="1" applyFont="1" applyFill="1" applyBorder="1" applyAlignment="1" applyProtection="1">
      <alignment horizontal="center" vertical="center" shrinkToFit="1"/>
      <protection locked="0"/>
    </xf>
    <xf numFmtId="0" fontId="64" fillId="8" borderId="87" xfId="0" applyFont="1" applyFill="1" applyBorder="1" applyAlignment="1" applyProtection="1">
      <alignment horizontal="center" vertical="top"/>
      <protection locked="0"/>
    </xf>
    <xf numFmtId="0" fontId="64" fillId="8" borderId="0" xfId="0" applyFont="1" applyFill="1" applyBorder="1" applyAlignment="1" applyProtection="1">
      <alignment horizontal="center" vertical="top"/>
      <protection locked="0"/>
    </xf>
    <xf numFmtId="0" fontId="64" fillId="8" borderId="141" xfId="0" applyFont="1" applyFill="1" applyBorder="1" applyAlignment="1" applyProtection="1">
      <alignment horizontal="center" vertical="top"/>
      <protection locked="0"/>
    </xf>
    <xf numFmtId="0" fontId="64" fillId="8" borderId="9" xfId="0" applyFont="1" applyFill="1" applyBorder="1" applyAlignment="1" applyProtection="1">
      <alignment horizontal="center" vertical="top"/>
      <protection locked="0"/>
    </xf>
    <xf numFmtId="0" fontId="64" fillId="8" borderId="102" xfId="0" applyFont="1" applyFill="1" applyBorder="1" applyAlignment="1" applyProtection="1">
      <alignment horizontal="center" vertical="top"/>
      <protection locked="0"/>
    </xf>
    <xf numFmtId="0" fontId="64" fillId="8" borderId="11" xfId="0" applyFont="1" applyFill="1" applyBorder="1" applyAlignment="1" applyProtection="1">
      <alignment horizontal="center" vertical="top"/>
      <protection locked="0"/>
    </xf>
    <xf numFmtId="0" fontId="65" fillId="2" borderId="167" xfId="0" applyNumberFormat="1" applyFont="1" applyFill="1" applyBorder="1" applyAlignment="1" applyProtection="1">
      <alignment horizontal="center" vertical="center" shrinkToFit="1"/>
    </xf>
    <xf numFmtId="0" fontId="65" fillId="2" borderId="165" xfId="0" applyNumberFormat="1" applyFont="1" applyFill="1" applyBorder="1" applyAlignment="1" applyProtection="1">
      <alignment horizontal="center" vertical="center" shrinkToFit="1"/>
    </xf>
    <xf numFmtId="0" fontId="62" fillId="2" borderId="87" xfId="0" applyNumberFormat="1" applyFont="1" applyFill="1" applyBorder="1" applyAlignment="1" applyProtection="1">
      <alignment horizontal="center" vertical="center" shrinkToFit="1"/>
      <protection locked="0"/>
    </xf>
    <xf numFmtId="0" fontId="62" fillId="2" borderId="141" xfId="0" applyNumberFormat="1" applyFont="1" applyFill="1" applyBorder="1" applyAlignment="1" applyProtection="1">
      <alignment horizontal="center" vertical="center" shrinkToFit="1"/>
      <protection locked="0"/>
    </xf>
    <xf numFmtId="0" fontId="62" fillId="2" borderId="102" xfId="0" applyNumberFormat="1" applyFont="1" applyFill="1" applyBorder="1" applyAlignment="1" applyProtection="1">
      <alignment horizontal="center" vertical="center" shrinkToFit="1"/>
      <protection locked="0"/>
    </xf>
    <xf numFmtId="0" fontId="66" fillId="6" borderId="167" xfId="0" applyNumberFormat="1" applyFont="1" applyFill="1" applyBorder="1" applyAlignment="1" applyProtection="1">
      <alignment horizontal="left" vertical="center" shrinkToFit="1"/>
    </xf>
    <xf numFmtId="0" fontId="66" fillId="6" borderId="165" xfId="0" applyNumberFormat="1" applyFont="1" applyFill="1" applyBorder="1" applyAlignment="1" applyProtection="1">
      <alignment horizontal="left" vertical="center" shrinkToFit="1"/>
    </xf>
    <xf numFmtId="0" fontId="79" fillId="15" borderId="0" xfId="0" applyFont="1" applyFill="1" applyBorder="1" applyAlignment="1" applyProtection="1">
      <alignment horizontal="center" textRotation="90" shrinkToFit="1"/>
    </xf>
    <xf numFmtId="0" fontId="79" fillId="15" borderId="83" xfId="0" applyFont="1" applyFill="1" applyBorder="1" applyAlignment="1" applyProtection="1">
      <alignment horizontal="center" textRotation="90" shrinkToFit="1"/>
    </xf>
    <xf numFmtId="49" fontId="43" fillId="0" borderId="37" xfId="0" applyNumberFormat="1" applyFont="1" applyBorder="1" applyAlignment="1" applyProtection="1">
      <alignment horizontal="center" vertical="center"/>
    </xf>
    <xf numFmtId="0" fontId="0" fillId="15" borderId="193" xfId="0" applyFill="1" applyBorder="1" applyAlignment="1" applyProtection="1">
      <alignment horizontal="center" shrinkToFit="1"/>
    </xf>
    <xf numFmtId="0" fontId="0" fillId="15" borderId="0" xfId="0" applyFill="1" applyBorder="1" applyAlignment="1" applyProtection="1">
      <alignment horizontal="center" shrinkToFit="1"/>
    </xf>
    <xf numFmtId="0" fontId="30" fillId="15" borderId="0" xfId="0" applyFont="1" applyFill="1" applyBorder="1" applyAlignment="1" applyProtection="1">
      <alignment horizontal="center" shrinkToFit="1"/>
    </xf>
    <xf numFmtId="0" fontId="103" fillId="15" borderId="224" xfId="0" applyFont="1" applyFill="1" applyBorder="1" applyAlignment="1" applyProtection="1">
      <alignment horizontal="center" shrinkToFit="1"/>
    </xf>
    <xf numFmtId="0" fontId="103" fillId="15" borderId="191" xfId="0" applyFont="1" applyFill="1" applyBorder="1" applyAlignment="1" applyProtection="1">
      <alignment horizontal="center" shrinkToFit="1"/>
    </xf>
    <xf numFmtId="0" fontId="103" fillId="15" borderId="0" xfId="0" applyFont="1" applyFill="1" applyBorder="1" applyAlignment="1" applyProtection="1">
      <alignment horizontal="center" shrinkToFit="1"/>
    </xf>
    <xf numFmtId="0" fontId="103" fillId="15" borderId="83" xfId="0" applyFont="1" applyFill="1" applyBorder="1" applyAlignment="1" applyProtection="1">
      <alignment horizontal="center" shrinkToFit="1"/>
    </xf>
    <xf numFmtId="0" fontId="113" fillId="0" borderId="0" xfId="163" applyFont="1" applyBorder="1" applyAlignment="1" applyProtection="1">
      <alignment horizontal="center" shrinkToFit="1"/>
    </xf>
    <xf numFmtId="0" fontId="113" fillId="0" borderId="31" xfId="163" applyFont="1" applyBorder="1" applyAlignment="1" applyProtection="1">
      <alignment horizontal="center" shrinkToFit="1"/>
    </xf>
    <xf numFmtId="0" fontId="58" fillId="0" borderId="16" xfId="0" applyFont="1" applyBorder="1" applyAlignment="1" applyProtection="1">
      <alignment horizontal="left" vertical="center"/>
    </xf>
    <xf numFmtId="0" fontId="27" fillId="0" borderId="0" xfId="163" applyFont="1" applyBorder="1" applyAlignment="1" applyProtection="1">
      <alignment horizontal="center" shrinkToFit="1"/>
    </xf>
    <xf numFmtId="0" fontId="27" fillId="0" borderId="31" xfId="163" applyFont="1" applyBorder="1" applyAlignment="1" applyProtection="1">
      <alignment horizontal="center" shrinkToFit="1"/>
    </xf>
    <xf numFmtId="0" fontId="27" fillId="0" borderId="0" xfId="184" applyFont="1" applyBorder="1" applyAlignment="1" applyProtection="1">
      <alignment horizontal="left" shrinkToFit="1"/>
    </xf>
    <xf numFmtId="0" fontId="27" fillId="0" borderId="31" xfId="184" applyFont="1" applyBorder="1" applyAlignment="1" applyProtection="1">
      <alignment horizontal="left" shrinkToFit="1"/>
    </xf>
    <xf numFmtId="0" fontId="58" fillId="0" borderId="16" xfId="163" applyFont="1" applyBorder="1" applyAlignment="1" applyProtection="1">
      <alignment horizontal="left" vertical="center" shrinkToFit="1"/>
    </xf>
    <xf numFmtId="0" fontId="27" fillId="0" borderId="186" xfId="184" applyFont="1" applyBorder="1" applyAlignment="1" applyProtection="1">
      <alignment horizontal="left" shrinkToFit="1"/>
    </xf>
    <xf numFmtId="49" fontId="43" fillId="0" borderId="37" xfId="0" quotePrefix="1" applyNumberFormat="1" applyFont="1" applyBorder="1" applyAlignment="1" applyProtection="1">
      <alignment horizontal="center" vertical="center"/>
    </xf>
    <xf numFmtId="0" fontId="0" fillId="8" borderId="194" xfId="0" applyFill="1" applyBorder="1" applyAlignment="1" applyProtection="1">
      <alignment horizontal="center" shrinkToFit="1"/>
    </xf>
    <xf numFmtId="0" fontId="0" fillId="8" borderId="0" xfId="0" applyFill="1" applyBorder="1" applyAlignment="1" applyProtection="1">
      <alignment horizontal="center" shrinkToFit="1"/>
    </xf>
    <xf numFmtId="0" fontId="0" fillId="8" borderId="195" xfId="0" applyFill="1" applyBorder="1" applyAlignment="1" applyProtection="1">
      <alignment horizontal="center" shrinkToFit="1"/>
    </xf>
    <xf numFmtId="0" fontId="0" fillId="8" borderId="191" xfId="0" applyFill="1" applyBorder="1" applyAlignment="1" applyProtection="1">
      <alignment horizontal="center" shrinkToFit="1"/>
    </xf>
    <xf numFmtId="0" fontId="0" fillId="8" borderId="83" xfId="0" applyFill="1" applyBorder="1" applyAlignment="1" applyProtection="1">
      <alignment horizontal="center" shrinkToFit="1"/>
    </xf>
    <xf numFmtId="0" fontId="0" fillId="8" borderId="192" xfId="0" applyFill="1" applyBorder="1" applyAlignment="1" applyProtection="1">
      <alignment horizontal="center" shrinkToFit="1"/>
    </xf>
    <xf numFmtId="49" fontId="10" fillId="0" borderId="0" xfId="0" quotePrefix="1" applyNumberFormat="1" applyFont="1" applyBorder="1" applyAlignment="1" applyProtection="1">
      <alignment horizontal="center" vertical="center"/>
    </xf>
    <xf numFmtId="49" fontId="10" fillId="0" borderId="0" xfId="0" applyNumberFormat="1" applyFont="1" applyBorder="1" applyAlignment="1" applyProtection="1">
      <alignment horizontal="center" vertical="center"/>
    </xf>
    <xf numFmtId="49" fontId="39" fillId="4" borderId="0" xfId="82" applyNumberFormat="1" applyFont="1" applyFill="1" applyBorder="1" applyAlignment="1" applyProtection="1">
      <alignment horizontal="center"/>
    </xf>
    <xf numFmtId="49" fontId="39" fillId="4" borderId="82" xfId="82" applyNumberFormat="1" applyFont="1" applyFill="1" applyBorder="1" applyAlignment="1" applyProtection="1">
      <alignment horizontal="center"/>
    </xf>
    <xf numFmtId="0" fontId="2" fillId="0" borderId="0" xfId="325" applyFont="1" applyBorder="1" applyAlignment="1" applyProtection="1">
      <alignment horizontal="center"/>
    </xf>
    <xf numFmtId="0" fontId="2" fillId="0" borderId="85" xfId="325" applyFont="1" applyBorder="1" applyAlignment="1" applyProtection="1">
      <alignment horizontal="center"/>
    </xf>
    <xf numFmtId="0" fontId="30" fillId="0" borderId="0" xfId="325" applyBorder="1" applyAlignment="1" applyProtection="1">
      <alignment horizontal="center" shrinkToFit="1"/>
    </xf>
    <xf numFmtId="0" fontId="30" fillId="0" borderId="54" xfId="325" applyBorder="1" applyAlignment="1" applyProtection="1">
      <alignment horizontal="center" shrinkToFit="1"/>
    </xf>
    <xf numFmtId="0" fontId="20" fillId="2" borderId="0" xfId="0" applyFont="1" applyFill="1" applyBorder="1" applyAlignment="1" applyProtection="1">
      <alignment horizontal="center" vertical="center"/>
    </xf>
    <xf numFmtId="0" fontId="48" fillId="4" borderId="82" xfId="82" applyFont="1" applyFill="1" applyBorder="1" applyAlignment="1" applyProtection="1">
      <alignment horizontal="center"/>
    </xf>
    <xf numFmtId="49" fontId="48" fillId="4" borderId="0" xfId="82" applyNumberFormat="1" applyFont="1" applyFill="1" applyBorder="1" applyAlignment="1" applyProtection="1">
      <alignment horizontal="center"/>
    </xf>
    <xf numFmtId="49" fontId="48" fillId="4" borderId="82" xfId="82" applyNumberFormat="1" applyFont="1" applyFill="1" applyBorder="1" applyAlignment="1" applyProtection="1">
      <alignment horizontal="center"/>
    </xf>
    <xf numFmtId="0" fontId="48" fillId="4" borderId="84" xfId="82" applyFont="1" applyFill="1" applyBorder="1" applyAlignment="1" applyProtection="1">
      <alignment horizontal="center"/>
    </xf>
    <xf numFmtId="0" fontId="79" fillId="15" borderId="225" xfId="0" applyFont="1" applyFill="1" applyBorder="1" applyAlignment="1" applyProtection="1">
      <alignment horizontal="center" textRotation="90" shrinkToFit="1"/>
    </xf>
    <xf numFmtId="0" fontId="79" fillId="15" borderId="192" xfId="0" applyFont="1" applyFill="1" applyBorder="1" applyAlignment="1" applyProtection="1">
      <alignment horizontal="center" textRotation="90" shrinkToFit="1"/>
    </xf>
    <xf numFmtId="0" fontId="58" fillId="0" borderId="212" xfId="0" applyFont="1" applyBorder="1" applyAlignment="1" applyProtection="1">
      <alignment horizontal="left" vertical="center"/>
    </xf>
    <xf numFmtId="0" fontId="41" fillId="5" borderId="49" xfId="82" applyFont="1" applyFill="1" applyBorder="1" applyAlignment="1" applyProtection="1">
      <alignment horizontal="center"/>
    </xf>
    <xf numFmtId="0" fontId="46" fillId="5" borderId="0" xfId="82" applyFont="1" applyFill="1" applyBorder="1" applyAlignment="1" applyProtection="1">
      <alignment horizontal="center"/>
    </xf>
    <xf numFmtId="0" fontId="46" fillId="5" borderId="3" xfId="82" applyFont="1" applyFill="1" applyBorder="1" applyAlignment="1" applyProtection="1">
      <alignment horizontal="center"/>
    </xf>
    <xf numFmtId="0" fontId="46" fillId="5" borderId="14" xfId="82" applyFont="1" applyFill="1" applyBorder="1" applyAlignment="1" applyProtection="1">
      <alignment horizontal="center"/>
    </xf>
    <xf numFmtId="0" fontId="46" fillId="5" borderId="83" xfId="82" applyFont="1" applyFill="1" applyBorder="1" applyAlignment="1" applyProtection="1">
      <alignment horizontal="center"/>
    </xf>
    <xf numFmtId="49" fontId="40" fillId="5" borderId="0" xfId="82" applyNumberFormat="1" applyFont="1" applyFill="1" applyBorder="1" applyAlignment="1" applyProtection="1">
      <alignment horizontal="center"/>
    </xf>
    <xf numFmtId="49" fontId="40" fillId="5" borderId="83" xfId="82" applyNumberFormat="1" applyFont="1" applyFill="1" applyBorder="1" applyAlignment="1" applyProtection="1">
      <alignment horizontal="center"/>
    </xf>
    <xf numFmtId="0" fontId="41" fillId="5" borderId="3" xfId="82" applyFont="1" applyFill="1" applyBorder="1" applyAlignment="1" applyProtection="1">
      <alignment horizontal="center"/>
    </xf>
    <xf numFmtId="49" fontId="44" fillId="0" borderId="37" xfId="0" applyNumberFormat="1" applyFont="1" applyBorder="1" applyAlignment="1" applyProtection="1">
      <alignment horizontal="center" vertical="center"/>
    </xf>
    <xf numFmtId="49" fontId="44" fillId="0" borderId="0" xfId="0" quotePrefix="1" applyNumberFormat="1" applyFont="1" applyBorder="1" applyAlignment="1" applyProtection="1">
      <alignment horizontal="center" vertical="center"/>
    </xf>
    <xf numFmtId="49" fontId="44" fillId="0" borderId="0" xfId="0" applyNumberFormat="1" applyFont="1" applyBorder="1" applyAlignment="1" applyProtection="1">
      <alignment horizontal="center" vertical="center"/>
    </xf>
    <xf numFmtId="0" fontId="30" fillId="15" borderId="190" xfId="0" applyFont="1" applyFill="1" applyBorder="1" applyAlignment="1" applyProtection="1">
      <alignment horizontal="center" shrinkToFit="1"/>
    </xf>
    <xf numFmtId="0" fontId="102" fillId="15" borderId="0" xfId="0" applyFont="1" applyFill="1" applyBorder="1" applyAlignment="1" applyProtection="1">
      <alignment horizontal="center" shrinkToFit="1"/>
    </xf>
    <xf numFmtId="0" fontId="0" fillId="16" borderId="241" xfId="0" applyFill="1" applyBorder="1" applyAlignment="1" applyProtection="1">
      <alignment horizontal="right"/>
    </xf>
    <xf numFmtId="0" fontId="0" fillId="16" borderId="239" xfId="0" applyFill="1" applyBorder="1" applyAlignment="1" applyProtection="1">
      <alignment horizontal="right"/>
    </xf>
    <xf numFmtId="0" fontId="0" fillId="17" borderId="240" xfId="0" applyFill="1" applyBorder="1" applyAlignment="1" applyProtection="1">
      <alignment horizontal="left"/>
    </xf>
    <xf numFmtId="0" fontId="0" fillId="17" borderId="241" xfId="0" applyFill="1" applyBorder="1" applyAlignment="1" applyProtection="1">
      <alignment horizontal="left"/>
    </xf>
    <xf numFmtId="0" fontId="0" fillId="16" borderId="240" xfId="0" applyFill="1" applyBorder="1" applyAlignment="1" applyProtection="1">
      <alignment horizontal="left"/>
    </xf>
    <xf numFmtId="0" fontId="0" fillId="16" borderId="241" xfId="0" applyFill="1" applyBorder="1" applyAlignment="1" applyProtection="1">
      <alignment horizontal="left"/>
    </xf>
    <xf numFmtId="49" fontId="42" fillId="3" borderId="0" xfId="82" applyNumberFormat="1" applyFont="1" applyFill="1" applyBorder="1" applyAlignment="1" applyProtection="1">
      <alignment horizontal="center"/>
    </xf>
    <xf numFmtId="49" fontId="42" fillId="3" borderId="36" xfId="82" applyNumberFormat="1" applyFont="1" applyFill="1" applyBorder="1" applyAlignment="1" applyProtection="1">
      <alignment horizontal="center"/>
    </xf>
    <xf numFmtId="0" fontId="49" fillId="3" borderId="53" xfId="82" applyFont="1" applyFill="1" applyBorder="1" applyAlignment="1" applyProtection="1">
      <alignment horizontal="center"/>
    </xf>
    <xf numFmtId="0" fontId="47" fillId="3" borderId="51" xfId="82" applyFont="1" applyFill="1" applyBorder="1" applyAlignment="1" applyProtection="1">
      <alignment horizontal="center"/>
    </xf>
    <xf numFmtId="0" fontId="47" fillId="3" borderId="0" xfId="82" applyFont="1" applyFill="1" applyBorder="1" applyAlignment="1" applyProtection="1">
      <alignment horizontal="center"/>
    </xf>
    <xf numFmtId="0" fontId="47" fillId="3" borderId="36" xfId="82" applyFont="1" applyFill="1" applyBorder="1" applyAlignment="1" applyProtection="1">
      <alignment horizontal="center"/>
    </xf>
    <xf numFmtId="49" fontId="50" fillId="0" borderId="51" xfId="0" applyNumberFormat="1" applyFont="1" applyBorder="1" applyAlignment="1" applyProtection="1">
      <alignment horizontal="center" vertical="center"/>
    </xf>
    <xf numFmtId="0" fontId="49" fillId="3" borderId="36" xfId="82" applyFont="1" applyFill="1" applyBorder="1" applyAlignment="1" applyProtection="1">
      <alignment horizontal="center"/>
    </xf>
    <xf numFmtId="0" fontId="69" fillId="0" borderId="96" xfId="0" applyFont="1" applyFill="1" applyBorder="1" applyAlignment="1" applyProtection="1">
      <alignment horizontal="center" vertical="center"/>
    </xf>
    <xf numFmtId="0" fontId="69" fillId="0" borderId="97" xfId="0" applyFont="1" applyFill="1" applyBorder="1" applyAlignment="1" applyProtection="1">
      <alignment horizontal="center" vertical="center"/>
    </xf>
    <xf numFmtId="0" fontId="69" fillId="0" borderId="98" xfId="0" applyFont="1" applyFill="1" applyBorder="1" applyAlignment="1" applyProtection="1">
      <alignment horizontal="center" vertical="center"/>
    </xf>
    <xf numFmtId="0" fontId="69" fillId="0" borderId="99" xfId="0" applyFont="1" applyFill="1" applyBorder="1" applyAlignment="1" applyProtection="1">
      <alignment horizontal="center" vertical="center"/>
    </xf>
    <xf numFmtId="0" fontId="69" fillId="0" borderId="100" xfId="0" applyFont="1" applyFill="1" applyBorder="1" applyAlignment="1" applyProtection="1">
      <alignment horizontal="center" vertical="center"/>
    </xf>
    <xf numFmtId="0" fontId="69" fillId="0" borderId="101" xfId="0" applyFont="1" applyFill="1" applyBorder="1" applyAlignment="1" applyProtection="1">
      <alignment horizontal="center" vertical="center"/>
    </xf>
    <xf numFmtId="0" fontId="0" fillId="17" borderId="215" xfId="0" applyFill="1" applyBorder="1" applyAlignment="1" applyProtection="1">
      <alignment horizontal="center" vertical="center" shrinkToFit="1"/>
    </xf>
    <xf numFmtId="0" fontId="0" fillId="17" borderId="213" xfId="0" applyFill="1" applyBorder="1" applyAlignment="1" applyProtection="1">
      <alignment horizontal="center" vertical="center" shrinkToFit="1"/>
    </xf>
    <xf numFmtId="0" fontId="0" fillId="17" borderId="216" xfId="0" applyFill="1" applyBorder="1" applyAlignment="1" applyProtection="1">
      <alignment horizontal="center" vertical="center" shrinkToFit="1"/>
    </xf>
    <xf numFmtId="0" fontId="0" fillId="17" borderId="137" xfId="0" applyFill="1" applyBorder="1" applyAlignment="1" applyProtection="1">
      <alignment horizontal="center" vertical="center" shrinkToFit="1"/>
    </xf>
    <xf numFmtId="0" fontId="0" fillId="17" borderId="214" xfId="0" applyFill="1" applyBorder="1" applyAlignment="1" applyProtection="1">
      <alignment horizontal="center" vertical="center" shrinkToFit="1"/>
    </xf>
    <xf numFmtId="0" fontId="0" fillId="17" borderId="217" xfId="0" applyFill="1" applyBorder="1" applyAlignment="1" applyProtection="1">
      <alignment horizontal="center" vertical="center" shrinkToFit="1"/>
    </xf>
    <xf numFmtId="0" fontId="0" fillId="0" borderId="215" xfId="0" applyBorder="1" applyAlignment="1" applyProtection="1">
      <alignment horizontal="center"/>
    </xf>
    <xf numFmtId="0" fontId="0" fillId="0" borderId="213" xfId="0" applyBorder="1" applyAlignment="1" applyProtection="1">
      <alignment horizontal="center"/>
    </xf>
    <xf numFmtId="0" fontId="0" fillId="0" borderId="216" xfId="0" applyBorder="1" applyAlignment="1" applyProtection="1">
      <alignment horizontal="center"/>
    </xf>
    <xf numFmtId="0" fontId="0" fillId="0" borderId="87" xfId="0" applyBorder="1" applyAlignment="1" applyProtection="1">
      <alignment horizontal="center"/>
    </xf>
    <xf numFmtId="0" fontId="0" fillId="0" borderId="141" xfId="0" applyBorder="1" applyAlignment="1" applyProtection="1">
      <alignment horizontal="center"/>
    </xf>
    <xf numFmtId="0" fontId="0" fillId="0" borderId="137" xfId="0" applyBorder="1" applyAlignment="1" applyProtection="1">
      <alignment horizontal="center"/>
    </xf>
    <xf numFmtId="0" fontId="0" fillId="0" borderId="214" xfId="0" applyBorder="1" applyAlignment="1" applyProtection="1">
      <alignment horizontal="center"/>
    </xf>
    <xf numFmtId="0" fontId="0" fillId="0" borderId="217" xfId="0" applyBorder="1" applyAlignment="1" applyProtection="1">
      <alignment horizontal="center"/>
    </xf>
    <xf numFmtId="0" fontId="69" fillId="8" borderId="96" xfId="0" applyFont="1" applyFill="1" applyBorder="1" applyAlignment="1" applyProtection="1">
      <alignment horizontal="center" vertical="center"/>
    </xf>
    <xf numFmtId="0" fontId="69" fillId="8" borderId="97" xfId="0" applyFont="1" applyFill="1" applyBorder="1" applyAlignment="1" applyProtection="1">
      <alignment horizontal="center" vertical="center"/>
    </xf>
    <xf numFmtId="0" fontId="69" fillId="8" borderId="98" xfId="0" applyFont="1" applyFill="1" applyBorder="1" applyAlignment="1" applyProtection="1">
      <alignment horizontal="center" vertical="center"/>
    </xf>
    <xf numFmtId="0" fontId="69" fillId="8" borderId="99" xfId="0" applyFont="1" applyFill="1" applyBorder="1" applyAlignment="1" applyProtection="1">
      <alignment horizontal="center" vertical="center"/>
    </xf>
    <xf numFmtId="0" fontId="69" fillId="8" borderId="100" xfId="0" applyFont="1" applyFill="1" applyBorder="1" applyAlignment="1" applyProtection="1">
      <alignment horizontal="center" vertical="center"/>
    </xf>
    <xf numFmtId="0" fontId="69" fillId="8" borderId="101" xfId="0" applyFont="1" applyFill="1" applyBorder="1" applyAlignment="1" applyProtection="1">
      <alignment horizontal="center" vertical="center"/>
    </xf>
    <xf numFmtId="0" fontId="60" fillId="9" borderId="215" xfId="0" applyFont="1" applyFill="1" applyBorder="1" applyAlignment="1" applyProtection="1">
      <alignment horizontal="center" vertical="center"/>
    </xf>
    <xf numFmtId="0" fontId="60" fillId="9" borderId="213" xfId="0" applyFont="1" applyFill="1" applyBorder="1" applyAlignment="1" applyProtection="1">
      <alignment horizontal="center" vertical="center"/>
    </xf>
    <xf numFmtId="0" fontId="60" fillId="9" borderId="216" xfId="0" applyFont="1" applyFill="1" applyBorder="1" applyAlignment="1" applyProtection="1">
      <alignment horizontal="center" vertical="center"/>
    </xf>
    <xf numFmtId="0" fontId="60" fillId="9" borderId="87" xfId="0" applyFont="1" applyFill="1" applyBorder="1" applyAlignment="1" applyProtection="1">
      <alignment horizontal="center" vertical="center"/>
    </xf>
    <xf numFmtId="0" fontId="60" fillId="9" borderId="0" xfId="0" applyFont="1" applyFill="1" applyBorder="1" applyAlignment="1" applyProtection="1">
      <alignment horizontal="center" vertical="center"/>
    </xf>
    <xf numFmtId="0" fontId="60" fillId="9" borderId="141" xfId="0" applyFont="1" applyFill="1" applyBorder="1" applyAlignment="1" applyProtection="1">
      <alignment horizontal="center" vertical="center"/>
    </xf>
    <xf numFmtId="0" fontId="59" fillId="0" borderId="212" xfId="0" applyFont="1" applyBorder="1" applyAlignment="1" applyProtection="1">
      <alignment horizontal="left" vertical="center"/>
    </xf>
    <xf numFmtId="0" fontId="59" fillId="0" borderId="203" xfId="0" applyFont="1" applyBorder="1" applyAlignment="1" applyProtection="1">
      <alignment horizontal="left" vertical="center"/>
    </xf>
    <xf numFmtId="49" fontId="50" fillId="0" borderId="51" xfId="0" quotePrefix="1" applyNumberFormat="1" applyFont="1" applyBorder="1" applyAlignment="1" applyProtection="1">
      <alignment horizontal="center" vertical="center"/>
    </xf>
    <xf numFmtId="0" fontId="67" fillId="0" borderId="104" xfId="0" applyFont="1" applyBorder="1" applyAlignment="1" applyProtection="1">
      <alignment horizontal="center" vertical="center"/>
    </xf>
    <xf numFmtId="0" fontId="109" fillId="0" borderId="0" xfId="0" applyFont="1" applyAlignment="1" applyProtection="1">
      <alignment horizontal="center"/>
    </xf>
    <xf numFmtId="0" fontId="27" fillId="0" borderId="0" xfId="163" applyFont="1" applyBorder="1" applyAlignment="1" applyProtection="1">
      <alignment horizontal="left" shrinkToFit="1"/>
    </xf>
    <xf numFmtId="0" fontId="27" fillId="0" borderId="186" xfId="163" applyFont="1" applyBorder="1" applyAlignment="1" applyProtection="1">
      <alignment horizontal="left" shrinkToFit="1"/>
    </xf>
    <xf numFmtId="49" fontId="50" fillId="0" borderId="37" xfId="0" applyNumberFormat="1" applyFont="1" applyBorder="1" applyAlignment="1" applyProtection="1">
      <alignment horizontal="center"/>
    </xf>
    <xf numFmtId="0" fontId="67" fillId="0" borderId="97" xfId="0" applyFont="1" applyBorder="1" applyAlignment="1" applyProtection="1">
      <alignment horizontal="center" vertical="center"/>
    </xf>
    <xf numFmtId="0" fontId="0" fillId="16" borderId="230" xfId="0" applyFill="1" applyBorder="1" applyAlignment="1" applyProtection="1">
      <alignment horizontal="center"/>
    </xf>
    <xf numFmtId="0" fontId="0" fillId="16" borderId="233" xfId="0" applyFill="1" applyBorder="1" applyAlignment="1" applyProtection="1">
      <alignment horizontal="center"/>
    </xf>
    <xf numFmtId="0" fontId="107" fillId="0" borderId="250" xfId="0" applyNumberFormat="1" applyFont="1" applyFill="1" applyBorder="1" applyAlignment="1" applyProtection="1">
      <alignment horizontal="center" vertical="center"/>
    </xf>
    <xf numFmtId="0" fontId="107" fillId="0" borderId="284" xfId="0" applyNumberFormat="1" applyFont="1" applyFill="1" applyBorder="1" applyAlignment="1" applyProtection="1">
      <alignment horizontal="center" vertical="center"/>
    </xf>
    <xf numFmtId="0" fontId="107" fillId="0" borderId="285" xfId="0" applyNumberFormat="1" applyFont="1" applyFill="1" applyBorder="1" applyAlignment="1" applyProtection="1">
      <alignment horizontal="center" vertical="center"/>
    </xf>
    <xf numFmtId="0" fontId="0" fillId="16" borderId="286" xfId="0" applyFill="1" applyBorder="1" applyAlignment="1" applyProtection="1">
      <alignment horizontal="right"/>
    </xf>
    <xf numFmtId="0" fontId="107" fillId="0" borderId="281" xfId="0" applyNumberFormat="1" applyFont="1" applyFill="1" applyBorder="1" applyAlignment="1" applyProtection="1">
      <alignment horizontal="center" vertical="center"/>
    </xf>
    <xf numFmtId="0" fontId="0" fillId="16" borderId="283" xfId="0" applyFill="1" applyBorder="1" applyAlignment="1" applyProtection="1">
      <alignment horizontal="left"/>
    </xf>
    <xf numFmtId="0" fontId="130" fillId="0" borderId="0" xfId="0" applyFont="1" applyAlignment="1" applyProtection="1">
      <alignment horizontal="right" vertical="center" shrinkToFit="1"/>
    </xf>
    <xf numFmtId="0" fontId="130" fillId="0" borderId="354" xfId="0" applyFont="1" applyBorder="1" applyAlignment="1" applyProtection="1">
      <alignment horizontal="right" vertical="center" shrinkToFit="1"/>
    </xf>
    <xf numFmtId="0" fontId="79" fillId="0" borderId="0" xfId="0" applyFont="1" applyAlignment="1" applyProtection="1">
      <alignment horizontal="center"/>
    </xf>
    <xf numFmtId="0" fontId="0" fillId="0" borderId="343" xfId="0" applyBorder="1" applyAlignment="1">
      <alignment horizontal="center"/>
    </xf>
    <xf numFmtId="0" fontId="0" fillId="0" borderId="340" xfId="0" applyBorder="1" applyAlignment="1">
      <alignment horizontal="center"/>
    </xf>
    <xf numFmtId="0" fontId="123" fillId="0" borderId="352" xfId="0" applyNumberFormat="1" applyFont="1" applyFill="1" applyBorder="1" applyAlignment="1" applyProtection="1">
      <alignment horizontal="center" vertical="center"/>
    </xf>
    <xf numFmtId="0" fontId="123" fillId="0" borderId="343" xfId="0" applyNumberFormat="1" applyFont="1" applyFill="1" applyBorder="1" applyAlignment="1" applyProtection="1">
      <alignment horizontal="center" vertical="center"/>
    </xf>
    <xf numFmtId="0" fontId="123" fillId="0" borderId="353" xfId="0" applyNumberFormat="1" applyFont="1" applyFill="1" applyBorder="1" applyAlignment="1" applyProtection="1">
      <alignment horizontal="center" vertical="center"/>
    </xf>
    <xf numFmtId="0" fontId="123" fillId="0" borderId="355" xfId="0" applyNumberFormat="1" applyFont="1" applyFill="1" applyBorder="1" applyAlignment="1" applyProtection="1">
      <alignment horizontal="center" vertical="center"/>
    </xf>
    <xf numFmtId="0" fontId="123" fillId="0" borderId="356" xfId="0" applyNumberFormat="1" applyFont="1" applyFill="1" applyBorder="1" applyAlignment="1" applyProtection="1">
      <alignment horizontal="center" vertical="center"/>
    </xf>
    <xf numFmtId="0" fontId="123" fillId="0" borderId="357" xfId="0" applyNumberFormat="1" applyFont="1" applyFill="1" applyBorder="1" applyAlignment="1" applyProtection="1">
      <alignment horizontal="center" vertical="center"/>
    </xf>
    <xf numFmtId="0" fontId="66" fillId="6" borderId="363" xfId="0" applyNumberFormat="1" applyFont="1" applyFill="1" applyBorder="1" applyAlignment="1" applyProtection="1">
      <alignment horizontal="left" vertical="center" shrinkToFit="1"/>
    </xf>
    <xf numFmtId="0" fontId="131" fillId="6" borderId="361" xfId="82" applyFont="1" applyFill="1" applyBorder="1" applyAlignment="1" applyProtection="1">
      <alignment horizontal="center" vertical="center"/>
    </xf>
    <xf numFmtId="0" fontId="131" fillId="6" borderId="362" xfId="82" applyFont="1" applyFill="1" applyBorder="1" applyAlignment="1" applyProtection="1">
      <alignment horizontal="center" vertical="center"/>
    </xf>
    <xf numFmtId="170" fontId="126" fillId="8" borderId="419" xfId="0" applyNumberFormat="1" applyFont="1" applyFill="1" applyBorder="1" applyAlignment="1" applyProtection="1">
      <alignment horizontal="center" vertical="center"/>
      <protection locked="0"/>
    </xf>
    <xf numFmtId="170" fontId="126" fillId="8" borderId="420" xfId="0" applyNumberFormat="1" applyFont="1" applyFill="1" applyBorder="1" applyAlignment="1" applyProtection="1">
      <alignment horizontal="center" vertical="center"/>
      <protection locked="0"/>
    </xf>
    <xf numFmtId="170" fontId="126" fillId="8" borderId="422" xfId="0" applyNumberFormat="1" applyFont="1" applyFill="1" applyBorder="1" applyAlignment="1" applyProtection="1">
      <alignment horizontal="center" vertical="center"/>
      <protection locked="0"/>
    </xf>
    <xf numFmtId="170" fontId="126" fillId="8" borderId="87" xfId="0" applyNumberFormat="1" applyFont="1" applyFill="1" applyBorder="1" applyAlignment="1" applyProtection="1">
      <alignment horizontal="center" vertical="center"/>
      <protection locked="0"/>
    </xf>
    <xf numFmtId="170" fontId="126" fillId="8" borderId="0" xfId="0" applyNumberFormat="1" applyFont="1" applyFill="1" applyBorder="1" applyAlignment="1" applyProtection="1">
      <alignment horizontal="center" vertical="center"/>
      <protection locked="0"/>
    </xf>
    <xf numFmtId="170" fontId="126" fillId="8" borderId="421" xfId="0" applyNumberFormat="1" applyFont="1" applyFill="1" applyBorder="1" applyAlignment="1" applyProtection="1">
      <alignment horizontal="center" vertical="center"/>
      <protection locked="0"/>
    </xf>
    <xf numFmtId="170" fontId="126" fillId="8" borderId="355" xfId="0" applyNumberFormat="1" applyFont="1" applyFill="1" applyBorder="1" applyAlignment="1" applyProtection="1">
      <alignment horizontal="center" vertical="center"/>
      <protection locked="0"/>
    </xf>
    <xf numFmtId="170" fontId="126" fillId="8" borderId="356" xfId="0" applyNumberFormat="1" applyFont="1" applyFill="1" applyBorder="1" applyAlignment="1" applyProtection="1">
      <alignment horizontal="center" vertical="center"/>
      <protection locked="0"/>
    </xf>
    <xf numFmtId="170" fontId="126" fillId="8" borderId="357" xfId="0" applyNumberFormat="1" applyFont="1" applyFill="1" applyBorder="1" applyAlignment="1" applyProtection="1">
      <alignment horizontal="center" vertical="center"/>
      <protection locked="0"/>
    </xf>
    <xf numFmtId="0" fontId="149" fillId="9" borderId="352" xfId="0" applyFont="1" applyFill="1" applyBorder="1" applyAlignment="1" applyProtection="1">
      <alignment horizontal="center" vertical="center"/>
    </xf>
    <xf numFmtId="0" fontId="149" fillId="9" borderId="343" xfId="0" applyFont="1" applyFill="1" applyBorder="1" applyAlignment="1" applyProtection="1">
      <alignment horizontal="center" vertical="center"/>
    </xf>
    <xf numFmtId="0" fontId="149" fillId="9" borderId="353" xfId="0" applyFont="1" applyFill="1" applyBorder="1" applyAlignment="1" applyProtection="1">
      <alignment horizontal="center" vertical="center"/>
    </xf>
    <xf numFmtId="0" fontId="149" fillId="9" borderId="355" xfId="0" applyFont="1" applyFill="1" applyBorder="1" applyAlignment="1" applyProtection="1">
      <alignment horizontal="center" vertical="center"/>
    </xf>
    <xf numFmtId="0" fontId="149" fillId="9" borderId="356" xfId="0" applyFont="1" applyFill="1" applyBorder="1" applyAlignment="1" applyProtection="1">
      <alignment horizontal="center" vertical="center"/>
    </xf>
    <xf numFmtId="0" fontId="149" fillId="9" borderId="357" xfId="0" applyFont="1" applyFill="1" applyBorder="1" applyAlignment="1" applyProtection="1">
      <alignment horizontal="center" vertical="center"/>
    </xf>
    <xf numFmtId="0" fontId="126" fillId="8" borderId="419" xfId="0" applyFont="1" applyFill="1" applyBorder="1" applyAlignment="1" applyProtection="1">
      <alignment horizontal="center" vertical="center"/>
      <protection locked="0"/>
    </xf>
    <xf numFmtId="0" fontId="126" fillId="8" borderId="420" xfId="0" applyFont="1" applyFill="1" applyBorder="1" applyAlignment="1" applyProtection="1">
      <alignment horizontal="center" vertical="center"/>
      <protection locked="0"/>
    </xf>
    <xf numFmtId="0" fontId="126" fillId="8" borderId="422" xfId="0" applyFont="1" applyFill="1" applyBorder="1" applyAlignment="1" applyProtection="1">
      <alignment horizontal="center" vertical="center"/>
      <protection locked="0"/>
    </xf>
    <xf numFmtId="0" fontId="126" fillId="8" borderId="87" xfId="0" applyFont="1" applyFill="1" applyBorder="1" applyAlignment="1" applyProtection="1">
      <alignment horizontal="center" vertical="center"/>
      <protection locked="0"/>
    </xf>
    <xf numFmtId="0" fontId="126" fillId="8" borderId="0" xfId="0" applyFont="1" applyFill="1" applyBorder="1" applyAlignment="1" applyProtection="1">
      <alignment horizontal="center" vertical="center"/>
      <protection locked="0"/>
    </xf>
    <xf numFmtId="0" fontId="126" fillId="8" borderId="421" xfId="0" applyFont="1" applyFill="1" applyBorder="1" applyAlignment="1" applyProtection="1">
      <alignment horizontal="center" vertical="center"/>
      <protection locked="0"/>
    </xf>
    <xf numFmtId="0" fontId="126" fillId="8" borderId="355" xfId="0" applyFont="1" applyFill="1" applyBorder="1" applyAlignment="1" applyProtection="1">
      <alignment horizontal="center" vertical="center"/>
      <protection locked="0"/>
    </xf>
    <xf numFmtId="0" fontId="126" fillId="8" borderId="356" xfId="0" applyFont="1" applyFill="1" applyBorder="1" applyAlignment="1" applyProtection="1">
      <alignment horizontal="center" vertical="center"/>
      <protection locked="0"/>
    </xf>
    <xf numFmtId="0" fontId="126" fillId="8" borderId="357" xfId="0" applyFont="1" applyFill="1" applyBorder="1" applyAlignment="1" applyProtection="1">
      <alignment horizontal="center" vertical="center"/>
      <protection locked="0"/>
    </xf>
    <xf numFmtId="0" fontId="130" fillId="0" borderId="0" xfId="0" applyFont="1" applyBorder="1" applyAlignment="1" applyProtection="1">
      <alignment horizontal="right" vertical="center" shrinkToFit="1"/>
    </xf>
    <xf numFmtId="0" fontId="110" fillId="0" borderId="419" xfId="0" applyFont="1" applyBorder="1" applyAlignment="1" applyProtection="1">
      <alignment horizontal="left" vertical="center"/>
    </xf>
    <xf numFmtId="0" fontId="110" fillId="0" borderId="420" xfId="0" applyFont="1" applyBorder="1" applyAlignment="1" applyProtection="1">
      <alignment horizontal="left" vertical="center"/>
    </xf>
    <xf numFmtId="49" fontId="160" fillId="14" borderId="0" xfId="82" applyNumberFormat="1" applyFont="1" applyFill="1" applyBorder="1" applyAlignment="1" applyProtection="1">
      <alignment horizontal="center" vertical="center"/>
    </xf>
    <xf numFmtId="49" fontId="160" fillId="14" borderId="354" xfId="82" applyNumberFormat="1" applyFont="1" applyFill="1" applyBorder="1" applyAlignment="1" applyProtection="1">
      <alignment horizontal="center" vertical="center"/>
    </xf>
    <xf numFmtId="0" fontId="150" fillId="9" borderId="352" xfId="0" applyFont="1" applyFill="1" applyBorder="1" applyAlignment="1" applyProtection="1">
      <alignment horizontal="center" vertical="center"/>
    </xf>
    <xf numFmtId="0" fontId="150" fillId="9" borderId="343" xfId="0" applyFont="1" applyFill="1" applyBorder="1" applyAlignment="1" applyProtection="1">
      <alignment horizontal="center" vertical="center"/>
    </xf>
    <xf numFmtId="0" fontId="150" fillId="9" borderId="353" xfId="0" applyFont="1" applyFill="1" applyBorder="1" applyAlignment="1" applyProtection="1">
      <alignment horizontal="center" vertical="center"/>
    </xf>
    <xf numFmtId="0" fontId="150" fillId="9" borderId="87" xfId="0" applyFont="1" applyFill="1" applyBorder="1" applyAlignment="1" applyProtection="1">
      <alignment horizontal="center" vertical="center"/>
    </xf>
    <xf numFmtId="0" fontId="150" fillId="9" borderId="0" xfId="0" applyFont="1" applyFill="1" applyBorder="1" applyAlignment="1" applyProtection="1">
      <alignment horizontal="center" vertical="center"/>
    </xf>
    <xf numFmtId="0" fontId="150" fillId="9" borderId="342" xfId="0" applyFont="1" applyFill="1" applyBorder="1" applyAlignment="1" applyProtection="1">
      <alignment horizontal="center" vertical="center"/>
    </xf>
    <xf numFmtId="0" fontId="150" fillId="9" borderId="355" xfId="0" applyFont="1" applyFill="1" applyBorder="1" applyAlignment="1" applyProtection="1">
      <alignment horizontal="center" vertical="center"/>
    </xf>
    <xf numFmtId="0" fontId="150" fillId="9" borderId="356" xfId="0" applyFont="1" applyFill="1" applyBorder="1" applyAlignment="1" applyProtection="1">
      <alignment horizontal="center" vertical="center"/>
    </xf>
    <xf numFmtId="0" fontId="150" fillId="9" borderId="357" xfId="0" applyFont="1" applyFill="1" applyBorder="1" applyAlignment="1" applyProtection="1">
      <alignment horizontal="center" vertical="center"/>
    </xf>
    <xf numFmtId="0" fontId="155" fillId="0" borderId="0" xfId="163" applyFont="1" applyBorder="1" applyAlignment="1" applyProtection="1">
      <alignment horizontal="left" shrinkToFit="1"/>
    </xf>
    <xf numFmtId="0" fontId="155" fillId="0" borderId="340" xfId="163" applyFont="1" applyBorder="1" applyAlignment="1" applyProtection="1">
      <alignment horizontal="left" shrinkToFit="1"/>
    </xf>
    <xf numFmtId="0" fontId="122" fillId="0" borderId="0" xfId="163" applyFont="1" applyBorder="1" applyAlignment="1" applyProtection="1">
      <alignment horizontal="left" vertical="center" shrinkToFit="1"/>
    </xf>
    <xf numFmtId="0" fontId="157" fillId="0" borderId="0" xfId="0" applyFont="1" applyAlignment="1" applyProtection="1">
      <alignment horizontal="left" shrinkToFit="1"/>
    </xf>
    <xf numFmtId="0" fontId="157" fillId="0" borderId="350" xfId="0" applyFont="1" applyBorder="1" applyAlignment="1" applyProtection="1">
      <alignment horizontal="left" shrinkToFit="1"/>
    </xf>
    <xf numFmtId="0" fontId="122" fillId="0" borderId="337" xfId="0" applyFont="1" applyBorder="1" applyAlignment="1" applyProtection="1">
      <alignment horizontal="left" vertical="center"/>
    </xf>
    <xf numFmtId="0" fontId="124" fillId="2" borderId="87" xfId="0" applyNumberFormat="1" applyFont="1" applyFill="1" applyBorder="1" applyAlignment="1" applyProtection="1">
      <alignment horizontal="left" vertical="center" shrinkToFit="1"/>
      <protection locked="0"/>
    </xf>
    <xf numFmtId="0" fontId="124" fillId="2" borderId="0" xfId="0" applyNumberFormat="1" applyFont="1" applyFill="1" applyBorder="1" applyAlignment="1" applyProtection="1">
      <alignment horizontal="left" vertical="center" shrinkToFit="1"/>
      <protection locked="0"/>
    </xf>
    <xf numFmtId="0" fontId="124" fillId="2" borderId="421" xfId="0" applyNumberFormat="1" applyFont="1" applyFill="1" applyBorder="1" applyAlignment="1" applyProtection="1">
      <alignment horizontal="left" vertical="center" shrinkToFit="1"/>
      <protection locked="0"/>
    </xf>
    <xf numFmtId="0" fontId="124" fillId="2" borderId="355" xfId="0" applyNumberFormat="1" applyFont="1" applyFill="1" applyBorder="1" applyAlignment="1" applyProtection="1">
      <alignment horizontal="left" vertical="center" shrinkToFit="1"/>
      <protection locked="0"/>
    </xf>
    <xf numFmtId="0" fontId="124" fillId="2" borderId="356" xfId="0" applyNumberFormat="1" applyFont="1" applyFill="1" applyBorder="1" applyAlignment="1" applyProtection="1">
      <alignment horizontal="left" vertical="center" shrinkToFit="1"/>
      <protection locked="0"/>
    </xf>
    <xf numFmtId="0" fontId="124" fillId="2" borderId="357" xfId="0" applyNumberFormat="1" applyFont="1" applyFill="1" applyBorder="1" applyAlignment="1" applyProtection="1">
      <alignment horizontal="left" vertical="center" shrinkToFit="1"/>
      <protection locked="0"/>
    </xf>
    <xf numFmtId="0" fontId="125" fillId="6" borderId="87" xfId="0" applyNumberFormat="1" applyFont="1" applyFill="1" applyBorder="1" applyAlignment="1" applyProtection="1">
      <alignment horizontal="left" vertical="center" shrinkToFit="1"/>
      <protection locked="0"/>
    </xf>
    <xf numFmtId="0" fontId="125" fillId="6" borderId="0" xfId="0" applyNumberFormat="1" applyFont="1" applyFill="1" applyBorder="1" applyAlignment="1" applyProtection="1">
      <alignment horizontal="left" vertical="center" shrinkToFit="1"/>
      <protection locked="0"/>
    </xf>
    <xf numFmtId="0" fontId="125" fillId="6" borderId="421" xfId="0" applyNumberFormat="1" applyFont="1" applyFill="1" applyBorder="1" applyAlignment="1" applyProtection="1">
      <alignment horizontal="left" vertical="center" shrinkToFit="1"/>
      <protection locked="0"/>
    </xf>
    <xf numFmtId="0" fontId="125" fillId="6" borderId="355" xfId="0" applyNumberFormat="1" applyFont="1" applyFill="1" applyBorder="1" applyAlignment="1" applyProtection="1">
      <alignment horizontal="left" vertical="center" shrinkToFit="1"/>
      <protection locked="0"/>
    </xf>
    <xf numFmtId="0" fontId="125" fillId="6" borderId="356" xfId="0" applyNumberFormat="1" applyFont="1" applyFill="1" applyBorder="1" applyAlignment="1" applyProtection="1">
      <alignment horizontal="left" vertical="center" shrinkToFit="1"/>
      <protection locked="0"/>
    </xf>
    <xf numFmtId="0" fontId="125" fillId="6" borderId="357" xfId="0" applyNumberFormat="1" applyFont="1" applyFill="1" applyBorder="1" applyAlignment="1" applyProtection="1">
      <alignment horizontal="left" vertical="center" shrinkToFit="1"/>
      <protection locked="0"/>
    </xf>
    <xf numFmtId="0" fontId="126" fillId="8" borderId="342" xfId="0" applyFont="1" applyFill="1" applyBorder="1" applyAlignment="1" applyProtection="1">
      <alignment horizontal="center" vertical="center"/>
      <protection locked="0"/>
    </xf>
    <xf numFmtId="0" fontId="103" fillId="0" borderId="348" xfId="0" applyFont="1" applyBorder="1" applyAlignment="1">
      <alignment horizontal="center" vertical="center"/>
    </xf>
    <xf numFmtId="0" fontId="156" fillId="0" borderId="0" xfId="0" applyFont="1" applyFill="1" applyBorder="1" applyAlignment="1" applyProtection="1">
      <alignment horizontal="left" vertical="center" shrinkToFit="1"/>
    </xf>
    <xf numFmtId="0" fontId="123" fillId="0" borderId="358" xfId="0" applyNumberFormat="1" applyFont="1" applyFill="1" applyBorder="1" applyAlignment="1" applyProtection="1">
      <alignment horizontal="center" vertical="center"/>
    </xf>
    <xf numFmtId="0" fontId="123" fillId="0" borderId="359" xfId="0" applyNumberFormat="1" applyFont="1" applyFill="1" applyBorder="1" applyAlignment="1" applyProtection="1">
      <alignment horizontal="center" vertical="center"/>
    </xf>
    <xf numFmtId="0" fontId="123" fillId="0" borderId="360" xfId="0" applyNumberFormat="1" applyFont="1" applyFill="1" applyBorder="1" applyAlignment="1" applyProtection="1">
      <alignment horizontal="center" vertical="center"/>
    </xf>
    <xf numFmtId="0" fontId="110" fillId="0" borderId="352" xfId="0" applyFont="1" applyBorder="1" applyAlignment="1" applyProtection="1">
      <alignment horizontal="left" vertical="center"/>
    </xf>
    <xf numFmtId="0" fontId="110" fillId="0" borderId="343" xfId="0" applyFont="1" applyBorder="1" applyAlignment="1" applyProtection="1">
      <alignment horizontal="left" vertical="center"/>
    </xf>
    <xf numFmtId="0" fontId="66" fillId="6" borderId="359" xfId="0" applyNumberFormat="1" applyFont="1" applyFill="1" applyBorder="1" applyAlignment="1" applyProtection="1">
      <alignment horizontal="left" vertical="center" shrinkToFit="1"/>
    </xf>
    <xf numFmtId="0" fontId="64" fillId="6" borderId="87" xfId="0" applyFont="1" applyFill="1" applyBorder="1" applyAlignment="1" applyProtection="1">
      <alignment horizontal="left" vertical="center"/>
    </xf>
    <xf numFmtId="0" fontId="64" fillId="6" borderId="0" xfId="0" applyFont="1" applyFill="1" applyBorder="1" applyAlignment="1" applyProtection="1">
      <alignment horizontal="left" vertical="center"/>
    </xf>
    <xf numFmtId="0" fontId="64" fillId="6" borderId="342" xfId="0" applyFont="1" applyFill="1" applyBorder="1" applyAlignment="1" applyProtection="1">
      <alignment horizontal="left" vertical="center"/>
    </xf>
    <xf numFmtId="0" fontId="77" fillId="0" borderId="87" xfId="0" quotePrefix="1" applyFont="1" applyBorder="1" applyAlignment="1" applyProtection="1">
      <alignment horizontal="left" vertical="top" wrapText="1"/>
    </xf>
    <xf numFmtId="0" fontId="77" fillId="0" borderId="0" xfId="0" quotePrefix="1" applyFont="1" applyBorder="1" applyAlignment="1" applyProtection="1">
      <alignment horizontal="left" vertical="top" wrapText="1"/>
    </xf>
    <xf numFmtId="0" fontId="77" fillId="0" borderId="355" xfId="0" quotePrefix="1" applyFont="1" applyBorder="1" applyAlignment="1" applyProtection="1">
      <alignment horizontal="left" vertical="top" wrapText="1"/>
    </xf>
    <xf numFmtId="0" fontId="77" fillId="0" borderId="356" xfId="0" quotePrefix="1" applyFont="1" applyBorder="1" applyAlignment="1" applyProtection="1">
      <alignment horizontal="left" vertical="top" wrapText="1"/>
    </xf>
    <xf numFmtId="0" fontId="0" fillId="0" borderId="355" xfId="0" applyBorder="1" applyAlignment="1" applyProtection="1">
      <alignment horizontal="center"/>
    </xf>
    <xf numFmtId="0" fontId="0" fillId="0" borderId="356" xfId="0" applyBorder="1" applyAlignment="1" applyProtection="1">
      <alignment horizontal="center"/>
    </xf>
    <xf numFmtId="0" fontId="0" fillId="0" borderId="357" xfId="0" applyBorder="1" applyAlignment="1" applyProtection="1">
      <alignment horizontal="center"/>
    </xf>
    <xf numFmtId="0" fontId="124" fillId="2" borderId="342" xfId="0" applyNumberFormat="1" applyFont="1" applyFill="1" applyBorder="1" applyAlignment="1" applyProtection="1">
      <alignment horizontal="left" vertical="center" shrinkToFit="1"/>
      <protection locked="0"/>
    </xf>
    <xf numFmtId="0" fontId="125" fillId="6" borderId="342" xfId="0" applyNumberFormat="1" applyFont="1" applyFill="1" applyBorder="1" applyAlignment="1" applyProtection="1">
      <alignment horizontal="left" vertical="center" shrinkToFit="1"/>
      <protection locked="0"/>
    </xf>
    <xf numFmtId="0" fontId="77" fillId="0" borderId="0" xfId="0" applyFont="1" applyBorder="1" applyAlignment="1" applyProtection="1">
      <alignment horizontal="left" vertical="top"/>
    </xf>
    <xf numFmtId="0" fontId="77" fillId="0" borderId="87" xfId="0" applyFont="1" applyBorder="1" applyAlignment="1" applyProtection="1">
      <alignment horizontal="left" vertical="top"/>
    </xf>
    <xf numFmtId="0" fontId="77" fillId="0" borderId="355" xfId="0" applyFont="1" applyBorder="1" applyAlignment="1" applyProtection="1">
      <alignment horizontal="left" vertical="top"/>
    </xf>
    <xf numFmtId="0" fontId="77" fillId="0" borderId="356" xfId="0" applyFont="1" applyBorder="1" applyAlignment="1" applyProtection="1">
      <alignment horizontal="left" vertical="top"/>
    </xf>
    <xf numFmtId="0" fontId="126" fillId="8" borderId="343" xfId="0" applyFont="1" applyFill="1" applyBorder="1" applyAlignment="1" applyProtection="1">
      <alignment horizontal="center" vertical="center"/>
      <protection locked="0"/>
    </xf>
    <xf numFmtId="170" fontId="126" fillId="8" borderId="343" xfId="0" applyNumberFormat="1" applyFont="1" applyFill="1" applyBorder="1" applyAlignment="1" applyProtection="1">
      <alignment horizontal="center" vertical="center"/>
      <protection locked="0"/>
    </xf>
    <xf numFmtId="170" fontId="126" fillId="8" borderId="342" xfId="0" applyNumberFormat="1" applyFont="1" applyFill="1" applyBorder="1" applyAlignment="1" applyProtection="1">
      <alignment horizontal="center" vertical="center"/>
      <protection locked="0"/>
    </xf>
    <xf numFmtId="170" fontId="123" fillId="0" borderId="355" xfId="0" applyNumberFormat="1" applyFont="1" applyFill="1" applyBorder="1" applyAlignment="1" applyProtection="1">
      <alignment horizontal="center" vertical="center"/>
    </xf>
    <xf numFmtId="170" fontId="123" fillId="0" borderId="356" xfId="0" applyNumberFormat="1" applyFont="1" applyFill="1" applyBorder="1" applyAlignment="1" applyProtection="1">
      <alignment horizontal="center" vertical="center"/>
    </xf>
    <xf numFmtId="170" fontId="123" fillId="0" borderId="357" xfId="0" applyNumberFormat="1" applyFont="1" applyFill="1" applyBorder="1" applyAlignment="1" applyProtection="1">
      <alignment horizontal="center" vertical="center"/>
    </xf>
    <xf numFmtId="0" fontId="65" fillId="2" borderId="87" xfId="0" applyNumberFormat="1" applyFont="1" applyFill="1" applyBorder="1" applyAlignment="1" applyProtection="1">
      <alignment horizontal="left" vertical="center" shrinkToFit="1"/>
    </xf>
    <xf numFmtId="0" fontId="65" fillId="2" borderId="0" xfId="0" applyNumberFormat="1" applyFont="1" applyFill="1" applyBorder="1" applyAlignment="1" applyProtection="1">
      <alignment horizontal="left" vertical="center" shrinkToFit="1"/>
    </xf>
    <xf numFmtId="0" fontId="65" fillId="2" borderId="342" xfId="0" applyNumberFormat="1" applyFont="1" applyFill="1" applyBorder="1" applyAlignment="1" applyProtection="1">
      <alignment horizontal="left" vertical="center" shrinkToFit="1"/>
    </xf>
    <xf numFmtId="0" fontId="116" fillId="6" borderId="423" xfId="82" applyFont="1" applyFill="1" applyBorder="1" applyAlignment="1" applyProtection="1">
      <alignment horizontal="center" vertical="center"/>
    </xf>
    <xf numFmtId="0" fontId="116" fillId="6" borderId="424" xfId="82" applyFont="1" applyFill="1" applyBorder="1" applyAlignment="1" applyProtection="1">
      <alignment horizontal="center" vertical="center"/>
    </xf>
    <xf numFmtId="49" fontId="151" fillId="4" borderId="0" xfId="82" applyNumberFormat="1" applyFont="1" applyFill="1" applyBorder="1" applyAlignment="1" applyProtection="1">
      <alignment horizontal="center" vertical="center"/>
    </xf>
    <xf numFmtId="49" fontId="151" fillId="4" borderId="346" xfId="82" applyNumberFormat="1" applyFont="1" applyFill="1" applyBorder="1" applyAlignment="1" applyProtection="1">
      <alignment horizontal="center" vertical="center"/>
    </xf>
    <xf numFmtId="0" fontId="76" fillId="0" borderId="87" xfId="0" applyFont="1" applyBorder="1" applyAlignment="1" applyProtection="1">
      <alignment horizontal="left" vertical="top" wrapText="1"/>
    </xf>
    <xf numFmtId="0" fontId="76" fillId="0" borderId="0" xfId="0" applyFont="1" applyBorder="1" applyAlignment="1" applyProtection="1">
      <alignment horizontal="left" vertical="top" wrapText="1"/>
    </xf>
    <xf numFmtId="0" fontId="76" fillId="0" borderId="421" xfId="0" applyFont="1" applyBorder="1" applyAlignment="1" applyProtection="1">
      <alignment horizontal="left" vertical="top" wrapText="1"/>
    </xf>
    <xf numFmtId="0" fontId="76" fillId="0" borderId="355" xfId="0" applyFont="1" applyBorder="1" applyAlignment="1" applyProtection="1">
      <alignment horizontal="left" vertical="top" wrapText="1"/>
    </xf>
    <xf numFmtId="0" fontId="76" fillId="0" borderId="356" xfId="0" applyFont="1" applyBorder="1" applyAlignment="1" applyProtection="1">
      <alignment horizontal="left" vertical="top" wrapText="1"/>
    </xf>
    <xf numFmtId="0" fontId="76" fillId="0" borderId="357" xfId="0" applyFont="1" applyBorder="1" applyAlignment="1" applyProtection="1">
      <alignment horizontal="left" vertical="top" wrapText="1"/>
    </xf>
    <xf numFmtId="0" fontId="65" fillId="2" borderId="419" xfId="0" applyNumberFormat="1" applyFont="1" applyFill="1" applyBorder="1" applyAlignment="1" applyProtection="1">
      <alignment horizontal="left" vertical="center" shrinkToFit="1"/>
    </xf>
    <xf numFmtId="0" fontId="65" fillId="2" borderId="420" xfId="0" applyNumberFormat="1" applyFont="1" applyFill="1" applyBorder="1" applyAlignment="1" applyProtection="1">
      <alignment horizontal="left" vertical="center" shrinkToFit="1"/>
    </xf>
    <xf numFmtId="0" fontId="65" fillId="2" borderId="422" xfId="0" applyNumberFormat="1" applyFont="1" applyFill="1" applyBorder="1" applyAlignment="1" applyProtection="1">
      <alignment horizontal="left" vertical="center" shrinkToFit="1"/>
    </xf>
    <xf numFmtId="0" fontId="64" fillId="6" borderId="419" xfId="0" applyFont="1" applyFill="1" applyBorder="1" applyAlignment="1" applyProtection="1">
      <alignment horizontal="left" vertical="center"/>
    </xf>
    <xf numFmtId="0" fontId="64" fillId="6" borderId="420" xfId="0" applyFont="1" applyFill="1" applyBorder="1" applyAlignment="1" applyProtection="1">
      <alignment horizontal="left" vertical="center"/>
    </xf>
    <xf numFmtId="0" fontId="64" fillId="6" borderId="422" xfId="0" applyFont="1" applyFill="1" applyBorder="1" applyAlignment="1" applyProtection="1">
      <alignment horizontal="left" vertical="center"/>
    </xf>
    <xf numFmtId="0" fontId="127" fillId="16" borderId="419" xfId="0" applyFont="1" applyFill="1" applyBorder="1" applyAlignment="1" applyProtection="1">
      <alignment horizontal="center"/>
    </xf>
    <xf numFmtId="0" fontId="127" fillId="16" borderId="420" xfId="0" applyFont="1" applyFill="1" applyBorder="1" applyAlignment="1" applyProtection="1">
      <alignment horizontal="center"/>
    </xf>
    <xf numFmtId="0" fontId="127" fillId="16" borderId="422" xfId="0" applyFont="1" applyFill="1" applyBorder="1" applyAlignment="1" applyProtection="1">
      <alignment horizontal="center"/>
    </xf>
    <xf numFmtId="0" fontId="126" fillId="8" borderId="352" xfId="0" applyFont="1" applyFill="1" applyBorder="1" applyAlignment="1" applyProtection="1">
      <alignment horizontal="center" vertical="center"/>
      <protection locked="0"/>
    </xf>
    <xf numFmtId="0" fontId="126" fillId="8" borderId="353" xfId="0" applyFont="1" applyFill="1" applyBorder="1" applyAlignment="1" applyProtection="1">
      <alignment horizontal="center" vertical="center"/>
      <protection locked="0"/>
    </xf>
    <xf numFmtId="49" fontId="154" fillId="21" borderId="0" xfId="82" applyNumberFormat="1" applyFont="1" applyFill="1" applyBorder="1" applyAlignment="1" applyProtection="1">
      <alignment horizontal="center" vertical="center"/>
    </xf>
    <xf numFmtId="49" fontId="154" fillId="21" borderId="354" xfId="82" applyNumberFormat="1" applyFont="1" applyFill="1" applyBorder="1" applyAlignment="1" applyProtection="1">
      <alignment horizontal="center" vertical="center"/>
    </xf>
    <xf numFmtId="170" fontId="126" fillId="8" borderId="352" xfId="0" applyNumberFormat="1" applyFont="1" applyFill="1" applyBorder="1" applyAlignment="1" applyProtection="1">
      <alignment horizontal="center" vertical="center"/>
      <protection locked="0"/>
    </xf>
    <xf numFmtId="170" fontId="126" fillId="8" borderId="353" xfId="0" applyNumberFormat="1" applyFont="1" applyFill="1" applyBorder="1" applyAlignment="1" applyProtection="1">
      <alignment horizontal="center" vertical="center"/>
      <protection locked="0"/>
    </xf>
    <xf numFmtId="0" fontId="156" fillId="17" borderId="420" xfId="0" applyFont="1" applyFill="1" applyBorder="1" applyAlignment="1" applyProtection="1">
      <alignment horizontal="center" vertical="center" shrinkToFit="1"/>
    </xf>
    <xf numFmtId="0" fontId="156" fillId="17" borderId="422" xfId="0" applyFont="1" applyFill="1" applyBorder="1" applyAlignment="1" applyProtection="1">
      <alignment horizontal="center" vertical="center" shrinkToFit="1"/>
    </xf>
    <xf numFmtId="0" fontId="156" fillId="17" borderId="0" xfId="0" applyFont="1" applyFill="1" applyBorder="1" applyAlignment="1" applyProtection="1">
      <alignment horizontal="center" vertical="center" shrinkToFit="1"/>
    </xf>
    <xf numFmtId="0" fontId="156" fillId="17" borderId="421" xfId="0" applyFont="1" applyFill="1" applyBorder="1" applyAlignment="1" applyProtection="1">
      <alignment horizontal="center" vertical="center" shrinkToFit="1"/>
    </xf>
    <xf numFmtId="0" fontId="155" fillId="0" borderId="350" xfId="163" applyFont="1" applyBorder="1" applyAlignment="1" applyProtection="1">
      <alignment horizontal="left" shrinkToFit="1"/>
    </xf>
    <xf numFmtId="0" fontId="0" fillId="0" borderId="419" xfId="0" applyBorder="1" applyAlignment="1" applyProtection="1">
      <alignment horizontal="center"/>
    </xf>
    <xf numFmtId="0" fontId="0" fillId="0" borderId="420" xfId="0" applyBorder="1" applyAlignment="1" applyProtection="1">
      <alignment horizontal="center"/>
    </xf>
    <xf numFmtId="0" fontId="0" fillId="0" borderId="422" xfId="0" applyBorder="1" applyAlignment="1" applyProtection="1">
      <alignment horizontal="center"/>
    </xf>
    <xf numFmtId="0" fontId="0" fillId="0" borderId="421" xfId="0" applyBorder="1" applyAlignment="1" applyProtection="1">
      <alignment horizontal="center"/>
    </xf>
    <xf numFmtId="0" fontId="80" fillId="0" borderId="420" xfId="0" applyFont="1" applyBorder="1" applyAlignment="1">
      <alignment horizontal="center" vertical="center" shrinkToFit="1"/>
    </xf>
    <xf numFmtId="0" fontId="122" fillId="0" borderId="351" xfId="163" applyFont="1" applyBorder="1" applyAlignment="1" applyProtection="1">
      <alignment horizontal="left" vertical="center" shrinkToFit="1"/>
    </xf>
    <xf numFmtId="0" fontId="150" fillId="9" borderId="335" xfId="0" applyFont="1" applyFill="1" applyBorder="1" applyAlignment="1" applyProtection="1">
      <alignment horizontal="center" vertical="center"/>
    </xf>
    <xf numFmtId="0" fontId="150" fillId="9" borderId="344" xfId="0" applyFont="1" applyFill="1" applyBorder="1" applyAlignment="1" applyProtection="1">
      <alignment horizontal="center" vertical="center"/>
    </xf>
    <xf numFmtId="0" fontId="150" fillId="9" borderId="137" xfId="0" applyFont="1" applyFill="1" applyBorder="1" applyAlignment="1" applyProtection="1">
      <alignment horizontal="center" vertical="center"/>
    </xf>
    <xf numFmtId="0" fontId="150" fillId="9" borderId="299" xfId="0" applyFont="1" applyFill="1" applyBorder="1" applyAlignment="1" applyProtection="1">
      <alignment horizontal="center" vertical="center"/>
    </xf>
    <xf numFmtId="0" fontId="150" fillId="9" borderId="309" xfId="0" applyFont="1" applyFill="1" applyBorder="1" applyAlignment="1" applyProtection="1">
      <alignment horizontal="center" vertical="center"/>
    </xf>
    <xf numFmtId="0" fontId="150" fillId="9" borderId="345" xfId="0" applyFont="1" applyFill="1" applyBorder="1" applyAlignment="1" applyProtection="1">
      <alignment horizontal="center" vertical="center"/>
    </xf>
    <xf numFmtId="0" fontId="155" fillId="0" borderId="0" xfId="184" applyFont="1" applyBorder="1" applyAlignment="1" applyProtection="1">
      <alignment horizontal="left" shrinkToFit="1"/>
    </xf>
    <xf numFmtId="0" fontId="155" fillId="0" borderId="340" xfId="184" applyFont="1" applyBorder="1" applyAlignment="1" applyProtection="1">
      <alignment horizontal="left" shrinkToFit="1"/>
    </xf>
    <xf numFmtId="0" fontId="122" fillId="0" borderId="351" xfId="0" applyFont="1" applyBorder="1" applyAlignment="1" applyProtection="1">
      <alignment horizontal="left" vertical="center"/>
    </xf>
    <xf numFmtId="0" fontId="156" fillId="17" borderId="87" xfId="0" applyFont="1" applyFill="1" applyBorder="1" applyAlignment="1" applyProtection="1">
      <alignment horizontal="center" vertical="center" shrinkToFit="1"/>
    </xf>
    <xf numFmtId="0" fontId="27" fillId="0" borderId="196" xfId="0" applyFont="1" applyBorder="1" applyAlignment="1" applyProtection="1">
      <alignment horizontal="center" vertical="top"/>
      <protection locked="0"/>
    </xf>
    <xf numFmtId="0" fontId="27" fillId="0" borderId="295" xfId="0" applyFont="1" applyBorder="1" applyAlignment="1" applyProtection="1">
      <alignment horizontal="center" vertical="top"/>
      <protection locked="0"/>
    </xf>
    <xf numFmtId="0" fontId="27" fillId="0" borderId="197" xfId="0" applyFont="1" applyBorder="1" applyAlignment="1" applyProtection="1">
      <alignment horizontal="center" vertical="top"/>
      <protection locked="0"/>
    </xf>
    <xf numFmtId="0" fontId="27" fillId="0" borderId="299" xfId="0" applyFont="1" applyBorder="1" applyAlignment="1" applyProtection="1">
      <alignment horizontal="center" vertical="top"/>
      <protection locked="0"/>
    </xf>
    <xf numFmtId="0" fontId="99" fillId="0" borderId="258" xfId="0" applyFont="1" applyBorder="1" applyAlignment="1">
      <alignment horizontal="center" vertical="center" shrinkToFit="1"/>
    </xf>
    <xf numFmtId="0" fontId="99" fillId="0" borderId="299" xfId="0" applyFont="1" applyBorder="1" applyAlignment="1">
      <alignment horizontal="center" vertical="center" shrinkToFit="1"/>
    </xf>
    <xf numFmtId="0" fontId="99" fillId="0" borderId="301" xfId="0" applyFont="1" applyBorder="1" applyAlignment="1">
      <alignment horizontal="center" vertical="center" shrinkToFit="1"/>
    </xf>
    <xf numFmtId="0" fontId="99" fillId="18" borderId="149" xfId="0" applyFont="1" applyFill="1" applyBorder="1" applyAlignment="1">
      <alignment horizontal="center" vertical="center" shrinkToFit="1"/>
    </xf>
    <xf numFmtId="0" fontId="99" fillId="18" borderId="150" xfId="0" applyFont="1" applyFill="1" applyBorder="1" applyAlignment="1">
      <alignment horizontal="center" vertical="center" shrinkToFit="1"/>
    </xf>
    <xf numFmtId="0" fontId="99" fillId="18" borderId="151" xfId="0" applyFont="1" applyFill="1" applyBorder="1" applyAlignment="1">
      <alignment horizontal="center" vertical="center" shrinkToFit="1"/>
    </xf>
    <xf numFmtId="0" fontId="106" fillId="14" borderId="152" xfId="0" quotePrefix="1" applyFont="1" applyFill="1" applyBorder="1" applyAlignment="1" applyProtection="1">
      <alignment horizontal="center" vertical="center" shrinkToFit="1"/>
      <protection locked="0"/>
    </xf>
    <xf numFmtId="0" fontId="106" fillId="14" borderId="153" xfId="0" quotePrefix="1" applyFont="1" applyFill="1" applyBorder="1" applyAlignment="1" applyProtection="1">
      <alignment horizontal="center" vertical="center" shrinkToFit="1"/>
      <protection locked="0"/>
    </xf>
    <xf numFmtId="0" fontId="106" fillId="14" borderId="154" xfId="0" quotePrefix="1" applyFont="1" applyFill="1" applyBorder="1" applyAlignment="1" applyProtection="1">
      <alignment horizontal="center" vertical="center" shrinkToFit="1"/>
      <protection locked="0"/>
    </xf>
    <xf numFmtId="0" fontId="106" fillId="14" borderId="7" xfId="0" quotePrefix="1" applyFont="1" applyFill="1" applyBorder="1" applyAlignment="1" applyProtection="1">
      <alignment horizontal="center" vertical="center" shrinkToFit="1"/>
      <protection locked="0"/>
    </xf>
    <xf numFmtId="0" fontId="106" fillId="14" borderId="0" xfId="0" quotePrefix="1" applyFont="1" applyFill="1" applyBorder="1" applyAlignment="1" applyProtection="1">
      <alignment horizontal="center" vertical="center" shrinkToFit="1"/>
      <protection locked="0"/>
    </xf>
    <xf numFmtId="0" fontId="106" fillId="14" borderId="415" xfId="0" quotePrefix="1" applyFont="1" applyFill="1" applyBorder="1" applyAlignment="1" applyProtection="1">
      <alignment horizontal="center" vertical="center" shrinkToFit="1"/>
      <protection locked="0"/>
    </xf>
    <xf numFmtId="0" fontId="106" fillId="14" borderId="355" xfId="0" quotePrefix="1" applyFont="1" applyFill="1" applyBorder="1" applyAlignment="1" applyProtection="1">
      <alignment horizontal="center" vertical="center" shrinkToFit="1"/>
      <protection locked="0"/>
    </xf>
    <xf numFmtId="0" fontId="106" fillId="14" borderId="356" xfId="0" quotePrefix="1" applyFont="1" applyFill="1" applyBorder="1" applyAlignment="1" applyProtection="1">
      <alignment horizontal="center" vertical="center" shrinkToFit="1"/>
      <protection locked="0"/>
    </xf>
    <xf numFmtId="0" fontId="106" fillId="14" borderId="357" xfId="0" quotePrefix="1" applyFont="1" applyFill="1" applyBorder="1" applyAlignment="1" applyProtection="1">
      <alignment horizontal="center" vertical="center" shrinkToFit="1"/>
      <protection locked="0"/>
    </xf>
    <xf numFmtId="0" fontId="61" fillId="7" borderId="148" xfId="0" applyFont="1" applyFill="1" applyBorder="1" applyAlignment="1" applyProtection="1">
      <alignment horizontal="left" vertical="top"/>
      <protection hidden="1"/>
    </xf>
    <xf numFmtId="0" fontId="61" fillId="7" borderId="0" xfId="0" applyFont="1" applyFill="1" applyBorder="1" applyAlignment="1" applyProtection="1">
      <alignment horizontal="left" vertical="top"/>
      <protection hidden="1"/>
    </xf>
    <xf numFmtId="0" fontId="61" fillId="7" borderId="42" xfId="0" applyFont="1" applyFill="1" applyBorder="1" applyAlignment="1" applyProtection="1">
      <alignment horizontal="left" vertical="top"/>
      <protection hidden="1"/>
    </xf>
    <xf numFmtId="0" fontId="69" fillId="10" borderId="148" xfId="0" applyFont="1" applyFill="1" applyBorder="1" applyAlignment="1" applyProtection="1">
      <alignment horizontal="left" vertical="top"/>
      <protection hidden="1"/>
    </xf>
    <xf numFmtId="0" fontId="69" fillId="10" borderId="0" xfId="0" applyFont="1" applyFill="1" applyBorder="1" applyAlignment="1" applyProtection="1">
      <alignment horizontal="left" vertical="top"/>
      <protection hidden="1"/>
    </xf>
    <xf numFmtId="0" fontId="69" fillId="10" borderId="42" xfId="0" applyFont="1" applyFill="1" applyBorder="1" applyAlignment="1" applyProtection="1">
      <alignment horizontal="left" vertical="top"/>
      <protection hidden="1"/>
    </xf>
    <xf numFmtId="0" fontId="106" fillId="14" borderId="87" xfId="0" quotePrefix="1" applyFont="1" applyFill="1" applyBorder="1" applyAlignment="1" applyProtection="1">
      <alignment horizontal="center" vertical="center" shrinkToFit="1"/>
      <protection locked="0"/>
    </xf>
    <xf numFmtId="0" fontId="106" fillId="14" borderId="141" xfId="0" quotePrefix="1" applyFont="1" applyFill="1" applyBorder="1" applyAlignment="1" applyProtection="1">
      <alignment horizontal="center" vertical="center" shrinkToFit="1"/>
      <protection locked="0"/>
    </xf>
    <xf numFmtId="0" fontId="106" fillId="14" borderId="9" xfId="0" quotePrefix="1" applyFont="1" applyFill="1" applyBorder="1" applyAlignment="1" applyProtection="1">
      <alignment horizontal="center" vertical="center" shrinkToFit="1"/>
      <protection locked="0"/>
    </xf>
    <xf numFmtId="0" fontId="106" fillId="14" borderId="142" xfId="0" quotePrefix="1" applyFont="1" applyFill="1" applyBorder="1" applyAlignment="1" applyProtection="1">
      <alignment horizontal="center" vertical="center" shrinkToFit="1"/>
      <protection locked="0"/>
    </xf>
    <xf numFmtId="0" fontId="106" fillId="14" borderId="11" xfId="0" quotePrefix="1" applyFont="1" applyFill="1" applyBorder="1" applyAlignment="1" applyProtection="1">
      <alignment horizontal="center" vertical="center" shrinkToFit="1"/>
      <protection locked="0"/>
    </xf>
    <xf numFmtId="0" fontId="98" fillId="0" borderId="43" xfId="0" applyFont="1" applyBorder="1" applyAlignment="1" applyProtection="1">
      <alignment horizontal="left"/>
      <protection locked="0"/>
    </xf>
    <xf numFmtId="0" fontId="98" fillId="0" borderId="44" xfId="0" applyFont="1" applyBorder="1" applyAlignment="1" applyProtection="1">
      <alignment horizontal="left"/>
      <protection locked="0"/>
    </xf>
    <xf numFmtId="0" fontId="69" fillId="10" borderId="87" xfId="0" applyFont="1" applyFill="1" applyBorder="1" applyAlignment="1" applyProtection="1">
      <alignment horizontal="left" vertical="center"/>
      <protection hidden="1"/>
    </xf>
    <xf numFmtId="0" fontId="69" fillId="10" borderId="0" xfId="0" applyFont="1" applyFill="1" applyBorder="1" applyAlignment="1" applyProtection="1">
      <alignment horizontal="left" vertical="center"/>
      <protection hidden="1"/>
    </xf>
    <xf numFmtId="0" fontId="69" fillId="10" borderId="145" xfId="0" applyFont="1" applyFill="1" applyBorder="1" applyAlignment="1" applyProtection="1">
      <alignment horizontal="left" vertical="center"/>
      <protection hidden="1"/>
    </xf>
    <xf numFmtId="0" fontId="27" fillId="0" borderId="307" xfId="0" applyFont="1" applyBorder="1" applyAlignment="1" applyProtection="1">
      <alignment horizontal="center" vertical="top"/>
      <protection locked="0"/>
    </xf>
    <xf numFmtId="0" fontId="27" fillId="0" borderId="302" xfId="0" applyFont="1" applyBorder="1" applyAlignment="1" applyProtection="1">
      <alignment horizontal="center" vertical="top"/>
      <protection locked="0"/>
    </xf>
    <xf numFmtId="0" fontId="27" fillId="0" borderId="157" xfId="0" applyFont="1" applyBorder="1" applyAlignment="1" applyProtection="1">
      <alignment horizontal="center" vertical="top"/>
      <protection locked="0"/>
    </xf>
    <xf numFmtId="0" fontId="105" fillId="0" borderId="303" xfId="0" applyFont="1" applyBorder="1" applyAlignment="1" applyProtection="1">
      <alignment horizontal="center" vertical="top"/>
      <protection locked="0"/>
    </xf>
    <xf numFmtId="0" fontId="105" fillId="0" borderId="302" xfId="0" applyFont="1" applyBorder="1" applyAlignment="1" applyProtection="1">
      <alignment horizontal="center" vertical="top"/>
      <protection locked="0"/>
    </xf>
    <xf numFmtId="0" fontId="105" fillId="0" borderId="308" xfId="0" applyFont="1" applyBorder="1" applyAlignment="1" applyProtection="1">
      <alignment horizontal="center" vertical="top"/>
      <protection locked="0"/>
    </xf>
    <xf numFmtId="0" fontId="105" fillId="0" borderId="290" xfId="0" applyFont="1" applyBorder="1" applyAlignment="1" applyProtection="1">
      <alignment horizontal="center" vertical="top"/>
      <protection locked="0"/>
    </xf>
    <xf numFmtId="0" fontId="105" fillId="0" borderId="299" xfId="0" applyFont="1" applyBorder="1" applyAlignment="1" applyProtection="1">
      <alignment horizontal="center" vertical="top"/>
      <protection locked="0"/>
    </xf>
    <xf numFmtId="0" fontId="105" fillId="0" borderId="294" xfId="0" applyFont="1" applyBorder="1" applyAlignment="1" applyProtection="1">
      <alignment horizontal="center" vertical="top"/>
      <protection locked="0"/>
    </xf>
    <xf numFmtId="0" fontId="38" fillId="0" borderId="303" xfId="0" applyFont="1" applyBorder="1" applyAlignment="1">
      <alignment horizontal="left" vertical="top"/>
    </xf>
    <xf numFmtId="0" fontId="38" fillId="0" borderId="302" xfId="0" applyFont="1" applyBorder="1" applyAlignment="1">
      <alignment horizontal="left" vertical="top"/>
    </xf>
    <xf numFmtId="0" fontId="38" fillId="0" borderId="306" xfId="0" applyFont="1" applyBorder="1" applyAlignment="1">
      <alignment horizontal="left" vertical="top"/>
    </xf>
    <xf numFmtId="0" fontId="38" fillId="0" borderId="87" xfId="0" applyFont="1" applyBorder="1" applyAlignment="1">
      <alignment horizontal="left" vertical="top"/>
    </xf>
    <xf numFmtId="0" fontId="38" fillId="0" borderId="0" xfId="0" applyFont="1" applyBorder="1" applyAlignment="1">
      <alignment horizontal="left" vertical="top"/>
    </xf>
    <xf numFmtId="0" fontId="38" fillId="0" borderId="287" xfId="0" applyFont="1" applyBorder="1" applyAlignment="1">
      <alignment horizontal="left" vertical="top"/>
    </xf>
    <xf numFmtId="0" fontId="38" fillId="0" borderId="290" xfId="0" applyFont="1" applyBorder="1" applyAlignment="1">
      <alignment horizontal="left" vertical="top"/>
    </xf>
    <xf numFmtId="0" fontId="38" fillId="0" borderId="299" xfId="0" applyFont="1" applyBorder="1" applyAlignment="1">
      <alignment horizontal="left" vertical="top"/>
    </xf>
    <xf numFmtId="0" fontId="38" fillId="0" borderId="301" xfId="0" applyFont="1" applyBorder="1" applyAlignment="1">
      <alignment horizontal="left" vertical="top"/>
    </xf>
    <xf numFmtId="0" fontId="27" fillId="0" borderId="155" xfId="0" applyFont="1" applyBorder="1" applyAlignment="1" applyProtection="1">
      <alignment horizontal="left" vertical="top"/>
      <protection locked="0"/>
    </xf>
    <xf numFmtId="0" fontId="27" fillId="0" borderId="93" xfId="0" applyFont="1" applyBorder="1" applyAlignment="1" applyProtection="1">
      <alignment horizontal="left" vertical="top"/>
      <protection locked="0"/>
    </xf>
    <xf numFmtId="0" fontId="27" fillId="0" borderId="94" xfId="0" applyFont="1" applyBorder="1" applyAlignment="1" applyProtection="1">
      <alignment horizontal="left" vertical="top"/>
      <protection locked="0"/>
    </xf>
    <xf numFmtId="0" fontId="27" fillId="0" borderId="87" xfId="0" applyFont="1" applyBorder="1" applyAlignment="1" applyProtection="1">
      <alignment horizontal="left" vertical="top"/>
      <protection locked="0"/>
    </xf>
    <xf numFmtId="0" fontId="27" fillId="0" borderId="0" xfId="0" applyFont="1" applyBorder="1" applyAlignment="1" applyProtection="1">
      <alignment horizontal="left" vertical="top"/>
      <protection locked="0"/>
    </xf>
    <xf numFmtId="0" fontId="27" fillId="0" borderId="141" xfId="0" applyFont="1" applyBorder="1" applyAlignment="1" applyProtection="1">
      <alignment horizontal="left" vertical="top"/>
      <protection locked="0"/>
    </xf>
    <xf numFmtId="0" fontId="27" fillId="0" borderId="9" xfId="0" applyFont="1" applyBorder="1" applyAlignment="1" applyProtection="1">
      <alignment horizontal="left" vertical="top"/>
      <protection locked="0"/>
    </xf>
    <xf numFmtId="0" fontId="27" fillId="0" borderId="142" xfId="0" applyFont="1" applyBorder="1" applyAlignment="1" applyProtection="1">
      <alignment horizontal="left" vertical="top"/>
      <protection locked="0"/>
    </xf>
    <xf numFmtId="0" fontId="27" fillId="0" borderId="11" xfId="0" applyFont="1" applyBorder="1" applyAlignment="1" applyProtection="1">
      <alignment horizontal="left" vertical="top"/>
      <protection locked="0"/>
    </xf>
    <xf numFmtId="0" fontId="38" fillId="0" borderId="303" xfId="0" applyFont="1" applyBorder="1" applyAlignment="1">
      <alignment horizontal="center" vertical="top"/>
    </xf>
    <xf numFmtId="0" fontId="38" fillId="0" borderId="302" xfId="0" applyFont="1" applyBorder="1" applyAlignment="1">
      <alignment horizontal="center" vertical="top"/>
    </xf>
    <xf numFmtId="0" fontId="38" fillId="0" borderId="87" xfId="0" applyFont="1" applyBorder="1" applyAlignment="1">
      <alignment horizontal="center" vertical="top"/>
    </xf>
    <xf numFmtId="0" fontId="38" fillId="0" borderId="0" xfId="0" applyFont="1" applyBorder="1" applyAlignment="1">
      <alignment horizontal="center" vertical="top"/>
    </xf>
    <xf numFmtId="0" fontId="38" fillId="0" borderId="290" xfId="0" applyFont="1" applyBorder="1" applyAlignment="1">
      <alignment horizontal="center" vertical="top"/>
    </xf>
    <xf numFmtId="0" fontId="38" fillId="0" borderId="299" xfId="0" applyFont="1" applyBorder="1" applyAlignment="1">
      <alignment horizontal="center" vertical="top"/>
    </xf>
    <xf numFmtId="0" fontId="27" fillId="0" borderId="165" xfId="0" applyFont="1" applyBorder="1" applyAlignment="1" applyProtection="1">
      <alignment horizontal="center" vertical="top"/>
      <protection locked="0"/>
    </xf>
    <xf numFmtId="0" fontId="27" fillId="0" borderId="169" xfId="0" applyFont="1" applyBorder="1" applyAlignment="1" applyProtection="1">
      <alignment horizontal="center" vertical="top"/>
      <protection locked="0"/>
    </xf>
    <xf numFmtId="0" fontId="106" fillId="14" borderId="287" xfId="0" quotePrefix="1" applyFont="1" applyFill="1" applyBorder="1" applyAlignment="1" applyProtection="1">
      <alignment horizontal="center" vertical="center" shrinkToFit="1"/>
      <protection locked="0"/>
    </xf>
    <xf numFmtId="0" fontId="106" fillId="14" borderId="137" xfId="0" quotePrefix="1" applyFont="1" applyFill="1" applyBorder="1" applyAlignment="1" applyProtection="1">
      <alignment horizontal="center" vertical="center" shrinkToFit="1"/>
      <protection locked="0"/>
    </xf>
    <xf numFmtId="0" fontId="106" fillId="14" borderId="299" xfId="0" quotePrefix="1" applyFont="1" applyFill="1" applyBorder="1" applyAlignment="1" applyProtection="1">
      <alignment horizontal="center" vertical="center" shrinkToFit="1"/>
      <protection locked="0"/>
    </xf>
    <xf numFmtId="0" fontId="106" fillId="14" borderId="301" xfId="0" quotePrefix="1" applyFont="1" applyFill="1" applyBorder="1" applyAlignment="1" applyProtection="1">
      <alignment horizontal="center" vertical="center" shrinkToFit="1"/>
      <protection locked="0"/>
    </xf>
    <xf numFmtId="0" fontId="105" fillId="0" borderId="155" xfId="0" applyFont="1" applyBorder="1" applyAlignment="1" applyProtection="1">
      <alignment horizontal="center" vertical="top"/>
      <protection locked="0"/>
    </xf>
    <xf numFmtId="0" fontId="105" fillId="0" borderId="93" xfId="0" applyFont="1" applyBorder="1" applyAlignment="1" applyProtection="1">
      <alignment horizontal="center" vertical="top"/>
      <protection locked="0"/>
    </xf>
    <xf numFmtId="0" fontId="105" fillId="0" borderId="9" xfId="0" applyFont="1" applyBorder="1" applyAlignment="1" applyProtection="1">
      <alignment horizontal="center" vertical="top"/>
      <protection locked="0"/>
    </xf>
    <xf numFmtId="0" fontId="105" fillId="0" borderId="142" xfId="0" applyFont="1" applyBorder="1" applyAlignment="1" applyProtection="1">
      <alignment horizontal="center" vertical="top"/>
      <protection locked="0"/>
    </xf>
    <xf numFmtId="0" fontId="27" fillId="0" borderId="163" xfId="0" applyFont="1" applyBorder="1" applyAlignment="1" applyProtection="1">
      <alignment horizontal="center" vertical="top"/>
      <protection locked="0"/>
    </xf>
    <xf numFmtId="0" fontId="27" fillId="0" borderId="162" xfId="0" applyFont="1" applyBorder="1" applyAlignment="1" applyProtection="1">
      <alignment horizontal="center" vertical="top"/>
      <protection locked="0"/>
    </xf>
    <xf numFmtId="0" fontId="27" fillId="0" borderId="164" xfId="0" applyFont="1" applyBorder="1" applyAlignment="1" applyProtection="1">
      <alignment horizontal="center" vertical="top"/>
      <protection locked="0"/>
    </xf>
    <xf numFmtId="0" fontId="27" fillId="0" borderId="87" xfId="0" applyFont="1" applyBorder="1" applyAlignment="1" applyProtection="1">
      <alignment horizontal="center" vertical="top"/>
      <protection locked="0"/>
    </xf>
    <xf numFmtId="0" fontId="27" fillId="0" borderId="141" xfId="0" applyFont="1" applyBorder="1" applyAlignment="1" applyProtection="1">
      <alignment horizontal="center" vertical="top"/>
      <protection locked="0"/>
    </xf>
    <xf numFmtId="0" fontId="27" fillId="0" borderId="142" xfId="0" applyFont="1" applyBorder="1" applyAlignment="1" applyProtection="1">
      <alignment horizontal="center" vertical="top"/>
      <protection locked="0"/>
    </xf>
    <xf numFmtId="0" fontId="99" fillId="18" borderId="167" xfId="0" applyFont="1" applyFill="1" applyBorder="1" applyAlignment="1">
      <alignment horizontal="center" vertical="center" shrinkToFit="1"/>
    </xf>
    <xf numFmtId="0" fontId="99" fillId="18" borderId="162" xfId="0" applyFont="1" applyFill="1" applyBorder="1" applyAlignment="1">
      <alignment horizontal="center" vertical="center" shrinkToFit="1"/>
    </xf>
    <xf numFmtId="0" fontId="99" fillId="18" borderId="166" xfId="0" applyFont="1" applyFill="1" applyBorder="1" applyAlignment="1">
      <alignment horizontal="center" vertical="center" shrinkToFit="1"/>
    </xf>
    <xf numFmtId="0" fontId="105" fillId="0" borderId="304" xfId="0" applyFont="1" applyBorder="1" applyAlignment="1" applyProtection="1">
      <alignment horizontal="center" vertical="top"/>
      <protection locked="0"/>
    </xf>
    <xf numFmtId="0" fontId="105" fillId="0" borderId="305" xfId="0" applyFont="1" applyBorder="1" applyAlignment="1" applyProtection="1">
      <alignment horizontal="center" vertical="top"/>
      <protection locked="0"/>
    </xf>
    <xf numFmtId="0" fontId="61" fillId="7" borderId="87" xfId="0" applyFont="1" applyFill="1" applyBorder="1" applyAlignment="1" applyProtection="1">
      <alignment horizontal="left" vertical="center"/>
      <protection hidden="1"/>
    </xf>
    <xf numFmtId="0" fontId="61" fillId="7" borderId="0" xfId="0" applyFont="1" applyFill="1" applyBorder="1" applyAlignment="1" applyProtection="1">
      <alignment horizontal="left" vertical="center"/>
      <protection hidden="1"/>
    </xf>
    <xf numFmtId="0" fontId="61" fillId="7" borderId="145" xfId="0" applyFont="1" applyFill="1" applyBorder="1" applyAlignment="1" applyProtection="1">
      <alignment horizontal="left" vertical="center"/>
      <protection hidden="1"/>
    </xf>
    <xf numFmtId="164" fontId="61" fillId="7" borderId="86" xfId="0" applyNumberFormat="1" applyFont="1" applyFill="1" applyBorder="1" applyAlignment="1" applyProtection="1">
      <alignment horizontal="center" vertical="center" shrinkToFit="1"/>
      <protection hidden="1"/>
    </xf>
    <xf numFmtId="164" fontId="61" fillId="7" borderId="0" xfId="0" applyNumberFormat="1" applyFont="1" applyFill="1" applyBorder="1" applyAlignment="1" applyProtection="1">
      <alignment horizontal="center" vertical="center" shrinkToFit="1"/>
      <protection hidden="1"/>
    </xf>
    <xf numFmtId="164" fontId="61" fillId="7" borderId="141" xfId="0" applyNumberFormat="1" applyFont="1" applyFill="1" applyBorder="1" applyAlignment="1" applyProtection="1">
      <alignment horizontal="center" vertical="center" shrinkToFit="1"/>
      <protection hidden="1"/>
    </xf>
    <xf numFmtId="164" fontId="69" fillId="10" borderId="86" xfId="0" applyNumberFormat="1" applyFont="1" applyFill="1" applyBorder="1" applyAlignment="1" applyProtection="1">
      <alignment horizontal="center" vertical="center" shrinkToFit="1"/>
      <protection hidden="1"/>
    </xf>
    <xf numFmtId="164" fontId="69" fillId="10" borderId="0" xfId="0" applyNumberFormat="1" applyFont="1" applyFill="1" applyBorder="1" applyAlignment="1" applyProtection="1">
      <alignment horizontal="center" vertical="center" shrinkToFit="1"/>
      <protection hidden="1"/>
    </xf>
    <xf numFmtId="164" fontId="69" fillId="10" borderId="141" xfId="0" applyNumberFormat="1" applyFont="1" applyFill="1" applyBorder="1" applyAlignment="1" applyProtection="1">
      <alignment horizontal="center" vertical="center" shrinkToFit="1"/>
      <protection hidden="1"/>
    </xf>
    <xf numFmtId="0" fontId="105" fillId="0" borderId="163" xfId="0" applyFont="1" applyBorder="1" applyAlignment="1" applyProtection="1">
      <alignment horizontal="center" vertical="top"/>
      <protection locked="0"/>
    </xf>
    <xf numFmtId="0" fontId="105" fillId="0" borderId="162" xfId="0" applyFont="1" applyBorder="1" applyAlignment="1" applyProtection="1">
      <alignment horizontal="center" vertical="top"/>
      <protection locked="0"/>
    </xf>
    <xf numFmtId="0" fontId="99" fillId="0" borderId="258" xfId="0" applyFont="1" applyBorder="1" applyAlignment="1">
      <alignment horizontal="right" vertical="center" shrinkToFit="1"/>
    </xf>
    <xf numFmtId="0" fontId="99" fillId="0" borderId="299" xfId="0" applyFont="1" applyBorder="1" applyAlignment="1">
      <alignment horizontal="right" vertical="center" shrinkToFit="1"/>
    </xf>
    <xf numFmtId="0" fontId="99" fillId="0" borderId="301" xfId="0" applyFont="1" applyBorder="1" applyAlignment="1">
      <alignment horizontal="right" vertical="center" shrinkToFit="1"/>
    </xf>
    <xf numFmtId="0" fontId="27" fillId="14" borderId="87" xfId="0" quotePrefix="1" applyFont="1" applyFill="1" applyBorder="1" applyAlignment="1" applyProtection="1">
      <alignment horizontal="center" vertical="top"/>
      <protection locked="0"/>
    </xf>
    <xf numFmtId="0" fontId="27" fillId="14" borderId="0" xfId="0" quotePrefix="1" applyFont="1" applyFill="1" applyBorder="1" applyAlignment="1" applyProtection="1">
      <alignment horizontal="center" vertical="top"/>
      <protection locked="0"/>
    </xf>
    <xf numFmtId="0" fontId="27" fillId="14" borderId="141" xfId="0" quotePrefix="1" applyFont="1" applyFill="1" applyBorder="1" applyAlignment="1" applyProtection="1">
      <alignment horizontal="center" vertical="top"/>
      <protection locked="0"/>
    </xf>
    <xf numFmtId="0" fontId="27" fillId="14" borderId="9" xfId="0" quotePrefix="1" applyFont="1" applyFill="1" applyBorder="1" applyAlignment="1" applyProtection="1">
      <alignment horizontal="center" vertical="top"/>
      <protection locked="0"/>
    </xf>
    <xf numFmtId="0" fontId="27" fillId="14" borderId="142" xfId="0" quotePrefix="1" applyFont="1" applyFill="1" applyBorder="1" applyAlignment="1" applyProtection="1">
      <alignment horizontal="center" vertical="top"/>
      <protection locked="0"/>
    </xf>
    <xf numFmtId="0" fontId="27" fillId="14" borderId="11" xfId="0" quotePrefix="1" applyFont="1" applyFill="1" applyBorder="1" applyAlignment="1" applyProtection="1">
      <alignment horizontal="center" vertical="top"/>
      <protection locked="0"/>
    </xf>
    <xf numFmtId="0" fontId="27" fillId="0" borderId="298" xfId="0" applyFont="1" applyBorder="1" applyAlignment="1" applyProtection="1">
      <alignment horizontal="center" vertical="top"/>
      <protection locked="0"/>
    </xf>
    <xf numFmtId="0" fontId="27" fillId="0" borderId="300" xfId="0" applyFont="1" applyBorder="1" applyAlignment="1" applyProtection="1">
      <alignment horizontal="center" vertical="top"/>
      <protection locked="0"/>
    </xf>
    <xf numFmtId="0" fontId="27" fillId="0" borderId="287" xfId="0" applyFont="1" applyBorder="1" applyAlignment="1" applyProtection="1">
      <alignment horizontal="center" vertical="top"/>
      <protection locked="0"/>
    </xf>
    <xf numFmtId="0" fontId="27" fillId="0" borderId="137" xfId="0" applyFont="1" applyBorder="1" applyAlignment="1" applyProtection="1">
      <alignment horizontal="center" vertical="top"/>
      <protection locked="0"/>
    </xf>
    <xf numFmtId="0" fontId="27" fillId="0" borderId="301" xfId="0" applyFont="1" applyBorder="1" applyAlignment="1" applyProtection="1">
      <alignment horizontal="center" vertical="top"/>
      <protection locked="0"/>
    </xf>
    <xf numFmtId="0" fontId="69" fillId="10" borderId="9" xfId="0" applyFont="1" applyFill="1" applyBorder="1" applyAlignment="1" applyProtection="1">
      <alignment horizontal="left" vertical="center"/>
      <protection hidden="1"/>
    </xf>
    <xf numFmtId="0" fontId="69" fillId="10" borderId="142" xfId="0" applyFont="1" applyFill="1" applyBorder="1" applyAlignment="1" applyProtection="1">
      <alignment horizontal="left" vertical="center"/>
      <protection hidden="1"/>
    </xf>
    <xf numFmtId="0" fontId="69" fillId="10" borderId="146" xfId="0" applyFont="1" applyFill="1" applyBorder="1" applyAlignment="1" applyProtection="1">
      <alignment horizontal="left" vertical="center"/>
      <protection hidden="1"/>
    </xf>
    <xf numFmtId="164" fontId="69" fillId="10" borderId="46" xfId="0" applyNumberFormat="1" applyFont="1" applyFill="1" applyBorder="1" applyAlignment="1" applyProtection="1">
      <alignment horizontal="center" vertical="center" shrinkToFit="1"/>
      <protection hidden="1"/>
    </xf>
    <xf numFmtId="164" fontId="69" fillId="10" borderId="142" xfId="0" applyNumberFormat="1" applyFont="1" applyFill="1" applyBorder="1" applyAlignment="1" applyProtection="1">
      <alignment horizontal="center" vertical="center" shrinkToFit="1"/>
      <protection hidden="1"/>
    </xf>
    <xf numFmtId="164" fontId="69" fillId="10" borderId="11" xfId="0" applyNumberFormat="1" applyFont="1" applyFill="1" applyBorder="1" applyAlignment="1" applyProtection="1">
      <alignment horizontal="center" vertical="center" shrinkToFit="1"/>
      <protection hidden="1"/>
    </xf>
    <xf numFmtId="0" fontId="69" fillId="10" borderId="168" xfId="0" applyFont="1" applyFill="1" applyBorder="1" applyAlignment="1" applyProtection="1">
      <alignment horizontal="left" vertical="top"/>
      <protection hidden="1"/>
    </xf>
    <xf numFmtId="0" fontId="69" fillId="10" borderId="214" xfId="0" applyFont="1" applyFill="1" applyBorder="1" applyAlignment="1" applyProtection="1">
      <alignment horizontal="left" vertical="top"/>
      <protection hidden="1"/>
    </xf>
    <xf numFmtId="0" fontId="69" fillId="10" borderId="221" xfId="0" applyFont="1" applyFill="1" applyBorder="1" applyAlignment="1" applyProtection="1">
      <alignment horizontal="left" vertical="top"/>
      <protection hidden="1"/>
    </xf>
    <xf numFmtId="0" fontId="71" fillId="0" borderId="0" xfId="0" applyFont="1" applyBorder="1" applyAlignment="1" applyProtection="1">
      <alignment horizontal="center"/>
    </xf>
    <xf numFmtId="0" fontId="71" fillId="0" borderId="58" xfId="0" applyFont="1" applyBorder="1" applyAlignment="1" applyProtection="1">
      <alignment horizontal="center"/>
    </xf>
    <xf numFmtId="0" fontId="100" fillId="0" borderId="0" xfId="0" applyFont="1" applyAlignment="1">
      <alignment horizontal="center" vertical="center" shrinkToFit="1"/>
    </xf>
    <xf numFmtId="0" fontId="31" fillId="0" borderId="0" xfId="0" applyFont="1" applyBorder="1" applyAlignment="1" applyProtection="1">
      <alignment horizontal="center"/>
    </xf>
    <xf numFmtId="0" fontId="31" fillId="0" borderId="82" xfId="0" applyFont="1" applyBorder="1" applyAlignment="1" applyProtection="1">
      <alignment horizontal="center"/>
    </xf>
    <xf numFmtId="0" fontId="57" fillId="0" borderId="0" xfId="0" applyFont="1" applyBorder="1" applyAlignment="1" applyProtection="1">
      <alignment horizontal="center" vertical="top" shrinkToFit="1"/>
    </xf>
    <xf numFmtId="0" fontId="38" fillId="0" borderId="0" xfId="0" applyFont="1" applyAlignment="1">
      <alignment horizontal="left"/>
    </xf>
    <xf numFmtId="0" fontId="38" fillId="0" borderId="142" xfId="0" applyFont="1" applyBorder="1" applyAlignment="1">
      <alignment horizontal="left"/>
    </xf>
    <xf numFmtId="0" fontId="69" fillId="10" borderId="143" xfId="0" applyFont="1" applyFill="1" applyBorder="1" applyAlignment="1" applyProtection="1">
      <alignment horizontal="left" vertical="center"/>
      <protection hidden="1"/>
    </xf>
    <xf numFmtId="0" fontId="69" fillId="10" borderId="93" xfId="0" applyFont="1" applyFill="1" applyBorder="1" applyAlignment="1" applyProtection="1">
      <alignment horizontal="left" vertical="center"/>
      <protection hidden="1"/>
    </xf>
    <xf numFmtId="0" fontId="69" fillId="10" borderId="144" xfId="0" applyFont="1" applyFill="1" applyBorder="1" applyAlignment="1" applyProtection="1">
      <alignment horizontal="left" vertical="center"/>
      <protection hidden="1"/>
    </xf>
    <xf numFmtId="164" fontId="69" fillId="10" borderId="45" xfId="0" applyNumberFormat="1" applyFont="1" applyFill="1" applyBorder="1" applyAlignment="1" applyProtection="1">
      <alignment horizontal="center" vertical="center" shrinkToFit="1"/>
      <protection hidden="1"/>
    </xf>
    <xf numFmtId="164" fontId="69" fillId="10" borderId="5" xfId="0" applyNumberFormat="1" applyFont="1" applyFill="1" applyBorder="1" applyAlignment="1" applyProtection="1">
      <alignment horizontal="center" vertical="center" shrinkToFit="1"/>
      <protection hidden="1"/>
    </xf>
    <xf numFmtId="164" fontId="69" fillId="10" borderId="6" xfId="0" applyNumberFormat="1" applyFont="1" applyFill="1" applyBorder="1" applyAlignment="1" applyProtection="1">
      <alignment horizontal="center" vertical="center" shrinkToFit="1"/>
      <protection hidden="1"/>
    </xf>
    <xf numFmtId="164" fontId="69" fillId="10" borderId="88" xfId="0" applyNumberFormat="1" applyFont="1" applyFill="1" applyBorder="1" applyAlignment="1" applyProtection="1">
      <alignment horizontal="center" vertical="center" shrinkToFit="1"/>
      <protection hidden="1"/>
    </xf>
    <xf numFmtId="0" fontId="69" fillId="10" borderId="147" xfId="0" applyFont="1" applyFill="1" applyBorder="1" applyAlignment="1" applyProtection="1">
      <alignment horizontal="left" vertical="top"/>
      <protection hidden="1"/>
    </xf>
    <xf numFmtId="0" fontId="69" fillId="10" borderId="218" xfId="0" applyFont="1" applyFill="1" applyBorder="1" applyAlignment="1" applyProtection="1">
      <alignment horizontal="left" vertical="top"/>
      <protection hidden="1"/>
    </xf>
    <xf numFmtId="0" fontId="69" fillId="10" borderId="219" xfId="0" applyFont="1" applyFill="1" applyBorder="1" applyAlignment="1" applyProtection="1">
      <alignment horizontal="left" vertical="top"/>
      <protection hidden="1"/>
    </xf>
    <xf numFmtId="0" fontId="38" fillId="0" borderId="0" xfId="0" applyFont="1" applyAlignment="1">
      <alignment horizontal="center"/>
    </xf>
    <xf numFmtId="0" fontId="38" fillId="0" borderId="214" xfId="0" applyFont="1" applyBorder="1" applyAlignment="1">
      <alignment horizontal="center"/>
    </xf>
    <xf numFmtId="0" fontId="38" fillId="0" borderId="171" xfId="0" applyFont="1" applyBorder="1" applyAlignment="1">
      <alignment horizontal="center"/>
    </xf>
    <xf numFmtId="0" fontId="38" fillId="0" borderId="172" xfId="0" applyFont="1" applyBorder="1" applyAlignment="1">
      <alignment horizontal="center"/>
    </xf>
    <xf numFmtId="0" fontId="38" fillId="0" borderId="173" xfId="0" applyFont="1" applyBorder="1" applyAlignment="1">
      <alignment horizontal="center"/>
    </xf>
    <xf numFmtId="0" fontId="38" fillId="0" borderId="176" xfId="0" applyFont="1" applyBorder="1" applyAlignment="1">
      <alignment horizontal="center"/>
    </xf>
    <xf numFmtId="0" fontId="38" fillId="0" borderId="177" xfId="0" applyFont="1" applyBorder="1" applyAlignment="1">
      <alignment horizontal="center"/>
    </xf>
    <xf numFmtId="0" fontId="38" fillId="0" borderId="178" xfId="0" applyFont="1" applyBorder="1" applyAlignment="1">
      <alignment horizontal="center"/>
    </xf>
    <xf numFmtId="0" fontId="71" fillId="0" borderId="57" xfId="0" applyFont="1" applyBorder="1" applyAlignment="1" applyProtection="1">
      <alignment horizontal="center"/>
    </xf>
    <xf numFmtId="1" fontId="38" fillId="0" borderId="0" xfId="0" applyNumberFormat="1" applyFont="1" applyBorder="1" applyAlignment="1" applyProtection="1">
      <alignment horizontal="left" shrinkToFit="1"/>
    </xf>
    <xf numFmtId="1" fontId="38" fillId="0" borderId="179" xfId="0" applyNumberFormat="1" applyFont="1" applyBorder="1" applyAlignment="1" applyProtection="1">
      <alignment horizontal="left" shrinkToFit="1"/>
    </xf>
    <xf numFmtId="0" fontId="38" fillId="0" borderId="142" xfId="0" applyFont="1" applyBorder="1" applyAlignment="1">
      <alignment horizontal="center"/>
    </xf>
    <xf numFmtId="0" fontId="57" fillId="0" borderId="89" xfId="0" applyFont="1" applyBorder="1" applyAlignment="1" applyProtection="1">
      <alignment horizontal="center" vertical="top" shrinkToFit="1"/>
    </xf>
    <xf numFmtId="164" fontId="61" fillId="7" borderId="287" xfId="0" applyNumberFormat="1" applyFont="1" applyFill="1" applyBorder="1" applyAlignment="1" applyProtection="1">
      <alignment horizontal="center" vertical="center" shrinkToFit="1"/>
      <protection hidden="1"/>
    </xf>
    <xf numFmtId="0" fontId="27" fillId="0" borderId="196" xfId="0" applyFont="1" applyBorder="1" applyAlignment="1" applyProtection="1">
      <alignment horizontal="center" shrinkToFit="1"/>
      <protection locked="0"/>
    </xf>
    <xf numFmtId="0" fontId="27" fillId="0" borderId="302" xfId="0" applyFont="1" applyBorder="1" applyAlignment="1" applyProtection="1">
      <alignment horizontal="center" shrinkToFit="1"/>
      <protection locked="0"/>
    </xf>
    <xf numFmtId="0" fontId="27" fillId="0" borderId="197" xfId="0" applyFont="1" applyBorder="1" applyAlignment="1" applyProtection="1">
      <alignment horizontal="center" shrinkToFit="1"/>
      <protection locked="0"/>
    </xf>
    <xf numFmtId="0" fontId="27" fillId="0" borderId="299" xfId="0" applyFont="1" applyBorder="1" applyAlignment="1" applyProtection="1">
      <alignment horizontal="center" shrinkToFit="1"/>
      <protection locked="0"/>
    </xf>
    <xf numFmtId="0" fontId="71" fillId="0" borderId="59" xfId="0" applyFont="1" applyBorder="1" applyAlignment="1" applyProtection="1">
      <alignment horizontal="center"/>
    </xf>
    <xf numFmtId="0" fontId="0" fillId="0" borderId="416" xfId="0" applyBorder="1" applyAlignment="1">
      <alignment horizontal="center" vertical="top"/>
    </xf>
    <xf numFmtId="0" fontId="0" fillId="0" borderId="417" xfId="0" applyBorder="1" applyAlignment="1">
      <alignment horizontal="center" vertical="top"/>
    </xf>
    <xf numFmtId="0" fontId="0" fillId="0" borderId="418" xfId="0" applyBorder="1" applyAlignment="1">
      <alignment horizontal="center" vertical="top"/>
    </xf>
    <xf numFmtId="0" fontId="0" fillId="0" borderId="7" xfId="0" applyBorder="1" applyAlignment="1">
      <alignment horizontal="center" vertical="top"/>
    </xf>
    <xf numFmtId="0" fontId="0" fillId="0" borderId="0" xfId="0" applyBorder="1" applyAlignment="1">
      <alignment horizontal="center" vertical="top"/>
    </xf>
    <xf numFmtId="0" fontId="0" fillId="0" borderId="415" xfId="0" applyBorder="1" applyAlignment="1">
      <alignment horizontal="center" vertical="top"/>
    </xf>
    <xf numFmtId="0" fontId="0" fillId="0" borderId="355" xfId="0" applyBorder="1" applyAlignment="1">
      <alignment horizontal="center" vertical="top"/>
    </xf>
    <xf numFmtId="0" fontId="0" fillId="0" borderId="356" xfId="0" applyBorder="1" applyAlignment="1">
      <alignment horizontal="center" vertical="top"/>
    </xf>
    <xf numFmtId="0" fontId="0" fillId="0" borderId="357" xfId="0" applyBorder="1" applyAlignment="1">
      <alignment horizontal="center" vertical="top"/>
    </xf>
    <xf numFmtId="0" fontId="27" fillId="0" borderId="292" xfId="0" applyFont="1" applyBorder="1" applyAlignment="1" applyProtection="1">
      <alignment horizontal="center" vertical="top"/>
      <protection locked="0"/>
    </xf>
    <xf numFmtId="0" fontId="27" fillId="0" borderId="288" xfId="0" applyFont="1" applyBorder="1" applyAlignment="1" applyProtection="1">
      <alignment horizontal="center" vertical="top"/>
      <protection locked="0"/>
    </xf>
    <xf numFmtId="0" fontId="27" fillId="0" borderId="293" xfId="0" applyFont="1" applyBorder="1" applyAlignment="1" applyProtection="1">
      <alignment horizontal="center" vertical="top"/>
      <protection locked="0"/>
    </xf>
    <xf numFmtId="0" fontId="105" fillId="0" borderId="292" xfId="0" applyFont="1" applyBorder="1" applyAlignment="1" applyProtection="1">
      <alignment horizontal="center" vertical="top"/>
      <protection locked="0"/>
    </xf>
    <xf numFmtId="0" fontId="105" fillId="0" borderId="288" xfId="0" applyFont="1" applyBorder="1" applyAlignment="1" applyProtection="1">
      <alignment horizontal="center" vertical="top"/>
      <protection locked="0"/>
    </xf>
    <xf numFmtId="0" fontId="105" fillId="0" borderId="137" xfId="0" applyFont="1" applyBorder="1" applyAlignment="1" applyProtection="1">
      <alignment horizontal="center" vertical="top"/>
      <protection locked="0"/>
    </xf>
    <xf numFmtId="0" fontId="105" fillId="0" borderId="293" xfId="0" applyFont="1" applyBorder="1" applyAlignment="1" applyProtection="1">
      <alignment horizontal="center" vertical="top"/>
      <protection locked="0"/>
    </xf>
    <xf numFmtId="164" fontId="38" fillId="0" borderId="0" xfId="0" applyNumberFormat="1" applyFont="1" applyBorder="1" applyAlignment="1" applyProtection="1">
      <alignment horizontal="right" shrinkToFit="1"/>
    </xf>
    <xf numFmtId="164" fontId="38" fillId="0" borderId="179" xfId="0" applyNumberFormat="1" applyFont="1" applyBorder="1" applyAlignment="1" applyProtection="1">
      <alignment horizontal="right" shrinkToFit="1"/>
    </xf>
    <xf numFmtId="0" fontId="57" fillId="0" borderId="170" xfId="0" applyFont="1" applyBorder="1" applyAlignment="1" applyProtection="1">
      <alignment horizontal="center" vertical="top"/>
    </xf>
    <xf numFmtId="0" fontId="101" fillId="0" borderId="0" xfId="0" applyFont="1" applyBorder="1" applyAlignment="1">
      <alignment horizontal="center" shrinkToFit="1"/>
    </xf>
    <xf numFmtId="0" fontId="101" fillId="0" borderId="179" xfId="0" applyFont="1" applyBorder="1" applyAlignment="1">
      <alignment horizontal="center" shrinkToFit="1"/>
    </xf>
    <xf numFmtId="0" fontId="105" fillId="0" borderId="87" xfId="0" applyFont="1" applyBorder="1" applyAlignment="1" applyProtection="1">
      <alignment horizontal="center" vertical="top"/>
      <protection locked="0"/>
    </xf>
    <xf numFmtId="0" fontId="105" fillId="0" borderId="0" xfId="0" applyFont="1" applyBorder="1" applyAlignment="1" applyProtection="1">
      <alignment horizontal="center" vertical="top"/>
      <protection locked="0"/>
    </xf>
    <xf numFmtId="0" fontId="127" fillId="16" borderId="355" xfId="0" applyFont="1" applyFill="1" applyBorder="1" applyAlignment="1" applyProtection="1">
      <alignment horizontal="center"/>
    </xf>
    <xf numFmtId="0" fontId="127" fillId="16" borderId="356" xfId="0" applyFont="1" applyFill="1" applyBorder="1" applyAlignment="1" applyProtection="1">
      <alignment horizontal="center"/>
    </xf>
    <xf numFmtId="0" fontId="127" fillId="16" borderId="357" xfId="0" applyFont="1" applyFill="1" applyBorder="1" applyAlignment="1" applyProtection="1">
      <alignment horizontal="center"/>
    </xf>
    <xf numFmtId="0" fontId="159" fillId="0" borderId="336" xfId="82" applyFont="1" applyFill="1" applyBorder="1" applyAlignment="1" applyProtection="1">
      <alignment horizontal="center" vertical="center"/>
    </xf>
    <xf numFmtId="0" fontId="159" fillId="0" borderId="337" xfId="82" applyFont="1" applyFill="1" applyBorder="1" applyAlignment="1" applyProtection="1">
      <alignment horizontal="center" vertical="center"/>
    </xf>
    <xf numFmtId="0" fontId="159" fillId="0" borderId="338" xfId="82" applyFont="1" applyFill="1" applyBorder="1" applyAlignment="1" applyProtection="1">
      <alignment horizontal="center" vertical="center"/>
    </xf>
    <xf numFmtId="0" fontId="159" fillId="0" borderId="339" xfId="82" applyFont="1" applyFill="1" applyBorder="1" applyAlignment="1" applyProtection="1">
      <alignment horizontal="center" vertical="center"/>
    </xf>
    <xf numFmtId="0" fontId="159" fillId="0" borderId="340" xfId="82" applyFont="1" applyFill="1" applyBorder="1" applyAlignment="1" applyProtection="1">
      <alignment horizontal="center" vertical="center"/>
    </xf>
    <xf numFmtId="0" fontId="159" fillId="0" borderId="341" xfId="82" applyFont="1" applyFill="1" applyBorder="1" applyAlignment="1" applyProtection="1">
      <alignment horizontal="center" vertical="center"/>
    </xf>
    <xf numFmtId="0" fontId="156" fillId="16" borderId="0" xfId="0" applyFont="1" applyFill="1" applyBorder="1" applyAlignment="1" applyProtection="1">
      <alignment horizontal="center"/>
    </xf>
    <xf numFmtId="0" fontId="156" fillId="16" borderId="342" xfId="0" applyFont="1" applyFill="1" applyBorder="1" applyAlignment="1" applyProtection="1">
      <alignment horizontal="center"/>
    </xf>
    <xf numFmtId="0" fontId="156" fillId="17" borderId="0" xfId="0" applyFont="1" applyFill="1" applyBorder="1" applyAlignment="1" applyProtection="1">
      <alignment horizontal="center"/>
    </xf>
    <xf numFmtId="0" fontId="156" fillId="17" borderId="342" xfId="0" applyFont="1" applyFill="1" applyBorder="1" applyAlignment="1" applyProtection="1">
      <alignment horizontal="center"/>
    </xf>
    <xf numFmtId="170" fontId="123" fillId="0" borderId="358" xfId="0" applyNumberFormat="1" applyFont="1" applyFill="1" applyBorder="1" applyAlignment="1" applyProtection="1">
      <alignment horizontal="center" vertical="center"/>
    </xf>
    <xf numFmtId="170" fontId="123" fillId="0" borderId="359" xfId="0" applyNumberFormat="1" applyFont="1" applyFill="1" applyBorder="1" applyAlignment="1" applyProtection="1">
      <alignment horizontal="center" vertical="center"/>
    </xf>
    <xf numFmtId="170" fontId="123" fillId="0" borderId="360" xfId="0" applyNumberFormat="1" applyFont="1" applyFill="1" applyBorder="1" applyAlignment="1" applyProtection="1">
      <alignment horizontal="center" vertical="center"/>
    </xf>
    <xf numFmtId="0" fontId="118" fillId="0" borderId="336" xfId="82" applyFont="1" applyFill="1" applyBorder="1" applyAlignment="1" applyProtection="1">
      <alignment horizontal="center" vertical="center"/>
    </xf>
    <xf numFmtId="0" fontId="118" fillId="0" borderId="337" xfId="82" applyFont="1" applyFill="1" applyBorder="1" applyAlignment="1" applyProtection="1">
      <alignment horizontal="center" vertical="center"/>
    </xf>
    <xf numFmtId="0" fontId="118" fillId="0" borderId="338" xfId="82" applyFont="1" applyFill="1" applyBorder="1" applyAlignment="1" applyProtection="1">
      <alignment horizontal="center" vertical="center"/>
    </xf>
    <xf numFmtId="0" fontId="118" fillId="0" borderId="339" xfId="82" applyFont="1" applyFill="1" applyBorder="1" applyAlignment="1" applyProtection="1">
      <alignment horizontal="center" vertical="center"/>
    </xf>
    <xf numFmtId="0" fontId="118" fillId="0" borderId="340" xfId="82" applyFont="1" applyFill="1" applyBorder="1" applyAlignment="1" applyProtection="1">
      <alignment horizontal="center" vertical="center"/>
    </xf>
    <xf numFmtId="0" fontId="118" fillId="0" borderId="341" xfId="82" applyFont="1" applyFill="1" applyBorder="1" applyAlignment="1" applyProtection="1">
      <alignment horizontal="center" vertical="center"/>
    </xf>
    <xf numFmtId="0" fontId="117" fillId="0" borderId="336" xfId="82" applyFont="1" applyFill="1" applyBorder="1" applyAlignment="1" applyProtection="1">
      <alignment horizontal="center" vertical="center"/>
    </xf>
    <xf numFmtId="0" fontId="117" fillId="0" borderId="337" xfId="82" applyFont="1" applyFill="1" applyBorder="1" applyAlignment="1" applyProtection="1">
      <alignment horizontal="center" vertical="center"/>
    </xf>
    <xf numFmtId="0" fontId="117" fillId="0" borderId="338" xfId="82" applyFont="1" applyFill="1" applyBorder="1" applyAlignment="1" applyProtection="1">
      <alignment horizontal="center" vertical="center"/>
    </xf>
    <xf numFmtId="0" fontId="117" fillId="0" borderId="339" xfId="82" applyFont="1" applyFill="1" applyBorder="1" applyAlignment="1" applyProtection="1">
      <alignment horizontal="center" vertical="center"/>
    </xf>
    <xf numFmtId="0" fontId="117" fillId="0" borderId="340" xfId="82" applyFont="1" applyFill="1" applyBorder="1" applyAlignment="1" applyProtection="1">
      <alignment horizontal="center" vertical="center"/>
    </xf>
    <xf numFmtId="0" fontId="117" fillId="0" borderId="341" xfId="82" applyFont="1" applyFill="1" applyBorder="1" applyAlignment="1" applyProtection="1">
      <alignment horizontal="center" vertical="center"/>
    </xf>
    <xf numFmtId="0" fontId="116" fillId="0" borderId="347" xfId="82" applyFont="1" applyFill="1" applyBorder="1" applyAlignment="1" applyProtection="1">
      <alignment horizontal="center" vertical="center"/>
    </xf>
    <xf numFmtId="0" fontId="116" fillId="0" borderId="349" xfId="82" applyFont="1" applyFill="1" applyBorder="1" applyAlignment="1" applyProtection="1">
      <alignment horizontal="center" vertical="center"/>
    </xf>
    <xf numFmtId="0" fontId="120" fillId="0" borderId="347" xfId="82" applyFont="1" applyFill="1" applyBorder="1" applyAlignment="1" applyProtection="1">
      <alignment horizontal="center" vertical="center"/>
    </xf>
    <xf numFmtId="0" fontId="120" fillId="0" borderId="349" xfId="82" applyFont="1" applyFill="1" applyBorder="1" applyAlignment="1" applyProtection="1">
      <alignment horizontal="center" vertical="center"/>
    </xf>
    <xf numFmtId="0" fontId="70" fillId="0" borderId="0" xfId="0" applyFont="1" applyBorder="1" applyAlignment="1" applyProtection="1">
      <alignment horizontal="center" vertical="center" shrinkToFit="1"/>
      <protection locked="0"/>
    </xf>
    <xf numFmtId="0" fontId="70" fillId="0" borderId="3" xfId="0" applyFont="1" applyBorder="1" applyAlignment="1" applyProtection="1">
      <alignment horizontal="center" vertical="center" shrinkToFit="1"/>
      <protection locked="0"/>
    </xf>
    <xf numFmtId="0" fontId="5" fillId="0" borderId="14" xfId="0" applyFont="1" applyBorder="1" applyAlignment="1" applyProtection="1">
      <alignment horizontal="center" vertical="center" shrinkToFit="1"/>
    </xf>
    <xf numFmtId="0" fontId="0" fillId="0" borderId="0" xfId="0" applyAlignment="1">
      <alignment horizontal="center" shrinkToFit="1"/>
    </xf>
    <xf numFmtId="0" fontId="45" fillId="4" borderId="37" xfId="82" applyFont="1" applyFill="1" applyBorder="1" applyAlignment="1" applyProtection="1">
      <alignment horizontal="center" vertical="center"/>
      <protection locked="0"/>
    </xf>
    <xf numFmtId="0" fontId="45" fillId="4" borderId="0" xfId="82" applyFont="1" applyFill="1" applyBorder="1" applyAlignment="1" applyProtection="1">
      <alignment horizontal="center" vertical="center"/>
      <protection locked="0"/>
    </xf>
    <xf numFmtId="0" fontId="45" fillId="4" borderId="47" xfId="82" applyFont="1" applyFill="1" applyBorder="1" applyAlignment="1" applyProtection="1">
      <alignment horizontal="center" vertical="center"/>
      <protection locked="0"/>
    </xf>
    <xf numFmtId="0" fontId="14" fillId="4" borderId="0" xfId="82" applyFont="1" applyFill="1" applyBorder="1" applyAlignment="1" applyProtection="1">
      <alignment horizontal="center" vertical="center"/>
    </xf>
    <xf numFmtId="0" fontId="73" fillId="0" borderId="37" xfId="184" applyFont="1" applyBorder="1" applyAlignment="1" applyProtection="1">
      <alignment horizontal="center" shrinkToFit="1"/>
      <protection locked="0"/>
    </xf>
    <xf numFmtId="0" fontId="73" fillId="0" borderId="47" xfId="184" applyFont="1" applyBorder="1" applyAlignment="1" applyProtection="1">
      <alignment horizontal="center" shrinkToFit="1"/>
      <protection locked="0"/>
    </xf>
    <xf numFmtId="0" fontId="14" fillId="4" borderId="0" xfId="82" applyFont="1" applyFill="1" applyBorder="1" applyAlignment="1" applyProtection="1">
      <alignment horizontal="center" vertical="center" shrinkToFit="1"/>
    </xf>
    <xf numFmtId="0" fontId="14" fillId="4" borderId="47" xfId="82" applyFont="1" applyFill="1" applyBorder="1" applyAlignment="1" applyProtection="1">
      <alignment horizontal="center" vertical="center" shrinkToFit="1"/>
    </xf>
    <xf numFmtId="0" fontId="61" fillId="7" borderId="0" xfId="0" applyFont="1" applyFill="1" applyBorder="1" applyAlignment="1" applyProtection="1">
      <alignment horizontal="right" vertical="center"/>
      <protection hidden="1"/>
    </xf>
    <xf numFmtId="164" fontId="61" fillId="7" borderId="88" xfId="0" applyNumberFormat="1" applyFont="1" applyFill="1" applyBorder="1" applyAlignment="1" applyProtection="1">
      <alignment horizontal="center" vertical="center" shrinkToFit="1"/>
      <protection hidden="1"/>
    </xf>
    <xf numFmtId="0" fontId="69" fillId="10" borderId="0" xfId="0" applyFont="1" applyFill="1" applyBorder="1" applyAlignment="1" applyProtection="1">
      <alignment horizontal="right" vertical="center"/>
      <protection hidden="1"/>
    </xf>
    <xf numFmtId="0" fontId="51" fillId="5" borderId="55" xfId="82" applyFont="1" applyFill="1" applyBorder="1" applyAlignment="1" applyProtection="1">
      <alignment horizontal="center" vertical="center"/>
      <protection locked="0"/>
    </xf>
    <xf numFmtId="0" fontId="32" fillId="5" borderId="55" xfId="0" applyFont="1" applyFill="1" applyBorder="1" applyProtection="1">
      <protection locked="0"/>
    </xf>
    <xf numFmtId="0" fontId="32" fillId="5" borderId="0" xfId="0" applyFont="1" applyFill="1" applyProtection="1">
      <protection locked="0"/>
    </xf>
    <xf numFmtId="0" fontId="32" fillId="5" borderId="38" xfId="0" applyFont="1" applyFill="1" applyBorder="1" applyProtection="1">
      <protection locked="0"/>
    </xf>
    <xf numFmtId="0" fontId="14" fillId="5" borderId="0" xfId="82" applyFont="1" applyFill="1" applyBorder="1" applyAlignment="1" applyProtection="1">
      <alignment horizontal="center" vertical="center"/>
    </xf>
    <xf numFmtId="0" fontId="74" fillId="0" borderId="0" xfId="0" applyFont="1" applyBorder="1" applyAlignment="1" applyProtection="1">
      <alignment horizontal="center" shrinkToFit="1"/>
      <protection locked="0"/>
    </xf>
    <xf numFmtId="0" fontId="74" fillId="0" borderId="3" xfId="0" applyFont="1" applyBorder="1" applyAlignment="1" applyProtection="1">
      <alignment horizontal="center" shrinkToFit="1"/>
      <protection locked="0"/>
    </xf>
    <xf numFmtId="0" fontId="14" fillId="5" borderId="48" xfId="82" applyFont="1" applyFill="1" applyBorder="1" applyAlignment="1" applyProtection="1">
      <alignment horizontal="center" vertical="center"/>
    </xf>
    <xf numFmtId="0" fontId="68" fillId="7" borderId="0" xfId="0" applyFont="1" applyFill="1" applyAlignment="1" applyProtection="1">
      <alignment horizontal="center" vertical="center"/>
      <protection hidden="1"/>
    </xf>
    <xf numFmtId="0" fontId="68" fillId="7" borderId="10" xfId="0" applyFont="1" applyFill="1" applyBorder="1" applyAlignment="1" applyProtection="1">
      <alignment horizontal="center" vertical="center"/>
      <protection hidden="1"/>
    </xf>
    <xf numFmtId="0" fontId="57" fillId="0" borderId="0" xfId="0" applyFont="1" applyBorder="1" applyAlignment="1" applyProtection="1">
      <alignment horizontal="center" vertical="top" wrapText="1"/>
    </xf>
    <xf numFmtId="0" fontId="57" fillId="0" borderId="10" xfId="0" applyFont="1" applyBorder="1" applyAlignment="1" applyProtection="1">
      <alignment horizontal="center" vertical="top" wrapText="1"/>
    </xf>
    <xf numFmtId="0" fontId="57" fillId="0" borderId="89" xfId="0" applyFont="1" applyBorder="1" applyAlignment="1" applyProtection="1">
      <alignment horizontal="center" vertical="top"/>
    </xf>
    <xf numFmtId="0" fontId="72" fillId="7" borderId="0" xfId="0" applyFont="1" applyFill="1" applyAlignment="1" applyProtection="1">
      <alignment horizontal="right" vertical="center"/>
      <protection hidden="1"/>
    </xf>
    <xf numFmtId="0" fontId="72" fillId="7" borderId="10" xfId="0" applyFont="1" applyFill="1" applyBorder="1" applyAlignment="1" applyProtection="1">
      <alignment horizontal="right" vertical="center"/>
      <protection hidden="1"/>
    </xf>
    <xf numFmtId="0" fontId="0" fillId="0" borderId="0" xfId="0" applyFont="1" applyAlignment="1" applyProtection="1">
      <alignment horizontal="center"/>
    </xf>
    <xf numFmtId="0" fontId="0" fillId="0" borderId="10" xfId="0" applyFont="1" applyBorder="1" applyAlignment="1" applyProtection="1">
      <alignment horizontal="center"/>
    </xf>
    <xf numFmtId="0" fontId="0" fillId="0" borderId="91" xfId="0" applyBorder="1" applyAlignment="1">
      <alignment horizontal="center"/>
    </xf>
    <xf numFmtId="0" fontId="0" fillId="0" borderId="90" xfId="0" applyBorder="1" applyAlignment="1">
      <alignment horizontal="center"/>
    </xf>
    <xf numFmtId="0" fontId="55" fillId="0" borderId="0" xfId="0" applyFont="1" applyBorder="1" applyAlignment="1" applyProtection="1">
      <alignment horizontal="center" vertical="center" shrinkToFit="1"/>
      <protection locked="0"/>
    </xf>
    <xf numFmtId="0" fontId="55" fillId="0" borderId="3" xfId="0" applyFont="1" applyBorder="1" applyAlignment="1" applyProtection="1">
      <alignment horizontal="center" vertical="center" shrinkToFit="1"/>
      <protection locked="0"/>
    </xf>
    <xf numFmtId="0" fontId="57" fillId="0" borderId="14" xfId="0" applyFont="1" applyBorder="1" applyAlignment="1" applyProtection="1">
      <alignment horizontal="center" vertical="center"/>
    </xf>
    <xf numFmtId="0" fontId="69" fillId="10" borderId="12" xfId="0" applyFont="1" applyFill="1" applyBorder="1" applyAlignment="1" applyProtection="1">
      <alignment horizontal="left" vertical="center"/>
      <protection hidden="1"/>
    </xf>
    <xf numFmtId="0" fontId="69" fillId="10" borderId="5" xfId="0" applyFont="1" applyFill="1" applyBorder="1" applyAlignment="1" applyProtection="1">
      <alignment horizontal="left" vertical="center"/>
      <protection hidden="1"/>
    </xf>
    <xf numFmtId="0" fontId="69" fillId="10" borderId="5" xfId="0" applyFont="1" applyFill="1" applyBorder="1" applyAlignment="1" applyProtection="1">
      <alignment horizontal="right" vertical="center"/>
      <protection hidden="1"/>
    </xf>
    <xf numFmtId="0" fontId="0" fillId="15" borderId="312" xfId="0" applyFill="1" applyBorder="1" applyAlignment="1" applyProtection="1">
      <alignment horizontal="left" shrinkToFit="1"/>
      <protection hidden="1"/>
    </xf>
    <xf numFmtId="0" fontId="0" fillId="15" borderId="199" xfId="0" applyFill="1" applyBorder="1" applyAlignment="1" applyProtection="1">
      <alignment horizontal="left" shrinkToFit="1"/>
      <protection hidden="1"/>
    </xf>
    <xf numFmtId="0" fontId="0" fillId="15" borderId="206" xfId="0" applyFill="1" applyBorder="1" applyAlignment="1" applyProtection="1">
      <alignment horizontal="left" shrinkToFit="1"/>
      <protection hidden="1"/>
    </xf>
    <xf numFmtId="0" fontId="0" fillId="15" borderId="313" xfId="0" applyFill="1" applyBorder="1" applyAlignment="1" applyProtection="1">
      <alignment horizontal="left" shrinkToFit="1"/>
      <protection hidden="1"/>
    </xf>
    <xf numFmtId="0" fontId="0" fillId="15" borderId="210" xfId="0" applyFill="1" applyBorder="1" applyAlignment="1" applyProtection="1">
      <alignment horizontal="left" shrinkToFit="1"/>
      <protection hidden="1"/>
    </xf>
    <xf numFmtId="0" fontId="0" fillId="15" borderId="211" xfId="0" applyFill="1" applyBorder="1" applyAlignment="1" applyProtection="1">
      <alignment horizontal="left" shrinkToFit="1"/>
      <protection hidden="1"/>
    </xf>
    <xf numFmtId="0" fontId="0" fillId="15" borderId="205" xfId="0" applyFill="1" applyBorder="1" applyAlignment="1" applyProtection="1">
      <alignment horizontal="left" shrinkToFit="1"/>
      <protection hidden="1"/>
    </xf>
    <xf numFmtId="0" fontId="0" fillId="15" borderId="209" xfId="0" applyFill="1" applyBorder="1" applyAlignment="1" applyProtection="1">
      <alignment horizontal="left" shrinkToFit="1"/>
      <protection hidden="1"/>
    </xf>
    <xf numFmtId="0" fontId="0" fillId="15" borderId="310" xfId="0" applyFill="1" applyBorder="1" applyAlignment="1" applyProtection="1">
      <alignment horizontal="left" shrinkToFit="1"/>
      <protection hidden="1"/>
    </xf>
    <xf numFmtId="0" fontId="0" fillId="15" borderId="311" xfId="0" applyFill="1" applyBorder="1" applyAlignment="1" applyProtection="1">
      <alignment horizontal="left" shrinkToFit="1"/>
      <protection hidden="1"/>
    </xf>
    <xf numFmtId="0" fontId="26" fillId="0" borderId="330" xfId="0" applyFont="1" applyBorder="1" applyAlignment="1" applyProtection="1">
      <alignment horizontal="center" vertical="center" shrinkToFit="1"/>
    </xf>
    <xf numFmtId="0" fontId="26" fillId="0" borderId="331" xfId="0" applyFont="1" applyBorder="1" applyAlignment="1" applyProtection="1">
      <alignment horizontal="center" vertical="center" shrinkToFit="1"/>
    </xf>
    <xf numFmtId="0" fontId="70" fillId="0" borderId="321" xfId="0" applyFont="1" applyBorder="1" applyAlignment="1" applyProtection="1">
      <alignment horizontal="center" vertical="center" shrinkToFit="1"/>
    </xf>
    <xf numFmtId="0" fontId="70" fillId="0" borderId="322" xfId="0" applyFont="1" applyBorder="1" applyAlignment="1" applyProtection="1">
      <alignment horizontal="center" vertical="center" shrinkToFit="1"/>
    </xf>
    <xf numFmtId="0" fontId="70" fillId="0" borderId="329" xfId="0" applyFont="1" applyBorder="1" applyAlignment="1" applyProtection="1">
      <alignment horizontal="center" vertical="center" shrinkToFit="1"/>
    </xf>
    <xf numFmtId="0" fontId="70" fillId="0" borderId="299" xfId="0" applyFont="1" applyBorder="1" applyAlignment="1" applyProtection="1">
      <alignment horizontal="center" vertical="center" shrinkToFit="1"/>
    </xf>
    <xf numFmtId="0" fontId="70" fillId="0" borderId="297" xfId="0" applyFont="1" applyBorder="1" applyAlignment="1" applyProtection="1">
      <alignment horizontal="center" vertical="center" shrinkToFit="1"/>
    </xf>
    <xf numFmtId="0" fontId="0" fillId="0" borderId="9" xfId="0" applyBorder="1" applyAlignment="1" applyProtection="1">
      <alignment horizontal="center"/>
    </xf>
    <xf numFmtId="0" fontId="0" fillId="0" borderId="287" xfId="0" applyBorder="1" applyAlignment="1" applyProtection="1">
      <alignment horizontal="center"/>
    </xf>
    <xf numFmtId="0" fontId="0" fillId="0" borderId="309" xfId="0" applyBorder="1" applyAlignment="1" applyProtection="1">
      <alignment horizontal="center"/>
    </xf>
    <xf numFmtId="0" fontId="0" fillId="0" borderId="325" xfId="0" applyBorder="1" applyAlignment="1" applyProtection="1">
      <alignment horizontal="center"/>
    </xf>
    <xf numFmtId="0" fontId="0" fillId="0" borderId="322" xfId="0" applyBorder="1" applyAlignment="1" applyProtection="1">
      <alignment horizontal="center"/>
    </xf>
    <xf numFmtId="0" fontId="0" fillId="0" borderId="329" xfId="0" applyBorder="1" applyAlignment="1" applyProtection="1">
      <alignment horizontal="center"/>
    </xf>
    <xf numFmtId="0" fontId="0" fillId="0" borderId="332" xfId="0" applyBorder="1" applyAlignment="1" applyProtection="1">
      <alignment horizontal="center"/>
    </xf>
    <xf numFmtId="0" fontId="0" fillId="0" borderId="333" xfId="0" applyBorder="1" applyAlignment="1" applyProtection="1">
      <alignment horizontal="center"/>
    </xf>
    <xf numFmtId="0" fontId="0" fillId="0" borderId="334" xfId="0" applyBorder="1" applyAlignment="1" applyProtection="1">
      <alignment horizontal="center"/>
    </xf>
    <xf numFmtId="0" fontId="30" fillId="15" borderId="187" xfId="0" applyFont="1" applyFill="1" applyBorder="1" applyAlignment="1" applyProtection="1">
      <alignment horizontal="center" shrinkToFit="1"/>
      <protection hidden="1"/>
    </xf>
    <xf numFmtId="0" fontId="30" fillId="15" borderId="0" xfId="0" applyFont="1" applyFill="1" applyBorder="1" applyAlignment="1" applyProtection="1">
      <alignment horizontal="center" shrinkToFit="1"/>
      <protection hidden="1"/>
    </xf>
    <xf numFmtId="0" fontId="0" fillId="15" borderId="226" xfId="0" applyFill="1" applyBorder="1" applyAlignment="1" applyProtection="1">
      <alignment horizontal="left" shrinkToFit="1"/>
      <protection hidden="1"/>
    </xf>
    <xf numFmtId="0" fontId="0" fillId="15" borderId="187" xfId="0" applyFill="1" applyBorder="1" applyAlignment="1" applyProtection="1">
      <alignment horizontal="left" shrinkToFit="1"/>
      <protection hidden="1"/>
    </xf>
    <xf numFmtId="0" fontId="0" fillId="15" borderId="316" xfId="0" applyFill="1" applyBorder="1" applyAlignment="1" applyProtection="1">
      <alignment horizontal="left" shrinkToFit="1"/>
      <protection hidden="1"/>
    </xf>
    <xf numFmtId="0" fontId="0" fillId="15" borderId="189" xfId="0" applyFill="1" applyBorder="1" applyAlignment="1" applyProtection="1">
      <alignment horizontal="left" shrinkToFit="1"/>
      <protection hidden="1"/>
    </xf>
    <xf numFmtId="0" fontId="0" fillId="15" borderId="83" xfId="0" applyFill="1" applyBorder="1" applyAlignment="1" applyProtection="1">
      <alignment horizontal="left" shrinkToFit="1"/>
      <protection hidden="1"/>
    </xf>
    <xf numFmtId="0" fontId="0" fillId="15" borderId="320" xfId="0" applyFill="1" applyBorder="1" applyAlignment="1" applyProtection="1">
      <alignment horizontal="left" shrinkToFit="1"/>
      <protection hidden="1"/>
    </xf>
    <xf numFmtId="0" fontId="0" fillId="15" borderId="319" xfId="0" applyFill="1" applyBorder="1" applyAlignment="1" applyProtection="1">
      <alignment horizontal="left" shrinkToFit="1"/>
      <protection hidden="1"/>
    </xf>
    <xf numFmtId="0" fontId="0" fillId="15" borderId="188" xfId="0" applyFill="1" applyBorder="1" applyAlignment="1" applyProtection="1">
      <alignment horizontal="left" shrinkToFit="1"/>
      <protection hidden="1"/>
    </xf>
    <xf numFmtId="0" fontId="0" fillId="15" borderId="318" xfId="0" applyFill="1" applyBorder="1" applyAlignment="1" applyProtection="1">
      <alignment horizontal="left" shrinkToFit="1"/>
      <protection hidden="1"/>
    </xf>
    <xf numFmtId="0" fontId="0" fillId="15" borderId="227" xfId="0" applyFill="1" applyBorder="1" applyAlignment="1" applyProtection="1">
      <alignment horizontal="left" shrinkToFit="1"/>
      <protection hidden="1"/>
    </xf>
    <xf numFmtId="0" fontId="29" fillId="15" borderId="187" xfId="0" applyFont="1" applyFill="1" applyBorder="1" applyAlignment="1" applyProtection="1">
      <alignment horizontal="left" vertical="center" indent="1" shrinkToFit="1"/>
      <protection hidden="1"/>
    </xf>
    <xf numFmtId="0" fontId="29" fillId="15" borderId="0" xfId="0" applyFont="1" applyFill="1" applyBorder="1" applyAlignment="1" applyProtection="1">
      <alignment horizontal="left" vertical="center" indent="1" shrinkToFit="1"/>
      <protection hidden="1"/>
    </xf>
    <xf numFmtId="0" fontId="0" fillId="15" borderId="187" xfId="0" applyFill="1" applyBorder="1" applyAlignment="1" applyProtection="1">
      <alignment horizontal="center" shrinkToFit="1"/>
      <protection hidden="1"/>
    </xf>
    <xf numFmtId="0" fontId="0" fillId="15" borderId="0" xfId="0" applyFill="1" applyBorder="1" applyAlignment="1" applyProtection="1">
      <alignment horizontal="center" shrinkToFit="1"/>
      <protection hidden="1"/>
    </xf>
    <xf numFmtId="0" fontId="79" fillId="15" borderId="187" xfId="0" applyFont="1" applyFill="1" applyBorder="1" applyAlignment="1" applyProtection="1">
      <alignment horizontal="center" textRotation="90" shrinkToFit="1"/>
      <protection hidden="1"/>
    </xf>
    <xf numFmtId="0" fontId="79" fillId="15" borderId="0" xfId="0" applyFont="1" applyFill="1" applyBorder="1" applyAlignment="1" applyProtection="1">
      <alignment horizontal="center" textRotation="90" shrinkToFit="1"/>
      <protection hidden="1"/>
    </xf>
    <xf numFmtId="0" fontId="0" fillId="0" borderId="187" xfId="0" applyFill="1" applyBorder="1" applyAlignment="1" applyProtection="1">
      <alignment horizontal="center" shrinkToFit="1"/>
      <protection hidden="1"/>
    </xf>
    <xf numFmtId="0" fontId="0" fillId="0" borderId="0" xfId="0" applyFill="1" applyBorder="1" applyAlignment="1" applyProtection="1">
      <alignment horizontal="center" shrinkToFit="1"/>
      <protection hidden="1"/>
    </xf>
    <xf numFmtId="0" fontId="103" fillId="0" borderId="187" xfId="0" applyFont="1" applyFill="1" applyBorder="1" applyAlignment="1" applyProtection="1">
      <alignment horizontal="center" shrinkToFit="1"/>
      <protection hidden="1"/>
    </xf>
    <xf numFmtId="0" fontId="103" fillId="0" borderId="0" xfId="0" applyFont="1" applyFill="1" applyBorder="1" applyAlignment="1" applyProtection="1">
      <alignment horizontal="center" shrinkToFit="1"/>
      <protection hidden="1"/>
    </xf>
    <xf numFmtId="0" fontId="103" fillId="15" borderId="187" xfId="0" applyFont="1" applyFill="1" applyBorder="1" applyAlignment="1" applyProtection="1">
      <alignment horizontal="center" shrinkToFit="1"/>
      <protection hidden="1"/>
    </xf>
    <xf numFmtId="0" fontId="103" fillId="15" borderId="0" xfId="0" applyFont="1" applyFill="1" applyBorder="1" applyAlignment="1" applyProtection="1">
      <alignment horizontal="center" shrinkToFit="1"/>
      <protection hidden="1"/>
    </xf>
    <xf numFmtId="0" fontId="102" fillId="15" borderId="187" xfId="0" applyFont="1" applyFill="1" applyBorder="1" applyAlignment="1" applyProtection="1">
      <alignment horizontal="center" shrinkToFit="1"/>
      <protection hidden="1"/>
    </xf>
    <xf numFmtId="0" fontId="102" fillId="15" borderId="0" xfId="0" applyFont="1" applyFill="1" applyBorder="1" applyAlignment="1" applyProtection="1">
      <alignment horizontal="center" shrinkToFit="1"/>
      <protection hidden="1"/>
    </xf>
    <xf numFmtId="0" fontId="103" fillId="15" borderId="268" xfId="0" applyFont="1" applyFill="1" applyBorder="1" applyAlignment="1" applyProtection="1">
      <alignment horizontal="center" shrinkToFit="1"/>
      <protection hidden="1"/>
    </xf>
    <xf numFmtId="0" fontId="30" fillId="15" borderId="268" xfId="0" applyFont="1" applyFill="1" applyBorder="1" applyAlignment="1" applyProtection="1">
      <alignment horizontal="center" shrinkToFit="1"/>
      <protection hidden="1"/>
    </xf>
    <xf numFmtId="0" fontId="102" fillId="15" borderId="268" xfId="0" applyFont="1" applyFill="1" applyBorder="1" applyAlignment="1" applyProtection="1">
      <alignment horizontal="center" shrinkToFit="1"/>
      <protection hidden="1"/>
    </xf>
    <xf numFmtId="0" fontId="30" fillId="15" borderId="271" xfId="0" applyFont="1" applyFill="1" applyBorder="1" applyAlignment="1" applyProtection="1">
      <alignment horizontal="center" shrinkToFit="1"/>
      <protection hidden="1"/>
    </xf>
    <xf numFmtId="0" fontId="0" fillId="15" borderId="267" xfId="0" applyFill="1" applyBorder="1" applyAlignment="1" applyProtection="1">
      <alignment horizontal="center" shrinkToFit="1"/>
      <protection hidden="1"/>
    </xf>
    <xf numFmtId="0" fontId="0" fillId="15" borderId="268" xfId="0" applyFill="1" applyBorder="1" applyAlignment="1" applyProtection="1">
      <alignment horizontal="center" shrinkToFit="1"/>
      <protection hidden="1"/>
    </xf>
    <xf numFmtId="0" fontId="79" fillId="15" borderId="268" xfId="0" applyFont="1" applyFill="1" applyBorder="1" applyAlignment="1" applyProtection="1">
      <alignment horizontal="center" textRotation="90" shrinkToFit="1"/>
      <protection hidden="1"/>
    </xf>
    <xf numFmtId="0" fontId="0" fillId="0" borderId="269" xfId="0" applyFill="1" applyBorder="1" applyAlignment="1" applyProtection="1">
      <alignment horizontal="center" shrinkToFit="1"/>
      <protection hidden="1"/>
    </xf>
    <xf numFmtId="0" fontId="0" fillId="0" borderId="268" xfId="0" applyFill="1" applyBorder="1" applyAlignment="1" applyProtection="1">
      <alignment horizontal="center" shrinkToFit="1"/>
      <protection hidden="1"/>
    </xf>
    <xf numFmtId="0" fontId="0" fillId="0" borderId="270" xfId="0" applyFill="1" applyBorder="1" applyAlignment="1" applyProtection="1">
      <alignment horizontal="center" shrinkToFit="1"/>
      <protection hidden="1"/>
    </xf>
    <xf numFmtId="0" fontId="103" fillId="0" borderId="268" xfId="0" applyFont="1" applyFill="1" applyBorder="1" applyAlignment="1" applyProtection="1">
      <alignment horizontal="center" shrinkToFit="1"/>
      <protection hidden="1"/>
    </xf>
    <xf numFmtId="0" fontId="29" fillId="15" borderId="0" xfId="0" applyFont="1" applyFill="1" applyBorder="1" applyAlignment="1" applyProtection="1">
      <alignment horizontal="center" vertical="center" shrinkToFit="1"/>
      <protection hidden="1"/>
    </xf>
    <xf numFmtId="0" fontId="29" fillId="15" borderId="83" xfId="0" applyFont="1" applyFill="1" applyBorder="1" applyAlignment="1" applyProtection="1">
      <alignment horizontal="center" vertical="center" shrinkToFit="1"/>
      <protection hidden="1"/>
    </xf>
    <xf numFmtId="0" fontId="29" fillId="15" borderId="0" xfId="0" applyFont="1" applyFill="1" applyBorder="1" applyAlignment="1" applyProtection="1">
      <alignment horizontal="center" vertical="center" textRotation="90" shrinkToFit="1"/>
      <protection hidden="1"/>
    </xf>
    <xf numFmtId="0" fontId="29" fillId="15" borderId="83" xfId="0" applyFont="1" applyFill="1" applyBorder="1" applyAlignment="1" applyProtection="1">
      <alignment horizontal="center" vertical="center" textRotation="90" shrinkToFit="1"/>
      <protection hidden="1"/>
    </xf>
    <xf numFmtId="0" fontId="29" fillId="0" borderId="0" xfId="0" applyFont="1" applyFill="1" applyBorder="1" applyAlignment="1" applyProtection="1">
      <alignment horizontal="center" vertical="center" shrinkToFit="1"/>
      <protection hidden="1"/>
    </xf>
    <xf numFmtId="0" fontId="29" fillId="0" borderId="83" xfId="0" applyFont="1" applyFill="1" applyBorder="1" applyAlignment="1" applyProtection="1">
      <alignment horizontal="center" vertical="center" shrinkToFit="1"/>
      <protection hidden="1"/>
    </xf>
    <xf numFmtId="0" fontId="14" fillId="4" borderId="0" xfId="82" applyFont="1" applyFill="1" applyBorder="1" applyAlignment="1" applyProtection="1">
      <alignment horizontal="center" vertical="top"/>
      <protection hidden="1"/>
    </xf>
    <xf numFmtId="0" fontId="27" fillId="0" borderId="0" xfId="163" applyFont="1" applyBorder="1" applyAlignment="1" applyProtection="1">
      <alignment horizontal="center" shrinkToFit="1"/>
      <protection hidden="1"/>
    </xf>
    <xf numFmtId="0" fontId="27" fillId="0" borderId="31" xfId="163" applyFont="1" applyBorder="1" applyAlignment="1" applyProtection="1">
      <alignment horizontal="center" shrinkToFit="1"/>
      <protection hidden="1"/>
    </xf>
    <xf numFmtId="0" fontId="45" fillId="4" borderId="37" xfId="82" applyFont="1" applyFill="1" applyBorder="1" applyAlignment="1" applyProtection="1">
      <alignment horizontal="center" vertical="center"/>
      <protection hidden="1"/>
    </xf>
    <xf numFmtId="0" fontId="45" fillId="4" borderId="0" xfId="82" applyFont="1" applyFill="1" applyBorder="1" applyAlignment="1" applyProtection="1">
      <alignment horizontal="center" vertical="center"/>
      <protection hidden="1"/>
    </xf>
    <xf numFmtId="0" fontId="45" fillId="4" borderId="47" xfId="82" applyFont="1" applyFill="1" applyBorder="1" applyAlignment="1" applyProtection="1">
      <alignment horizontal="center" vertical="center"/>
      <protection hidden="1"/>
    </xf>
    <xf numFmtId="0" fontId="23" fillId="4" borderId="37" xfId="82" applyFont="1" applyFill="1" applyBorder="1" applyAlignment="1" applyProtection="1">
      <alignment horizontal="center"/>
      <protection hidden="1"/>
    </xf>
    <xf numFmtId="0" fontId="23" fillId="4" borderId="0" xfId="82" applyFont="1" applyFill="1" applyBorder="1" applyAlignment="1" applyProtection="1">
      <alignment horizontal="center"/>
      <protection hidden="1"/>
    </xf>
    <xf numFmtId="0" fontId="58" fillId="0" borderId="16" xfId="0" applyFont="1" applyBorder="1" applyAlignment="1" applyProtection="1">
      <alignment horizontal="left" vertical="center"/>
      <protection hidden="1"/>
    </xf>
    <xf numFmtId="0" fontId="58" fillId="0" borderId="16" xfId="163" applyFont="1" applyBorder="1" applyAlignment="1" applyProtection="1">
      <alignment horizontal="left" vertical="center" shrinkToFit="1"/>
      <protection hidden="1"/>
    </xf>
    <xf numFmtId="0" fontId="27" fillId="0" borderId="0" xfId="163" applyFont="1" applyBorder="1" applyAlignment="1" applyProtection="1">
      <alignment horizontal="left" shrinkToFit="1"/>
      <protection hidden="1"/>
    </xf>
    <xf numFmtId="0" fontId="27" fillId="0" borderId="31" xfId="163" applyFont="1" applyBorder="1" applyAlignment="1" applyProtection="1">
      <alignment horizontal="left" shrinkToFit="1"/>
      <protection hidden="1"/>
    </xf>
    <xf numFmtId="0" fontId="27" fillId="0" borderId="0" xfId="184" applyFont="1" applyBorder="1" applyAlignment="1" applyProtection="1">
      <alignment horizontal="left" shrinkToFit="1"/>
      <protection hidden="1"/>
    </xf>
    <xf numFmtId="0" fontId="27" fillId="0" borderId="31" xfId="184" applyFont="1" applyBorder="1" applyAlignment="1" applyProtection="1">
      <alignment horizontal="left" shrinkToFit="1"/>
      <protection hidden="1"/>
    </xf>
    <xf numFmtId="0" fontId="108" fillId="4" borderId="0" xfId="82" applyFont="1" applyFill="1" applyBorder="1" applyAlignment="1" applyProtection="1">
      <alignment horizontal="center" vertical="center" shrinkToFit="1"/>
      <protection hidden="1"/>
    </xf>
    <xf numFmtId="0" fontId="108" fillId="4" borderId="47" xfId="82" applyFont="1" applyFill="1" applyBorder="1" applyAlignment="1" applyProtection="1">
      <alignment horizontal="center" vertical="center" shrinkToFit="1"/>
      <protection hidden="1"/>
    </xf>
    <xf numFmtId="0" fontId="20" fillId="2" borderId="0" xfId="0" applyFont="1" applyFill="1" applyBorder="1" applyAlignment="1" applyProtection="1">
      <alignment horizontal="center" vertical="center"/>
      <protection hidden="1"/>
    </xf>
    <xf numFmtId="0" fontId="2" fillId="0" borderId="0" xfId="325" applyFont="1" applyBorder="1" applyAlignment="1" applyProtection="1">
      <alignment horizontal="center"/>
      <protection hidden="1"/>
    </xf>
    <xf numFmtId="0" fontId="2" fillId="0" borderId="85" xfId="325" applyFont="1" applyBorder="1" applyAlignment="1" applyProtection="1">
      <alignment horizontal="center"/>
      <protection hidden="1"/>
    </xf>
    <xf numFmtId="0" fontId="30" fillId="0" borderId="54" xfId="325" applyBorder="1" applyAlignment="1" applyProtection="1">
      <alignment horizontal="center"/>
      <protection hidden="1"/>
    </xf>
    <xf numFmtId="0" fontId="30" fillId="0" borderId="4" xfId="325" applyBorder="1" applyAlignment="1" applyProtection="1">
      <alignment horizontal="center"/>
      <protection hidden="1"/>
    </xf>
    <xf numFmtId="0" fontId="73" fillId="0" borderId="37" xfId="184" applyFont="1" applyBorder="1" applyAlignment="1" applyProtection="1">
      <alignment horizontal="center" shrinkToFit="1"/>
      <protection hidden="1"/>
    </xf>
    <xf numFmtId="0" fontId="73" fillId="0" borderId="47" xfId="184" applyFont="1" applyBorder="1" applyAlignment="1" applyProtection="1">
      <alignment horizontal="center" shrinkToFit="1"/>
      <protection hidden="1"/>
    </xf>
    <xf numFmtId="0" fontId="58" fillId="0" borderId="203" xfId="0" applyFont="1" applyBorder="1" applyAlignment="1" applyProtection="1">
      <alignment horizontal="center" vertical="center"/>
      <protection hidden="1"/>
    </xf>
    <xf numFmtId="0" fontId="5" fillId="0" borderId="37" xfId="0" applyFont="1" applyBorder="1" applyAlignment="1" applyProtection="1">
      <alignment horizontal="center" vertical="top"/>
      <protection hidden="1"/>
    </xf>
    <xf numFmtId="0" fontId="16" fillId="0" borderId="37" xfId="0" applyFont="1" applyBorder="1" applyAlignment="1" applyProtection="1">
      <alignment horizontal="center" vertical="top"/>
      <protection hidden="1"/>
    </xf>
    <xf numFmtId="0" fontId="16" fillId="0" borderId="38" xfId="0" applyFont="1" applyBorder="1" applyAlignment="1" applyProtection="1">
      <alignment horizontal="center" vertical="top"/>
      <protection hidden="1"/>
    </xf>
    <xf numFmtId="0" fontId="103" fillId="15" borderId="263" xfId="0" applyFont="1" applyFill="1" applyBorder="1" applyAlignment="1" applyProtection="1">
      <alignment horizontal="center" shrinkToFit="1"/>
      <protection hidden="1"/>
    </xf>
    <xf numFmtId="0" fontId="30" fillId="15" borderId="263" xfId="0" applyFont="1" applyFill="1" applyBorder="1" applyAlignment="1" applyProtection="1">
      <alignment horizontal="center" shrinkToFit="1"/>
      <protection hidden="1"/>
    </xf>
    <xf numFmtId="0" fontId="102" fillId="15" borderId="263" xfId="0" applyFont="1" applyFill="1" applyBorder="1" applyAlignment="1" applyProtection="1">
      <alignment horizontal="center" shrinkToFit="1"/>
      <protection hidden="1"/>
    </xf>
    <xf numFmtId="0" fontId="30" fillId="15" borderId="266" xfId="0" applyFont="1" applyFill="1" applyBorder="1" applyAlignment="1" applyProtection="1">
      <alignment horizontal="center" shrinkToFit="1"/>
      <protection hidden="1"/>
    </xf>
    <xf numFmtId="0" fontId="0" fillId="15" borderId="262" xfId="0" applyFill="1" applyBorder="1" applyAlignment="1" applyProtection="1">
      <alignment horizontal="center" shrinkToFit="1"/>
      <protection hidden="1"/>
    </xf>
    <xf numFmtId="0" fontId="0" fillId="15" borderId="263" xfId="0" applyFill="1" applyBorder="1" applyAlignment="1" applyProtection="1">
      <alignment horizontal="center" shrinkToFit="1"/>
      <protection hidden="1"/>
    </xf>
    <xf numFmtId="0" fontId="79" fillId="15" borderId="263" xfId="0" applyFont="1" applyFill="1" applyBorder="1" applyAlignment="1" applyProtection="1">
      <alignment horizontal="center" textRotation="90" shrinkToFit="1"/>
      <protection hidden="1"/>
    </xf>
    <xf numFmtId="0" fontId="0" fillId="0" borderId="264" xfId="0" applyFill="1" applyBorder="1" applyAlignment="1" applyProtection="1">
      <alignment horizontal="center" shrinkToFit="1"/>
      <protection hidden="1"/>
    </xf>
    <xf numFmtId="0" fontId="0" fillId="0" borderId="263" xfId="0" applyFill="1" applyBorder="1" applyAlignment="1" applyProtection="1">
      <alignment horizontal="center" shrinkToFit="1"/>
      <protection hidden="1"/>
    </xf>
    <xf numFmtId="0" fontId="0" fillId="0" borderId="265" xfId="0" applyFill="1" applyBorder="1" applyAlignment="1" applyProtection="1">
      <alignment horizontal="center" shrinkToFit="1"/>
      <protection hidden="1"/>
    </xf>
    <xf numFmtId="0" fontId="103" fillId="0" borderId="263" xfId="0" applyFont="1" applyFill="1" applyBorder="1" applyAlignment="1" applyProtection="1">
      <alignment horizontal="center" shrinkToFit="1"/>
      <protection hidden="1"/>
    </xf>
    <xf numFmtId="0" fontId="14" fillId="5" borderId="0" xfId="82" applyFont="1" applyFill="1" applyBorder="1" applyAlignment="1" applyProtection="1">
      <alignment horizontal="center" vertical="top"/>
      <protection hidden="1"/>
    </xf>
    <xf numFmtId="0" fontId="14" fillId="5" borderId="48" xfId="82" applyFont="1" applyFill="1" applyBorder="1" applyAlignment="1" applyProtection="1">
      <alignment horizontal="center" vertical="top"/>
      <protection hidden="1"/>
    </xf>
    <xf numFmtId="49" fontId="10" fillId="0" borderId="0" xfId="0" quotePrefix="1" applyNumberFormat="1" applyFont="1" applyBorder="1" applyAlignment="1" applyProtection="1">
      <alignment horizontal="center" vertical="center"/>
      <protection hidden="1"/>
    </xf>
    <xf numFmtId="49" fontId="10" fillId="0" borderId="0" xfId="0" applyNumberFormat="1" applyFont="1" applyBorder="1" applyAlignment="1" applyProtection="1">
      <alignment horizontal="center" vertical="center"/>
      <protection hidden="1"/>
    </xf>
    <xf numFmtId="49" fontId="39" fillId="4" borderId="0" xfId="82" applyNumberFormat="1" applyFont="1" applyFill="1" applyBorder="1" applyAlignment="1" applyProtection="1">
      <alignment horizontal="center"/>
      <protection hidden="1"/>
    </xf>
    <xf numFmtId="49" fontId="39" fillId="4" borderId="82" xfId="82" applyNumberFormat="1" applyFont="1" applyFill="1" applyBorder="1" applyAlignment="1" applyProtection="1">
      <alignment horizontal="center"/>
      <protection hidden="1"/>
    </xf>
    <xf numFmtId="0" fontId="48" fillId="4" borderId="84" xfId="82" applyFont="1" applyFill="1" applyBorder="1" applyAlignment="1" applyProtection="1">
      <alignment horizontal="center"/>
      <protection hidden="1"/>
    </xf>
    <xf numFmtId="0" fontId="51" fillId="5" borderId="55" xfId="82" applyFont="1" applyFill="1" applyBorder="1" applyAlignment="1" applyProtection="1">
      <alignment horizontal="center" vertical="center"/>
      <protection hidden="1"/>
    </xf>
    <xf numFmtId="0" fontId="32" fillId="5" borderId="55" xfId="0" applyFont="1" applyFill="1" applyBorder="1" applyProtection="1">
      <protection hidden="1"/>
    </xf>
    <xf numFmtId="0" fontId="32" fillId="5" borderId="0" xfId="0" applyFont="1" applyFill="1" applyProtection="1">
      <protection hidden="1"/>
    </xf>
    <xf numFmtId="0" fontId="32" fillId="5" borderId="38" xfId="0" applyFont="1" applyFill="1" applyBorder="1" applyProtection="1">
      <protection hidden="1"/>
    </xf>
    <xf numFmtId="0" fontId="23" fillId="5" borderId="56" xfId="82" applyFont="1" applyFill="1" applyBorder="1" applyAlignment="1" applyProtection="1">
      <alignment horizontal="center" vertical="center"/>
      <protection hidden="1"/>
    </xf>
    <xf numFmtId="0" fontId="23" fillId="5" borderId="0" xfId="82" applyFont="1" applyFill="1" applyBorder="1" applyAlignment="1" applyProtection="1">
      <alignment horizontal="center" vertical="center"/>
      <protection hidden="1"/>
    </xf>
    <xf numFmtId="0" fontId="48" fillId="4" borderId="82" xfId="82" applyFont="1" applyFill="1" applyBorder="1" applyAlignment="1" applyProtection="1">
      <alignment horizontal="center"/>
      <protection hidden="1"/>
    </xf>
    <xf numFmtId="49" fontId="48" fillId="4" borderId="0" xfId="82" applyNumberFormat="1" applyFont="1" applyFill="1" applyBorder="1" applyAlignment="1" applyProtection="1">
      <alignment horizontal="center"/>
      <protection hidden="1"/>
    </xf>
    <xf numFmtId="49" fontId="48" fillId="4" borderId="82" xfId="82" applyNumberFormat="1" applyFont="1" applyFill="1" applyBorder="1" applyAlignment="1" applyProtection="1">
      <alignment horizontal="center"/>
      <protection hidden="1"/>
    </xf>
    <xf numFmtId="0" fontId="56" fillId="0" borderId="0" xfId="0" applyFont="1" applyBorder="1" applyAlignment="1" applyProtection="1">
      <alignment horizontal="center" shrinkToFit="1"/>
      <protection hidden="1"/>
    </xf>
    <xf numFmtId="0" fontId="56" fillId="0" borderId="3" xfId="0" applyFont="1" applyBorder="1" applyAlignment="1" applyProtection="1">
      <alignment horizontal="center" shrinkToFit="1"/>
      <protection hidden="1"/>
    </xf>
    <xf numFmtId="49" fontId="43" fillId="0" borderId="37" xfId="0" applyNumberFormat="1" applyFont="1" applyBorder="1" applyAlignment="1" applyProtection="1">
      <alignment horizontal="center" vertical="center"/>
      <protection hidden="1"/>
    </xf>
    <xf numFmtId="0" fontId="5" fillId="0" borderId="14" xfId="0" applyFont="1" applyBorder="1" applyAlignment="1" applyProtection="1">
      <alignment horizontal="center" vertical="top"/>
      <protection hidden="1"/>
    </xf>
    <xf numFmtId="0" fontId="70" fillId="0" borderId="260" xfId="0" applyFont="1" applyBorder="1" applyAlignment="1" applyProtection="1">
      <alignment horizontal="center" vertical="center" shrinkToFit="1"/>
      <protection hidden="1"/>
    </xf>
    <xf numFmtId="0" fontId="70" fillId="0" borderId="259" xfId="0" applyFont="1" applyBorder="1" applyAlignment="1" applyProtection="1">
      <alignment horizontal="center" vertical="center" shrinkToFit="1"/>
      <protection hidden="1"/>
    </xf>
    <xf numFmtId="0" fontId="70" fillId="0" borderId="261" xfId="0" applyFont="1" applyBorder="1" applyAlignment="1" applyProtection="1">
      <alignment horizontal="center" vertical="center" shrinkToFit="1"/>
      <protection hidden="1"/>
    </xf>
    <xf numFmtId="0" fontId="70" fillId="0" borderId="137" xfId="0" applyFont="1" applyBorder="1" applyAlignment="1" applyProtection="1">
      <alignment horizontal="center" vertical="center" shrinkToFit="1"/>
      <protection hidden="1"/>
    </xf>
    <xf numFmtId="0" fontId="70" fillId="0" borderId="214" xfId="0" applyFont="1" applyBorder="1" applyAlignment="1" applyProtection="1">
      <alignment horizontal="center" vertical="center" shrinkToFit="1"/>
      <protection hidden="1"/>
    </xf>
    <xf numFmtId="0" fontId="70" fillId="0" borderId="217" xfId="0" applyFont="1" applyBorder="1" applyAlignment="1" applyProtection="1">
      <alignment horizontal="center" vertical="center" shrinkToFit="1"/>
      <protection hidden="1"/>
    </xf>
    <xf numFmtId="0" fontId="0" fillId="16" borderId="230" xfId="0" applyFill="1" applyBorder="1" applyAlignment="1">
      <alignment horizontal="left" vertical="center" shrinkToFit="1"/>
    </xf>
    <xf numFmtId="0" fontId="0" fillId="16" borderId="231" xfId="0" applyFill="1" applyBorder="1" applyAlignment="1">
      <alignment horizontal="left" vertical="center" shrinkToFit="1"/>
    </xf>
    <xf numFmtId="0" fontId="0" fillId="16" borderId="233" xfId="0" applyFill="1" applyBorder="1" applyAlignment="1">
      <alignment horizontal="left" vertical="center" shrinkToFit="1"/>
    </xf>
    <xf numFmtId="0" fontId="0" fillId="16" borderId="234" xfId="0" applyFill="1" applyBorder="1" applyAlignment="1">
      <alignment horizontal="left" vertical="center" shrinkToFit="1"/>
    </xf>
    <xf numFmtId="0" fontId="0" fillId="16" borderId="327" xfId="0" applyFill="1" applyBorder="1" applyAlignment="1">
      <alignment horizontal="left" vertical="center" shrinkToFit="1"/>
    </xf>
    <xf numFmtId="0" fontId="0" fillId="16" borderId="248" xfId="0" applyFill="1" applyBorder="1" applyAlignment="1">
      <alignment horizontal="left" vertical="center" shrinkToFit="1"/>
    </xf>
    <xf numFmtId="0" fontId="0" fillId="16" borderId="328" xfId="0" applyFill="1" applyBorder="1" applyAlignment="1">
      <alignment horizontal="left" vertical="center" shrinkToFit="1"/>
    </xf>
    <xf numFmtId="0" fontId="0" fillId="16" borderId="249" xfId="0" applyFill="1" applyBorder="1" applyAlignment="1">
      <alignment horizontal="left" vertical="center" shrinkToFit="1"/>
    </xf>
    <xf numFmtId="0" fontId="0" fillId="16" borderId="246" xfId="0" applyFill="1" applyBorder="1" applyAlignment="1">
      <alignment horizontal="left"/>
    </xf>
    <xf numFmtId="0" fontId="0" fillId="16" borderId="230" xfId="0" applyFill="1" applyBorder="1" applyAlignment="1">
      <alignment horizontal="left"/>
    </xf>
    <xf numFmtId="0" fontId="0" fillId="16" borderId="231" xfId="0" applyFill="1" applyBorder="1" applyAlignment="1">
      <alignment horizontal="left"/>
    </xf>
    <xf numFmtId="0" fontId="0" fillId="16" borderId="247" xfId="0" applyFill="1" applyBorder="1" applyAlignment="1">
      <alignment horizontal="left"/>
    </xf>
    <xf numFmtId="0" fontId="0" fillId="16" borderId="233" xfId="0" applyFill="1" applyBorder="1" applyAlignment="1">
      <alignment horizontal="left"/>
    </xf>
    <xf numFmtId="0" fontId="0" fillId="16" borderId="234" xfId="0" applyFill="1" applyBorder="1" applyAlignment="1">
      <alignment horizontal="left"/>
    </xf>
    <xf numFmtId="0" fontId="0" fillId="16" borderId="230" xfId="0" applyFill="1" applyBorder="1" applyAlignment="1">
      <alignment horizontal="right"/>
    </xf>
    <xf numFmtId="0" fontId="0" fillId="16" borderId="248" xfId="0" applyFill="1" applyBorder="1" applyAlignment="1">
      <alignment horizontal="right"/>
    </xf>
    <xf numFmtId="0" fontId="0" fillId="16" borderId="233" xfId="0" applyFill="1" applyBorder="1" applyAlignment="1">
      <alignment horizontal="right"/>
    </xf>
    <xf numFmtId="0" fontId="0" fillId="16" borderId="249" xfId="0" applyFill="1" applyBorder="1" applyAlignment="1">
      <alignment horizontal="right"/>
    </xf>
    <xf numFmtId="0" fontId="107" fillId="0" borderId="325" xfId="0" applyNumberFormat="1" applyFont="1" applyFill="1" applyBorder="1" applyAlignment="1" applyProtection="1">
      <alignment horizontal="center" vertical="center"/>
    </xf>
    <xf numFmtId="0" fontId="107" fillId="0" borderId="322" xfId="0" applyNumberFormat="1" applyFont="1" applyFill="1" applyBorder="1" applyAlignment="1" applyProtection="1">
      <alignment horizontal="center" vertical="center"/>
    </xf>
    <xf numFmtId="0" fontId="107" fillId="0" borderId="326" xfId="0" applyNumberFormat="1" applyFont="1" applyFill="1" applyBorder="1" applyAlignment="1" applyProtection="1">
      <alignment horizontal="center" vertical="center"/>
    </xf>
    <xf numFmtId="0" fontId="107" fillId="0" borderId="9" xfId="0" applyNumberFormat="1" applyFont="1" applyFill="1" applyBorder="1" applyAlignment="1" applyProtection="1">
      <alignment horizontal="center" vertical="center"/>
    </xf>
    <xf numFmtId="0" fontId="107" fillId="0" borderId="299" xfId="0" applyNumberFormat="1" applyFont="1" applyFill="1" applyBorder="1" applyAlignment="1" applyProtection="1">
      <alignment horizontal="center" vertical="center"/>
    </xf>
    <xf numFmtId="0" fontId="107" fillId="0" borderId="309" xfId="0" applyNumberFormat="1" applyFont="1" applyFill="1" applyBorder="1" applyAlignment="1" applyProtection="1">
      <alignment horizontal="center" vertical="center"/>
    </xf>
    <xf numFmtId="0" fontId="70" fillId="0" borderId="325" xfId="0" applyFont="1" applyBorder="1" applyAlignment="1" applyProtection="1">
      <alignment horizontal="center" vertical="center" shrinkToFit="1"/>
      <protection hidden="1"/>
    </xf>
    <xf numFmtId="0" fontId="70" fillId="0" borderId="322" xfId="0" applyFont="1" applyBorder="1" applyAlignment="1" applyProtection="1">
      <alignment horizontal="center" vertical="center" shrinkToFit="1"/>
      <protection hidden="1"/>
    </xf>
    <xf numFmtId="0" fontId="70" fillId="0" borderId="326" xfId="0" applyFont="1" applyBorder="1" applyAlignment="1" applyProtection="1">
      <alignment horizontal="center" vertical="center" shrinkToFit="1"/>
      <protection hidden="1"/>
    </xf>
    <xf numFmtId="0" fontId="70" fillId="0" borderId="9" xfId="0" applyFont="1" applyBorder="1" applyAlignment="1" applyProtection="1">
      <alignment horizontal="center" vertical="center" shrinkToFit="1"/>
      <protection hidden="1"/>
    </xf>
    <xf numFmtId="0" fontId="70" fillId="0" borderId="299" xfId="0" applyFont="1" applyBorder="1" applyAlignment="1" applyProtection="1">
      <alignment horizontal="center" vertical="center" shrinkToFit="1"/>
      <protection hidden="1"/>
    </xf>
    <xf numFmtId="0" fontId="70" fillId="0" borderId="309" xfId="0" applyFont="1" applyBorder="1" applyAlignment="1" applyProtection="1">
      <alignment horizontal="center" vertical="center" shrinkToFit="1"/>
      <protection hidden="1"/>
    </xf>
    <xf numFmtId="49" fontId="40" fillId="5" borderId="0" xfId="82" applyNumberFormat="1" applyFont="1" applyFill="1" applyBorder="1" applyAlignment="1" applyProtection="1">
      <alignment horizontal="center"/>
      <protection hidden="1"/>
    </xf>
    <xf numFmtId="49" fontId="40" fillId="5" borderId="83" xfId="82" applyNumberFormat="1" applyFont="1" applyFill="1" applyBorder="1" applyAlignment="1" applyProtection="1">
      <alignment horizontal="center"/>
      <protection hidden="1"/>
    </xf>
    <xf numFmtId="0" fontId="46" fillId="5" borderId="0" xfId="82" applyFont="1" applyFill="1" applyBorder="1" applyAlignment="1" applyProtection="1">
      <alignment horizontal="center"/>
      <protection hidden="1"/>
    </xf>
    <xf numFmtId="0" fontId="46" fillId="5" borderId="3" xfId="82" applyFont="1" applyFill="1" applyBorder="1" applyAlignment="1" applyProtection="1">
      <alignment horizontal="center"/>
      <protection hidden="1"/>
    </xf>
    <xf numFmtId="0" fontId="41" fillId="5" borderId="3" xfId="82" applyFont="1" applyFill="1" applyBorder="1" applyAlignment="1" applyProtection="1">
      <alignment horizontal="center"/>
      <protection hidden="1"/>
    </xf>
    <xf numFmtId="0" fontId="41" fillId="5" borderId="49" xfId="82" applyFont="1" applyFill="1" applyBorder="1" applyAlignment="1" applyProtection="1">
      <alignment horizontal="center"/>
      <protection hidden="1"/>
    </xf>
    <xf numFmtId="49" fontId="43" fillId="0" borderId="37" xfId="0" quotePrefix="1" applyNumberFormat="1" applyFont="1" applyBorder="1" applyAlignment="1" applyProtection="1">
      <alignment horizontal="center" vertical="center"/>
      <protection hidden="1"/>
    </xf>
    <xf numFmtId="0" fontId="0" fillId="17" borderId="327" xfId="0" applyFill="1" applyBorder="1" applyAlignment="1">
      <alignment horizontal="left" vertical="center" shrinkToFit="1"/>
    </xf>
    <xf numFmtId="0" fontId="0" fillId="17" borderId="230" xfId="0" applyFill="1" applyBorder="1" applyAlignment="1">
      <alignment horizontal="left" vertical="center" shrinkToFit="1"/>
    </xf>
    <xf numFmtId="0" fontId="0" fillId="17" borderId="248" xfId="0" applyFill="1" applyBorder="1" applyAlignment="1">
      <alignment horizontal="left" vertical="center" shrinkToFit="1"/>
    </xf>
    <xf numFmtId="0" fontId="0" fillId="17" borderId="328" xfId="0" applyFill="1" applyBorder="1" applyAlignment="1">
      <alignment horizontal="left" vertical="center" shrinkToFit="1"/>
    </xf>
    <xf numFmtId="0" fontId="0" fillId="17" borderId="233" xfId="0" applyFill="1" applyBorder="1" applyAlignment="1">
      <alignment horizontal="left" vertical="center" shrinkToFit="1"/>
    </xf>
    <xf numFmtId="0" fontId="0" fillId="17" borderId="249" xfId="0" applyFill="1" applyBorder="1" applyAlignment="1">
      <alignment horizontal="left" vertical="center" shrinkToFit="1"/>
    </xf>
    <xf numFmtId="0" fontId="0" fillId="17" borderId="246" xfId="0" applyFill="1" applyBorder="1" applyAlignment="1">
      <alignment horizontal="left"/>
    </xf>
    <xf numFmtId="0" fontId="0" fillId="17" borderId="230" xfId="0" applyFill="1" applyBorder="1" applyAlignment="1">
      <alignment horizontal="left"/>
    </xf>
    <xf numFmtId="0" fontId="0" fillId="17" borderId="231" xfId="0" applyFill="1" applyBorder="1" applyAlignment="1">
      <alignment horizontal="left"/>
    </xf>
    <xf numFmtId="0" fontId="0" fillId="17" borderId="247" xfId="0" applyFill="1" applyBorder="1" applyAlignment="1">
      <alignment horizontal="left"/>
    </xf>
    <xf numFmtId="0" fontId="0" fillId="17" borderId="233" xfId="0" applyFill="1" applyBorder="1" applyAlignment="1">
      <alignment horizontal="left"/>
    </xf>
    <xf numFmtId="0" fontId="0" fillId="17" borderId="234" xfId="0" applyFill="1" applyBorder="1" applyAlignment="1">
      <alignment horizontal="left"/>
    </xf>
    <xf numFmtId="0" fontId="0" fillId="17" borderId="230" xfId="0" applyFill="1" applyBorder="1" applyAlignment="1">
      <alignment horizontal="right"/>
    </xf>
    <xf numFmtId="0" fontId="0" fillId="17" borderId="248" xfId="0" applyFill="1" applyBorder="1" applyAlignment="1">
      <alignment horizontal="right"/>
    </xf>
    <xf numFmtId="0" fontId="0" fillId="17" borderId="233" xfId="0" applyFill="1" applyBorder="1" applyAlignment="1">
      <alignment horizontal="right"/>
    </xf>
    <xf numFmtId="0" fontId="0" fillId="17" borderId="249" xfId="0" applyFill="1" applyBorder="1" applyAlignment="1">
      <alignment horizontal="right"/>
    </xf>
    <xf numFmtId="0" fontId="46" fillId="5" borderId="14" xfId="82" applyFont="1" applyFill="1" applyBorder="1" applyAlignment="1" applyProtection="1">
      <alignment horizontal="center"/>
      <protection hidden="1"/>
    </xf>
    <xf numFmtId="49" fontId="44" fillId="0" borderId="0" xfId="0" quotePrefix="1" applyNumberFormat="1" applyFont="1" applyBorder="1" applyAlignment="1" applyProtection="1">
      <alignment horizontal="center" vertical="center"/>
      <protection hidden="1"/>
    </xf>
    <xf numFmtId="49" fontId="44" fillId="0" borderId="0" xfId="0" applyNumberFormat="1" applyFont="1" applyBorder="1" applyAlignment="1" applyProtection="1">
      <alignment horizontal="center" vertical="center"/>
      <protection hidden="1"/>
    </xf>
    <xf numFmtId="49" fontId="44" fillId="0" borderId="37" xfId="0" applyNumberFormat="1" applyFont="1" applyBorder="1" applyAlignment="1" applyProtection="1">
      <alignment horizontal="center" vertical="center"/>
      <protection hidden="1"/>
    </xf>
    <xf numFmtId="0" fontId="60" fillId="9" borderId="12" xfId="0" applyFont="1" applyFill="1" applyBorder="1" applyAlignment="1" applyProtection="1">
      <alignment horizontal="center" vertical="center"/>
      <protection hidden="1"/>
    </xf>
    <xf numFmtId="0" fontId="60" fillId="9" borderId="5" xfId="0" applyFont="1" applyFill="1" applyBorder="1" applyAlignment="1" applyProtection="1">
      <alignment horizontal="center" vertical="center"/>
      <protection hidden="1"/>
    </xf>
    <xf numFmtId="0" fontId="60" fillId="9" borderId="6" xfId="0" applyFont="1" applyFill="1" applyBorder="1" applyAlignment="1" applyProtection="1">
      <alignment horizontal="center" vertical="center"/>
      <protection hidden="1"/>
    </xf>
    <xf numFmtId="0" fontId="60" fillId="9" borderId="9" xfId="0" applyFont="1" applyFill="1" applyBorder="1" applyAlignment="1" applyProtection="1">
      <alignment horizontal="center" vertical="center"/>
      <protection hidden="1"/>
    </xf>
    <xf numFmtId="0" fontId="60" fillId="9" borderId="10" xfId="0" applyFont="1" applyFill="1" applyBorder="1" applyAlignment="1" applyProtection="1">
      <alignment horizontal="center" vertical="center"/>
      <protection hidden="1"/>
    </xf>
    <xf numFmtId="0" fontId="60" fillId="9" borderId="11" xfId="0" applyFont="1" applyFill="1" applyBorder="1" applyAlignment="1" applyProtection="1">
      <alignment horizontal="center" vertical="center"/>
      <protection hidden="1"/>
    </xf>
    <xf numFmtId="0" fontId="46" fillId="5" borderId="83" xfId="82" applyFont="1" applyFill="1" applyBorder="1" applyAlignment="1" applyProtection="1">
      <alignment horizontal="center"/>
      <protection hidden="1"/>
    </xf>
    <xf numFmtId="0" fontId="62" fillId="2" borderId="7" xfId="0" applyNumberFormat="1" applyFont="1" applyFill="1" applyBorder="1" applyAlignment="1" applyProtection="1">
      <alignment horizontal="center" vertical="center" shrinkToFit="1"/>
      <protection hidden="1"/>
    </xf>
    <xf numFmtId="0" fontId="62" fillId="2" borderId="0" xfId="0" applyNumberFormat="1" applyFont="1" applyFill="1" applyBorder="1" applyAlignment="1" applyProtection="1">
      <alignment horizontal="center" vertical="center" shrinkToFit="1"/>
      <protection hidden="1"/>
    </xf>
    <xf numFmtId="0" fontId="62" fillId="2" borderId="8" xfId="0" applyNumberFormat="1" applyFont="1" applyFill="1" applyBorder="1" applyAlignment="1" applyProtection="1">
      <alignment horizontal="center" vertical="center" shrinkToFit="1"/>
      <protection hidden="1"/>
    </xf>
    <xf numFmtId="0" fontId="62" fillId="2" borderId="9" xfId="0" applyNumberFormat="1" applyFont="1" applyFill="1" applyBorder="1" applyAlignment="1" applyProtection="1">
      <alignment horizontal="center" vertical="center" shrinkToFit="1"/>
      <protection hidden="1"/>
    </xf>
    <xf numFmtId="0" fontId="62" fillId="2" borderId="10" xfId="0" applyNumberFormat="1" applyFont="1" applyFill="1" applyBorder="1" applyAlignment="1" applyProtection="1">
      <alignment horizontal="center" vertical="center" shrinkToFit="1"/>
      <protection hidden="1"/>
    </xf>
    <xf numFmtId="0" fontId="62" fillId="2" borderId="11" xfId="0" applyNumberFormat="1" applyFont="1" applyFill="1" applyBorder="1" applyAlignment="1" applyProtection="1">
      <alignment horizontal="center" vertical="center" shrinkToFit="1"/>
      <protection hidden="1"/>
    </xf>
    <xf numFmtId="0" fontId="63" fillId="6" borderId="7" xfId="0" applyNumberFormat="1" applyFont="1" applyFill="1" applyBorder="1" applyAlignment="1" applyProtection="1">
      <alignment horizontal="center" vertical="center" shrinkToFit="1"/>
      <protection hidden="1"/>
    </xf>
    <xf numFmtId="0" fontId="63" fillId="6" borderId="0" xfId="0" applyNumberFormat="1" applyFont="1" applyFill="1" applyBorder="1" applyAlignment="1" applyProtection="1">
      <alignment horizontal="center" vertical="center" shrinkToFit="1"/>
      <protection hidden="1"/>
    </xf>
    <xf numFmtId="0" fontId="63" fillId="6" borderId="8" xfId="0" applyNumberFormat="1" applyFont="1" applyFill="1" applyBorder="1" applyAlignment="1" applyProtection="1">
      <alignment horizontal="center" vertical="center" shrinkToFit="1"/>
      <protection hidden="1"/>
    </xf>
    <xf numFmtId="0" fontId="63" fillId="6" borderId="9" xfId="0" applyNumberFormat="1" applyFont="1" applyFill="1" applyBorder="1" applyAlignment="1" applyProtection="1">
      <alignment horizontal="center" vertical="center" shrinkToFit="1"/>
      <protection hidden="1"/>
    </xf>
    <xf numFmtId="0" fontId="63" fillId="6" borderId="10" xfId="0" applyNumberFormat="1" applyFont="1" applyFill="1" applyBorder="1" applyAlignment="1" applyProtection="1">
      <alignment horizontal="center" vertical="center" shrinkToFit="1"/>
      <protection hidden="1"/>
    </xf>
    <xf numFmtId="0" fontId="63" fillId="6" borderId="11" xfId="0" applyNumberFormat="1" applyFont="1" applyFill="1" applyBorder="1" applyAlignment="1" applyProtection="1">
      <alignment horizontal="center" vertical="center" shrinkToFit="1"/>
      <protection hidden="1"/>
    </xf>
    <xf numFmtId="0" fontId="64" fillId="8" borderId="87" xfId="0" applyFont="1" applyFill="1" applyBorder="1" applyAlignment="1" applyProtection="1">
      <alignment horizontal="center" vertical="top"/>
      <protection hidden="1"/>
    </xf>
    <xf numFmtId="0" fontId="64" fillId="8" borderId="0" xfId="0" applyFont="1" applyFill="1" applyBorder="1" applyAlignment="1" applyProtection="1">
      <alignment horizontal="center" vertical="top"/>
      <protection hidden="1"/>
    </xf>
    <xf numFmtId="0" fontId="64" fillId="8" borderId="141" xfId="0" applyFont="1" applyFill="1" applyBorder="1" applyAlignment="1" applyProtection="1">
      <alignment horizontal="center" vertical="top"/>
      <protection hidden="1"/>
    </xf>
    <xf numFmtId="0" fontId="64" fillId="8" borderId="9" xfId="0" applyFont="1" applyFill="1" applyBorder="1" applyAlignment="1" applyProtection="1">
      <alignment horizontal="center" vertical="top"/>
      <protection hidden="1"/>
    </xf>
    <xf numFmtId="0" fontId="64" fillId="8" borderId="102" xfId="0" applyFont="1" applyFill="1" applyBorder="1" applyAlignment="1" applyProtection="1">
      <alignment horizontal="center" vertical="top"/>
      <protection hidden="1"/>
    </xf>
    <xf numFmtId="0" fontId="64" fillId="8" borderId="11" xfId="0" applyFont="1" applyFill="1" applyBorder="1" applyAlignment="1" applyProtection="1">
      <alignment horizontal="center" vertical="top"/>
      <protection hidden="1"/>
    </xf>
    <xf numFmtId="0" fontId="66" fillId="6" borderId="5" xfId="0" applyNumberFormat="1" applyFont="1" applyFill="1" applyBorder="1" applyAlignment="1" applyProtection="1">
      <alignment horizontal="left" vertical="center" shrinkToFit="1"/>
      <protection hidden="1"/>
    </xf>
    <xf numFmtId="0" fontId="0" fillId="0" borderId="87" xfId="0" applyBorder="1" applyAlignment="1" applyProtection="1">
      <alignment horizontal="left" vertical="top"/>
      <protection hidden="1"/>
    </xf>
    <xf numFmtId="0" fontId="0" fillId="0" borderId="0" xfId="0" applyBorder="1" applyAlignment="1" applyProtection="1">
      <alignment horizontal="left" vertical="top"/>
      <protection hidden="1"/>
    </xf>
    <xf numFmtId="0" fontId="0" fillId="0" borderId="201" xfId="0" applyBorder="1" applyAlignment="1" applyProtection="1">
      <alignment horizontal="left" vertical="top"/>
      <protection hidden="1"/>
    </xf>
    <xf numFmtId="0" fontId="0" fillId="0" borderId="85" xfId="0" applyBorder="1" applyAlignment="1" applyProtection="1">
      <alignment horizontal="left" vertical="top"/>
      <protection hidden="1"/>
    </xf>
    <xf numFmtId="0" fontId="0" fillId="8" borderId="167" xfId="0" applyFill="1" applyBorder="1" applyAlignment="1" applyProtection="1">
      <alignment horizontal="center"/>
      <protection hidden="1"/>
    </xf>
    <xf numFmtId="0" fontId="0" fillId="8" borderId="165" xfId="0" applyFill="1" applyBorder="1" applyAlignment="1" applyProtection="1">
      <alignment horizontal="center"/>
      <protection hidden="1"/>
    </xf>
    <xf numFmtId="0" fontId="0" fillId="8" borderId="166" xfId="0" applyFill="1" applyBorder="1" applyAlignment="1" applyProtection="1">
      <alignment horizontal="center"/>
      <protection hidden="1"/>
    </xf>
    <xf numFmtId="0" fontId="0" fillId="8" borderId="87" xfId="0" applyFill="1" applyBorder="1" applyAlignment="1" applyProtection="1">
      <alignment horizontal="center"/>
      <protection hidden="1"/>
    </xf>
    <xf numFmtId="0" fontId="0" fillId="8" borderId="0" xfId="0" applyFill="1" applyBorder="1" applyAlignment="1" applyProtection="1">
      <alignment horizontal="center"/>
      <protection hidden="1"/>
    </xf>
    <xf numFmtId="0" fontId="0" fillId="8" borderId="141" xfId="0" applyFill="1" applyBorder="1" applyAlignment="1" applyProtection="1">
      <alignment horizontal="center"/>
      <protection hidden="1"/>
    </xf>
    <xf numFmtId="0" fontId="0" fillId="8" borderId="9" xfId="0" applyFill="1" applyBorder="1" applyAlignment="1" applyProtection="1">
      <alignment horizontal="center"/>
      <protection hidden="1"/>
    </xf>
    <xf numFmtId="0" fontId="0" fillId="8" borderId="102" xfId="0" applyFill="1" applyBorder="1" applyAlignment="1" applyProtection="1">
      <alignment horizontal="center"/>
      <protection hidden="1"/>
    </xf>
    <xf numFmtId="0" fontId="0" fillId="8" borderId="11" xfId="0" applyFill="1" applyBorder="1" applyAlignment="1" applyProtection="1">
      <alignment horizontal="center"/>
      <protection hidden="1"/>
    </xf>
    <xf numFmtId="49" fontId="50" fillId="0" borderId="51" xfId="0" quotePrefix="1" applyNumberFormat="1" applyFont="1" applyBorder="1" applyAlignment="1" applyProtection="1">
      <alignment horizontal="center" vertical="center"/>
      <protection hidden="1"/>
    </xf>
    <xf numFmtId="49" fontId="50" fillId="0" borderId="51" xfId="0" applyNumberFormat="1" applyFont="1" applyBorder="1" applyAlignment="1" applyProtection="1">
      <alignment horizontal="center" vertical="center"/>
      <protection hidden="1"/>
    </xf>
    <xf numFmtId="49" fontId="42" fillId="3" borderId="0" xfId="82" applyNumberFormat="1" applyFont="1" applyFill="1" applyBorder="1" applyAlignment="1" applyProtection="1">
      <alignment horizontal="center"/>
      <protection hidden="1"/>
    </xf>
    <xf numFmtId="49" fontId="42" fillId="3" borderId="36" xfId="82" applyNumberFormat="1" applyFont="1" applyFill="1" applyBorder="1" applyAlignment="1" applyProtection="1">
      <alignment horizontal="center"/>
      <protection hidden="1"/>
    </xf>
    <xf numFmtId="0" fontId="47" fillId="3" borderId="51" xfId="82" applyFont="1" applyFill="1" applyBorder="1" applyAlignment="1" applyProtection="1">
      <alignment horizontal="center"/>
      <protection hidden="1"/>
    </xf>
    <xf numFmtId="0" fontId="47" fillId="3" borderId="0" xfId="82" applyFont="1" applyFill="1" applyBorder="1" applyAlignment="1" applyProtection="1">
      <alignment horizontal="center"/>
      <protection hidden="1"/>
    </xf>
    <xf numFmtId="0" fontId="47" fillId="3" borderId="36" xfId="82" applyFont="1" applyFill="1" applyBorder="1" applyAlignment="1" applyProtection="1">
      <alignment horizontal="center"/>
      <protection hidden="1"/>
    </xf>
    <xf numFmtId="0" fontId="49" fillId="3" borderId="53" xfId="82" applyFont="1" applyFill="1" applyBorder="1" applyAlignment="1" applyProtection="1">
      <alignment horizontal="center"/>
      <protection hidden="1"/>
    </xf>
    <xf numFmtId="0" fontId="49" fillId="3" borderId="36" xfId="82" applyFont="1" applyFill="1" applyBorder="1" applyAlignment="1" applyProtection="1">
      <alignment horizontal="center"/>
      <protection hidden="1"/>
    </xf>
    <xf numFmtId="0" fontId="66" fillId="6" borderId="7" xfId="0" applyNumberFormat="1" applyFont="1" applyFill="1" applyBorder="1" applyAlignment="1" applyProtection="1">
      <alignment horizontal="left" vertical="center" shrinkToFit="1"/>
      <protection hidden="1"/>
    </xf>
    <xf numFmtId="0" fontId="66" fillId="6" borderId="0" xfId="0" applyNumberFormat="1" applyFont="1" applyFill="1" applyBorder="1" applyAlignment="1" applyProtection="1">
      <alignment horizontal="left" vertical="center" shrinkToFit="1"/>
      <protection hidden="1"/>
    </xf>
    <xf numFmtId="0" fontId="66" fillId="6" borderId="102" xfId="0" applyNumberFormat="1" applyFont="1" applyFill="1" applyBorder="1" applyAlignment="1" applyProtection="1">
      <alignment horizontal="left" vertical="center" shrinkToFit="1"/>
      <protection hidden="1"/>
    </xf>
    <xf numFmtId="49" fontId="50" fillId="0" borderId="37" xfId="0" applyNumberFormat="1" applyFont="1" applyBorder="1" applyAlignment="1" applyProtection="1">
      <alignment horizontal="center"/>
      <protection hidden="1"/>
    </xf>
    <xf numFmtId="0" fontId="0" fillId="15" borderId="205" xfId="0" applyFill="1" applyBorder="1" applyAlignment="1" applyProtection="1">
      <alignment horizontal="left" vertical="top" shrinkToFit="1"/>
      <protection hidden="1"/>
    </xf>
    <xf numFmtId="0" fontId="0" fillId="15" borderId="199" xfId="0" applyFill="1" applyBorder="1" applyAlignment="1" applyProtection="1">
      <alignment horizontal="left" vertical="top" shrinkToFit="1"/>
      <protection hidden="1"/>
    </xf>
    <xf numFmtId="0" fontId="0" fillId="15" borderId="206" xfId="0" applyFill="1" applyBorder="1" applyAlignment="1" applyProtection="1">
      <alignment horizontal="left" vertical="top" shrinkToFit="1"/>
      <protection hidden="1"/>
    </xf>
    <xf numFmtId="0" fontId="0" fillId="15" borderId="207" xfId="0" applyFill="1" applyBorder="1" applyAlignment="1" applyProtection="1">
      <alignment horizontal="left" vertical="top" shrinkToFit="1"/>
      <protection hidden="1"/>
    </xf>
    <xf numFmtId="0" fontId="0" fillId="15" borderId="0" xfId="0" applyFill="1" applyBorder="1" applyAlignment="1" applyProtection="1">
      <alignment horizontal="left" vertical="top" shrinkToFit="1"/>
      <protection hidden="1"/>
    </xf>
    <xf numFmtId="0" fontId="0" fillId="15" borderId="208" xfId="0" applyFill="1" applyBorder="1" applyAlignment="1" applyProtection="1">
      <alignment horizontal="left" vertical="top" shrinkToFit="1"/>
      <protection hidden="1"/>
    </xf>
    <xf numFmtId="0" fontId="0" fillId="15" borderId="209" xfId="0" applyFill="1" applyBorder="1" applyAlignment="1" applyProtection="1">
      <alignment horizontal="left" vertical="top" shrinkToFit="1"/>
      <protection hidden="1"/>
    </xf>
    <xf numFmtId="0" fontId="0" fillId="15" borderId="210" xfId="0" applyFill="1" applyBorder="1" applyAlignment="1" applyProtection="1">
      <alignment horizontal="left" vertical="top" shrinkToFit="1"/>
      <protection hidden="1"/>
    </xf>
    <xf numFmtId="0" fontId="0" fillId="15" borderId="211" xfId="0" applyFill="1" applyBorder="1" applyAlignment="1" applyProtection="1">
      <alignment horizontal="left" vertical="top" shrinkToFit="1"/>
      <protection hidden="1"/>
    </xf>
    <xf numFmtId="0" fontId="66" fillId="6" borderId="161" xfId="0" applyNumberFormat="1" applyFont="1" applyFill="1" applyBorder="1" applyAlignment="1" applyProtection="1">
      <alignment horizontal="left" vertical="center" shrinkToFit="1"/>
      <protection hidden="1"/>
    </xf>
    <xf numFmtId="0" fontId="66" fillId="6" borderId="167" xfId="0" applyNumberFormat="1" applyFont="1" applyFill="1" applyBorder="1" applyAlignment="1" applyProtection="1">
      <alignment horizontal="left" vertical="center" shrinkToFit="1"/>
      <protection hidden="1"/>
    </xf>
    <xf numFmtId="0" fontId="66" fillId="6" borderId="165" xfId="0" applyNumberFormat="1" applyFont="1" applyFill="1" applyBorder="1" applyAlignment="1" applyProtection="1">
      <alignment horizontal="left" vertical="center" shrinkToFit="1"/>
      <protection hidden="1"/>
    </xf>
    <xf numFmtId="0" fontId="0" fillId="0" borderId="9" xfId="0" applyBorder="1" applyAlignment="1" applyProtection="1">
      <alignment horizontal="left" vertical="top"/>
      <protection hidden="1"/>
    </xf>
    <xf numFmtId="0" fontId="0" fillId="0" borderId="102" xfId="0" applyBorder="1" applyAlignment="1" applyProtection="1">
      <alignment horizontal="left" vertical="top"/>
      <protection hidden="1"/>
    </xf>
    <xf numFmtId="0" fontId="65" fillId="2" borderId="167" xfId="0" applyNumberFormat="1" applyFont="1" applyFill="1" applyBorder="1" applyAlignment="1" applyProtection="1">
      <alignment horizontal="center" vertical="center" shrinkToFit="1"/>
      <protection hidden="1"/>
    </xf>
    <xf numFmtId="0" fontId="65" fillId="2" borderId="165" xfId="0" applyNumberFormat="1" applyFont="1" applyFill="1" applyBorder="1" applyAlignment="1" applyProtection="1">
      <alignment horizontal="center" vertical="center" shrinkToFit="1"/>
      <protection hidden="1"/>
    </xf>
    <xf numFmtId="0" fontId="62" fillId="2" borderId="87" xfId="0" applyNumberFormat="1" applyFont="1" applyFill="1" applyBorder="1" applyAlignment="1" applyProtection="1">
      <alignment horizontal="center" vertical="center" shrinkToFit="1"/>
      <protection hidden="1"/>
    </xf>
    <xf numFmtId="0" fontId="62" fillId="2" borderId="141" xfId="0" applyNumberFormat="1" applyFont="1" applyFill="1" applyBorder="1" applyAlignment="1" applyProtection="1">
      <alignment horizontal="center" vertical="center" shrinkToFit="1"/>
      <protection hidden="1"/>
    </xf>
    <xf numFmtId="0" fontId="62" fillId="2" borderId="102" xfId="0" applyNumberFormat="1" applyFont="1" applyFill="1" applyBorder="1" applyAlignment="1" applyProtection="1">
      <alignment horizontal="center" vertical="center" shrinkToFit="1"/>
      <protection hidden="1"/>
    </xf>
    <xf numFmtId="0" fontId="63" fillId="6" borderId="87" xfId="0" applyNumberFormat="1" applyFont="1" applyFill="1" applyBorder="1" applyAlignment="1" applyProtection="1">
      <alignment horizontal="center" vertical="center" shrinkToFit="1"/>
      <protection hidden="1"/>
    </xf>
    <xf numFmtId="0" fontId="63" fillId="6" borderId="141" xfId="0" applyNumberFormat="1" applyFont="1" applyFill="1" applyBorder="1" applyAlignment="1" applyProtection="1">
      <alignment horizontal="center" vertical="center" shrinkToFit="1"/>
      <protection hidden="1"/>
    </xf>
    <xf numFmtId="0" fontId="63" fillId="6" borderId="102" xfId="0" applyNumberFormat="1" applyFont="1" applyFill="1" applyBorder="1" applyAlignment="1" applyProtection="1">
      <alignment horizontal="center" vertical="center" shrinkToFit="1"/>
      <protection hidden="1"/>
    </xf>
    <xf numFmtId="0" fontId="38" fillId="0" borderId="155" xfId="0" applyFont="1" applyBorder="1" applyAlignment="1">
      <alignment horizontal="left" vertical="top"/>
    </xf>
    <xf numFmtId="0" fontId="38" fillId="0" borderId="93" xfId="0" applyFont="1" applyBorder="1" applyAlignment="1">
      <alignment horizontal="left" vertical="top"/>
    </xf>
    <xf numFmtId="0" fontId="38" fillId="0" borderId="94" xfId="0" applyFont="1" applyBorder="1" applyAlignment="1">
      <alignment horizontal="left" vertical="top"/>
    </xf>
    <xf numFmtId="0" fontId="38" fillId="0" borderId="141" xfId="0" applyFont="1" applyBorder="1" applyAlignment="1">
      <alignment horizontal="left" vertical="top"/>
    </xf>
    <xf numFmtId="0" fontId="38" fillId="0" borderId="9" xfId="0" applyFont="1" applyBorder="1" applyAlignment="1">
      <alignment horizontal="left" vertical="top"/>
    </xf>
    <xf numFmtId="0" fontId="38" fillId="0" borderId="142" xfId="0" applyFont="1" applyBorder="1" applyAlignment="1">
      <alignment horizontal="left" vertical="top"/>
    </xf>
    <xf numFmtId="0" fontId="38" fillId="0" borderId="11" xfId="0" applyFont="1" applyBorder="1" applyAlignment="1">
      <alignment horizontal="left" vertical="top"/>
    </xf>
    <xf numFmtId="0" fontId="105" fillId="0" borderId="143" xfId="0" applyFont="1" applyBorder="1" applyAlignment="1" applyProtection="1">
      <alignment horizontal="center" vertical="top"/>
      <protection locked="0"/>
    </xf>
    <xf numFmtId="0" fontId="105" fillId="0" borderId="159" xfId="0" applyFont="1" applyBorder="1" applyAlignment="1" applyProtection="1">
      <alignment horizontal="center" vertical="top"/>
      <protection locked="0"/>
    </xf>
    <xf numFmtId="0" fontId="105" fillId="0" borderId="160" xfId="0" applyFont="1" applyBorder="1" applyAlignment="1" applyProtection="1">
      <alignment horizontal="center" vertical="top"/>
      <protection locked="0"/>
    </xf>
    <xf numFmtId="0" fontId="105" fillId="0" borderId="158" xfId="0" applyFont="1" applyBorder="1" applyAlignment="1" applyProtection="1">
      <alignment horizontal="center" vertical="top"/>
      <protection locked="0"/>
    </xf>
    <xf numFmtId="0" fontId="105" fillId="0" borderId="167" xfId="0" applyFont="1" applyBorder="1" applyAlignment="1" applyProtection="1">
      <alignment horizontal="center" vertical="top"/>
      <protection locked="0"/>
    </xf>
    <xf numFmtId="0" fontId="105" fillId="0" borderId="165" xfId="0" applyFont="1" applyBorder="1" applyAlignment="1" applyProtection="1">
      <alignment horizontal="center" vertical="top"/>
      <protection locked="0"/>
    </xf>
    <xf numFmtId="0" fontId="27" fillId="0" borderId="156" xfId="0" applyFont="1" applyBorder="1" applyAlignment="1" applyProtection="1">
      <alignment horizontal="center" vertical="top"/>
      <protection locked="0"/>
    </xf>
    <xf numFmtId="0" fontId="27" fillId="0" borderId="93" xfId="0" applyFont="1" applyBorder="1" applyAlignment="1" applyProtection="1">
      <alignment horizontal="center" vertical="top"/>
      <protection locked="0"/>
    </xf>
    <xf numFmtId="0" fontId="105" fillId="0" borderId="169" xfId="0" applyFont="1" applyBorder="1" applyAlignment="1" applyProtection="1">
      <alignment horizontal="center" vertical="top"/>
      <protection locked="0"/>
    </xf>
    <xf numFmtId="0" fontId="71" fillId="0" borderId="272" xfId="0" applyFont="1" applyBorder="1" applyAlignment="1" applyProtection="1">
      <alignment horizontal="center"/>
    </xf>
    <xf numFmtId="0" fontId="71" fillId="0" borderId="273" xfId="0" applyFont="1" applyBorder="1" applyAlignment="1" applyProtection="1">
      <alignment horizontal="center"/>
    </xf>
    <xf numFmtId="0" fontId="71" fillId="0" borderId="274" xfId="0" applyFont="1" applyBorder="1" applyAlignment="1" applyProtection="1">
      <alignment horizontal="center"/>
    </xf>
    <xf numFmtId="0" fontId="38" fillId="0" borderId="254" xfId="0" applyFont="1" applyBorder="1" applyAlignment="1">
      <alignment horizontal="center" vertical="top"/>
    </xf>
    <xf numFmtId="0" fontId="38" fillId="0" borderId="255" xfId="0" applyFont="1" applyBorder="1" applyAlignment="1">
      <alignment horizontal="center" vertical="top"/>
    </xf>
    <xf numFmtId="0" fontId="38" fillId="0" borderId="256" xfId="0" applyFont="1" applyBorder="1" applyAlignment="1">
      <alignment horizontal="center" vertical="top"/>
    </xf>
    <xf numFmtId="0" fontId="38" fillId="0" borderId="245" xfId="0" applyFont="1" applyBorder="1" applyAlignment="1">
      <alignment horizontal="center" vertical="top"/>
    </xf>
    <xf numFmtId="0" fontId="99" fillId="0" borderId="214" xfId="0" applyFont="1" applyBorder="1" applyAlignment="1">
      <alignment horizontal="right" vertical="center"/>
    </xf>
    <xf numFmtId="0" fontId="99" fillId="0" borderId="258" xfId="0" applyFont="1" applyBorder="1" applyAlignment="1">
      <alignment horizontal="left" vertical="center"/>
    </xf>
    <xf numFmtId="0" fontId="99" fillId="0" borderId="214" xfId="0" applyFont="1" applyBorder="1" applyAlignment="1">
      <alignment horizontal="left" vertical="center"/>
    </xf>
    <xf numFmtId="0" fontId="99" fillId="0" borderId="217" xfId="0" applyFont="1" applyBorder="1" applyAlignment="1">
      <alignment horizontal="left" vertical="center"/>
    </xf>
    <xf numFmtId="0" fontId="27" fillId="0" borderId="155" xfId="0" applyFont="1" applyBorder="1" applyAlignment="1" applyProtection="1">
      <alignment horizontal="center" vertical="top"/>
      <protection locked="0"/>
    </xf>
    <xf numFmtId="0" fontId="27" fillId="0" borderId="94" xfId="0" applyFont="1" applyBorder="1" applyAlignment="1" applyProtection="1">
      <alignment horizontal="center" vertical="top"/>
      <protection locked="0"/>
    </xf>
    <xf numFmtId="0" fontId="38" fillId="0" borderId="278" xfId="0" applyFont="1" applyBorder="1" applyAlignment="1">
      <alignment horizontal="center"/>
    </xf>
    <xf numFmtId="0" fontId="38" fillId="0" borderId="279" xfId="0" applyFont="1" applyBorder="1" applyAlignment="1">
      <alignment horizontal="center"/>
    </xf>
    <xf numFmtId="0" fontId="38" fillId="0" borderId="280" xfId="0" applyFont="1" applyBorder="1" applyAlignment="1">
      <alignment horizontal="center"/>
    </xf>
    <xf numFmtId="0" fontId="38" fillId="0" borderId="275" xfId="0" applyFont="1" applyBorder="1" applyAlignment="1">
      <alignment horizontal="center"/>
    </xf>
    <xf numFmtId="0" fontId="38" fillId="0" borderId="276" xfId="0" applyFont="1" applyBorder="1" applyAlignment="1">
      <alignment horizontal="center"/>
    </xf>
    <xf numFmtId="0" fontId="38" fillId="0" borderId="277" xfId="0" applyFont="1" applyBorder="1" applyAlignment="1">
      <alignment horizontal="center"/>
    </xf>
    <xf numFmtId="0" fontId="57" fillId="0" borderId="0" xfId="0" applyFont="1" applyBorder="1" applyAlignment="1" applyProtection="1">
      <alignment horizontal="center" vertical="top"/>
    </xf>
    <xf numFmtId="0" fontId="0" fillId="13" borderId="250" xfId="0" applyFill="1" applyBorder="1" applyAlignment="1">
      <alignment horizontal="center" vertical="center" shrinkToFit="1"/>
    </xf>
    <xf numFmtId="0" fontId="0" fillId="13" borderId="161" xfId="0" applyFill="1" applyBorder="1" applyAlignment="1">
      <alignment horizontal="center" vertical="center" shrinkToFit="1"/>
    </xf>
    <xf numFmtId="0" fontId="0" fillId="13" borderId="130" xfId="0" applyFill="1" applyBorder="1" applyAlignment="1">
      <alignment horizontal="center" vertical="center" shrinkToFit="1"/>
    </xf>
    <xf numFmtId="0" fontId="81" fillId="13" borderId="250" xfId="0" applyFont="1" applyFill="1" applyBorder="1" applyAlignment="1">
      <alignment horizontal="center" vertical="center" shrinkToFit="1"/>
    </xf>
    <xf numFmtId="0" fontId="81" fillId="13" borderId="161" xfId="0" applyFont="1" applyFill="1" applyBorder="1" applyAlignment="1">
      <alignment horizontal="center" vertical="center" shrinkToFit="1"/>
    </xf>
    <xf numFmtId="0" fontId="81" fillId="13" borderId="130" xfId="0" applyFont="1" applyFill="1" applyBorder="1" applyAlignment="1">
      <alignment horizontal="center" vertical="center" shrinkToFit="1"/>
    </xf>
    <xf numFmtId="0" fontId="0" fillId="0" borderId="167" xfId="0" applyBorder="1" applyAlignment="1">
      <alignment horizontal="center"/>
    </xf>
    <xf numFmtId="0" fontId="0" fillId="0" borderId="218" xfId="0" applyBorder="1" applyAlignment="1">
      <alignment horizontal="center"/>
    </xf>
    <xf numFmtId="0" fontId="0" fillId="0" borderId="166" xfId="0" applyBorder="1" applyAlignment="1">
      <alignment horizontal="center"/>
    </xf>
    <xf numFmtId="0" fontId="0" fillId="0" borderId="7" xfId="0" applyBorder="1" applyAlignment="1">
      <alignment horizontal="center"/>
    </xf>
    <xf numFmtId="0" fontId="0" fillId="0" borderId="245" xfId="0" applyBorder="1" applyAlignment="1">
      <alignment horizontal="center"/>
    </xf>
    <xf numFmtId="0" fontId="0" fillId="0" borderId="137" xfId="0" applyBorder="1" applyAlignment="1">
      <alignment horizontal="center"/>
    </xf>
    <xf numFmtId="0" fontId="0" fillId="0" borderId="214" xfId="0" applyBorder="1" applyAlignment="1">
      <alignment horizontal="center"/>
    </xf>
    <xf numFmtId="0" fontId="0" fillId="0" borderId="217" xfId="0" applyBorder="1" applyAlignment="1">
      <alignment horizontal="center"/>
    </xf>
    <xf numFmtId="0" fontId="66" fillId="6" borderId="161" xfId="0" applyNumberFormat="1" applyFont="1" applyFill="1" applyBorder="1" applyAlignment="1" applyProtection="1">
      <alignment horizontal="center" vertical="center" shrinkToFit="1"/>
    </xf>
    <xf numFmtId="0" fontId="66" fillId="6" borderId="130" xfId="0" applyNumberFormat="1" applyFont="1" applyFill="1" applyBorder="1" applyAlignment="1" applyProtection="1">
      <alignment horizontal="center" vertical="center" shrinkToFit="1"/>
    </xf>
    <xf numFmtId="0" fontId="65" fillId="2" borderId="218" xfId="0" applyNumberFormat="1" applyFont="1" applyFill="1" applyBorder="1" applyAlignment="1" applyProtection="1">
      <alignment horizontal="center" vertical="center" shrinkToFit="1"/>
    </xf>
    <xf numFmtId="0" fontId="62" fillId="2" borderId="137" xfId="0" applyNumberFormat="1" applyFont="1" applyFill="1" applyBorder="1" applyAlignment="1" applyProtection="1">
      <alignment horizontal="center" vertical="center" shrinkToFit="1"/>
      <protection locked="0"/>
    </xf>
    <xf numFmtId="0" fontId="62" fillId="2" borderId="214" xfId="0" applyNumberFormat="1" applyFont="1" applyFill="1" applyBorder="1" applyAlignment="1" applyProtection="1">
      <alignment horizontal="center" vertical="center" shrinkToFit="1"/>
      <protection locked="0"/>
    </xf>
    <xf numFmtId="0" fontId="63" fillId="6" borderId="245" xfId="0" applyNumberFormat="1" applyFont="1" applyFill="1" applyBorder="1" applyAlignment="1" applyProtection="1">
      <alignment horizontal="center" vertical="center" shrinkToFit="1"/>
      <protection locked="0"/>
    </xf>
    <xf numFmtId="0" fontId="63" fillId="6" borderId="137" xfId="0" applyNumberFormat="1" applyFont="1" applyFill="1" applyBorder="1" applyAlignment="1" applyProtection="1">
      <alignment horizontal="center" vertical="center" shrinkToFit="1"/>
      <protection locked="0"/>
    </xf>
    <xf numFmtId="0" fontId="63" fillId="6" borderId="214" xfId="0" applyNumberFormat="1" applyFont="1" applyFill="1" applyBorder="1" applyAlignment="1" applyProtection="1">
      <alignment horizontal="center" vertical="center" shrinkToFit="1"/>
      <protection locked="0"/>
    </xf>
    <xf numFmtId="0" fontId="63" fillId="6" borderId="217" xfId="0" applyNumberFormat="1" applyFont="1" applyFill="1" applyBorder="1" applyAlignment="1" applyProtection="1">
      <alignment horizontal="center" vertical="center" shrinkToFit="1"/>
      <protection locked="0"/>
    </xf>
    <xf numFmtId="0" fontId="64" fillId="8" borderId="7" xfId="0" applyFont="1" applyFill="1" applyBorder="1" applyAlignment="1" applyProtection="1">
      <alignment horizontal="center" vertical="top"/>
      <protection locked="0"/>
    </xf>
    <xf numFmtId="0" fontId="64" fillId="8" borderId="245" xfId="0" applyFont="1" applyFill="1" applyBorder="1" applyAlignment="1" applyProtection="1">
      <alignment horizontal="center" vertical="top"/>
      <protection locked="0"/>
    </xf>
    <xf numFmtId="0" fontId="64" fillId="8" borderId="137" xfId="0" applyFont="1" applyFill="1" applyBorder="1" applyAlignment="1" applyProtection="1">
      <alignment horizontal="center" vertical="top"/>
      <protection locked="0"/>
    </xf>
    <xf numFmtId="0" fontId="64" fillId="8" borderId="214" xfId="0" applyFont="1" applyFill="1" applyBorder="1" applyAlignment="1" applyProtection="1">
      <alignment horizontal="center" vertical="top"/>
      <protection locked="0"/>
    </xf>
    <xf numFmtId="0" fontId="64" fillId="8" borderId="217" xfId="0" applyFont="1" applyFill="1" applyBorder="1" applyAlignment="1" applyProtection="1">
      <alignment horizontal="center" vertical="top"/>
      <protection locked="0"/>
    </xf>
    <xf numFmtId="0" fontId="14" fillId="5" borderId="83" xfId="82" applyFont="1" applyFill="1" applyBorder="1" applyAlignment="1" applyProtection="1">
      <alignment horizontal="center" vertical="top"/>
      <protection hidden="1"/>
    </xf>
    <xf numFmtId="0" fontId="0" fillId="8" borderId="218" xfId="0" applyFill="1" applyBorder="1" applyAlignment="1" applyProtection="1">
      <alignment horizontal="center"/>
      <protection locked="0"/>
    </xf>
    <xf numFmtId="0" fontId="0" fillId="8" borderId="137" xfId="0" applyFill="1" applyBorder="1" applyAlignment="1" applyProtection="1">
      <alignment horizontal="center"/>
      <protection locked="0"/>
    </xf>
    <xf numFmtId="0" fontId="0" fillId="8" borderId="214" xfId="0" applyFill="1" applyBorder="1" applyAlignment="1" applyProtection="1">
      <alignment horizontal="center"/>
      <protection locked="0"/>
    </xf>
    <xf numFmtId="0" fontId="0" fillId="8" borderId="217" xfId="0" applyFill="1" applyBorder="1" applyAlignment="1" applyProtection="1">
      <alignment horizontal="center"/>
      <protection locked="0"/>
    </xf>
    <xf numFmtId="0" fontId="0" fillId="8" borderId="201" xfId="0" applyFill="1" applyBorder="1" applyAlignment="1" applyProtection="1">
      <alignment horizontal="center"/>
      <protection locked="0"/>
    </xf>
    <xf numFmtId="0" fontId="0" fillId="8" borderId="85" xfId="0" applyFill="1" applyBorder="1" applyAlignment="1" applyProtection="1">
      <alignment horizontal="center"/>
      <protection locked="0"/>
    </xf>
    <xf numFmtId="0" fontId="0" fillId="8" borderId="202" xfId="0" applyFill="1" applyBorder="1" applyAlignment="1" applyProtection="1">
      <alignment horizontal="center"/>
      <protection locked="0"/>
    </xf>
    <xf numFmtId="0" fontId="108" fillId="4" borderId="82" xfId="82" applyFont="1" applyFill="1" applyBorder="1" applyAlignment="1" applyProtection="1">
      <alignment horizontal="center" vertical="center" shrinkToFit="1"/>
      <protection hidden="1"/>
    </xf>
    <xf numFmtId="0" fontId="0" fillId="0" borderId="7" xfId="0" applyBorder="1" applyAlignment="1" applyProtection="1">
      <alignment horizontal="center" vertical="top"/>
      <protection locked="0"/>
    </xf>
    <xf numFmtId="0" fontId="0" fillId="0" borderId="0" xfId="0" applyBorder="1" applyAlignment="1" applyProtection="1">
      <alignment horizontal="center" vertical="top"/>
      <protection locked="0"/>
    </xf>
    <xf numFmtId="0" fontId="0" fillId="0" borderId="137" xfId="0" applyBorder="1" applyAlignment="1" applyProtection="1">
      <alignment horizontal="center" vertical="top"/>
      <protection locked="0"/>
    </xf>
    <xf numFmtId="0" fontId="0" fillId="0" borderId="214" xfId="0" applyBorder="1" applyAlignment="1" applyProtection="1">
      <alignment horizontal="center" vertical="top"/>
      <protection locked="0"/>
    </xf>
    <xf numFmtId="0" fontId="0" fillId="8" borderId="7" xfId="0" applyFill="1" applyBorder="1" applyAlignment="1" applyProtection="1">
      <alignment horizontal="center"/>
      <protection locked="0"/>
    </xf>
    <xf numFmtId="0" fontId="0" fillId="8" borderId="245" xfId="0" applyFill="1" applyBorder="1" applyAlignment="1" applyProtection="1">
      <alignment horizontal="center"/>
      <protection locked="0"/>
    </xf>
    <xf numFmtId="0" fontId="65" fillId="2" borderId="251" xfId="0" applyNumberFormat="1" applyFont="1" applyFill="1" applyBorder="1" applyAlignment="1" applyProtection="1">
      <alignment horizontal="center" vertical="center" shrinkToFit="1"/>
    </xf>
    <xf numFmtId="0" fontId="65" fillId="2" borderId="252" xfId="0" applyNumberFormat="1" applyFont="1" applyFill="1" applyBorder="1" applyAlignment="1" applyProtection="1">
      <alignment horizontal="center" vertical="center" shrinkToFit="1"/>
    </xf>
    <xf numFmtId="0" fontId="0" fillId="0" borderId="201" xfId="0" applyBorder="1" applyAlignment="1" applyProtection="1">
      <alignment horizontal="center" vertical="top"/>
      <protection locked="0"/>
    </xf>
    <xf numFmtId="0" fontId="0" fillId="0" borderId="85" xfId="0" applyBorder="1" applyAlignment="1" applyProtection="1">
      <alignment horizontal="center" vertical="top"/>
      <protection locked="0"/>
    </xf>
    <xf numFmtId="0" fontId="65" fillId="2" borderId="7" xfId="0" applyNumberFormat="1" applyFont="1" applyFill="1" applyBorder="1" applyAlignment="1" applyProtection="1">
      <alignment horizontal="center" vertical="center" shrinkToFit="1"/>
    </xf>
    <xf numFmtId="0" fontId="65" fillId="2" borderId="0" xfId="0" applyNumberFormat="1" applyFont="1" applyFill="1" applyBorder="1" applyAlignment="1" applyProtection="1">
      <alignment horizontal="center" vertical="center" shrinkToFit="1"/>
    </xf>
    <xf numFmtId="0" fontId="51" fillId="5" borderId="0" xfId="82" applyFont="1" applyFill="1" applyBorder="1" applyAlignment="1" applyProtection="1">
      <alignment horizontal="center" vertical="center"/>
      <protection hidden="1"/>
    </xf>
    <xf numFmtId="0" fontId="51" fillId="5" borderId="38" xfId="82" applyFont="1" applyFill="1" applyBorder="1" applyAlignment="1" applyProtection="1">
      <alignment horizontal="center" vertical="center"/>
      <protection hidden="1"/>
    </xf>
    <xf numFmtId="0" fontId="23" fillId="5" borderId="187" xfId="82" applyFont="1" applyFill="1" applyBorder="1" applyAlignment="1" applyProtection="1">
      <alignment horizontal="center" vertical="center"/>
      <protection hidden="1"/>
    </xf>
    <xf numFmtId="0" fontId="0" fillId="0" borderId="0" xfId="0" applyBorder="1" applyAlignment="1" applyProtection="1">
      <alignment horizontal="center" vertical="center"/>
      <protection hidden="1"/>
    </xf>
    <xf numFmtId="0" fontId="0" fillId="0" borderId="214" xfId="0" applyBorder="1" applyAlignment="1" applyProtection="1">
      <alignment horizontal="center" vertical="center"/>
      <protection hidden="1"/>
    </xf>
    <xf numFmtId="0" fontId="70" fillId="0" borderId="198" xfId="0" applyFont="1" applyBorder="1" applyAlignment="1" applyProtection="1">
      <alignment horizontal="center" vertical="center" shrinkToFit="1"/>
      <protection hidden="1"/>
    </xf>
    <xf numFmtId="0" fontId="70" fillId="0" borderId="218" xfId="0" applyFont="1" applyBorder="1" applyAlignment="1" applyProtection="1">
      <alignment horizontal="center" vertical="center" shrinkToFit="1"/>
      <protection hidden="1"/>
    </xf>
    <xf numFmtId="0" fontId="70" fillId="0" borderId="25" xfId="0" applyFont="1" applyBorder="1" applyAlignment="1" applyProtection="1">
      <alignment horizontal="center" vertical="center" shrinkToFit="1"/>
      <protection hidden="1"/>
    </xf>
    <xf numFmtId="0" fontId="70" fillId="0" borderId="0" xfId="0" applyFont="1" applyBorder="1" applyAlignment="1" applyProtection="1">
      <alignment horizontal="center" vertical="center" shrinkToFit="1"/>
      <protection hidden="1"/>
    </xf>
    <xf numFmtId="0" fontId="45" fillId="4" borderId="82" xfId="82" applyFont="1" applyFill="1" applyBorder="1" applyAlignment="1" applyProtection="1">
      <alignment horizontal="center" vertical="center"/>
      <protection hidden="1"/>
    </xf>
    <xf numFmtId="0" fontId="23" fillId="4" borderId="89" xfId="82" applyFont="1" applyFill="1" applyBorder="1" applyAlignment="1" applyProtection="1">
      <alignment horizontal="center"/>
      <protection hidden="1"/>
    </xf>
    <xf numFmtId="0" fontId="107" fillId="0" borderId="167" xfId="0" applyNumberFormat="1" applyFont="1" applyFill="1" applyBorder="1" applyAlignment="1" applyProtection="1">
      <alignment horizontal="center" vertical="center"/>
    </xf>
    <xf numFmtId="0" fontId="107" fillId="0" borderId="166" xfId="0" applyNumberFormat="1" applyFont="1" applyFill="1" applyBorder="1" applyAlignment="1" applyProtection="1">
      <alignment horizontal="center" vertical="center"/>
    </xf>
    <xf numFmtId="0" fontId="107" fillId="0" borderId="137" xfId="0" applyNumberFormat="1" applyFont="1" applyFill="1" applyBorder="1" applyAlignment="1" applyProtection="1">
      <alignment horizontal="center" vertical="center"/>
    </xf>
    <xf numFmtId="0" fontId="107" fillId="0" borderId="218" xfId="0" applyNumberFormat="1" applyFont="1" applyFill="1" applyBorder="1" applyAlignment="1" applyProtection="1">
      <alignment horizontal="center" vertical="center"/>
    </xf>
    <xf numFmtId="0" fontId="70" fillId="0" borderId="27" xfId="0" applyFont="1" applyBorder="1" applyAlignment="1" applyProtection="1">
      <alignment horizontal="center" vertical="center" shrinkToFit="1"/>
      <protection hidden="1"/>
    </xf>
    <xf numFmtId="0" fontId="70" fillId="0" borderId="200" xfId="0" applyFont="1" applyBorder="1" applyAlignment="1" applyProtection="1">
      <alignment horizontal="center" vertical="center" shrinkToFit="1"/>
      <protection hidden="1"/>
    </xf>
    <xf numFmtId="0" fontId="70" fillId="0" borderId="228" xfId="0" applyFont="1" applyBorder="1" applyAlignment="1" applyProtection="1">
      <alignment horizontal="center" vertical="center" shrinkToFit="1"/>
      <protection hidden="1"/>
    </xf>
    <xf numFmtId="0" fontId="0" fillId="16" borderId="230" xfId="0" applyFill="1" applyBorder="1" applyAlignment="1">
      <alignment horizontal="right" shrinkToFit="1"/>
    </xf>
    <xf numFmtId="0" fontId="0" fillId="16" borderId="248" xfId="0" applyFill="1" applyBorder="1" applyAlignment="1">
      <alignment horizontal="right" shrinkToFit="1"/>
    </xf>
    <xf numFmtId="0" fontId="0" fillId="16" borderId="233" xfId="0" applyFill="1" applyBorder="1" applyAlignment="1">
      <alignment horizontal="right" shrinkToFit="1"/>
    </xf>
    <xf numFmtId="0" fontId="0" fillId="16" borderId="249" xfId="0" applyFill="1" applyBorder="1" applyAlignment="1">
      <alignment horizontal="right" shrinkToFit="1"/>
    </xf>
    <xf numFmtId="0" fontId="26" fillId="0" borderId="39" xfId="0" applyFont="1" applyBorder="1" applyAlignment="1" applyProtection="1">
      <alignment horizontal="center" vertical="center" shrinkToFit="1"/>
      <protection hidden="1"/>
    </xf>
    <xf numFmtId="0" fontId="26" fillId="0" borderId="161" xfId="0" applyFont="1" applyBorder="1" applyAlignment="1" applyProtection="1">
      <alignment horizontal="center" vertical="center" shrinkToFit="1"/>
      <protection hidden="1"/>
    </xf>
    <xf numFmtId="0" fontId="26" fillId="0" borderId="180" xfId="0" applyFont="1" applyBorder="1" applyAlignment="1" applyProtection="1">
      <alignment horizontal="center" vertical="center" shrinkToFit="1"/>
      <protection hidden="1"/>
    </xf>
    <xf numFmtId="0" fontId="0" fillId="16" borderId="246" xfId="0" applyFill="1" applyBorder="1" applyAlignment="1" applyProtection="1">
      <alignment horizontal="left"/>
    </xf>
    <xf numFmtId="0" fontId="0" fillId="16" borderId="230" xfId="0" applyFill="1" applyBorder="1" applyAlignment="1" applyProtection="1">
      <alignment horizontal="left"/>
    </xf>
    <xf numFmtId="0" fontId="0" fillId="16" borderId="231" xfId="0" applyFill="1" applyBorder="1" applyAlignment="1" applyProtection="1">
      <alignment horizontal="left"/>
    </xf>
    <xf numFmtId="0" fontId="0" fillId="16" borderId="247" xfId="0" applyFill="1" applyBorder="1" applyAlignment="1" applyProtection="1">
      <alignment horizontal="left"/>
    </xf>
    <xf numFmtId="0" fontId="0" fillId="16" borderId="233" xfId="0" applyFill="1" applyBorder="1" applyAlignment="1" applyProtection="1">
      <alignment horizontal="left"/>
    </xf>
    <xf numFmtId="0" fontId="0" fillId="16" borderId="234" xfId="0" applyFill="1" applyBorder="1" applyAlignment="1" applyProtection="1">
      <alignment horizontal="left"/>
    </xf>
    <xf numFmtId="0" fontId="0" fillId="17" borderId="246" xfId="0" applyFill="1" applyBorder="1" applyAlignment="1" applyProtection="1">
      <alignment horizontal="left"/>
    </xf>
    <xf numFmtId="0" fontId="0" fillId="17" borderId="230" xfId="0" applyFill="1" applyBorder="1" applyAlignment="1" applyProtection="1">
      <alignment horizontal="left"/>
    </xf>
    <xf numFmtId="0" fontId="0" fillId="17" borderId="231" xfId="0" applyFill="1" applyBorder="1" applyAlignment="1" applyProtection="1">
      <alignment horizontal="left"/>
    </xf>
    <xf numFmtId="0" fontId="0" fillId="17" borderId="247" xfId="0" applyFill="1" applyBorder="1" applyAlignment="1" applyProtection="1">
      <alignment horizontal="left"/>
    </xf>
    <xf numFmtId="0" fontId="0" fillId="17" borderId="233" xfId="0" applyFill="1" applyBorder="1" applyAlignment="1" applyProtection="1">
      <alignment horizontal="left"/>
    </xf>
    <xf numFmtId="0" fontId="0" fillId="17" borderId="234" xfId="0" applyFill="1" applyBorder="1" applyAlignment="1" applyProtection="1">
      <alignment horizontal="left"/>
    </xf>
    <xf numFmtId="0" fontId="0" fillId="16" borderId="235" xfId="0" applyFill="1" applyBorder="1" applyAlignment="1">
      <alignment horizontal="left"/>
    </xf>
    <xf numFmtId="0" fontId="0" fillId="16" borderId="236" xfId="0" applyFill="1" applyBorder="1" applyAlignment="1">
      <alignment horizontal="left"/>
    </xf>
    <xf numFmtId="0" fontId="0" fillId="16" borderId="237" xfId="0" applyFill="1" applyBorder="1" applyAlignment="1">
      <alignment horizontal="left"/>
    </xf>
    <xf numFmtId="0" fontId="0" fillId="16" borderId="236" xfId="0" applyFill="1" applyBorder="1" applyAlignment="1">
      <alignment horizontal="right"/>
    </xf>
    <xf numFmtId="0" fontId="0" fillId="16" borderId="238" xfId="0" applyFill="1" applyBorder="1" applyAlignment="1">
      <alignment horizontal="right"/>
    </xf>
    <xf numFmtId="0" fontId="0" fillId="17" borderId="235" xfId="0" applyFill="1" applyBorder="1" applyAlignment="1">
      <alignment horizontal="left"/>
    </xf>
    <xf numFmtId="0" fontId="0" fillId="17" borderId="236" xfId="0" applyFill="1" applyBorder="1" applyAlignment="1">
      <alignment horizontal="left"/>
    </xf>
    <xf numFmtId="0" fontId="0" fillId="17" borderId="237" xfId="0" applyFill="1" applyBorder="1" applyAlignment="1">
      <alignment horizontal="left"/>
    </xf>
    <xf numFmtId="0" fontId="0" fillId="17" borderId="236" xfId="0" applyFill="1" applyBorder="1" applyAlignment="1">
      <alignment horizontal="right"/>
    </xf>
    <xf numFmtId="0" fontId="0" fillId="17" borderId="238" xfId="0" applyFill="1" applyBorder="1" applyAlignment="1">
      <alignment horizontal="right"/>
    </xf>
    <xf numFmtId="0" fontId="70" fillId="0" borderId="23" xfId="0" applyFont="1" applyBorder="1" applyAlignment="1" applyProtection="1">
      <alignment horizontal="center" vertical="center" shrinkToFit="1"/>
      <protection hidden="1"/>
    </xf>
    <xf numFmtId="0" fontId="70" fillId="0" borderId="5" xfId="0" applyFont="1" applyBorder="1" applyAlignment="1" applyProtection="1">
      <alignment horizontal="center" vertical="center" shrinkToFit="1"/>
      <protection hidden="1"/>
    </xf>
    <xf numFmtId="0" fontId="70" fillId="0" borderId="24" xfId="0" applyFont="1" applyBorder="1" applyAlignment="1" applyProtection="1">
      <alignment horizontal="center" vertical="center" shrinkToFit="1"/>
      <protection hidden="1"/>
    </xf>
    <xf numFmtId="0" fontId="70" fillId="0" borderId="26" xfId="0" applyFont="1" applyBorder="1" applyAlignment="1" applyProtection="1">
      <alignment horizontal="center" vertical="center" shrinkToFit="1"/>
      <protection hidden="1"/>
    </xf>
    <xf numFmtId="0" fontId="70" fillId="0" borderId="10" xfId="0" applyFont="1" applyBorder="1" applyAlignment="1" applyProtection="1">
      <alignment horizontal="center" vertical="center" shrinkToFit="1"/>
      <protection hidden="1"/>
    </xf>
    <xf numFmtId="0" fontId="70" fillId="0" borderId="28" xfId="0" applyFont="1" applyBorder="1" applyAlignment="1" applyProtection="1">
      <alignment horizontal="center" vertical="center" shrinkToFit="1"/>
      <protection hidden="1"/>
    </xf>
    <xf numFmtId="0" fontId="70" fillId="0" borderId="165" xfId="0" applyFont="1" applyBorder="1" applyAlignment="1" applyProtection="1">
      <alignment horizontal="center" vertical="center" shrinkToFit="1"/>
      <protection hidden="1"/>
    </xf>
    <xf numFmtId="0" fontId="70" fillId="0" borderId="102" xfId="0" applyFont="1" applyBorder="1" applyAlignment="1" applyProtection="1">
      <alignment horizontal="center" vertical="center" shrinkToFit="1"/>
      <protection hidden="1"/>
    </xf>
    <xf numFmtId="0" fontId="0" fillId="0" borderId="0" xfId="0" applyFont="1" applyBorder="1" applyAlignment="1" applyProtection="1">
      <alignment horizontal="center" vertical="center"/>
      <protection hidden="1"/>
    </xf>
    <xf numFmtId="0" fontId="0" fillId="0" borderId="102" xfId="0" applyFont="1" applyBorder="1" applyAlignment="1" applyProtection="1">
      <alignment horizontal="center" vertical="center"/>
      <protection hidden="1"/>
    </xf>
    <xf numFmtId="0" fontId="0" fillId="0" borderId="10" xfId="0" applyBorder="1" applyAlignment="1" applyProtection="1">
      <alignment horizontal="center" vertical="center"/>
      <protection hidden="1"/>
    </xf>
  </cellXfs>
  <cellStyles count="410">
    <cellStyle name="Bad" xfId="406" builtinId="27"/>
    <cellStyle name="Comma" xfId="1" builtinId="3"/>
    <cellStyle name="Comma 2" xfId="409"/>
    <cellStyle name="Heading 1 2" xfId="2"/>
    <cellStyle name="Heading 1 2 10" xfId="3"/>
    <cellStyle name="Heading 1 2 11" xfId="4"/>
    <cellStyle name="Heading 1 2 12" xfId="5"/>
    <cellStyle name="Heading 1 2 13" xfId="6"/>
    <cellStyle name="Heading 1 2 14" xfId="7"/>
    <cellStyle name="Heading 1 2 15" xfId="8"/>
    <cellStyle name="Heading 1 2 16" xfId="9"/>
    <cellStyle name="Heading 1 2 17" xfId="10"/>
    <cellStyle name="Heading 1 2 18" xfId="11"/>
    <cellStyle name="Heading 1 2 19" xfId="12"/>
    <cellStyle name="Heading 1 2 2" xfId="13"/>
    <cellStyle name="Heading 1 2 20" xfId="14"/>
    <cellStyle name="Heading 1 2 3" xfId="15"/>
    <cellStyle name="Heading 1 2 4" xfId="16"/>
    <cellStyle name="Heading 1 2 5" xfId="17"/>
    <cellStyle name="Heading 1 2 6" xfId="18"/>
    <cellStyle name="Heading 1 2 7" xfId="19"/>
    <cellStyle name="Heading 1 2 8" xfId="20"/>
    <cellStyle name="Heading 1 2 9" xfId="21"/>
    <cellStyle name="Heading 1 3" xfId="22"/>
    <cellStyle name="Heading 1 3 10" xfId="23"/>
    <cellStyle name="Heading 1 3 11" xfId="24"/>
    <cellStyle name="Heading 1 3 12" xfId="25"/>
    <cellStyle name="Heading 1 3 13" xfId="26"/>
    <cellStyle name="Heading 1 3 14" xfId="27"/>
    <cellStyle name="Heading 1 3 15" xfId="28"/>
    <cellStyle name="Heading 1 3 16" xfId="29"/>
    <cellStyle name="Heading 1 3 17" xfId="30"/>
    <cellStyle name="Heading 1 3 18" xfId="31"/>
    <cellStyle name="Heading 1 3 19" xfId="32"/>
    <cellStyle name="Heading 1 3 2" xfId="33"/>
    <cellStyle name="Heading 1 3 20" xfId="34"/>
    <cellStyle name="Heading 1 3 3" xfId="35"/>
    <cellStyle name="Heading 1 3 4" xfId="36"/>
    <cellStyle name="Heading 1 3 5" xfId="37"/>
    <cellStyle name="Heading 1 3 6" xfId="38"/>
    <cellStyle name="Heading 1 3 7" xfId="39"/>
    <cellStyle name="Heading 1 3 8" xfId="40"/>
    <cellStyle name="Heading 1 3 9" xfId="41"/>
    <cellStyle name="Heading 1 4" xfId="42"/>
    <cellStyle name="Heading 1 4 10" xfId="43"/>
    <cellStyle name="Heading 1 4 11" xfId="44"/>
    <cellStyle name="Heading 1 4 12" xfId="45"/>
    <cellStyle name="Heading 1 4 13" xfId="46"/>
    <cellStyle name="Heading 1 4 14" xfId="47"/>
    <cellStyle name="Heading 1 4 15" xfId="48"/>
    <cellStyle name="Heading 1 4 16" xfId="49"/>
    <cellStyle name="Heading 1 4 17" xfId="50"/>
    <cellStyle name="Heading 1 4 18" xfId="51"/>
    <cellStyle name="Heading 1 4 19" xfId="52"/>
    <cellStyle name="Heading 1 4 2" xfId="53"/>
    <cellStyle name="Heading 1 4 20" xfId="54"/>
    <cellStyle name="Heading 1 4 3" xfId="55"/>
    <cellStyle name="Heading 1 4 4" xfId="56"/>
    <cellStyle name="Heading 1 4 5" xfId="57"/>
    <cellStyle name="Heading 1 4 6" xfId="58"/>
    <cellStyle name="Heading 1 4 7" xfId="59"/>
    <cellStyle name="Heading 1 4 8" xfId="60"/>
    <cellStyle name="Heading 1 4 9" xfId="61"/>
    <cellStyle name="Heading 1 5" xfId="62"/>
    <cellStyle name="Heading 1 5 10" xfId="63"/>
    <cellStyle name="Heading 1 5 11" xfId="64"/>
    <cellStyle name="Heading 1 5 12" xfId="65"/>
    <cellStyle name="Heading 1 5 13" xfId="66"/>
    <cellStyle name="Heading 1 5 14" xfId="67"/>
    <cellStyle name="Heading 1 5 15" xfId="68"/>
    <cellStyle name="Heading 1 5 16" xfId="69"/>
    <cellStyle name="Heading 1 5 17" xfId="70"/>
    <cellStyle name="Heading 1 5 18" xfId="71"/>
    <cellStyle name="Heading 1 5 19" xfId="72"/>
    <cellStyle name="Heading 1 5 2" xfId="73"/>
    <cellStyle name="Heading 1 5 20" xfId="74"/>
    <cellStyle name="Heading 1 5 3" xfId="75"/>
    <cellStyle name="Heading 1 5 4" xfId="76"/>
    <cellStyle name="Heading 1 5 5" xfId="77"/>
    <cellStyle name="Heading 1 5 6" xfId="78"/>
    <cellStyle name="Heading 1 5 7" xfId="79"/>
    <cellStyle name="Heading 1 5 8" xfId="80"/>
    <cellStyle name="Heading 1 5 9" xfId="81"/>
    <cellStyle name="Heading 2" xfId="82" builtinId="17"/>
    <cellStyle name="Heading 2 2" xfId="83"/>
    <cellStyle name="Heading 2 2 10" xfId="84"/>
    <cellStyle name="Heading 2 2 11" xfId="85"/>
    <cellStyle name="Heading 2 2 12" xfId="86"/>
    <cellStyle name="Heading 2 2 13" xfId="87"/>
    <cellStyle name="Heading 2 2 14" xfId="88"/>
    <cellStyle name="Heading 2 2 15" xfId="89"/>
    <cellStyle name="Heading 2 2 16" xfId="90"/>
    <cellStyle name="Heading 2 2 17" xfId="91"/>
    <cellStyle name="Heading 2 2 18" xfId="92"/>
    <cellStyle name="Heading 2 2 19" xfId="93"/>
    <cellStyle name="Heading 2 2 2" xfId="94"/>
    <cellStyle name="Heading 2 2 20" xfId="95"/>
    <cellStyle name="Heading 2 2 3" xfId="96"/>
    <cellStyle name="Heading 2 2 4" xfId="97"/>
    <cellStyle name="Heading 2 2 5" xfId="98"/>
    <cellStyle name="Heading 2 2 6" xfId="99"/>
    <cellStyle name="Heading 2 2 7" xfId="100"/>
    <cellStyle name="Heading 2 2 8" xfId="101"/>
    <cellStyle name="Heading 2 2 9" xfId="102"/>
    <cellStyle name="Heading 2 3" xfId="103"/>
    <cellStyle name="Heading 2 3 10" xfId="104"/>
    <cellStyle name="Heading 2 3 11" xfId="105"/>
    <cellStyle name="Heading 2 3 12" xfId="106"/>
    <cellStyle name="Heading 2 3 13" xfId="107"/>
    <cellStyle name="Heading 2 3 14" xfId="108"/>
    <cellStyle name="Heading 2 3 15" xfId="109"/>
    <cellStyle name="Heading 2 3 16" xfId="110"/>
    <cellStyle name="Heading 2 3 17" xfId="111"/>
    <cellStyle name="Heading 2 3 18" xfId="112"/>
    <cellStyle name="Heading 2 3 19" xfId="113"/>
    <cellStyle name="Heading 2 3 2" xfId="114"/>
    <cellStyle name="Heading 2 3 20" xfId="115"/>
    <cellStyle name="Heading 2 3 3" xfId="116"/>
    <cellStyle name="Heading 2 3 4" xfId="117"/>
    <cellStyle name="Heading 2 3 5" xfId="118"/>
    <cellStyle name="Heading 2 3 6" xfId="119"/>
    <cellStyle name="Heading 2 3 7" xfId="120"/>
    <cellStyle name="Heading 2 3 8" xfId="121"/>
    <cellStyle name="Heading 2 3 9" xfId="122"/>
    <cellStyle name="Heading 2 4" xfId="123"/>
    <cellStyle name="Heading 2 4 10" xfId="124"/>
    <cellStyle name="Heading 2 4 11" xfId="125"/>
    <cellStyle name="Heading 2 4 12" xfId="126"/>
    <cellStyle name="Heading 2 4 13" xfId="127"/>
    <cellStyle name="Heading 2 4 14" xfId="128"/>
    <cellStyle name="Heading 2 4 15" xfId="129"/>
    <cellStyle name="Heading 2 4 16" xfId="130"/>
    <cellStyle name="Heading 2 4 17" xfId="131"/>
    <cellStyle name="Heading 2 4 18" xfId="132"/>
    <cellStyle name="Heading 2 4 19" xfId="133"/>
    <cellStyle name="Heading 2 4 2" xfId="134"/>
    <cellStyle name="Heading 2 4 20" xfId="135"/>
    <cellStyle name="Heading 2 4 3" xfId="136"/>
    <cellStyle name="Heading 2 4 4" xfId="137"/>
    <cellStyle name="Heading 2 4 5" xfId="138"/>
    <cellStyle name="Heading 2 4 6" xfId="139"/>
    <cellStyle name="Heading 2 4 7" xfId="140"/>
    <cellStyle name="Heading 2 4 8" xfId="141"/>
    <cellStyle name="Heading 2 4 9" xfId="142"/>
    <cellStyle name="Heading 2 5" xfId="143"/>
    <cellStyle name="Heading 2 5 10" xfId="144"/>
    <cellStyle name="Heading 2 5 11" xfId="145"/>
    <cellStyle name="Heading 2 5 12" xfId="146"/>
    <cellStyle name="Heading 2 5 13" xfId="147"/>
    <cellStyle name="Heading 2 5 14" xfId="148"/>
    <cellStyle name="Heading 2 5 15" xfId="149"/>
    <cellStyle name="Heading 2 5 16" xfId="150"/>
    <cellStyle name="Heading 2 5 17" xfId="151"/>
    <cellStyle name="Heading 2 5 18" xfId="152"/>
    <cellStyle name="Heading 2 5 19" xfId="153"/>
    <cellStyle name="Heading 2 5 2" xfId="154"/>
    <cellStyle name="Heading 2 5 20" xfId="155"/>
    <cellStyle name="Heading 2 5 3" xfId="156"/>
    <cellStyle name="Heading 2 5 4" xfId="157"/>
    <cellStyle name="Heading 2 5 5" xfId="158"/>
    <cellStyle name="Heading 2 5 6" xfId="159"/>
    <cellStyle name="Heading 2 5 7" xfId="160"/>
    <cellStyle name="Heading 2 5 8" xfId="161"/>
    <cellStyle name="Heading 2 5 9" xfId="162"/>
    <cellStyle name="Heading 3" xfId="163" builtinId="18"/>
    <cellStyle name="Heading 3 2" xfId="164"/>
    <cellStyle name="Heading 3 2 10" xfId="165"/>
    <cellStyle name="Heading 3 2 11" xfId="166"/>
    <cellStyle name="Heading 3 2 12" xfId="167"/>
    <cellStyle name="Heading 3 2 13" xfId="168"/>
    <cellStyle name="Heading 3 2 14" xfId="169"/>
    <cellStyle name="Heading 3 2 15" xfId="170"/>
    <cellStyle name="Heading 3 2 16" xfId="171"/>
    <cellStyle name="Heading 3 2 17" xfId="172"/>
    <cellStyle name="Heading 3 2 18" xfId="173"/>
    <cellStyle name="Heading 3 2 19" xfId="174"/>
    <cellStyle name="Heading 3 2 2" xfId="175"/>
    <cellStyle name="Heading 3 2 20" xfId="176"/>
    <cellStyle name="Heading 3 2 3" xfId="177"/>
    <cellStyle name="Heading 3 2 4" xfId="178"/>
    <cellStyle name="Heading 3 2 5" xfId="179"/>
    <cellStyle name="Heading 3 2 6" xfId="180"/>
    <cellStyle name="Heading 3 2 7" xfId="181"/>
    <cellStyle name="Heading 3 2 8" xfId="182"/>
    <cellStyle name="Heading 3 2 9" xfId="183"/>
    <cellStyle name="Heading 3 3" xfId="184"/>
    <cellStyle name="Heading 3 3 10" xfId="185"/>
    <cellStyle name="Heading 3 3 11" xfId="186"/>
    <cellStyle name="Heading 3 3 12" xfId="187"/>
    <cellStyle name="Heading 3 3 13" xfId="188"/>
    <cellStyle name="Heading 3 3 14" xfId="189"/>
    <cellStyle name="Heading 3 3 15" xfId="190"/>
    <cellStyle name="Heading 3 3 16" xfId="191"/>
    <cellStyle name="Heading 3 3 17" xfId="192"/>
    <cellStyle name="Heading 3 3 18" xfId="193"/>
    <cellStyle name="Heading 3 3 19" xfId="194"/>
    <cellStyle name="Heading 3 3 2" xfId="195"/>
    <cellStyle name="Heading 3 3 20" xfId="196"/>
    <cellStyle name="Heading 3 3 3" xfId="197"/>
    <cellStyle name="Heading 3 3 4" xfId="198"/>
    <cellStyle name="Heading 3 3 5" xfId="199"/>
    <cellStyle name="Heading 3 3 6" xfId="200"/>
    <cellStyle name="Heading 3 3 7" xfId="201"/>
    <cellStyle name="Heading 3 3 8" xfId="202"/>
    <cellStyle name="Heading 3 3 9" xfId="203"/>
    <cellStyle name="Heading 3 4" xfId="204"/>
    <cellStyle name="Heading 3 4 10" xfId="205"/>
    <cellStyle name="Heading 3 4 11" xfId="206"/>
    <cellStyle name="Heading 3 4 12" xfId="207"/>
    <cellStyle name="Heading 3 4 13" xfId="208"/>
    <cellStyle name="Heading 3 4 14" xfId="209"/>
    <cellStyle name="Heading 3 4 15" xfId="210"/>
    <cellStyle name="Heading 3 4 16" xfId="211"/>
    <cellStyle name="Heading 3 4 17" xfId="212"/>
    <cellStyle name="Heading 3 4 18" xfId="213"/>
    <cellStyle name="Heading 3 4 19" xfId="214"/>
    <cellStyle name="Heading 3 4 2" xfId="215"/>
    <cellStyle name="Heading 3 4 20" xfId="216"/>
    <cellStyle name="Heading 3 4 3" xfId="217"/>
    <cellStyle name="Heading 3 4 4" xfId="218"/>
    <cellStyle name="Heading 3 4 5" xfId="219"/>
    <cellStyle name="Heading 3 4 6" xfId="220"/>
    <cellStyle name="Heading 3 4 7" xfId="221"/>
    <cellStyle name="Heading 3 4 8" xfId="222"/>
    <cellStyle name="Heading 3 4 9" xfId="223"/>
    <cellStyle name="Heading 3 5" xfId="224"/>
    <cellStyle name="Heading 3 5 10" xfId="225"/>
    <cellStyle name="Heading 3 5 11" xfId="226"/>
    <cellStyle name="Heading 3 5 12" xfId="227"/>
    <cellStyle name="Heading 3 5 13" xfId="228"/>
    <cellStyle name="Heading 3 5 14" xfId="229"/>
    <cellStyle name="Heading 3 5 15" xfId="230"/>
    <cellStyle name="Heading 3 5 16" xfId="231"/>
    <cellStyle name="Heading 3 5 17" xfId="232"/>
    <cellStyle name="Heading 3 5 18" xfId="233"/>
    <cellStyle name="Heading 3 5 19" xfId="234"/>
    <cellStyle name="Heading 3 5 2" xfId="235"/>
    <cellStyle name="Heading 3 5 20" xfId="236"/>
    <cellStyle name="Heading 3 5 3" xfId="237"/>
    <cellStyle name="Heading 3 5 4" xfId="238"/>
    <cellStyle name="Heading 3 5 5" xfId="239"/>
    <cellStyle name="Heading 3 5 6" xfId="240"/>
    <cellStyle name="Heading 3 5 7" xfId="241"/>
    <cellStyle name="Heading 3 5 8" xfId="242"/>
    <cellStyle name="Heading 3 5 9" xfId="243"/>
    <cellStyle name="Heading 4 2" xfId="244"/>
    <cellStyle name="Heading 4 2 10" xfId="245"/>
    <cellStyle name="Heading 4 2 11" xfId="246"/>
    <cellStyle name="Heading 4 2 12" xfId="247"/>
    <cellStyle name="Heading 4 2 13" xfId="248"/>
    <cellStyle name="Heading 4 2 14" xfId="249"/>
    <cellStyle name="Heading 4 2 15" xfId="250"/>
    <cellStyle name="Heading 4 2 16" xfId="251"/>
    <cellStyle name="Heading 4 2 17" xfId="252"/>
    <cellStyle name="Heading 4 2 18" xfId="253"/>
    <cellStyle name="Heading 4 2 19" xfId="254"/>
    <cellStyle name="Heading 4 2 2" xfId="255"/>
    <cellStyle name="Heading 4 2 20" xfId="256"/>
    <cellStyle name="Heading 4 2 3" xfId="257"/>
    <cellStyle name="Heading 4 2 4" xfId="258"/>
    <cellStyle name="Heading 4 2 5" xfId="259"/>
    <cellStyle name="Heading 4 2 6" xfId="260"/>
    <cellStyle name="Heading 4 2 7" xfId="261"/>
    <cellStyle name="Heading 4 2 8" xfId="262"/>
    <cellStyle name="Heading 4 2 9" xfId="263"/>
    <cellStyle name="Heading 4 3" xfId="264"/>
    <cellStyle name="Heading 4 3 10" xfId="265"/>
    <cellStyle name="Heading 4 3 11" xfId="266"/>
    <cellStyle name="Heading 4 3 12" xfId="267"/>
    <cellStyle name="Heading 4 3 13" xfId="268"/>
    <cellStyle name="Heading 4 3 14" xfId="269"/>
    <cellStyle name="Heading 4 3 15" xfId="270"/>
    <cellStyle name="Heading 4 3 16" xfId="271"/>
    <cellStyle name="Heading 4 3 17" xfId="272"/>
    <cellStyle name="Heading 4 3 18" xfId="273"/>
    <cellStyle name="Heading 4 3 19" xfId="274"/>
    <cellStyle name="Heading 4 3 2" xfId="275"/>
    <cellStyle name="Heading 4 3 20" xfId="276"/>
    <cellStyle name="Heading 4 3 3" xfId="277"/>
    <cellStyle name="Heading 4 3 4" xfId="278"/>
    <cellStyle name="Heading 4 3 5" xfId="279"/>
    <cellStyle name="Heading 4 3 6" xfId="280"/>
    <cellStyle name="Heading 4 3 7" xfId="281"/>
    <cellStyle name="Heading 4 3 8" xfId="282"/>
    <cellStyle name="Heading 4 3 9" xfId="283"/>
    <cellStyle name="Heading 4 4" xfId="284"/>
    <cellStyle name="Heading 4 4 10" xfId="285"/>
    <cellStyle name="Heading 4 4 11" xfId="286"/>
    <cellStyle name="Heading 4 4 12" xfId="287"/>
    <cellStyle name="Heading 4 4 13" xfId="288"/>
    <cellStyle name="Heading 4 4 14" xfId="289"/>
    <cellStyle name="Heading 4 4 15" xfId="290"/>
    <cellStyle name="Heading 4 4 16" xfId="291"/>
    <cellStyle name="Heading 4 4 17" xfId="292"/>
    <cellStyle name="Heading 4 4 18" xfId="293"/>
    <cellStyle name="Heading 4 4 19" xfId="294"/>
    <cellStyle name="Heading 4 4 2" xfId="295"/>
    <cellStyle name="Heading 4 4 20" xfId="296"/>
    <cellStyle name="Heading 4 4 3" xfId="297"/>
    <cellStyle name="Heading 4 4 4" xfId="298"/>
    <cellStyle name="Heading 4 4 5" xfId="299"/>
    <cellStyle name="Heading 4 4 6" xfId="300"/>
    <cellStyle name="Heading 4 4 7" xfId="301"/>
    <cellStyle name="Heading 4 4 8" xfId="302"/>
    <cellStyle name="Heading 4 4 9" xfId="303"/>
    <cellStyle name="Heading 4 5" xfId="304"/>
    <cellStyle name="Heading 4 5 10" xfId="305"/>
    <cellStyle name="Heading 4 5 11" xfId="306"/>
    <cellStyle name="Heading 4 5 12" xfId="307"/>
    <cellStyle name="Heading 4 5 13" xfId="308"/>
    <cellStyle name="Heading 4 5 14" xfId="309"/>
    <cellStyle name="Heading 4 5 15" xfId="310"/>
    <cellStyle name="Heading 4 5 16" xfId="311"/>
    <cellStyle name="Heading 4 5 17" xfId="312"/>
    <cellStyle name="Heading 4 5 18" xfId="313"/>
    <cellStyle name="Heading 4 5 19" xfId="314"/>
    <cellStyle name="Heading 4 5 2" xfId="315"/>
    <cellStyle name="Heading 4 5 20" xfId="316"/>
    <cellStyle name="Heading 4 5 3" xfId="317"/>
    <cellStyle name="Heading 4 5 4" xfId="318"/>
    <cellStyle name="Heading 4 5 5" xfId="319"/>
    <cellStyle name="Heading 4 5 6" xfId="320"/>
    <cellStyle name="Heading 4 5 7" xfId="321"/>
    <cellStyle name="Heading 4 5 8" xfId="322"/>
    <cellStyle name="Heading 4 5 9" xfId="323"/>
    <cellStyle name="Hyperlink" xfId="407" builtinId="8"/>
    <cellStyle name="Normal" xfId="0" builtinId="0"/>
    <cellStyle name="Percent" xfId="324" builtinId="5"/>
    <cellStyle name="Percent 2" xfId="408"/>
    <cellStyle name="Total" xfId="325" builtinId="25"/>
    <cellStyle name="Warning Text 2" xfId="326"/>
    <cellStyle name="Warning Text 2 10" xfId="327"/>
    <cellStyle name="Warning Text 2 11" xfId="328"/>
    <cellStyle name="Warning Text 2 12" xfId="329"/>
    <cellStyle name="Warning Text 2 13" xfId="330"/>
    <cellStyle name="Warning Text 2 14" xfId="331"/>
    <cellStyle name="Warning Text 2 15" xfId="332"/>
    <cellStyle name="Warning Text 2 16" xfId="333"/>
    <cellStyle name="Warning Text 2 17" xfId="334"/>
    <cellStyle name="Warning Text 2 18" xfId="335"/>
    <cellStyle name="Warning Text 2 19" xfId="336"/>
    <cellStyle name="Warning Text 2 2" xfId="337"/>
    <cellStyle name="Warning Text 2 20" xfId="338"/>
    <cellStyle name="Warning Text 2 3" xfId="339"/>
    <cellStyle name="Warning Text 2 4" xfId="340"/>
    <cellStyle name="Warning Text 2 5" xfId="341"/>
    <cellStyle name="Warning Text 2 6" xfId="342"/>
    <cellStyle name="Warning Text 2 7" xfId="343"/>
    <cellStyle name="Warning Text 2 8" xfId="344"/>
    <cellStyle name="Warning Text 2 9" xfId="345"/>
    <cellStyle name="Warning Text 3" xfId="346"/>
    <cellStyle name="Warning Text 3 10" xfId="347"/>
    <cellStyle name="Warning Text 3 11" xfId="348"/>
    <cellStyle name="Warning Text 3 12" xfId="349"/>
    <cellStyle name="Warning Text 3 13" xfId="350"/>
    <cellStyle name="Warning Text 3 14" xfId="351"/>
    <cellStyle name="Warning Text 3 15" xfId="352"/>
    <cellStyle name="Warning Text 3 16" xfId="353"/>
    <cellStyle name="Warning Text 3 17" xfId="354"/>
    <cellStyle name="Warning Text 3 18" xfId="355"/>
    <cellStyle name="Warning Text 3 19" xfId="356"/>
    <cellStyle name="Warning Text 3 2" xfId="357"/>
    <cellStyle name="Warning Text 3 20" xfId="358"/>
    <cellStyle name="Warning Text 3 3" xfId="359"/>
    <cellStyle name="Warning Text 3 4" xfId="360"/>
    <cellStyle name="Warning Text 3 5" xfId="361"/>
    <cellStyle name="Warning Text 3 6" xfId="362"/>
    <cellStyle name="Warning Text 3 7" xfId="363"/>
    <cellStyle name="Warning Text 3 8" xfId="364"/>
    <cellStyle name="Warning Text 3 9" xfId="365"/>
    <cellStyle name="Warning Text 4" xfId="366"/>
    <cellStyle name="Warning Text 4 10" xfId="367"/>
    <cellStyle name="Warning Text 4 11" xfId="368"/>
    <cellStyle name="Warning Text 4 12" xfId="369"/>
    <cellStyle name="Warning Text 4 13" xfId="370"/>
    <cellStyle name="Warning Text 4 14" xfId="371"/>
    <cellStyle name="Warning Text 4 15" xfId="372"/>
    <cellStyle name="Warning Text 4 16" xfId="373"/>
    <cellStyle name="Warning Text 4 17" xfId="374"/>
    <cellStyle name="Warning Text 4 18" xfId="375"/>
    <cellStyle name="Warning Text 4 19" xfId="376"/>
    <cellStyle name="Warning Text 4 2" xfId="377"/>
    <cellStyle name="Warning Text 4 20" xfId="378"/>
    <cellStyle name="Warning Text 4 3" xfId="379"/>
    <cellStyle name="Warning Text 4 4" xfId="380"/>
    <cellStyle name="Warning Text 4 5" xfId="381"/>
    <cellStyle name="Warning Text 4 6" xfId="382"/>
    <cellStyle name="Warning Text 4 7" xfId="383"/>
    <cellStyle name="Warning Text 4 8" xfId="384"/>
    <cellStyle name="Warning Text 4 9" xfId="385"/>
    <cellStyle name="Warning Text 5" xfId="386"/>
    <cellStyle name="Warning Text 5 10" xfId="387"/>
    <cellStyle name="Warning Text 5 11" xfId="388"/>
    <cellStyle name="Warning Text 5 12" xfId="389"/>
    <cellStyle name="Warning Text 5 13" xfId="390"/>
    <cellStyle name="Warning Text 5 14" xfId="391"/>
    <cellStyle name="Warning Text 5 15" xfId="392"/>
    <cellStyle name="Warning Text 5 16" xfId="393"/>
    <cellStyle name="Warning Text 5 17" xfId="394"/>
    <cellStyle name="Warning Text 5 18" xfId="395"/>
    <cellStyle name="Warning Text 5 19" xfId="396"/>
    <cellStyle name="Warning Text 5 2" xfId="397"/>
    <cellStyle name="Warning Text 5 20" xfId="398"/>
    <cellStyle name="Warning Text 5 3" xfId="399"/>
    <cellStyle name="Warning Text 5 4" xfId="400"/>
    <cellStyle name="Warning Text 5 5" xfId="401"/>
    <cellStyle name="Warning Text 5 6" xfId="402"/>
    <cellStyle name="Warning Text 5 7" xfId="403"/>
    <cellStyle name="Warning Text 5 8" xfId="404"/>
    <cellStyle name="Warning Text 5 9" xfId="405"/>
  </cellStyles>
  <dxfs count="1088">
    <dxf>
      <font>
        <color theme="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theme="0"/>
      </font>
    </dxf>
    <dxf>
      <font>
        <color theme="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theme="0"/>
      </font>
    </dxf>
    <dxf>
      <font>
        <color theme="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theme="0"/>
      </font>
    </dxf>
    <dxf>
      <font>
        <b val="0"/>
        <i val="0"/>
      </font>
      <border>
        <bottom/>
        <vertical/>
        <horizontal/>
      </border>
    </dxf>
    <dxf>
      <border>
        <top style="thin">
          <color theme="3"/>
        </top>
        <vertical/>
        <horizontal/>
      </border>
    </dxf>
    <dxf>
      <font>
        <b/>
        <i val="0"/>
        <color theme="3"/>
      </font>
      <fill>
        <patternFill patternType="none">
          <bgColor auto="1"/>
        </patternFill>
      </fill>
      <border>
        <left/>
        <right/>
        <vertical/>
        <horizontal/>
      </border>
    </dxf>
    <dxf>
      <border>
        <top style="thin">
          <color theme="3"/>
        </top>
        <vertical/>
        <horizontal/>
      </border>
    </dxf>
    <dxf>
      <font>
        <b/>
        <i val="0"/>
        <color theme="3"/>
      </font>
      <fill>
        <patternFill patternType="none">
          <bgColor auto="1"/>
        </patternFill>
      </fill>
      <border>
        <left/>
        <right/>
        <vertical/>
        <horizontal/>
      </border>
    </dxf>
    <dxf>
      <border>
        <top style="thin">
          <color theme="3"/>
        </top>
        <vertical/>
        <horizontal/>
      </border>
    </dxf>
    <dxf>
      <font>
        <b/>
        <i val="0"/>
        <color theme="3"/>
      </font>
      <fill>
        <patternFill patternType="none">
          <bgColor auto="1"/>
        </patternFill>
      </fill>
      <border>
        <left/>
        <right/>
        <vertical/>
        <horizontal/>
      </border>
    </dxf>
    <dxf>
      <border>
        <top style="thin">
          <color theme="3"/>
        </top>
        <vertical/>
        <horizontal/>
      </border>
    </dxf>
    <dxf>
      <font>
        <b/>
        <i val="0"/>
        <color theme="3"/>
      </font>
      <fill>
        <patternFill patternType="none">
          <bgColor auto="1"/>
        </patternFill>
      </fill>
      <border>
        <left/>
        <right/>
        <vertical/>
        <horizontal/>
      </border>
    </dxf>
    <dxf>
      <font>
        <b val="0"/>
        <i val="0"/>
      </font>
      <border>
        <bottom/>
        <vertical/>
        <horizontal/>
      </border>
    </dxf>
    <dxf>
      <font>
        <color theme="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theme="0"/>
      </font>
    </dxf>
    <dxf>
      <font>
        <color theme="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b val="0"/>
        <i val="0"/>
      </font>
      <border>
        <bottom/>
        <vertical/>
        <horizontal/>
      </border>
    </dxf>
    <dxf>
      <border>
        <top style="thin">
          <color theme="3"/>
        </top>
        <vertical/>
        <horizontal/>
      </border>
    </dxf>
    <dxf>
      <font>
        <b/>
        <i val="0"/>
        <color theme="3"/>
      </font>
      <fill>
        <patternFill patternType="none">
          <bgColor auto="1"/>
        </patternFill>
      </fill>
      <border>
        <left/>
        <right/>
        <vertical/>
        <horizontal/>
      </border>
    </dxf>
    <dxf>
      <font>
        <color auto="1"/>
      </font>
    </dxf>
    <dxf>
      <font>
        <color theme="0"/>
      </font>
      <border>
        <right/>
        <bottom/>
        <vertical/>
        <horizontal/>
      </border>
    </dxf>
    <dxf>
      <font>
        <color theme="0"/>
      </font>
      <border>
        <right/>
        <bottom/>
        <vertical/>
        <horizontal/>
      </bord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b/>
        <i val="0"/>
        <strike val="0"/>
        <color theme="3"/>
      </font>
    </dxf>
    <dxf>
      <font>
        <color theme="0"/>
      </font>
    </dxf>
    <dxf>
      <font>
        <b/>
        <i val="0"/>
        <strike val="0"/>
        <color rgb="FFC00000"/>
        <name val="Cambria"/>
        <scheme val="none"/>
      </font>
    </dxf>
    <dxf>
      <font>
        <color auto="1"/>
      </font>
    </dxf>
    <dxf>
      <font>
        <color auto="1"/>
      </font>
    </dxf>
    <dxf>
      <font>
        <color auto="1"/>
      </font>
    </dxf>
    <dxf>
      <font>
        <b/>
        <i val="0"/>
        <strike val="0"/>
        <color theme="3"/>
      </font>
    </dxf>
    <dxf>
      <font>
        <color theme="0"/>
      </font>
    </dxf>
    <dxf>
      <font>
        <b/>
        <i val="0"/>
        <strike val="0"/>
        <color rgb="FFC00000"/>
        <name val="Cambria"/>
        <scheme val="none"/>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b val="0"/>
        <i val="0"/>
      </font>
      <border>
        <bottom/>
        <vertical/>
        <horizontal/>
      </border>
    </dxf>
    <dxf>
      <border>
        <top style="thin">
          <color theme="3"/>
        </top>
        <vertical/>
        <horizontal/>
      </border>
    </dxf>
    <dxf>
      <font>
        <b/>
        <i val="0"/>
        <color theme="3"/>
      </font>
      <fill>
        <patternFill patternType="none">
          <bgColor auto="1"/>
        </patternFill>
      </fill>
      <border>
        <left/>
        <right/>
        <vertical/>
        <horizontal/>
      </border>
    </dxf>
    <dxf>
      <font>
        <color theme="0"/>
      </font>
      <border>
        <right/>
        <bottom/>
        <vertical/>
        <horizontal/>
      </border>
    </dxf>
    <dxf>
      <font>
        <color theme="0"/>
      </font>
      <border>
        <right/>
        <bottom/>
        <vertical/>
        <horizontal/>
      </border>
    </dxf>
    <dxf>
      <font>
        <b/>
        <i val="0"/>
        <strike val="0"/>
        <color theme="3"/>
      </font>
    </dxf>
    <dxf>
      <font>
        <color theme="0"/>
      </font>
    </dxf>
    <dxf>
      <font>
        <b/>
        <i val="0"/>
        <strike val="0"/>
        <color rgb="FFC00000"/>
        <name val="Cambria"/>
        <scheme val="none"/>
      </font>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ill>
        <patternFill>
          <bgColor rgb="FFFE3E02"/>
        </patternFill>
      </fill>
    </dxf>
    <dxf>
      <fill>
        <patternFill patternType="none">
          <bgColor auto="1"/>
        </patternFill>
      </fill>
    </dxf>
    <dxf>
      <fill>
        <patternFill>
          <bgColor rgb="FF00B050"/>
        </patternFill>
      </fill>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rgb="FF00B050"/>
      </font>
      <fill>
        <patternFill>
          <bgColor rgb="FFCCFF99"/>
        </patternFill>
      </fill>
      <border>
        <left style="thin">
          <color rgb="FF00B050"/>
        </left>
        <right style="thin">
          <color rgb="FF00B050"/>
        </right>
        <top style="thin">
          <color rgb="FF00B050"/>
        </top>
        <bottom style="thin">
          <color rgb="FF00B050"/>
        </bottom>
        <vertical/>
        <horizontal/>
      </border>
    </dxf>
    <dxf>
      <font>
        <color theme="1" tint="0.499984740745262"/>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00000"/>
      </font>
      <fill>
        <patternFill>
          <bgColor rgb="FFFFCC66"/>
        </patternFill>
      </fill>
      <border>
        <left style="thin">
          <color rgb="FFC00000"/>
        </left>
        <right style="thin">
          <color rgb="FFC00000"/>
        </right>
        <top style="thin">
          <color rgb="FFC00000"/>
        </top>
        <bottom style="thin">
          <color rgb="FFC00000"/>
        </bottom>
        <vertical/>
        <horizontal/>
      </border>
    </dxf>
    <dxf>
      <font>
        <color theme="0" tint="-0.24994659260841701"/>
      </font>
    </dxf>
    <dxf>
      <font>
        <color theme="0" tint="-0.24994659260841701"/>
      </font>
    </dxf>
    <dxf>
      <font>
        <color rgb="FFFF0000"/>
      </font>
      <fill>
        <patternFill patternType="none">
          <bgColor auto="1"/>
        </patternFill>
      </fill>
      <border>
        <left style="thin">
          <color rgb="FFFF0000"/>
        </left>
        <right style="thin">
          <color rgb="FFFF0000"/>
        </right>
        <top style="thin">
          <color rgb="FFFF0000"/>
        </top>
        <bottom style="thin">
          <color rgb="FFFF0000"/>
        </bottom>
        <vertical/>
        <horizontal/>
      </border>
    </dxf>
    <dxf>
      <font>
        <color rgb="FFFF0000"/>
      </font>
      <fill>
        <patternFill patternType="none">
          <bgColor auto="1"/>
        </patternFill>
      </fill>
      <border>
        <left style="thin">
          <color rgb="FFFF0000"/>
        </left>
        <right style="thin">
          <color rgb="FFFF0000"/>
        </right>
        <top style="thin">
          <color rgb="FFFF0000"/>
        </top>
        <bottom style="thin">
          <color rgb="FFFF0000"/>
        </bottom>
        <vertical/>
        <horizontal/>
      </border>
    </dxf>
    <dxf>
      <font>
        <color theme="0"/>
      </font>
      <border>
        <left/>
        <right/>
        <top/>
        <bottom/>
        <vertical/>
        <horizontal/>
      </border>
    </dxf>
    <dxf>
      <font>
        <b val="0"/>
        <i val="0"/>
        <color theme="0" tint="-0.24994659260841701"/>
      </font>
    </dxf>
    <dxf>
      <font>
        <b/>
        <i val="0"/>
        <color rgb="FF00B050"/>
      </font>
    </dxf>
    <dxf>
      <font>
        <b val="0"/>
        <i val="0"/>
        <color theme="0" tint="-0.24994659260841701"/>
      </font>
    </dxf>
    <dxf>
      <font>
        <b/>
        <i val="0"/>
        <color rgb="FF00B050"/>
      </font>
    </dxf>
    <dxf>
      <font>
        <b val="0"/>
        <i val="0"/>
        <color theme="0" tint="-0.24994659260841701"/>
      </font>
    </dxf>
    <dxf>
      <font>
        <b/>
        <i val="0"/>
        <color rgb="FF00B050"/>
      </font>
    </dxf>
    <dxf>
      <font>
        <color theme="0" tint="-0.24994659260841701"/>
      </font>
    </dxf>
    <dxf>
      <font>
        <color rgb="FF00B050"/>
      </font>
    </dxf>
    <dxf>
      <font>
        <color theme="0" tint="-0.24994659260841701"/>
      </font>
    </dxf>
    <dxf>
      <font>
        <color rgb="FF00B050"/>
      </font>
    </dxf>
    <dxf>
      <font>
        <color theme="0" tint="-0.24994659260841701"/>
      </font>
    </dxf>
    <dxf>
      <font>
        <color rgb="FF00B050"/>
      </font>
    </dxf>
    <dxf>
      <font>
        <color theme="0" tint="-0.24994659260841701"/>
      </font>
    </dxf>
    <dxf>
      <font>
        <color rgb="FF00B050"/>
      </font>
    </dxf>
    <dxf>
      <font>
        <color theme="3" tint="0.79998168889431442"/>
      </font>
      <fill>
        <patternFill>
          <bgColor theme="3" tint="0.79998168889431442"/>
        </patternFill>
      </fill>
    </dxf>
    <dxf>
      <font>
        <color theme="0" tint="-0.24994659260841701"/>
      </font>
    </dxf>
    <dxf>
      <font>
        <color rgb="FF00B050"/>
      </font>
    </dxf>
    <dxf>
      <font>
        <color theme="3" tint="0.79998168889431442"/>
      </font>
      <fill>
        <patternFill>
          <bgColor theme="3" tint="0.79998168889431442"/>
        </patternFill>
      </fill>
    </dxf>
    <dxf>
      <font>
        <color theme="3" tint="0.79998168889431442"/>
      </font>
      <fill>
        <patternFill>
          <bgColor theme="3" tint="0.79998168889431442"/>
        </patternFill>
      </fill>
    </dxf>
    <dxf>
      <font>
        <color theme="3" tint="0.79998168889431442"/>
      </font>
      <fill>
        <patternFill>
          <bgColor theme="3" tint="0.79998168889431442"/>
        </patternFill>
      </fill>
    </dxf>
    <dxf>
      <font>
        <color theme="3" tint="0.79998168889431442"/>
      </font>
      <fill>
        <patternFill>
          <bgColor theme="3" tint="0.79998168889431442"/>
        </patternFill>
      </fill>
    </dxf>
    <dxf>
      <font>
        <color theme="3" tint="0.79998168889431442"/>
      </font>
      <fill>
        <patternFill>
          <bgColor theme="3" tint="0.79998168889431442"/>
        </patternFill>
      </fill>
    </dxf>
    <dxf>
      <font>
        <color theme="3" tint="0.79998168889431442"/>
      </font>
      <fill>
        <patternFill>
          <bgColor theme="3" tint="0.79998168889431442"/>
        </patternFill>
      </fill>
    </dxf>
    <dxf>
      <font>
        <color theme="3" tint="0.79998168889431442"/>
      </font>
      <fill>
        <patternFill>
          <bgColor theme="3" tint="0.79998168889431442"/>
        </patternFill>
      </fill>
    </dxf>
    <dxf>
      <font>
        <color theme="3" tint="0.79998168889431442"/>
      </font>
      <fill>
        <patternFill>
          <bgColor theme="3" tint="0.79998168889431442"/>
        </patternFill>
      </fill>
    </dxf>
    <dxf>
      <font>
        <color theme="3" tint="0.79998168889431442"/>
      </font>
      <fill>
        <patternFill>
          <bgColor theme="3" tint="0.79998168889431442"/>
        </patternFill>
      </fill>
    </dxf>
    <dxf>
      <font>
        <color theme="3" tint="0.79998168889431442"/>
      </font>
      <fill>
        <patternFill>
          <bgColor theme="3" tint="0.79998168889431442"/>
        </patternFill>
      </fill>
    </dxf>
    <dxf>
      <font>
        <color theme="3" tint="0.79998168889431442"/>
      </font>
      <fill>
        <patternFill>
          <bgColor theme="3" tint="0.79998168889431442"/>
        </patternFill>
      </fill>
    </dxf>
    <dxf>
      <font>
        <color theme="3" tint="0.79998168889431442"/>
      </font>
      <fill>
        <patternFill>
          <bgColor theme="3" tint="0.79998168889431442"/>
        </patternFill>
      </fill>
    </dxf>
    <dxf>
      <font>
        <color theme="3" tint="0.79998168889431442"/>
      </font>
      <fill>
        <patternFill>
          <bgColor theme="3" tint="0.79998168889431442"/>
        </patternFill>
      </fill>
    </dxf>
    <dxf>
      <font>
        <color theme="3" tint="0.79998168889431442"/>
      </font>
      <fill>
        <patternFill>
          <bgColor theme="3" tint="0.79998168889431442"/>
        </patternFill>
      </fill>
    </dxf>
    <dxf>
      <font>
        <color theme="3" tint="0.79998168889431442"/>
      </font>
      <fill>
        <patternFill>
          <bgColor theme="3" tint="0.79998168889431442"/>
        </patternFill>
      </fill>
    </dxf>
    <dxf>
      <font>
        <color theme="3" tint="0.79998168889431442"/>
      </font>
      <fill>
        <patternFill>
          <bgColor theme="3" tint="0.79998168889431442"/>
        </patternFill>
      </fill>
    </dxf>
    <dxf>
      <font>
        <color theme="3" tint="0.79998168889431442"/>
      </font>
      <fill>
        <patternFill>
          <bgColor theme="3" tint="0.79998168889431442"/>
        </patternFill>
      </fill>
    </dxf>
    <dxf>
      <font>
        <color theme="3" tint="0.79998168889431442"/>
      </font>
      <fill>
        <patternFill>
          <bgColor theme="3" tint="0.79998168889431442"/>
        </patternFill>
      </fill>
    </dxf>
    <dxf>
      <font>
        <color theme="3" tint="0.79998168889431442"/>
      </font>
      <fill>
        <patternFill>
          <bgColor theme="3" tint="0.79998168889431442"/>
        </patternFill>
      </fill>
    </dxf>
    <dxf>
      <font>
        <color theme="3" tint="0.79998168889431442"/>
      </font>
      <fill>
        <patternFill>
          <bgColor theme="3" tint="0.79998168889431442"/>
        </patternFill>
      </fill>
    </dxf>
    <dxf>
      <font>
        <color theme="3" tint="0.79998168889431442"/>
      </font>
      <fill>
        <patternFill>
          <bgColor theme="3" tint="0.79998168889431442"/>
        </patternFill>
      </fill>
    </dxf>
    <dxf>
      <font>
        <color rgb="FFFF0000"/>
      </font>
      <fill>
        <patternFill patternType="none">
          <bgColor auto="1"/>
        </patternFill>
      </fill>
      <border>
        <left style="thin">
          <color rgb="FFFF0000"/>
        </left>
        <right style="thin">
          <color rgb="FFFF0000"/>
        </right>
        <top style="thin">
          <color rgb="FFFF0000"/>
        </top>
        <bottom style="thin">
          <color rgb="FFFF0000"/>
        </bottom>
        <vertical/>
        <horizontal/>
      </border>
    </dxf>
    <dxf>
      <font>
        <b/>
        <i val="0"/>
        <color rgb="FFFF0000"/>
      </font>
      <fill>
        <patternFill>
          <bgColor theme="9" tint="0.59996337778862885"/>
        </patternFill>
      </fill>
      <border>
        <left style="thin">
          <color rgb="FFFF0000"/>
        </left>
        <right style="thin">
          <color rgb="FFFF0000"/>
        </right>
        <top style="thin">
          <color rgb="FFFF0000"/>
        </top>
        <bottom style="thin">
          <color rgb="FFFF0000"/>
        </bottom>
      </border>
    </dxf>
    <dxf>
      <font>
        <b/>
        <i val="0"/>
        <color rgb="FF00B050"/>
      </font>
      <border>
        <left style="thin">
          <color rgb="FF00B050"/>
        </left>
        <right style="thin">
          <color rgb="FF00B050"/>
        </right>
        <top style="thin">
          <color rgb="FF00B050"/>
        </top>
        <bottom style="thin">
          <color rgb="FF00B050"/>
        </bottom>
      </border>
    </dxf>
    <dxf>
      <font>
        <b/>
        <i val="0"/>
        <color rgb="FFFF0000"/>
      </font>
      <fill>
        <patternFill>
          <bgColor theme="9" tint="0.59996337778862885"/>
        </patternFill>
      </fill>
      <border>
        <left style="thin">
          <color rgb="FFFF0000"/>
        </left>
        <right style="thin">
          <color rgb="FFFF0000"/>
        </right>
        <top style="thin">
          <color rgb="FFFF0000"/>
        </top>
        <bottom style="thin">
          <color rgb="FFFF0000"/>
        </bottom>
      </border>
    </dxf>
    <dxf>
      <font>
        <b/>
        <i val="0"/>
        <color rgb="FF00B050"/>
      </font>
      <border>
        <left style="thin">
          <color rgb="FF00B050"/>
        </left>
        <right style="thin">
          <color rgb="FF00B050"/>
        </right>
        <top style="thin">
          <color rgb="FF00B050"/>
        </top>
        <bottom style="thin">
          <color rgb="FF00B050"/>
        </bottom>
      </border>
    </dxf>
  </dxfs>
  <tableStyles count="0" defaultTableStyle="TableStyleMedium9" defaultPivotStyle="PivotStyleLight16"/>
  <colors>
    <mruColors>
      <color rgb="FFFFFFCC"/>
      <color rgb="FFFFFF99"/>
      <color rgb="FFFF9933"/>
      <color rgb="FFC5D9F1"/>
      <color rgb="FFFFAA2D"/>
      <color rgb="FFFF931E"/>
      <color rgb="FF0000FF"/>
      <color rgb="FFCCFF99"/>
      <color rgb="FFFFE38B"/>
      <color rgb="FFE26B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Spin" dx="16" fmlaLink="#REF!" max="3" page="10" val="0"/>
</file>

<file path=xl/ctrlProps/ctrlProp2.xml><?xml version="1.0" encoding="utf-8"?>
<formControlPr xmlns="http://schemas.microsoft.com/office/spreadsheetml/2009/9/main" objectType="Spin" dx="16" fmlaLink="$EB$38" max="6" min="4" page="10" val="5"/>
</file>

<file path=xl/ctrlProps/ctrlProp3.xml><?xml version="1.0" encoding="utf-8"?>
<formControlPr xmlns="http://schemas.microsoft.com/office/spreadsheetml/2009/9/main" objectType="Spin" dx="16" fmlaLink="$DH$36" max="3" page="10" val="0"/>
</file>

<file path=xl/ctrlProps/ctrlProp4.xml><?xml version="1.0" encoding="utf-8"?>
<formControlPr xmlns="http://schemas.microsoft.com/office/spreadsheetml/2009/9/main" objectType="Spin" dx="16" fmlaLink="$P$36" max="1" page="10" val="0"/>
</file>

<file path=xl/ctrlProps/ctrlProp5.xml><?xml version="1.0" encoding="utf-8"?>
<formControlPr xmlns="http://schemas.microsoft.com/office/spreadsheetml/2009/9/main" objectType="Spin" dx="16" fmlaLink="BaseSniperRifles" max="5" page="10" val="0"/>
</file>

<file path=xl/ctrlProps/ctrlProp6.xml><?xml version="1.0" encoding="utf-8"?>
<formControlPr xmlns="http://schemas.microsoft.com/office/spreadsheetml/2009/9/main" objectType="Spin" dx="16" fmlaLink="$AX$36" max="5" page="10" val="5"/>
</file>

<file path=xl/ctrlProps/ctrlProp7.xml><?xml version="1.0" encoding="utf-8"?>
<formControlPr xmlns="http://schemas.microsoft.com/office/spreadsheetml/2009/9/main" objectType="Spin" dx="16" fmlaLink="#REF!" max="3" page="10" val="0"/>
</file>

<file path=xl/ctrlProps/ctrlProp8.xml><?xml version="1.0" encoding="utf-8"?>
<formControlPr xmlns="http://schemas.microsoft.com/office/spreadsheetml/2009/9/main" objectType="Spin" dx="16" fmlaLink="$CB$36" max="3" page="10" val="0"/>
</file>

<file path=xl/ctrlProps/ctrlProp9.xml><?xml version="1.0" encoding="utf-8"?>
<formControlPr xmlns="http://schemas.microsoft.com/office/spreadsheetml/2009/9/main" objectType="Spin" dx="16" fmlaLink="$DT$38" max="6" min="4" page="10" val="5"/>
</file>

<file path=xl/ctrlProps/ctrlProp10.xml><?xml version="1.0" encoding="utf-8"?>
<formControlPr xmlns="http://schemas.microsoft.com/office/spreadsheetml/2009/9/main" objectType="Spin" dx="16" fmlaLink="$DX$38" max="6" min="4" page="10" val="5"/>
</file>

<file path=xl/ctrlProps/ctrlProp11.xml><?xml version="1.0" encoding="utf-8"?>
<formControlPr xmlns="http://schemas.microsoft.com/office/spreadsheetml/2009/9/main" objectType="Spin" dx="16" fmlaLink="#REF!" max="3" page="10" val="0"/>
</file>

<file path=xl/ctrlProps/ctrlProp12.xml><?xml version="1.0" encoding="utf-8"?>
<formControlPr xmlns="http://schemas.microsoft.com/office/spreadsheetml/2009/9/main" objectType="Spin" dx="16" fmlaLink="$CB$36" max="3" page="10" val="0"/>
</file>

<file path=xl/ctrlProps/ctrlProp13.xml><?xml version="1.0" encoding="utf-8"?>
<formControlPr xmlns="http://schemas.microsoft.com/office/spreadsheetml/2009/9/main" objectType="Spin" dx="16" fmlaLink="$CN$38" max="6" min="4" page="10" val="5"/>
</file>

<file path=xl/ctrlProps/ctrlProp14.xml><?xml version="1.0" encoding="utf-8"?>
<formControlPr xmlns="http://schemas.microsoft.com/office/spreadsheetml/2009/9/main" objectType="Spin" dx="16" fmlaLink="$CR$38" max="6" min="4" page="10" val="5"/>
</file>

<file path=xl/ctrlProps/ctrlProp15.xml><?xml version="1.0" encoding="utf-8"?>
<formControlPr xmlns="http://schemas.microsoft.com/office/spreadsheetml/2009/9/main" objectType="Spin" dx="16" fmlaLink="BaseSniperRifles" max="5" page="10" val="0"/>
</file>

<file path=xl/ctrlProps/ctrlProp16.xml><?xml version="1.0" encoding="utf-8"?>
<formControlPr xmlns="http://schemas.microsoft.com/office/spreadsheetml/2009/9/main" objectType="Spin" dx="16" fmlaLink="#REF!" max="3" page="10" val="0"/>
</file>

<file path=xl/ctrlProps/ctrlProp17.xml><?xml version="1.0" encoding="utf-8"?>
<formControlPr xmlns="http://schemas.microsoft.com/office/spreadsheetml/2009/9/main" objectType="Spin" dx="16" fmlaLink="$CB$36" max="3" page="10" val="0"/>
</file>

<file path=xl/ctrlProps/ctrlProp18.xml><?xml version="1.0" encoding="utf-8"?>
<formControlPr xmlns="http://schemas.microsoft.com/office/spreadsheetml/2009/9/main" objectType="Spin" dx="16" fmlaLink="$AX$36" max="5" page="10" val="5"/>
</file>

<file path=xl/ctrlProps/ctrlProp19.xml><?xml version="1.0" encoding="utf-8"?>
<formControlPr xmlns="http://schemas.microsoft.com/office/spreadsheetml/2009/9/main" objectType="Spin" dx="16" fmlaLink="$A$13" max="80" page="10" val="0"/>
</file>

<file path=xl/ctrlProps/ctrlProp20.xml><?xml version="1.0" encoding="utf-8"?>
<formControlPr xmlns="http://schemas.microsoft.com/office/spreadsheetml/2009/9/main" objectType="Spin" dx="16" fmlaLink="$A$17" max="80" page="10" val="0"/>
</file>

<file path=xl/ctrlProps/ctrlProp21.xml><?xml version="1.0" encoding="utf-8"?>
<formControlPr xmlns="http://schemas.microsoft.com/office/spreadsheetml/2009/9/main" objectType="Spin" dx="16" fmlaLink="$A$21" max="80" page="10" val="0"/>
</file>

<file path=xl/ctrlProps/ctrlProp22.xml><?xml version="1.0" encoding="utf-8"?>
<formControlPr xmlns="http://schemas.microsoft.com/office/spreadsheetml/2009/9/main" objectType="Spin" dx="16" fmlaLink="$A$25" max="80" page="10" val="0"/>
</file>

<file path=xl/ctrlProps/ctrlProp23.xml><?xml version="1.0" encoding="utf-8"?>
<formControlPr xmlns="http://schemas.microsoft.com/office/spreadsheetml/2009/9/main" objectType="Spin" dx="16" fmlaLink="$A$29" max="80" page="10" val="0"/>
</file>

<file path=xl/ctrlProps/ctrlProp24.xml><?xml version="1.0" encoding="utf-8"?>
<formControlPr xmlns="http://schemas.microsoft.com/office/spreadsheetml/2009/9/main" objectType="Spin" dx="16" fmlaLink="$A$33" max="80" page="10" val="0"/>
</file>

<file path=xl/ctrlProps/ctrlProp25.xml><?xml version="1.0" encoding="utf-8"?>
<formControlPr xmlns="http://schemas.microsoft.com/office/spreadsheetml/2009/9/main" objectType="Spin" dx="16" fmlaLink="$A$37" max="80" page="10" val="0"/>
</file>

<file path=xl/ctrlProps/ctrlProp26.xml><?xml version="1.0" encoding="utf-8"?>
<formControlPr xmlns="http://schemas.microsoft.com/office/spreadsheetml/2009/9/main" objectType="Spin" dx="16" fmlaLink="$A$41" max="80" page="10" val="0"/>
</file>

<file path=xl/ctrlProps/ctrlProp27.xml><?xml version="1.0" encoding="utf-8"?>
<formControlPr xmlns="http://schemas.microsoft.com/office/spreadsheetml/2009/9/main" objectType="Spin" dx="16" fmlaLink="$A$45" max="80" page="10" val="0"/>
</file>

<file path=xl/ctrlProps/ctrlProp28.xml><?xml version="1.0" encoding="utf-8"?>
<formControlPr xmlns="http://schemas.microsoft.com/office/spreadsheetml/2009/9/main" objectType="Spin" dx="16" fmlaLink="$A$52" max="80" page="10" val="0"/>
</file>

<file path=xl/ctrlProps/ctrlProp29.xml><?xml version="1.0" encoding="utf-8"?>
<formControlPr xmlns="http://schemas.microsoft.com/office/spreadsheetml/2009/9/main" objectType="Spin" dx="16" fmlaLink="$A$60" max="80" page="10" val="0"/>
</file>

<file path=xl/ctrlProps/ctrlProp30.xml><?xml version="1.0" encoding="utf-8"?>
<formControlPr xmlns="http://schemas.microsoft.com/office/spreadsheetml/2009/9/main" objectType="Spin" dx="16" fmlaLink="$A$64" max="80" page="10" val="0"/>
</file>

<file path=xl/ctrlProps/ctrlProp31.xml><?xml version="1.0" encoding="utf-8"?>
<formControlPr xmlns="http://schemas.microsoft.com/office/spreadsheetml/2009/9/main" objectType="Spin" dx="16" fmlaLink="$A$68" max="80" page="10" val="0"/>
</file>

<file path=xl/ctrlProps/ctrlProp32.xml><?xml version="1.0" encoding="utf-8"?>
<formControlPr xmlns="http://schemas.microsoft.com/office/spreadsheetml/2009/9/main" objectType="Spin" dx="16" fmlaLink="$A$72" max="80" page="10" val="0"/>
</file>

<file path=xl/ctrlProps/ctrlProp33.xml><?xml version="1.0" encoding="utf-8"?>
<formControlPr xmlns="http://schemas.microsoft.com/office/spreadsheetml/2009/9/main" objectType="Spin" dx="16" fmlaLink="$A$76" max="80" page="10" val="0"/>
</file>

<file path=xl/ctrlProps/ctrlProp34.xml><?xml version="1.0" encoding="utf-8"?>
<formControlPr xmlns="http://schemas.microsoft.com/office/spreadsheetml/2009/9/main" objectType="Spin" dx="16" fmlaLink="$A$80" max="80" page="10" val="0"/>
</file>

<file path=xl/ctrlProps/ctrlProp35.xml><?xml version="1.0" encoding="utf-8"?>
<formControlPr xmlns="http://schemas.microsoft.com/office/spreadsheetml/2009/9/main" objectType="Spin" dx="16" fmlaLink="$A$88" max="80" page="10" val="0"/>
</file>

<file path=xl/ctrlProps/ctrlProp36.xml><?xml version="1.0" encoding="utf-8"?>
<formControlPr xmlns="http://schemas.microsoft.com/office/spreadsheetml/2009/9/main" objectType="Spin" dx="16" fmlaLink="$A$56" max="80" page="10" val="0"/>
</file>

<file path=xl/ctrlProps/ctrlProp37.xml><?xml version="1.0" encoding="utf-8"?>
<formControlPr xmlns="http://schemas.microsoft.com/office/spreadsheetml/2009/9/main" objectType="Spin" dx="16" fmlaLink="$A$84" max="80" page="10" val="0"/>
</file>

<file path=xl/ctrlProps/ctrlProp38.xml><?xml version="1.0" encoding="utf-8"?>
<formControlPr xmlns="http://schemas.microsoft.com/office/spreadsheetml/2009/9/main" objectType="Spin" dx="16" fmlaLink="$A$104" max="80" page="10" val="0"/>
</file>

<file path=xl/ctrlProps/ctrlProp39.xml><?xml version="1.0" encoding="utf-8"?>
<formControlPr xmlns="http://schemas.microsoft.com/office/spreadsheetml/2009/9/main" objectType="Spin" dx="16" fmlaLink="$A$92" max="80" page="10" val="0"/>
</file>

<file path=xl/ctrlProps/ctrlProp40.xml><?xml version="1.0" encoding="utf-8"?>
<formControlPr xmlns="http://schemas.microsoft.com/office/spreadsheetml/2009/9/main" objectType="Spin" dx="16" fmlaLink="$A$96" max="80" page="10" val="0"/>
</file>

<file path=xl/ctrlProps/ctrlProp41.xml><?xml version="1.0" encoding="utf-8"?>
<formControlPr xmlns="http://schemas.microsoft.com/office/spreadsheetml/2009/9/main" objectType="Spin" dx="16" fmlaLink="$A$100" max="80" page="10" val="0"/>
</file>

<file path=xl/ctrlProps/ctrlProp42.xml><?xml version="1.0" encoding="utf-8"?>
<formControlPr xmlns="http://schemas.microsoft.com/office/spreadsheetml/2009/9/main" objectType="Spin" dx="16" fmlaLink="$A$108" max="80" page="10" val="0"/>
</file>

<file path=xl/ctrlProps/ctrlProp43.xml><?xml version="1.0" encoding="utf-8"?>
<formControlPr xmlns="http://schemas.microsoft.com/office/spreadsheetml/2009/9/main" objectType="Spin" dx="16" fmlaLink="AcrobaticsMerit" max="80" page="10" val="0"/>
</file>

<file path=xl/ctrlProps/ctrlProp44.xml><?xml version="1.0" encoding="utf-8"?>
<formControlPr xmlns="http://schemas.microsoft.com/office/spreadsheetml/2009/9/main" objectType="Spin" dx="16" fmlaLink="AppraisalMerit" max="80" page="10" val="0"/>
</file>

<file path=xl/ctrlProps/ctrlProp45.xml><?xml version="1.0" encoding="utf-8"?>
<formControlPr xmlns="http://schemas.microsoft.com/office/spreadsheetml/2009/9/main" objectType="Spin" dx="16" fmlaLink="AthleticsMerit" max="80" page="10" val="0"/>
</file>

<file path=xl/ctrlProps/ctrlProp46.xml><?xml version="1.0" encoding="utf-8"?>
<formControlPr xmlns="http://schemas.microsoft.com/office/spreadsheetml/2009/9/main" objectType="Spin" dx="16" fmlaLink="ComprehensionMerit" max="80" page="10" val="0"/>
</file>

<file path=xl/ctrlProps/ctrlProp47.xml><?xml version="1.0" encoding="utf-8"?>
<formControlPr xmlns="http://schemas.microsoft.com/office/spreadsheetml/2009/9/main" objectType="Spin" dx="16" fmlaLink="ExpressionMerit" max="80" page="10" val="0"/>
</file>

<file path=xl/ctrlProps/ctrlProp48.xml><?xml version="1.0" encoding="utf-8"?>
<formControlPr xmlns="http://schemas.microsoft.com/office/spreadsheetml/2009/9/main" objectType="Spin" dx="16" fmlaLink="PerceptionMerit" max="80" page="10" val="0"/>
</file>

<file path=xl/ctrlProps/ctrlProp49.xml><?xml version="1.0" encoding="utf-8"?>
<formControlPr xmlns="http://schemas.microsoft.com/office/spreadsheetml/2009/9/main" objectType="Spin" dx="16" fmlaLink="SecurityMerit" max="80" page="10" val="0"/>
</file>

<file path=xl/ctrlProps/ctrlProp50.xml><?xml version="1.0" encoding="utf-8"?>
<formControlPr xmlns="http://schemas.microsoft.com/office/spreadsheetml/2009/9/main" objectType="Spin" dx="16" fmlaLink="StealthMerit" max="80" page="10" val="0"/>
</file>

<file path=xl/ctrlProps/ctrlProp51.xml><?xml version="1.0" encoding="utf-8"?>
<formControlPr xmlns="http://schemas.microsoft.com/office/spreadsheetml/2009/9/main" objectType="Spin" dx="16" fmlaLink="StreetwiseMerit" max="80" page="10" val="0"/>
</file>

<file path=xl/ctrlProps/ctrlProp52.xml><?xml version="1.0" encoding="utf-8"?>
<formControlPr xmlns="http://schemas.microsoft.com/office/spreadsheetml/2009/9/main" objectType="Spin" dx="16" fmlaLink="SubterfugeMerit" max="80" page="10" val="0"/>
</file>

<file path=xl/ctrlProps/ctrlProp53.xml><?xml version="1.0" encoding="utf-8"?>
<formControlPr xmlns="http://schemas.microsoft.com/office/spreadsheetml/2009/9/main" objectType="Spin" dx="16" fmlaLink="SurvivalMerit" max="80" page="10" val="0"/>
</file>

<file path=xl/ctrlProps/ctrlProp54.xml><?xml version="1.0" encoding="utf-8"?>
<formControlPr xmlns="http://schemas.microsoft.com/office/spreadsheetml/2009/9/main" objectType="Spin" dx="16" fmlaLink="#REF!" max="80" page="10" val="0"/>
</file>

<file path=xl/ctrlProps/ctrlProp55.xml><?xml version="1.0" encoding="utf-8"?>
<formControlPr xmlns="http://schemas.microsoft.com/office/spreadsheetml/2009/9/main" objectType="Spin" dx="16" fmlaLink="AlchemyMerit" max="80" page="10" val="0"/>
</file>

<file path=xl/ctrlProps/ctrlProp56.xml><?xml version="1.0" encoding="utf-8"?>
<formControlPr xmlns="http://schemas.microsoft.com/office/spreadsheetml/2009/9/main" objectType="Spin" dx="16" fmlaLink="AnimalHandlingMerit" max="80" page="10" val="0"/>
</file>

<file path=xl/ctrlProps/ctrlProp57.xml><?xml version="1.0" encoding="utf-8"?>
<formControlPr xmlns="http://schemas.microsoft.com/office/spreadsheetml/2009/9/main" objectType="Spin" dx="16" fmlaLink="ArcanaMerit" max="80" page="10" val="0"/>
</file>

<file path=xl/ctrlProps/ctrlProp58.xml><?xml version="1.0" encoding="utf-8"?>
<formControlPr xmlns="http://schemas.microsoft.com/office/spreadsheetml/2009/9/main" objectType="Spin" dx="16" fmlaLink="FletchingMerit" max="80" page="10" val="0"/>
</file>

<file path=xl/ctrlProps/ctrlProp59.xml><?xml version="1.0" encoding="utf-8"?>
<formControlPr xmlns="http://schemas.microsoft.com/office/spreadsheetml/2009/9/main" objectType="Spin" dx="16" fmlaLink="LeatherworkingMerit" max="80" page="10" val="0"/>
</file>

<file path=xl/ctrlProps/ctrlProp60.xml><?xml version="1.0" encoding="utf-8"?>
<formControlPr xmlns="http://schemas.microsoft.com/office/spreadsheetml/2009/9/main" objectType="Spin" dx="16" fmlaLink="MedicineMerit" max="80" page="10" val="0"/>
</file>

<file path=xl/ctrlProps/ctrlProp61.xml><?xml version="1.0" encoding="utf-8"?>
<formControlPr xmlns="http://schemas.microsoft.com/office/spreadsheetml/2009/9/main" objectType="Spin" dx="16" fmlaLink="SmithingMerit" max="80" page="10" val="0"/>
</file>

<file path=xl/ctrlProps/ctrlProp62.xml><?xml version="1.0" encoding="utf-8"?>
<formControlPr xmlns="http://schemas.microsoft.com/office/spreadsheetml/2009/9/main" objectType="Spin" dx="16" fmlaLink="TailoringMerit" max="80" page="10" val="0"/>
</file>

<file path=xl/ctrlProps/ctrlProp63.xml><?xml version="1.0" encoding="utf-8"?>
<formControlPr xmlns="http://schemas.microsoft.com/office/spreadsheetml/2009/9/main" objectType="Spin" dx="16" fmlaLink="TechnologyMerit" max="80" page="10" val="0"/>
</file>

<file path=xl/ctrlProps/ctrlProp64.xml><?xml version="1.0" encoding="utf-8"?>
<formControlPr xmlns="http://schemas.microsoft.com/office/spreadsheetml/2009/9/main" objectType="Spin" dx="16" fmlaLink="TheologyMerit" max="80" page="10" val="0"/>
</file>

<file path=xl/ctrlProps/ctrlProp65.xml><?xml version="1.0" encoding="utf-8"?>
<formControlPr xmlns="http://schemas.microsoft.com/office/spreadsheetml/2009/9/main" objectType="Spin" dx="16" fmlaLink="HighElvenMerit" max="80" page="10" val="0"/>
</file>

<file path=xl/ctrlProps/ctrlProp66.xml><?xml version="1.0" encoding="utf-8"?>
<formControlPr xmlns="http://schemas.microsoft.com/office/spreadsheetml/2009/9/main" objectType="Spin" dx="16" fmlaLink="WoodElvenMerit" max="80" page="10" val="0"/>
</file>

<file path=xl/ctrlProps/ctrlProp67.xml><?xml version="1.0" encoding="utf-8"?>
<formControlPr xmlns="http://schemas.microsoft.com/office/spreadsheetml/2009/9/main" objectType="Spin" dx="16" fmlaLink="DarkElvenMerit" max="80" page="10" val="0"/>
</file>

<file path=xl/ctrlProps/ctrlProp68.xml><?xml version="1.0" encoding="utf-8"?>
<formControlPr xmlns="http://schemas.microsoft.com/office/spreadsheetml/2009/9/main" objectType="Spin" dx="16" fmlaLink="BasicElvenMerit" max="80" page="10" val="0"/>
</file>

<file path=xl/ctrlProps/ctrlProp69.xml><?xml version="1.0" encoding="utf-8"?>
<formControlPr xmlns="http://schemas.microsoft.com/office/spreadsheetml/2009/9/main" objectType="Spin" dx="16" fmlaLink="EulianMerit" max="80" page="10" val="0"/>
</file>

<file path=xl/ctrlProps/ctrlProp70.xml><?xml version="1.0" encoding="utf-8"?>
<formControlPr xmlns="http://schemas.microsoft.com/office/spreadsheetml/2009/9/main" objectType="Spin" dx="16" fmlaLink="CommonMerit" max="80" page="10" val="0"/>
</file>

<file path=xl/ctrlProps/ctrlProp71.xml><?xml version="1.0" encoding="utf-8"?>
<formControlPr xmlns="http://schemas.microsoft.com/office/spreadsheetml/2009/9/main" objectType="Spin" dx="16" fmlaLink="GaronianMerit" max="80" page="10" val="0"/>
</file>

<file path=xl/ctrlProps/ctrlProp72.xml><?xml version="1.0" encoding="utf-8"?>
<formControlPr xmlns="http://schemas.microsoft.com/office/spreadsheetml/2009/9/main" objectType="Spin" dx="16" fmlaLink="LowerCommonMerit" max="80" page="10" val="0"/>
</file>

<file path=xl/ctrlProps/ctrlProp73.xml><?xml version="1.0" encoding="utf-8"?>
<formControlPr xmlns="http://schemas.microsoft.com/office/spreadsheetml/2009/9/main" objectType="Spin" dx="16" fmlaLink="DavekMerit" max="80" page="10" val="0"/>
</file>

<file path=xl/ctrlProps/ctrlProp74.xml><?xml version="1.0" encoding="utf-8"?>
<formControlPr xmlns="http://schemas.microsoft.com/office/spreadsheetml/2009/9/main" objectType="Spin" dx="16" fmlaLink="GeovekMerit" max="80" page="10" val="0"/>
</file>

<file path=xl/ctrlProps/ctrlProp75.xml><?xml version="1.0" encoding="utf-8"?>
<formControlPr xmlns="http://schemas.microsoft.com/office/spreadsheetml/2009/9/main" objectType="Spin" dx="16" fmlaLink="GoblinMerit" max="80" page="10" val="0"/>
</file>

<file path=xl/ctrlProps/ctrlProp76.xml><?xml version="1.0" encoding="utf-8"?>
<formControlPr xmlns="http://schemas.microsoft.com/office/spreadsheetml/2009/9/main" objectType="Spin" dx="16" fmlaLink="GnomishMerit" max="80" page="10" val="0"/>
</file>

<file path=xl/ctrlProps/ctrlProp77.xml><?xml version="1.0" encoding="utf-8"?>
<formControlPr xmlns="http://schemas.microsoft.com/office/spreadsheetml/2009/9/main" objectType="Spin" dx="16" fmlaLink="VolkenMerit" max="80" page="10" val="0"/>
</file>

<file path=xl/ctrlProps/ctrlProp78.xml><?xml version="1.0" encoding="utf-8"?>
<formControlPr xmlns="http://schemas.microsoft.com/office/spreadsheetml/2009/9/main" objectType="Spin" dx="16" fmlaLink="$A$260" max="7" page="10" val="0"/>
</file>

<file path=xl/ctrlProps/ctrlProp79.xml><?xml version="1.0" encoding="utf-8"?>
<formControlPr xmlns="http://schemas.microsoft.com/office/spreadsheetml/2009/9/main" objectType="Spin" dx="16" fmlaLink="$A$264" max="7" page="10" val="0"/>
</file>

<file path=xl/ctrlProps/ctrlProp80.xml><?xml version="1.0" encoding="utf-8"?>
<formControlPr xmlns="http://schemas.microsoft.com/office/spreadsheetml/2009/9/main" objectType="Spin" dx="16" fmlaLink="VitalityMerit" max="7" page="10" val="0"/>
</file>

<file path=xl/drawings/_rels/drawing3.xml.rels><?xml version="1.0" encoding="UTF-8" standalone="yes"?>
<Relationships xmlns="http://schemas.openxmlformats.org/package/2006/relationships"><Relationship Id="rId8" Type="http://schemas.openxmlformats.org/officeDocument/2006/relationships/image" Target="../media/image8.JPG"/><Relationship Id="rId3" Type="http://schemas.openxmlformats.org/officeDocument/2006/relationships/image" Target="../media/image3.JPG"/><Relationship Id="rId7" Type="http://schemas.openxmlformats.org/officeDocument/2006/relationships/image" Target="../media/image7.JPG"/><Relationship Id="rId12" Type="http://schemas.openxmlformats.org/officeDocument/2006/relationships/image" Target="../media/image12.png"/><Relationship Id="rId2" Type="http://schemas.openxmlformats.org/officeDocument/2006/relationships/image" Target="../media/image2.gif"/><Relationship Id="rId1" Type="http://schemas.openxmlformats.org/officeDocument/2006/relationships/image" Target="../media/image1.gif"/><Relationship Id="rId6" Type="http://schemas.openxmlformats.org/officeDocument/2006/relationships/image" Target="../media/image6.JPG"/><Relationship Id="rId11" Type="http://schemas.openxmlformats.org/officeDocument/2006/relationships/image" Target="../media/image11.gif"/><Relationship Id="rId5" Type="http://schemas.openxmlformats.org/officeDocument/2006/relationships/image" Target="../media/image5.gif"/><Relationship Id="rId10" Type="http://schemas.openxmlformats.org/officeDocument/2006/relationships/image" Target="../media/image10.png"/><Relationship Id="rId4" Type="http://schemas.openxmlformats.org/officeDocument/2006/relationships/image" Target="../media/image4.JP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3.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110</xdr:col>
          <xdr:colOff>0</xdr:colOff>
          <xdr:row>35</xdr:row>
          <xdr:rowOff>0</xdr:rowOff>
        </xdr:from>
        <xdr:to>
          <xdr:col>111</xdr:col>
          <xdr:colOff>0</xdr:colOff>
          <xdr:row>37</xdr:row>
          <xdr:rowOff>0</xdr:rowOff>
        </xdr:to>
        <xdr:sp macro="" textlink="">
          <xdr:nvSpPr>
            <xdr:cNvPr id="64513" name="Spinner 1" hidden="1">
              <a:extLst>
                <a:ext uri="{63B3BB69-23CF-44E3-9099-C40C66FF867C}">
                  <a14:compatExt spid="_x0000_s6451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131</xdr:col>
          <xdr:colOff>9525</xdr:colOff>
          <xdr:row>35</xdr:row>
          <xdr:rowOff>0</xdr:rowOff>
        </xdr:from>
        <xdr:to>
          <xdr:col>134</xdr:col>
          <xdr:colOff>104775</xdr:colOff>
          <xdr:row>37</xdr:row>
          <xdr:rowOff>0</xdr:rowOff>
        </xdr:to>
        <xdr:sp macro="" textlink="">
          <xdr:nvSpPr>
            <xdr:cNvPr id="64514" name="Spinner 2" hidden="1">
              <a:extLst>
                <a:ext uri="{63B3BB69-23CF-44E3-9099-C40C66FF867C}">
                  <a14:compatExt spid="_x0000_s6451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110</xdr:col>
          <xdr:colOff>0</xdr:colOff>
          <xdr:row>35</xdr:row>
          <xdr:rowOff>0</xdr:rowOff>
        </xdr:from>
        <xdr:to>
          <xdr:col>111</xdr:col>
          <xdr:colOff>0</xdr:colOff>
          <xdr:row>37</xdr:row>
          <xdr:rowOff>0</xdr:rowOff>
        </xdr:to>
        <xdr:sp macro="" textlink="">
          <xdr:nvSpPr>
            <xdr:cNvPr id="64515" name="Spinner 3" hidden="1">
              <a:extLst>
                <a:ext uri="{63B3BB69-23CF-44E3-9099-C40C66FF867C}">
                  <a14:compatExt spid="_x0000_s6451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14</xdr:col>
          <xdr:colOff>0</xdr:colOff>
          <xdr:row>35</xdr:row>
          <xdr:rowOff>0</xdr:rowOff>
        </xdr:from>
        <xdr:to>
          <xdr:col>15</xdr:col>
          <xdr:colOff>0</xdr:colOff>
          <xdr:row>37</xdr:row>
          <xdr:rowOff>0</xdr:rowOff>
        </xdr:to>
        <xdr:sp macro="" textlink="">
          <xdr:nvSpPr>
            <xdr:cNvPr id="64516" name="Spinner 4" hidden="1">
              <a:extLst>
                <a:ext uri="{63B3BB69-23CF-44E3-9099-C40C66FF867C}">
                  <a14:compatExt spid="_x0000_s6451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78</xdr:col>
          <xdr:colOff>0</xdr:colOff>
          <xdr:row>35</xdr:row>
          <xdr:rowOff>0</xdr:rowOff>
        </xdr:from>
        <xdr:to>
          <xdr:col>79</xdr:col>
          <xdr:colOff>0</xdr:colOff>
          <xdr:row>37</xdr:row>
          <xdr:rowOff>0</xdr:rowOff>
        </xdr:to>
        <xdr:sp macro="" textlink="">
          <xdr:nvSpPr>
            <xdr:cNvPr id="64517" name="Spinner 5" hidden="1">
              <a:extLst>
                <a:ext uri="{63B3BB69-23CF-44E3-9099-C40C66FF867C}">
                  <a14:compatExt spid="_x0000_s6451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48</xdr:col>
          <xdr:colOff>0</xdr:colOff>
          <xdr:row>35</xdr:row>
          <xdr:rowOff>0</xdr:rowOff>
        </xdr:from>
        <xdr:to>
          <xdr:col>49</xdr:col>
          <xdr:colOff>0</xdr:colOff>
          <xdr:row>37</xdr:row>
          <xdr:rowOff>0</xdr:rowOff>
        </xdr:to>
        <xdr:sp macro="" textlink="">
          <xdr:nvSpPr>
            <xdr:cNvPr id="64518" name="Spinner 6" hidden="1">
              <a:extLst>
                <a:ext uri="{63B3BB69-23CF-44E3-9099-C40C66FF867C}">
                  <a14:compatExt spid="_x0000_s6451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78</xdr:col>
          <xdr:colOff>0</xdr:colOff>
          <xdr:row>35</xdr:row>
          <xdr:rowOff>0</xdr:rowOff>
        </xdr:from>
        <xdr:to>
          <xdr:col>79</xdr:col>
          <xdr:colOff>0</xdr:colOff>
          <xdr:row>37</xdr:row>
          <xdr:rowOff>0</xdr:rowOff>
        </xdr:to>
        <xdr:sp macro="" textlink="">
          <xdr:nvSpPr>
            <xdr:cNvPr id="64519" name="Spinner 7" hidden="1">
              <a:extLst>
                <a:ext uri="{63B3BB69-23CF-44E3-9099-C40C66FF867C}">
                  <a14:compatExt spid="_x0000_s6451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78</xdr:col>
          <xdr:colOff>0</xdr:colOff>
          <xdr:row>35</xdr:row>
          <xdr:rowOff>0</xdr:rowOff>
        </xdr:from>
        <xdr:to>
          <xdr:col>79</xdr:col>
          <xdr:colOff>0</xdr:colOff>
          <xdr:row>37</xdr:row>
          <xdr:rowOff>0</xdr:rowOff>
        </xdr:to>
        <xdr:sp macro="" textlink="">
          <xdr:nvSpPr>
            <xdr:cNvPr id="64520" name="Spinner 8" hidden="1">
              <a:extLst>
                <a:ext uri="{63B3BB69-23CF-44E3-9099-C40C66FF867C}">
                  <a14:compatExt spid="_x0000_s6452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123</xdr:col>
          <xdr:colOff>9525</xdr:colOff>
          <xdr:row>35</xdr:row>
          <xdr:rowOff>0</xdr:rowOff>
        </xdr:from>
        <xdr:to>
          <xdr:col>126</xdr:col>
          <xdr:colOff>104775</xdr:colOff>
          <xdr:row>37</xdr:row>
          <xdr:rowOff>0</xdr:rowOff>
        </xdr:to>
        <xdr:sp macro="" textlink="">
          <xdr:nvSpPr>
            <xdr:cNvPr id="64521" name="Spinner 9" hidden="1">
              <a:extLst>
                <a:ext uri="{63B3BB69-23CF-44E3-9099-C40C66FF867C}">
                  <a14:compatExt spid="_x0000_s6452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127</xdr:col>
          <xdr:colOff>9525</xdr:colOff>
          <xdr:row>34</xdr:row>
          <xdr:rowOff>104775</xdr:rowOff>
        </xdr:from>
        <xdr:to>
          <xdr:col>130</xdr:col>
          <xdr:colOff>104775</xdr:colOff>
          <xdr:row>37</xdr:row>
          <xdr:rowOff>0</xdr:rowOff>
        </xdr:to>
        <xdr:sp macro="" textlink="">
          <xdr:nvSpPr>
            <xdr:cNvPr id="64522" name="Spinner 10" hidden="1">
              <a:extLst>
                <a:ext uri="{63B3BB69-23CF-44E3-9099-C40C66FF867C}">
                  <a14:compatExt spid="_x0000_s6452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78</xdr:col>
          <xdr:colOff>0</xdr:colOff>
          <xdr:row>35</xdr:row>
          <xdr:rowOff>0</xdr:rowOff>
        </xdr:from>
        <xdr:to>
          <xdr:col>79</xdr:col>
          <xdr:colOff>0</xdr:colOff>
          <xdr:row>37</xdr:row>
          <xdr:rowOff>0</xdr:rowOff>
        </xdr:to>
        <xdr:sp macro="" textlink="">
          <xdr:nvSpPr>
            <xdr:cNvPr id="64523" name="Spinner 11" hidden="1">
              <a:extLst>
                <a:ext uri="{63B3BB69-23CF-44E3-9099-C40C66FF867C}">
                  <a14:compatExt spid="_x0000_s6452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78</xdr:col>
          <xdr:colOff>0</xdr:colOff>
          <xdr:row>35</xdr:row>
          <xdr:rowOff>0</xdr:rowOff>
        </xdr:from>
        <xdr:to>
          <xdr:col>79</xdr:col>
          <xdr:colOff>0</xdr:colOff>
          <xdr:row>37</xdr:row>
          <xdr:rowOff>0</xdr:rowOff>
        </xdr:to>
        <xdr:sp macro="" textlink="">
          <xdr:nvSpPr>
            <xdr:cNvPr id="64524" name="Spinner 12" hidden="1">
              <a:extLst>
                <a:ext uri="{63B3BB69-23CF-44E3-9099-C40C66FF867C}">
                  <a14:compatExt spid="_x0000_s6452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91</xdr:col>
          <xdr:colOff>9525</xdr:colOff>
          <xdr:row>34</xdr:row>
          <xdr:rowOff>104775</xdr:rowOff>
        </xdr:from>
        <xdr:to>
          <xdr:col>94</xdr:col>
          <xdr:colOff>104775</xdr:colOff>
          <xdr:row>37</xdr:row>
          <xdr:rowOff>0</xdr:rowOff>
        </xdr:to>
        <xdr:sp macro="" textlink="">
          <xdr:nvSpPr>
            <xdr:cNvPr id="64525" name="Spinner 13" hidden="1">
              <a:extLst>
                <a:ext uri="{63B3BB69-23CF-44E3-9099-C40C66FF867C}">
                  <a14:compatExt spid="_x0000_s6452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95</xdr:col>
          <xdr:colOff>9525</xdr:colOff>
          <xdr:row>34</xdr:row>
          <xdr:rowOff>104775</xdr:rowOff>
        </xdr:from>
        <xdr:to>
          <xdr:col>98</xdr:col>
          <xdr:colOff>104775</xdr:colOff>
          <xdr:row>37</xdr:row>
          <xdr:rowOff>0</xdr:rowOff>
        </xdr:to>
        <xdr:sp macro="" textlink="">
          <xdr:nvSpPr>
            <xdr:cNvPr id="64526" name="Spinner 14" hidden="1">
              <a:extLst>
                <a:ext uri="{63B3BB69-23CF-44E3-9099-C40C66FF867C}">
                  <a14:compatExt spid="_x0000_s6452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48</xdr:col>
          <xdr:colOff>0</xdr:colOff>
          <xdr:row>35</xdr:row>
          <xdr:rowOff>0</xdr:rowOff>
        </xdr:from>
        <xdr:to>
          <xdr:col>49</xdr:col>
          <xdr:colOff>0</xdr:colOff>
          <xdr:row>37</xdr:row>
          <xdr:rowOff>0</xdr:rowOff>
        </xdr:to>
        <xdr:sp macro="" textlink="">
          <xdr:nvSpPr>
            <xdr:cNvPr id="64527" name="Spinner 15" hidden="1">
              <a:extLst>
                <a:ext uri="{63B3BB69-23CF-44E3-9099-C40C66FF867C}">
                  <a14:compatExt spid="_x0000_s6452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48</xdr:col>
          <xdr:colOff>0</xdr:colOff>
          <xdr:row>35</xdr:row>
          <xdr:rowOff>0</xdr:rowOff>
        </xdr:from>
        <xdr:to>
          <xdr:col>49</xdr:col>
          <xdr:colOff>0</xdr:colOff>
          <xdr:row>37</xdr:row>
          <xdr:rowOff>0</xdr:rowOff>
        </xdr:to>
        <xdr:sp macro="" textlink="">
          <xdr:nvSpPr>
            <xdr:cNvPr id="64528" name="Spinner 16" hidden="1">
              <a:extLst>
                <a:ext uri="{63B3BB69-23CF-44E3-9099-C40C66FF867C}">
                  <a14:compatExt spid="_x0000_s6452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48</xdr:col>
          <xdr:colOff>0</xdr:colOff>
          <xdr:row>35</xdr:row>
          <xdr:rowOff>0</xdr:rowOff>
        </xdr:from>
        <xdr:to>
          <xdr:col>49</xdr:col>
          <xdr:colOff>0</xdr:colOff>
          <xdr:row>37</xdr:row>
          <xdr:rowOff>0</xdr:rowOff>
        </xdr:to>
        <xdr:sp macro="" textlink="">
          <xdr:nvSpPr>
            <xdr:cNvPr id="64529" name="Spinner 17" hidden="1">
              <a:extLst>
                <a:ext uri="{63B3BB69-23CF-44E3-9099-C40C66FF867C}">
                  <a14:compatExt spid="_x0000_s6452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48</xdr:col>
          <xdr:colOff>0</xdr:colOff>
          <xdr:row>35</xdr:row>
          <xdr:rowOff>0</xdr:rowOff>
        </xdr:from>
        <xdr:to>
          <xdr:col>49</xdr:col>
          <xdr:colOff>0</xdr:colOff>
          <xdr:row>37</xdr:row>
          <xdr:rowOff>0</xdr:rowOff>
        </xdr:to>
        <xdr:sp macro="" textlink="">
          <xdr:nvSpPr>
            <xdr:cNvPr id="64530" name="Spinner 18" hidden="1">
              <a:extLst>
                <a:ext uri="{63B3BB69-23CF-44E3-9099-C40C66FF867C}">
                  <a14:compatExt spid="_x0000_s6453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0</xdr:colOff>
          <xdr:row>12</xdr:row>
          <xdr:rowOff>0</xdr:rowOff>
        </xdr:from>
        <xdr:to>
          <xdr:col>5</xdr:col>
          <xdr:colOff>85725</xdr:colOff>
          <xdr:row>15</xdr:row>
          <xdr:rowOff>0</xdr:rowOff>
        </xdr:to>
        <xdr:sp macro="" textlink="">
          <xdr:nvSpPr>
            <xdr:cNvPr id="12289" name="Spinner 1" hidden="1">
              <a:extLst>
                <a:ext uri="{63B3BB69-23CF-44E3-9099-C40C66FF867C}">
                  <a14:compatExt spid="_x0000_s1228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16</xdr:row>
          <xdr:rowOff>0</xdr:rowOff>
        </xdr:from>
        <xdr:to>
          <xdr:col>5</xdr:col>
          <xdr:colOff>85725</xdr:colOff>
          <xdr:row>19</xdr:row>
          <xdr:rowOff>0</xdr:rowOff>
        </xdr:to>
        <xdr:sp macro="" textlink="">
          <xdr:nvSpPr>
            <xdr:cNvPr id="12291" name="Spinner 3" hidden="1">
              <a:extLst>
                <a:ext uri="{63B3BB69-23CF-44E3-9099-C40C66FF867C}">
                  <a14:compatExt spid="_x0000_s1229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20</xdr:row>
          <xdr:rowOff>0</xdr:rowOff>
        </xdr:from>
        <xdr:to>
          <xdr:col>5</xdr:col>
          <xdr:colOff>85725</xdr:colOff>
          <xdr:row>23</xdr:row>
          <xdr:rowOff>0</xdr:rowOff>
        </xdr:to>
        <xdr:sp macro="" textlink="">
          <xdr:nvSpPr>
            <xdr:cNvPr id="12292" name="Spinner 4" hidden="1">
              <a:extLst>
                <a:ext uri="{63B3BB69-23CF-44E3-9099-C40C66FF867C}">
                  <a14:compatExt spid="_x0000_s1229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24</xdr:row>
          <xdr:rowOff>0</xdr:rowOff>
        </xdr:from>
        <xdr:to>
          <xdr:col>5</xdr:col>
          <xdr:colOff>85725</xdr:colOff>
          <xdr:row>27</xdr:row>
          <xdr:rowOff>0</xdr:rowOff>
        </xdr:to>
        <xdr:sp macro="" textlink="">
          <xdr:nvSpPr>
            <xdr:cNvPr id="12293" name="Spinner 5" hidden="1">
              <a:extLst>
                <a:ext uri="{63B3BB69-23CF-44E3-9099-C40C66FF867C}">
                  <a14:compatExt spid="_x0000_s1229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28</xdr:row>
          <xdr:rowOff>0</xdr:rowOff>
        </xdr:from>
        <xdr:to>
          <xdr:col>5</xdr:col>
          <xdr:colOff>85725</xdr:colOff>
          <xdr:row>31</xdr:row>
          <xdr:rowOff>0</xdr:rowOff>
        </xdr:to>
        <xdr:sp macro="" textlink="">
          <xdr:nvSpPr>
            <xdr:cNvPr id="12294" name="Spinner 6" hidden="1">
              <a:extLst>
                <a:ext uri="{63B3BB69-23CF-44E3-9099-C40C66FF867C}">
                  <a14:compatExt spid="_x0000_s1229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32</xdr:row>
          <xdr:rowOff>0</xdr:rowOff>
        </xdr:from>
        <xdr:to>
          <xdr:col>5</xdr:col>
          <xdr:colOff>85725</xdr:colOff>
          <xdr:row>35</xdr:row>
          <xdr:rowOff>0</xdr:rowOff>
        </xdr:to>
        <xdr:sp macro="" textlink="">
          <xdr:nvSpPr>
            <xdr:cNvPr id="12295" name="Spinner 7" hidden="1">
              <a:extLst>
                <a:ext uri="{63B3BB69-23CF-44E3-9099-C40C66FF867C}">
                  <a14:compatExt spid="_x0000_s1229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36</xdr:row>
          <xdr:rowOff>0</xdr:rowOff>
        </xdr:from>
        <xdr:to>
          <xdr:col>5</xdr:col>
          <xdr:colOff>85725</xdr:colOff>
          <xdr:row>39</xdr:row>
          <xdr:rowOff>0</xdr:rowOff>
        </xdr:to>
        <xdr:sp macro="" textlink="">
          <xdr:nvSpPr>
            <xdr:cNvPr id="12296" name="Spinner 8" hidden="1">
              <a:extLst>
                <a:ext uri="{63B3BB69-23CF-44E3-9099-C40C66FF867C}">
                  <a14:compatExt spid="_x0000_s1229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40</xdr:row>
          <xdr:rowOff>0</xdr:rowOff>
        </xdr:from>
        <xdr:to>
          <xdr:col>5</xdr:col>
          <xdr:colOff>85725</xdr:colOff>
          <xdr:row>43</xdr:row>
          <xdr:rowOff>0</xdr:rowOff>
        </xdr:to>
        <xdr:sp macro="" textlink="">
          <xdr:nvSpPr>
            <xdr:cNvPr id="12297" name="Spinner 9" hidden="1">
              <a:extLst>
                <a:ext uri="{63B3BB69-23CF-44E3-9099-C40C66FF867C}">
                  <a14:compatExt spid="_x0000_s1229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44</xdr:row>
          <xdr:rowOff>0</xdr:rowOff>
        </xdr:from>
        <xdr:to>
          <xdr:col>5</xdr:col>
          <xdr:colOff>85725</xdr:colOff>
          <xdr:row>47</xdr:row>
          <xdr:rowOff>0</xdr:rowOff>
        </xdr:to>
        <xdr:sp macro="" textlink="">
          <xdr:nvSpPr>
            <xdr:cNvPr id="12298" name="Spinner 10" hidden="1">
              <a:extLst>
                <a:ext uri="{63B3BB69-23CF-44E3-9099-C40C66FF867C}">
                  <a14:compatExt spid="_x0000_s1229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51</xdr:row>
          <xdr:rowOff>0</xdr:rowOff>
        </xdr:from>
        <xdr:to>
          <xdr:col>5</xdr:col>
          <xdr:colOff>85725</xdr:colOff>
          <xdr:row>54</xdr:row>
          <xdr:rowOff>0</xdr:rowOff>
        </xdr:to>
        <xdr:sp macro="" textlink="">
          <xdr:nvSpPr>
            <xdr:cNvPr id="12299" name="Spinner 11" hidden="1">
              <a:extLst>
                <a:ext uri="{63B3BB69-23CF-44E3-9099-C40C66FF867C}">
                  <a14:compatExt spid="_x0000_s1229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59</xdr:row>
          <xdr:rowOff>0</xdr:rowOff>
        </xdr:from>
        <xdr:to>
          <xdr:col>5</xdr:col>
          <xdr:colOff>85725</xdr:colOff>
          <xdr:row>62</xdr:row>
          <xdr:rowOff>0</xdr:rowOff>
        </xdr:to>
        <xdr:sp macro="" textlink="">
          <xdr:nvSpPr>
            <xdr:cNvPr id="12300" name="Spinner 12" hidden="1">
              <a:extLst>
                <a:ext uri="{63B3BB69-23CF-44E3-9099-C40C66FF867C}">
                  <a14:compatExt spid="_x0000_s12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63</xdr:row>
          <xdr:rowOff>0</xdr:rowOff>
        </xdr:from>
        <xdr:to>
          <xdr:col>5</xdr:col>
          <xdr:colOff>85725</xdr:colOff>
          <xdr:row>66</xdr:row>
          <xdr:rowOff>0</xdr:rowOff>
        </xdr:to>
        <xdr:sp macro="" textlink="">
          <xdr:nvSpPr>
            <xdr:cNvPr id="12301" name="Spinner 13" hidden="1">
              <a:extLst>
                <a:ext uri="{63B3BB69-23CF-44E3-9099-C40C66FF867C}">
                  <a14:compatExt spid="_x0000_s1230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67</xdr:row>
          <xdr:rowOff>0</xdr:rowOff>
        </xdr:from>
        <xdr:to>
          <xdr:col>5</xdr:col>
          <xdr:colOff>85725</xdr:colOff>
          <xdr:row>70</xdr:row>
          <xdr:rowOff>0</xdr:rowOff>
        </xdr:to>
        <xdr:sp macro="" textlink="">
          <xdr:nvSpPr>
            <xdr:cNvPr id="12302" name="Spinner 14" hidden="1">
              <a:extLst>
                <a:ext uri="{63B3BB69-23CF-44E3-9099-C40C66FF867C}">
                  <a14:compatExt spid="_x0000_s1230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71</xdr:row>
          <xdr:rowOff>0</xdr:rowOff>
        </xdr:from>
        <xdr:to>
          <xdr:col>5</xdr:col>
          <xdr:colOff>85725</xdr:colOff>
          <xdr:row>74</xdr:row>
          <xdr:rowOff>0</xdr:rowOff>
        </xdr:to>
        <xdr:sp macro="" textlink="">
          <xdr:nvSpPr>
            <xdr:cNvPr id="12303" name="Spinner 15" hidden="1">
              <a:extLst>
                <a:ext uri="{63B3BB69-23CF-44E3-9099-C40C66FF867C}">
                  <a14:compatExt spid="_x0000_s1230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75</xdr:row>
          <xdr:rowOff>0</xdr:rowOff>
        </xdr:from>
        <xdr:to>
          <xdr:col>5</xdr:col>
          <xdr:colOff>85725</xdr:colOff>
          <xdr:row>78</xdr:row>
          <xdr:rowOff>0</xdr:rowOff>
        </xdr:to>
        <xdr:sp macro="" textlink="">
          <xdr:nvSpPr>
            <xdr:cNvPr id="12304" name="Spinner 16" hidden="1">
              <a:extLst>
                <a:ext uri="{63B3BB69-23CF-44E3-9099-C40C66FF867C}">
                  <a14:compatExt spid="_x0000_s1230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79</xdr:row>
          <xdr:rowOff>0</xdr:rowOff>
        </xdr:from>
        <xdr:to>
          <xdr:col>5</xdr:col>
          <xdr:colOff>85725</xdr:colOff>
          <xdr:row>82</xdr:row>
          <xdr:rowOff>0</xdr:rowOff>
        </xdr:to>
        <xdr:sp macro="" textlink="">
          <xdr:nvSpPr>
            <xdr:cNvPr id="12305" name="Spinner 17" hidden="1">
              <a:extLst>
                <a:ext uri="{63B3BB69-23CF-44E3-9099-C40C66FF867C}">
                  <a14:compatExt spid="_x0000_s1230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87</xdr:row>
          <xdr:rowOff>0</xdr:rowOff>
        </xdr:from>
        <xdr:to>
          <xdr:col>5</xdr:col>
          <xdr:colOff>85725</xdr:colOff>
          <xdr:row>90</xdr:row>
          <xdr:rowOff>0</xdr:rowOff>
        </xdr:to>
        <xdr:sp macro="" textlink="">
          <xdr:nvSpPr>
            <xdr:cNvPr id="12306" name="Spinner 18" hidden="1">
              <a:extLst>
                <a:ext uri="{63B3BB69-23CF-44E3-9099-C40C66FF867C}">
                  <a14:compatExt spid="_x0000_s1230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55</xdr:row>
          <xdr:rowOff>0</xdr:rowOff>
        </xdr:from>
        <xdr:to>
          <xdr:col>5</xdr:col>
          <xdr:colOff>85725</xdr:colOff>
          <xdr:row>58</xdr:row>
          <xdr:rowOff>0</xdr:rowOff>
        </xdr:to>
        <xdr:sp macro="" textlink="">
          <xdr:nvSpPr>
            <xdr:cNvPr id="12307" name="Spinner 19" hidden="1">
              <a:extLst>
                <a:ext uri="{63B3BB69-23CF-44E3-9099-C40C66FF867C}">
                  <a14:compatExt spid="_x0000_s1230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83</xdr:row>
          <xdr:rowOff>0</xdr:rowOff>
        </xdr:from>
        <xdr:to>
          <xdr:col>5</xdr:col>
          <xdr:colOff>85725</xdr:colOff>
          <xdr:row>86</xdr:row>
          <xdr:rowOff>0</xdr:rowOff>
        </xdr:to>
        <xdr:sp macro="" textlink="">
          <xdr:nvSpPr>
            <xdr:cNvPr id="12308" name="Spinner 20" hidden="1">
              <a:extLst>
                <a:ext uri="{63B3BB69-23CF-44E3-9099-C40C66FF867C}">
                  <a14:compatExt spid="_x0000_s1230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103</xdr:row>
          <xdr:rowOff>0</xdr:rowOff>
        </xdr:from>
        <xdr:to>
          <xdr:col>5</xdr:col>
          <xdr:colOff>85725</xdr:colOff>
          <xdr:row>106</xdr:row>
          <xdr:rowOff>0</xdr:rowOff>
        </xdr:to>
        <xdr:sp macro="" textlink="">
          <xdr:nvSpPr>
            <xdr:cNvPr id="12309" name="Spinner 21" hidden="1">
              <a:extLst>
                <a:ext uri="{63B3BB69-23CF-44E3-9099-C40C66FF867C}">
                  <a14:compatExt spid="_x0000_s1230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91</xdr:row>
          <xdr:rowOff>0</xdr:rowOff>
        </xdr:from>
        <xdr:to>
          <xdr:col>5</xdr:col>
          <xdr:colOff>85725</xdr:colOff>
          <xdr:row>94</xdr:row>
          <xdr:rowOff>0</xdr:rowOff>
        </xdr:to>
        <xdr:sp macro="" textlink="">
          <xdr:nvSpPr>
            <xdr:cNvPr id="12310" name="Spinner 22" hidden="1">
              <a:extLst>
                <a:ext uri="{63B3BB69-23CF-44E3-9099-C40C66FF867C}">
                  <a14:compatExt spid="_x0000_s1231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95</xdr:row>
          <xdr:rowOff>0</xdr:rowOff>
        </xdr:from>
        <xdr:to>
          <xdr:col>5</xdr:col>
          <xdr:colOff>85725</xdr:colOff>
          <xdr:row>98</xdr:row>
          <xdr:rowOff>0</xdr:rowOff>
        </xdr:to>
        <xdr:sp macro="" textlink="">
          <xdr:nvSpPr>
            <xdr:cNvPr id="12311" name="Spinner 23" hidden="1">
              <a:extLst>
                <a:ext uri="{63B3BB69-23CF-44E3-9099-C40C66FF867C}">
                  <a14:compatExt spid="_x0000_s1231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99</xdr:row>
          <xdr:rowOff>0</xdr:rowOff>
        </xdr:from>
        <xdr:to>
          <xdr:col>5</xdr:col>
          <xdr:colOff>85725</xdr:colOff>
          <xdr:row>102</xdr:row>
          <xdr:rowOff>0</xdr:rowOff>
        </xdr:to>
        <xdr:sp macro="" textlink="">
          <xdr:nvSpPr>
            <xdr:cNvPr id="12312" name="Spinner 24" hidden="1">
              <a:extLst>
                <a:ext uri="{63B3BB69-23CF-44E3-9099-C40C66FF867C}">
                  <a14:compatExt spid="_x0000_s1231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107</xdr:row>
          <xdr:rowOff>0</xdr:rowOff>
        </xdr:from>
        <xdr:to>
          <xdr:col>5</xdr:col>
          <xdr:colOff>85725</xdr:colOff>
          <xdr:row>110</xdr:row>
          <xdr:rowOff>0</xdr:rowOff>
        </xdr:to>
        <xdr:sp macro="" textlink="">
          <xdr:nvSpPr>
            <xdr:cNvPr id="12313" name="Spinner 25" hidden="1">
              <a:extLst>
                <a:ext uri="{63B3BB69-23CF-44E3-9099-C40C66FF867C}">
                  <a14:compatExt spid="_x0000_s1231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114</xdr:row>
          <xdr:rowOff>0</xdr:rowOff>
        </xdr:from>
        <xdr:to>
          <xdr:col>5</xdr:col>
          <xdr:colOff>85725</xdr:colOff>
          <xdr:row>117</xdr:row>
          <xdr:rowOff>0</xdr:rowOff>
        </xdr:to>
        <xdr:sp macro="" textlink="">
          <xdr:nvSpPr>
            <xdr:cNvPr id="12353" name="Spinner 65" hidden="1">
              <a:extLst>
                <a:ext uri="{63B3BB69-23CF-44E3-9099-C40C66FF867C}">
                  <a14:compatExt spid="_x0000_s1235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118</xdr:row>
          <xdr:rowOff>0</xdr:rowOff>
        </xdr:from>
        <xdr:to>
          <xdr:col>5</xdr:col>
          <xdr:colOff>85725</xdr:colOff>
          <xdr:row>121</xdr:row>
          <xdr:rowOff>0</xdr:rowOff>
        </xdr:to>
        <xdr:sp macro="" textlink="">
          <xdr:nvSpPr>
            <xdr:cNvPr id="12354" name="Spinner 66" hidden="1">
              <a:extLst>
                <a:ext uri="{63B3BB69-23CF-44E3-9099-C40C66FF867C}">
                  <a14:compatExt spid="_x0000_s1235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122</xdr:row>
          <xdr:rowOff>0</xdr:rowOff>
        </xdr:from>
        <xdr:to>
          <xdr:col>5</xdr:col>
          <xdr:colOff>85725</xdr:colOff>
          <xdr:row>125</xdr:row>
          <xdr:rowOff>0</xdr:rowOff>
        </xdr:to>
        <xdr:sp macro="" textlink="">
          <xdr:nvSpPr>
            <xdr:cNvPr id="12355" name="Spinner 67" hidden="1">
              <a:extLst>
                <a:ext uri="{63B3BB69-23CF-44E3-9099-C40C66FF867C}">
                  <a14:compatExt spid="_x0000_s1235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126</xdr:row>
          <xdr:rowOff>0</xdr:rowOff>
        </xdr:from>
        <xdr:to>
          <xdr:col>5</xdr:col>
          <xdr:colOff>85725</xdr:colOff>
          <xdr:row>129</xdr:row>
          <xdr:rowOff>0</xdr:rowOff>
        </xdr:to>
        <xdr:sp macro="" textlink="">
          <xdr:nvSpPr>
            <xdr:cNvPr id="12356" name="Spinner 68" hidden="1">
              <a:extLst>
                <a:ext uri="{63B3BB69-23CF-44E3-9099-C40C66FF867C}">
                  <a14:compatExt spid="_x0000_s1235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130</xdr:row>
          <xdr:rowOff>0</xdr:rowOff>
        </xdr:from>
        <xdr:to>
          <xdr:col>5</xdr:col>
          <xdr:colOff>85725</xdr:colOff>
          <xdr:row>133</xdr:row>
          <xdr:rowOff>0</xdr:rowOff>
        </xdr:to>
        <xdr:sp macro="" textlink="">
          <xdr:nvSpPr>
            <xdr:cNvPr id="12357" name="Spinner 69" hidden="1">
              <a:extLst>
                <a:ext uri="{63B3BB69-23CF-44E3-9099-C40C66FF867C}">
                  <a14:compatExt spid="_x0000_s1235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134</xdr:row>
          <xdr:rowOff>0</xdr:rowOff>
        </xdr:from>
        <xdr:to>
          <xdr:col>5</xdr:col>
          <xdr:colOff>85725</xdr:colOff>
          <xdr:row>137</xdr:row>
          <xdr:rowOff>0</xdr:rowOff>
        </xdr:to>
        <xdr:sp macro="" textlink="">
          <xdr:nvSpPr>
            <xdr:cNvPr id="12358" name="Spinner 70" hidden="1">
              <a:extLst>
                <a:ext uri="{63B3BB69-23CF-44E3-9099-C40C66FF867C}">
                  <a14:compatExt spid="_x0000_s1235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138</xdr:row>
          <xdr:rowOff>0</xdr:rowOff>
        </xdr:from>
        <xdr:to>
          <xdr:col>5</xdr:col>
          <xdr:colOff>85725</xdr:colOff>
          <xdr:row>141</xdr:row>
          <xdr:rowOff>0</xdr:rowOff>
        </xdr:to>
        <xdr:sp macro="" textlink="">
          <xdr:nvSpPr>
            <xdr:cNvPr id="12359" name="Spinner 71" hidden="1">
              <a:extLst>
                <a:ext uri="{63B3BB69-23CF-44E3-9099-C40C66FF867C}">
                  <a14:compatExt spid="_x0000_s1235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142</xdr:row>
          <xdr:rowOff>0</xdr:rowOff>
        </xdr:from>
        <xdr:to>
          <xdr:col>5</xdr:col>
          <xdr:colOff>85725</xdr:colOff>
          <xdr:row>145</xdr:row>
          <xdr:rowOff>0</xdr:rowOff>
        </xdr:to>
        <xdr:sp macro="" textlink="">
          <xdr:nvSpPr>
            <xdr:cNvPr id="12360" name="Spinner 72" hidden="1">
              <a:extLst>
                <a:ext uri="{63B3BB69-23CF-44E3-9099-C40C66FF867C}">
                  <a14:compatExt spid="_x0000_s1236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146</xdr:row>
          <xdr:rowOff>0</xdr:rowOff>
        </xdr:from>
        <xdr:to>
          <xdr:col>5</xdr:col>
          <xdr:colOff>85725</xdr:colOff>
          <xdr:row>149</xdr:row>
          <xdr:rowOff>0</xdr:rowOff>
        </xdr:to>
        <xdr:sp macro="" textlink="">
          <xdr:nvSpPr>
            <xdr:cNvPr id="12361" name="Spinner 73" hidden="1">
              <a:extLst>
                <a:ext uri="{63B3BB69-23CF-44E3-9099-C40C66FF867C}">
                  <a14:compatExt spid="_x0000_s1236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150</xdr:row>
          <xdr:rowOff>0</xdr:rowOff>
        </xdr:from>
        <xdr:to>
          <xdr:col>5</xdr:col>
          <xdr:colOff>85725</xdr:colOff>
          <xdr:row>153</xdr:row>
          <xdr:rowOff>0</xdr:rowOff>
        </xdr:to>
        <xdr:sp macro="" textlink="">
          <xdr:nvSpPr>
            <xdr:cNvPr id="12362" name="Spinner 74" hidden="1">
              <a:extLst>
                <a:ext uri="{63B3BB69-23CF-44E3-9099-C40C66FF867C}">
                  <a14:compatExt spid="_x0000_s1236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154</xdr:row>
          <xdr:rowOff>0</xdr:rowOff>
        </xdr:from>
        <xdr:to>
          <xdr:col>5</xdr:col>
          <xdr:colOff>85725</xdr:colOff>
          <xdr:row>157</xdr:row>
          <xdr:rowOff>0</xdr:rowOff>
        </xdr:to>
        <xdr:sp macro="" textlink="">
          <xdr:nvSpPr>
            <xdr:cNvPr id="12363" name="Spinner 75" hidden="1">
              <a:extLst>
                <a:ext uri="{63B3BB69-23CF-44E3-9099-C40C66FF867C}">
                  <a14:compatExt spid="_x0000_s1236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182</xdr:row>
          <xdr:rowOff>0</xdr:rowOff>
        </xdr:from>
        <xdr:to>
          <xdr:col>5</xdr:col>
          <xdr:colOff>85725</xdr:colOff>
          <xdr:row>185</xdr:row>
          <xdr:rowOff>0</xdr:rowOff>
        </xdr:to>
        <xdr:sp macro="" textlink="">
          <xdr:nvSpPr>
            <xdr:cNvPr id="12370" name="Spinner 82" hidden="1">
              <a:extLst>
                <a:ext uri="{63B3BB69-23CF-44E3-9099-C40C66FF867C}">
                  <a14:compatExt spid="_x0000_s1237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161</xdr:row>
          <xdr:rowOff>0</xdr:rowOff>
        </xdr:from>
        <xdr:to>
          <xdr:col>5</xdr:col>
          <xdr:colOff>85725</xdr:colOff>
          <xdr:row>164</xdr:row>
          <xdr:rowOff>0</xdr:rowOff>
        </xdr:to>
        <xdr:sp macro="" textlink="">
          <xdr:nvSpPr>
            <xdr:cNvPr id="12371" name="Spinner 83" hidden="1">
              <a:extLst>
                <a:ext uri="{63B3BB69-23CF-44E3-9099-C40C66FF867C}">
                  <a14:compatExt spid="_x0000_s1237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165</xdr:row>
          <xdr:rowOff>0</xdr:rowOff>
        </xdr:from>
        <xdr:to>
          <xdr:col>5</xdr:col>
          <xdr:colOff>85725</xdr:colOff>
          <xdr:row>168</xdr:row>
          <xdr:rowOff>0</xdr:rowOff>
        </xdr:to>
        <xdr:sp macro="" textlink="">
          <xdr:nvSpPr>
            <xdr:cNvPr id="12372" name="Spinner 84" hidden="1">
              <a:extLst>
                <a:ext uri="{63B3BB69-23CF-44E3-9099-C40C66FF867C}">
                  <a14:compatExt spid="_x0000_s1237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169</xdr:row>
          <xdr:rowOff>0</xdr:rowOff>
        </xdr:from>
        <xdr:to>
          <xdr:col>5</xdr:col>
          <xdr:colOff>85725</xdr:colOff>
          <xdr:row>172</xdr:row>
          <xdr:rowOff>0</xdr:rowOff>
        </xdr:to>
        <xdr:sp macro="" textlink="">
          <xdr:nvSpPr>
            <xdr:cNvPr id="12373" name="Spinner 85" hidden="1">
              <a:extLst>
                <a:ext uri="{63B3BB69-23CF-44E3-9099-C40C66FF867C}">
                  <a14:compatExt spid="_x0000_s1237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173</xdr:row>
          <xdr:rowOff>0</xdr:rowOff>
        </xdr:from>
        <xdr:to>
          <xdr:col>5</xdr:col>
          <xdr:colOff>85725</xdr:colOff>
          <xdr:row>176</xdr:row>
          <xdr:rowOff>0</xdr:rowOff>
        </xdr:to>
        <xdr:sp macro="" textlink="">
          <xdr:nvSpPr>
            <xdr:cNvPr id="12374" name="Spinner 86" hidden="1">
              <a:extLst>
                <a:ext uri="{63B3BB69-23CF-44E3-9099-C40C66FF867C}">
                  <a14:compatExt spid="_x0000_s1237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177</xdr:row>
          <xdr:rowOff>0</xdr:rowOff>
        </xdr:from>
        <xdr:to>
          <xdr:col>5</xdr:col>
          <xdr:colOff>85725</xdr:colOff>
          <xdr:row>180</xdr:row>
          <xdr:rowOff>0</xdr:rowOff>
        </xdr:to>
        <xdr:sp macro="" textlink="">
          <xdr:nvSpPr>
            <xdr:cNvPr id="12375" name="Spinner 87" hidden="1">
              <a:extLst>
                <a:ext uri="{63B3BB69-23CF-44E3-9099-C40C66FF867C}">
                  <a14:compatExt spid="_x0000_s1237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181</xdr:row>
          <xdr:rowOff>0</xdr:rowOff>
        </xdr:from>
        <xdr:to>
          <xdr:col>5</xdr:col>
          <xdr:colOff>85725</xdr:colOff>
          <xdr:row>184</xdr:row>
          <xdr:rowOff>0</xdr:rowOff>
        </xdr:to>
        <xdr:sp macro="" textlink="">
          <xdr:nvSpPr>
            <xdr:cNvPr id="12376" name="Spinner 88" hidden="1">
              <a:extLst>
                <a:ext uri="{63B3BB69-23CF-44E3-9099-C40C66FF867C}">
                  <a14:compatExt spid="_x0000_s1237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185</xdr:row>
          <xdr:rowOff>0</xdr:rowOff>
        </xdr:from>
        <xdr:to>
          <xdr:col>5</xdr:col>
          <xdr:colOff>85725</xdr:colOff>
          <xdr:row>188</xdr:row>
          <xdr:rowOff>0</xdr:rowOff>
        </xdr:to>
        <xdr:sp macro="" textlink="">
          <xdr:nvSpPr>
            <xdr:cNvPr id="12377" name="Spinner 89" hidden="1">
              <a:extLst>
                <a:ext uri="{63B3BB69-23CF-44E3-9099-C40C66FF867C}">
                  <a14:compatExt spid="_x0000_s1237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189</xdr:row>
          <xdr:rowOff>0</xdr:rowOff>
        </xdr:from>
        <xdr:to>
          <xdr:col>5</xdr:col>
          <xdr:colOff>85725</xdr:colOff>
          <xdr:row>192</xdr:row>
          <xdr:rowOff>0</xdr:rowOff>
        </xdr:to>
        <xdr:sp macro="" textlink="">
          <xdr:nvSpPr>
            <xdr:cNvPr id="12378" name="Spinner 90" hidden="1">
              <a:extLst>
                <a:ext uri="{63B3BB69-23CF-44E3-9099-C40C66FF867C}">
                  <a14:compatExt spid="_x0000_s1237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193</xdr:row>
          <xdr:rowOff>0</xdr:rowOff>
        </xdr:from>
        <xdr:to>
          <xdr:col>5</xdr:col>
          <xdr:colOff>85725</xdr:colOff>
          <xdr:row>196</xdr:row>
          <xdr:rowOff>0</xdr:rowOff>
        </xdr:to>
        <xdr:sp macro="" textlink="">
          <xdr:nvSpPr>
            <xdr:cNvPr id="12379" name="Spinner 91" hidden="1">
              <a:extLst>
                <a:ext uri="{63B3BB69-23CF-44E3-9099-C40C66FF867C}">
                  <a14:compatExt spid="_x0000_s1237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197</xdr:row>
          <xdr:rowOff>0</xdr:rowOff>
        </xdr:from>
        <xdr:to>
          <xdr:col>5</xdr:col>
          <xdr:colOff>85725</xdr:colOff>
          <xdr:row>200</xdr:row>
          <xdr:rowOff>0</xdr:rowOff>
        </xdr:to>
        <xdr:sp macro="" textlink="">
          <xdr:nvSpPr>
            <xdr:cNvPr id="12380" name="Spinner 92" hidden="1">
              <a:extLst>
                <a:ext uri="{63B3BB69-23CF-44E3-9099-C40C66FF867C}">
                  <a14:compatExt spid="_x0000_s1238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204</xdr:row>
          <xdr:rowOff>0</xdr:rowOff>
        </xdr:from>
        <xdr:to>
          <xdr:col>5</xdr:col>
          <xdr:colOff>85725</xdr:colOff>
          <xdr:row>207</xdr:row>
          <xdr:rowOff>0</xdr:rowOff>
        </xdr:to>
        <xdr:sp macro="" textlink="">
          <xdr:nvSpPr>
            <xdr:cNvPr id="12395" name="Spinner 107" hidden="1">
              <a:extLst>
                <a:ext uri="{63B3BB69-23CF-44E3-9099-C40C66FF867C}">
                  <a14:compatExt spid="_x0000_s1239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208</xdr:row>
          <xdr:rowOff>0</xdr:rowOff>
        </xdr:from>
        <xdr:to>
          <xdr:col>5</xdr:col>
          <xdr:colOff>85725</xdr:colOff>
          <xdr:row>211</xdr:row>
          <xdr:rowOff>0</xdr:rowOff>
        </xdr:to>
        <xdr:sp macro="" textlink="">
          <xdr:nvSpPr>
            <xdr:cNvPr id="12396" name="Spinner 108" hidden="1">
              <a:extLst>
                <a:ext uri="{63B3BB69-23CF-44E3-9099-C40C66FF867C}">
                  <a14:compatExt spid="_x0000_s1239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212</xdr:row>
          <xdr:rowOff>0</xdr:rowOff>
        </xdr:from>
        <xdr:to>
          <xdr:col>5</xdr:col>
          <xdr:colOff>85725</xdr:colOff>
          <xdr:row>215</xdr:row>
          <xdr:rowOff>0</xdr:rowOff>
        </xdr:to>
        <xdr:sp macro="" textlink="">
          <xdr:nvSpPr>
            <xdr:cNvPr id="12397" name="Spinner 109" hidden="1">
              <a:extLst>
                <a:ext uri="{63B3BB69-23CF-44E3-9099-C40C66FF867C}">
                  <a14:compatExt spid="_x0000_s1239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216</xdr:row>
          <xdr:rowOff>0</xdr:rowOff>
        </xdr:from>
        <xdr:to>
          <xdr:col>5</xdr:col>
          <xdr:colOff>85725</xdr:colOff>
          <xdr:row>219</xdr:row>
          <xdr:rowOff>0</xdr:rowOff>
        </xdr:to>
        <xdr:sp macro="" textlink="">
          <xdr:nvSpPr>
            <xdr:cNvPr id="12398" name="Spinner 110" hidden="1">
              <a:extLst>
                <a:ext uri="{63B3BB69-23CF-44E3-9099-C40C66FF867C}">
                  <a14:compatExt spid="_x0000_s1239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220</xdr:row>
          <xdr:rowOff>0</xdr:rowOff>
        </xdr:from>
        <xdr:to>
          <xdr:col>5</xdr:col>
          <xdr:colOff>85725</xdr:colOff>
          <xdr:row>223</xdr:row>
          <xdr:rowOff>0</xdr:rowOff>
        </xdr:to>
        <xdr:sp macro="" textlink="">
          <xdr:nvSpPr>
            <xdr:cNvPr id="12399" name="Spinner 111" hidden="1">
              <a:extLst>
                <a:ext uri="{63B3BB69-23CF-44E3-9099-C40C66FF867C}">
                  <a14:compatExt spid="_x0000_s1239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224</xdr:row>
          <xdr:rowOff>0</xdr:rowOff>
        </xdr:from>
        <xdr:to>
          <xdr:col>5</xdr:col>
          <xdr:colOff>85725</xdr:colOff>
          <xdr:row>227</xdr:row>
          <xdr:rowOff>0</xdr:rowOff>
        </xdr:to>
        <xdr:sp macro="" textlink="">
          <xdr:nvSpPr>
            <xdr:cNvPr id="12400" name="Spinner 112" hidden="1">
              <a:extLst>
                <a:ext uri="{63B3BB69-23CF-44E3-9099-C40C66FF867C}">
                  <a14:compatExt spid="_x0000_s12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228</xdr:row>
          <xdr:rowOff>0</xdr:rowOff>
        </xdr:from>
        <xdr:to>
          <xdr:col>5</xdr:col>
          <xdr:colOff>85725</xdr:colOff>
          <xdr:row>231</xdr:row>
          <xdr:rowOff>0</xdr:rowOff>
        </xdr:to>
        <xdr:sp macro="" textlink="">
          <xdr:nvSpPr>
            <xdr:cNvPr id="12401" name="Spinner 113" hidden="1">
              <a:extLst>
                <a:ext uri="{63B3BB69-23CF-44E3-9099-C40C66FF867C}">
                  <a14:compatExt spid="_x0000_s1240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232</xdr:row>
          <xdr:rowOff>0</xdr:rowOff>
        </xdr:from>
        <xdr:to>
          <xdr:col>5</xdr:col>
          <xdr:colOff>85725</xdr:colOff>
          <xdr:row>235</xdr:row>
          <xdr:rowOff>0</xdr:rowOff>
        </xdr:to>
        <xdr:sp macro="" textlink="">
          <xdr:nvSpPr>
            <xdr:cNvPr id="12402" name="Spinner 114" hidden="1">
              <a:extLst>
                <a:ext uri="{63B3BB69-23CF-44E3-9099-C40C66FF867C}">
                  <a14:compatExt spid="_x0000_s1240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236</xdr:row>
          <xdr:rowOff>0</xdr:rowOff>
        </xdr:from>
        <xdr:to>
          <xdr:col>5</xdr:col>
          <xdr:colOff>85725</xdr:colOff>
          <xdr:row>239</xdr:row>
          <xdr:rowOff>0</xdr:rowOff>
        </xdr:to>
        <xdr:sp macro="" textlink="">
          <xdr:nvSpPr>
            <xdr:cNvPr id="12403" name="Spinner 115" hidden="1">
              <a:extLst>
                <a:ext uri="{63B3BB69-23CF-44E3-9099-C40C66FF867C}">
                  <a14:compatExt spid="_x0000_s1240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240</xdr:row>
          <xdr:rowOff>0</xdr:rowOff>
        </xdr:from>
        <xdr:to>
          <xdr:col>5</xdr:col>
          <xdr:colOff>85725</xdr:colOff>
          <xdr:row>243</xdr:row>
          <xdr:rowOff>0</xdr:rowOff>
        </xdr:to>
        <xdr:sp macro="" textlink="">
          <xdr:nvSpPr>
            <xdr:cNvPr id="12404" name="Spinner 116" hidden="1">
              <a:extLst>
                <a:ext uri="{63B3BB69-23CF-44E3-9099-C40C66FF867C}">
                  <a14:compatExt spid="_x0000_s1240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244</xdr:row>
          <xdr:rowOff>0</xdr:rowOff>
        </xdr:from>
        <xdr:to>
          <xdr:col>5</xdr:col>
          <xdr:colOff>85725</xdr:colOff>
          <xdr:row>247</xdr:row>
          <xdr:rowOff>0</xdr:rowOff>
        </xdr:to>
        <xdr:sp macro="" textlink="">
          <xdr:nvSpPr>
            <xdr:cNvPr id="12405" name="Spinner 117" hidden="1">
              <a:extLst>
                <a:ext uri="{63B3BB69-23CF-44E3-9099-C40C66FF867C}">
                  <a14:compatExt spid="_x0000_s1240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248</xdr:row>
          <xdr:rowOff>0</xdr:rowOff>
        </xdr:from>
        <xdr:to>
          <xdr:col>5</xdr:col>
          <xdr:colOff>85725</xdr:colOff>
          <xdr:row>251</xdr:row>
          <xdr:rowOff>0</xdr:rowOff>
        </xdr:to>
        <xdr:sp macro="" textlink="">
          <xdr:nvSpPr>
            <xdr:cNvPr id="12406" name="Spinner 118" hidden="1">
              <a:extLst>
                <a:ext uri="{63B3BB69-23CF-44E3-9099-C40C66FF867C}">
                  <a14:compatExt spid="_x0000_s1240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252</xdr:row>
          <xdr:rowOff>0</xdr:rowOff>
        </xdr:from>
        <xdr:to>
          <xdr:col>5</xdr:col>
          <xdr:colOff>85725</xdr:colOff>
          <xdr:row>255</xdr:row>
          <xdr:rowOff>0</xdr:rowOff>
        </xdr:to>
        <xdr:sp macro="" textlink="">
          <xdr:nvSpPr>
            <xdr:cNvPr id="12407" name="Spinner 119" hidden="1">
              <a:extLst>
                <a:ext uri="{63B3BB69-23CF-44E3-9099-C40C66FF867C}">
                  <a14:compatExt spid="_x0000_s1240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259</xdr:row>
          <xdr:rowOff>0</xdr:rowOff>
        </xdr:from>
        <xdr:to>
          <xdr:col>5</xdr:col>
          <xdr:colOff>85725</xdr:colOff>
          <xdr:row>262</xdr:row>
          <xdr:rowOff>0</xdr:rowOff>
        </xdr:to>
        <xdr:sp macro="" textlink="">
          <xdr:nvSpPr>
            <xdr:cNvPr id="12408" name="Spinner 120" hidden="1">
              <a:extLst>
                <a:ext uri="{63B3BB69-23CF-44E3-9099-C40C66FF867C}">
                  <a14:compatExt spid="_x0000_s1240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263</xdr:row>
          <xdr:rowOff>0</xdr:rowOff>
        </xdr:from>
        <xdr:to>
          <xdr:col>5</xdr:col>
          <xdr:colOff>85725</xdr:colOff>
          <xdr:row>266</xdr:row>
          <xdr:rowOff>0</xdr:rowOff>
        </xdr:to>
        <xdr:sp macro="" textlink="">
          <xdr:nvSpPr>
            <xdr:cNvPr id="12409" name="Spinner 121" hidden="1">
              <a:extLst>
                <a:ext uri="{63B3BB69-23CF-44E3-9099-C40C66FF867C}">
                  <a14:compatExt spid="_x0000_s1240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267</xdr:row>
          <xdr:rowOff>0</xdr:rowOff>
        </xdr:from>
        <xdr:to>
          <xdr:col>5</xdr:col>
          <xdr:colOff>85725</xdr:colOff>
          <xdr:row>270</xdr:row>
          <xdr:rowOff>0</xdr:rowOff>
        </xdr:to>
        <xdr:sp macro="" textlink="">
          <xdr:nvSpPr>
            <xdr:cNvPr id="12410" name="Spinner 122" hidden="1">
              <a:extLst>
                <a:ext uri="{63B3BB69-23CF-44E3-9099-C40C66FF867C}">
                  <a14:compatExt spid="_x0000_s1241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103</xdr:col>
      <xdr:colOff>0</xdr:colOff>
      <xdr:row>9</xdr:row>
      <xdr:rowOff>17348</xdr:rowOff>
    </xdr:from>
    <xdr:to>
      <xdr:col>104</xdr:col>
      <xdr:colOff>53934</xdr:colOff>
      <xdr:row>10</xdr:row>
      <xdr:rowOff>68014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45486" y="899091"/>
          <a:ext cx="151905" cy="148637"/>
        </a:xfrm>
        <a:prstGeom prst="rect">
          <a:avLst/>
        </a:prstGeom>
      </xdr:spPr>
    </xdr:pic>
    <xdr:clientData/>
  </xdr:twoCellAnchor>
  <xdr:twoCellAnchor editAs="oneCell">
    <xdr:from>
      <xdr:col>98</xdr:col>
      <xdr:colOff>0</xdr:colOff>
      <xdr:row>9</xdr:row>
      <xdr:rowOff>21564</xdr:rowOff>
    </xdr:from>
    <xdr:to>
      <xdr:col>99</xdr:col>
      <xdr:colOff>56278</xdr:colOff>
      <xdr:row>10</xdr:row>
      <xdr:rowOff>76918</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17179" y="1477272"/>
          <a:ext cx="152400" cy="152400"/>
        </a:xfrm>
        <a:prstGeom prst="rect">
          <a:avLst/>
        </a:prstGeom>
      </xdr:spPr>
    </xdr:pic>
    <xdr:clientData/>
  </xdr:twoCellAnchor>
  <xdr:twoCellAnchor editAs="oneCell">
    <xdr:from>
      <xdr:col>98</xdr:col>
      <xdr:colOff>0</xdr:colOff>
      <xdr:row>3</xdr:row>
      <xdr:rowOff>3597</xdr:rowOff>
    </xdr:from>
    <xdr:to>
      <xdr:col>99</xdr:col>
      <xdr:colOff>69217</xdr:colOff>
      <xdr:row>4</xdr:row>
      <xdr:rowOff>81615</xdr:rowOff>
    </xdr:to>
    <xdr:pic>
      <xdr:nvPicPr>
        <xdr:cNvPr id="4" name="Picture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631557" y="1071116"/>
          <a:ext cx="165340" cy="175066"/>
        </a:xfrm>
        <a:prstGeom prst="rect">
          <a:avLst/>
        </a:prstGeom>
      </xdr:spPr>
    </xdr:pic>
    <xdr:clientData/>
  </xdr:twoCellAnchor>
  <xdr:twoCellAnchor editAs="oneCell">
    <xdr:from>
      <xdr:col>103</xdr:col>
      <xdr:colOff>0</xdr:colOff>
      <xdr:row>7</xdr:row>
      <xdr:rowOff>17974</xdr:rowOff>
    </xdr:from>
    <xdr:to>
      <xdr:col>104</xdr:col>
      <xdr:colOff>62028</xdr:colOff>
      <xdr:row>8</xdr:row>
      <xdr:rowOff>88381</xdr:rowOff>
    </xdr:to>
    <xdr:pic>
      <xdr:nvPicPr>
        <xdr:cNvPr id="5" name="Picture 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145486" y="703774"/>
          <a:ext cx="159999" cy="168378"/>
        </a:xfrm>
        <a:prstGeom prst="rect">
          <a:avLst/>
        </a:prstGeom>
      </xdr:spPr>
    </xdr:pic>
    <xdr:clientData/>
  </xdr:twoCellAnchor>
  <xdr:twoCellAnchor editAs="oneCell">
    <xdr:from>
      <xdr:col>98</xdr:col>
      <xdr:colOff>0</xdr:colOff>
      <xdr:row>5</xdr:row>
      <xdr:rowOff>7189</xdr:rowOff>
    </xdr:from>
    <xdr:to>
      <xdr:col>99</xdr:col>
      <xdr:colOff>80001</xdr:colOff>
      <xdr:row>6</xdr:row>
      <xdr:rowOff>86265</xdr:rowOff>
    </xdr:to>
    <xdr:pic>
      <xdr:nvPicPr>
        <xdr:cNvPr id="6" name="Picture 5"/>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599206" y="1851085"/>
          <a:ext cx="176124" cy="176124"/>
        </a:xfrm>
        <a:prstGeom prst="rect">
          <a:avLst/>
        </a:prstGeom>
      </xdr:spPr>
    </xdr:pic>
    <xdr:clientData/>
  </xdr:twoCellAnchor>
  <xdr:twoCellAnchor editAs="oneCell">
    <xdr:from>
      <xdr:col>103</xdr:col>
      <xdr:colOff>0</xdr:colOff>
      <xdr:row>3</xdr:row>
      <xdr:rowOff>10782</xdr:rowOff>
    </xdr:from>
    <xdr:to>
      <xdr:col>104</xdr:col>
      <xdr:colOff>60031</xdr:colOff>
      <xdr:row>4</xdr:row>
      <xdr:rowOff>79073</xdr:rowOff>
    </xdr:to>
    <xdr:pic>
      <xdr:nvPicPr>
        <xdr:cNvPr id="7" name="Picture 6"/>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145486" y="304696"/>
          <a:ext cx="158002" cy="166263"/>
        </a:xfrm>
        <a:prstGeom prst="rect">
          <a:avLst/>
        </a:prstGeom>
      </xdr:spPr>
    </xdr:pic>
    <xdr:clientData/>
  </xdr:twoCellAnchor>
  <xdr:twoCellAnchor editAs="oneCell">
    <xdr:from>
      <xdr:col>103</xdr:col>
      <xdr:colOff>0</xdr:colOff>
      <xdr:row>5</xdr:row>
      <xdr:rowOff>3595</xdr:rowOff>
    </xdr:from>
    <xdr:to>
      <xdr:col>104</xdr:col>
      <xdr:colOff>76406</xdr:colOff>
      <xdr:row>6</xdr:row>
      <xdr:rowOff>89226</xdr:rowOff>
    </xdr:to>
    <xdr:pic>
      <xdr:nvPicPr>
        <xdr:cNvPr id="8" name="Picture 7"/>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0145486" y="493452"/>
          <a:ext cx="174377" cy="183603"/>
        </a:xfrm>
        <a:prstGeom prst="rect">
          <a:avLst/>
        </a:prstGeom>
      </xdr:spPr>
    </xdr:pic>
    <xdr:clientData/>
  </xdr:twoCellAnchor>
  <xdr:twoCellAnchor editAs="oneCell">
    <xdr:from>
      <xdr:col>98</xdr:col>
      <xdr:colOff>0</xdr:colOff>
      <xdr:row>7</xdr:row>
      <xdr:rowOff>14377</xdr:rowOff>
    </xdr:from>
    <xdr:to>
      <xdr:col>99</xdr:col>
      <xdr:colOff>65802</xdr:colOff>
      <xdr:row>8</xdr:row>
      <xdr:rowOff>88781</xdr:rowOff>
    </xdr:to>
    <xdr:pic>
      <xdr:nvPicPr>
        <xdr:cNvPr id="9" name="Picture 8"/>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627962" y="1470085"/>
          <a:ext cx="161925" cy="171450"/>
        </a:xfrm>
        <a:prstGeom prst="rect">
          <a:avLst/>
        </a:prstGeom>
      </xdr:spPr>
    </xdr:pic>
    <xdr:clientData/>
  </xdr:twoCellAnchor>
  <xdr:twoCellAnchor editAs="oneCell">
    <xdr:from>
      <xdr:col>93</xdr:col>
      <xdr:colOff>0</xdr:colOff>
      <xdr:row>9</xdr:row>
      <xdr:rowOff>6675</xdr:rowOff>
    </xdr:from>
    <xdr:to>
      <xdr:col>94</xdr:col>
      <xdr:colOff>85854</xdr:colOff>
      <xdr:row>10</xdr:row>
      <xdr:rowOff>92529</xdr:rowOff>
    </xdr:to>
    <xdr:pic>
      <xdr:nvPicPr>
        <xdr:cNvPr id="10" name="Picture 9"/>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304115" y="1378275"/>
          <a:ext cx="183826" cy="183825"/>
        </a:xfrm>
        <a:prstGeom prst="rect">
          <a:avLst/>
        </a:prstGeom>
      </xdr:spPr>
    </xdr:pic>
    <xdr:clientData/>
  </xdr:twoCellAnchor>
  <xdr:twoCellAnchor editAs="oneCell">
    <xdr:from>
      <xdr:col>93</xdr:col>
      <xdr:colOff>0</xdr:colOff>
      <xdr:row>3</xdr:row>
      <xdr:rowOff>28754</xdr:rowOff>
    </xdr:from>
    <xdr:to>
      <xdr:col>94</xdr:col>
      <xdr:colOff>51246</xdr:colOff>
      <xdr:row>4</xdr:row>
      <xdr:rowOff>79075</xdr:rowOff>
    </xdr:to>
    <xdr:pic>
      <xdr:nvPicPr>
        <xdr:cNvPr id="11" name="Picture 10"/>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9241252" y="322668"/>
          <a:ext cx="149218" cy="148293"/>
        </a:xfrm>
        <a:prstGeom prst="rect">
          <a:avLst/>
        </a:prstGeom>
      </xdr:spPr>
    </xdr:pic>
    <xdr:clientData/>
  </xdr:twoCellAnchor>
  <xdr:twoCellAnchor editAs="oneCell">
    <xdr:from>
      <xdr:col>93</xdr:col>
      <xdr:colOff>0</xdr:colOff>
      <xdr:row>5</xdr:row>
      <xdr:rowOff>25160</xdr:rowOff>
    </xdr:from>
    <xdr:to>
      <xdr:col>95</xdr:col>
      <xdr:colOff>0</xdr:colOff>
      <xdr:row>6</xdr:row>
      <xdr:rowOff>90902</xdr:rowOff>
    </xdr:to>
    <xdr:pic>
      <xdr:nvPicPr>
        <xdr:cNvPr id="12" name="Picture 11"/>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258520" y="1286773"/>
          <a:ext cx="194094" cy="162789"/>
        </a:xfrm>
        <a:prstGeom prst="rect">
          <a:avLst/>
        </a:prstGeom>
      </xdr:spPr>
    </xdr:pic>
    <xdr:clientData/>
  </xdr:twoCellAnchor>
  <xdr:twoCellAnchor editAs="oneCell">
    <xdr:from>
      <xdr:col>93</xdr:col>
      <xdr:colOff>0</xdr:colOff>
      <xdr:row>7</xdr:row>
      <xdr:rowOff>7189</xdr:rowOff>
    </xdr:from>
    <xdr:to>
      <xdr:col>94</xdr:col>
      <xdr:colOff>94377</xdr:colOff>
      <xdr:row>9</xdr:row>
      <xdr:rowOff>3595</xdr:rowOff>
    </xdr:to>
    <xdr:pic>
      <xdr:nvPicPr>
        <xdr:cNvPr id="13" name="Picture 12"/>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247737" y="1462897"/>
          <a:ext cx="190500" cy="190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54</xdr:col>
      <xdr:colOff>3562</xdr:colOff>
      <xdr:row>272</xdr:row>
      <xdr:rowOff>69051</xdr:rowOff>
    </xdr:from>
    <xdr:to>
      <xdr:col>59</xdr:col>
      <xdr:colOff>86905</xdr:colOff>
      <xdr:row>277</xdr:row>
      <xdr:rowOff>39283</xdr:rowOff>
    </xdr:to>
    <xdr:pic>
      <xdr:nvPicPr>
        <xdr:cNvPr id="3" name="Picture 2"/>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7610" t="14634" r="18195" b="17073"/>
        <a:stretch/>
      </xdr:blipFill>
      <xdr:spPr>
        <a:xfrm>
          <a:off x="5147062" y="25977051"/>
          <a:ext cx="559593" cy="446482"/>
        </a:xfrm>
        <a:prstGeom prst="rect">
          <a:avLst/>
        </a:prstGeom>
      </xdr:spPr>
    </xdr:pic>
    <xdr:clientData/>
  </xdr:twoCellAnchor>
  <xdr:twoCellAnchor editAs="oneCell">
    <xdr:from>
      <xdr:col>47</xdr:col>
      <xdr:colOff>5954</xdr:colOff>
      <xdr:row>272</xdr:row>
      <xdr:rowOff>71429</xdr:rowOff>
    </xdr:from>
    <xdr:to>
      <xdr:col>52</xdr:col>
      <xdr:colOff>89296</xdr:colOff>
      <xdr:row>277</xdr:row>
      <xdr:rowOff>41661</xdr:rowOff>
    </xdr:to>
    <xdr:pic>
      <xdr:nvPicPr>
        <xdr:cNvPr id="4" name="Picture 3"/>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7610" t="14634" r="18195" b="17073"/>
        <a:stretch/>
      </xdr:blipFill>
      <xdr:spPr>
        <a:xfrm>
          <a:off x="4482704" y="25979429"/>
          <a:ext cx="559592" cy="446482"/>
        </a:xfrm>
        <a:prstGeom prst="rect">
          <a:avLst/>
        </a:prstGeom>
      </xdr:spPr>
    </xdr:pic>
    <xdr:clientData/>
  </xdr:twoCellAnchor>
  <xdr:twoCellAnchor>
    <xdr:from>
      <xdr:col>47</xdr:col>
      <xdr:colOff>35718</xdr:colOff>
      <xdr:row>273</xdr:row>
      <xdr:rowOff>47623</xdr:rowOff>
    </xdr:from>
    <xdr:to>
      <xdr:col>52</xdr:col>
      <xdr:colOff>59530</xdr:colOff>
      <xdr:row>276</xdr:row>
      <xdr:rowOff>59530</xdr:rowOff>
    </xdr:to>
    <xdr:sp macro="" textlink="AvoidanceOutput">
      <xdr:nvSpPr>
        <xdr:cNvPr id="5" name="TextBox 4"/>
        <xdr:cNvSpPr txBox="1"/>
      </xdr:nvSpPr>
      <xdr:spPr>
        <a:xfrm>
          <a:off x="4512468" y="26050873"/>
          <a:ext cx="500062" cy="297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BB731C-81E2-4AD8-9F62-44B4E90EF4F6}" type="TxLink">
            <a:rPr lang="en-US" sz="1400" b="0">
              <a:solidFill>
                <a:schemeClr val="bg1"/>
              </a:solidFill>
              <a:latin typeface="Slider" pitchFamily="2" charset="0"/>
            </a:rPr>
            <a:pPr algn="ctr"/>
            <a:t>1 - 4</a:t>
          </a:fld>
          <a:endParaRPr lang="en-US" sz="1400" b="0">
            <a:solidFill>
              <a:schemeClr val="bg1"/>
            </a:solidFill>
            <a:latin typeface="Slider" pitchFamily="2" charset="0"/>
          </a:endParaRPr>
        </a:p>
      </xdr:txBody>
    </xdr:sp>
    <xdr:clientData/>
  </xdr:twoCellAnchor>
  <xdr:twoCellAnchor>
    <xdr:from>
      <xdr:col>54</xdr:col>
      <xdr:colOff>29767</xdr:colOff>
      <xdr:row>273</xdr:row>
      <xdr:rowOff>23811</xdr:rowOff>
    </xdr:from>
    <xdr:to>
      <xdr:col>59</xdr:col>
      <xdr:colOff>53579</xdr:colOff>
      <xdr:row>276</xdr:row>
      <xdr:rowOff>35718</xdr:rowOff>
    </xdr:to>
    <xdr:sp macro="" textlink="DefenseOutput">
      <xdr:nvSpPr>
        <xdr:cNvPr id="6" name="TextBox 5"/>
        <xdr:cNvSpPr txBox="1"/>
      </xdr:nvSpPr>
      <xdr:spPr>
        <a:xfrm>
          <a:off x="5173267" y="26027061"/>
          <a:ext cx="500062" cy="297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3E4C6F-6D8F-45CE-9C51-DA74514241FF}" type="TxLink">
            <a:rPr lang="en-US" sz="1400" b="0">
              <a:solidFill>
                <a:schemeClr val="bg1"/>
              </a:solidFill>
              <a:latin typeface="Slider" pitchFamily="2" charset="0"/>
            </a:rPr>
            <a:pPr algn="ctr"/>
            <a:t>–</a:t>
          </a:fld>
          <a:endParaRPr lang="en-US" sz="1400" b="0">
            <a:solidFill>
              <a:schemeClr val="bg1"/>
            </a:solidFill>
            <a:latin typeface="Slider" pitchFamily="2" charset="0"/>
          </a:endParaRPr>
        </a:p>
      </xdr:txBody>
    </xdr:sp>
    <xdr:clientData/>
  </xdr:twoCellAnchor>
  <xdr:twoCellAnchor>
    <xdr:from>
      <xdr:col>47</xdr:col>
      <xdr:colOff>11906</xdr:colOff>
      <xdr:row>266</xdr:row>
      <xdr:rowOff>64571</xdr:rowOff>
    </xdr:from>
    <xdr:to>
      <xdr:col>73</xdr:col>
      <xdr:colOff>89297</xdr:colOff>
      <xdr:row>269</xdr:row>
      <xdr:rowOff>86552</xdr:rowOff>
    </xdr:to>
    <xdr:sp macro="" textlink="">
      <xdr:nvSpPr>
        <xdr:cNvPr id="7" name="Hexagon 6"/>
        <xdr:cNvSpPr/>
      </xdr:nvSpPr>
      <xdr:spPr>
        <a:xfrm>
          <a:off x="4488656" y="25401071"/>
          <a:ext cx="2553891" cy="307731"/>
        </a:xfrm>
        <a:prstGeom prst="hexagon">
          <a:avLst/>
        </a:prstGeom>
        <a:solidFill>
          <a:schemeClr val="accent6">
            <a:lumMod val="40000"/>
            <a:lumOff val="60000"/>
          </a:schemeClr>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C00000"/>
            </a:solidFill>
          </a:endParaRPr>
        </a:p>
      </xdr:txBody>
    </xdr:sp>
    <xdr:clientData/>
  </xdr:twoCellAnchor>
  <xdr:twoCellAnchor>
    <xdr:from>
      <xdr:col>72</xdr:col>
      <xdr:colOff>25449</xdr:colOff>
      <xdr:row>262</xdr:row>
      <xdr:rowOff>29765</xdr:rowOff>
    </xdr:from>
    <xdr:to>
      <xdr:col>73</xdr:col>
      <xdr:colOff>59541</xdr:colOff>
      <xdr:row>263</xdr:row>
      <xdr:rowOff>57150</xdr:rowOff>
    </xdr:to>
    <xdr:sp macro="" textlink="">
      <xdr:nvSpPr>
        <xdr:cNvPr id="8" name="Hexagon 7"/>
        <xdr:cNvSpPr/>
      </xdr:nvSpPr>
      <xdr:spPr>
        <a:xfrm>
          <a:off x="6883449" y="24985265"/>
          <a:ext cx="129342" cy="122635"/>
        </a:xfrm>
        <a:prstGeom prst="hexagon">
          <a:avLst/>
        </a:prstGeom>
        <a:solidFill>
          <a:schemeClr val="accent4">
            <a:lumMod val="20000"/>
            <a:lumOff val="80000"/>
          </a:schemeClr>
        </a:solidFill>
        <a:ln w="9525">
          <a:solidFill>
            <a:schemeClr val="accent4">
              <a:shade val="50000"/>
            </a:schemeClr>
          </a:solid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70</xdr:col>
      <xdr:colOff>17869</xdr:colOff>
      <xdr:row>270</xdr:row>
      <xdr:rowOff>35718</xdr:rowOff>
    </xdr:from>
    <xdr:to>
      <xdr:col>71</xdr:col>
      <xdr:colOff>51961</xdr:colOff>
      <xdr:row>271</xdr:row>
      <xdr:rowOff>63103</xdr:rowOff>
    </xdr:to>
    <xdr:sp macro="" textlink="">
      <xdr:nvSpPr>
        <xdr:cNvPr id="9" name="Hexagon 8"/>
        <xdr:cNvSpPr/>
      </xdr:nvSpPr>
      <xdr:spPr>
        <a:xfrm>
          <a:off x="6685369" y="25753218"/>
          <a:ext cx="129342" cy="122635"/>
        </a:xfrm>
        <a:prstGeom prst="hexagon">
          <a:avLst/>
        </a:prstGeom>
        <a:solidFill>
          <a:srgbClr val="FFFF99"/>
        </a:solidFill>
        <a:ln w="9525">
          <a:solidFill>
            <a:srgbClr val="FF931E"/>
          </a:solid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67</xdr:col>
      <xdr:colOff>53586</xdr:colOff>
      <xdr:row>267</xdr:row>
      <xdr:rowOff>5953</xdr:rowOff>
    </xdr:from>
    <xdr:to>
      <xdr:col>73</xdr:col>
      <xdr:colOff>83351</xdr:colOff>
      <xdr:row>269</xdr:row>
      <xdr:rowOff>53578</xdr:rowOff>
    </xdr:to>
    <xdr:sp macro="" textlink="HP">
      <xdr:nvSpPr>
        <xdr:cNvPr id="10" name="TextBox 9"/>
        <xdr:cNvSpPr txBox="1"/>
      </xdr:nvSpPr>
      <xdr:spPr>
        <a:xfrm>
          <a:off x="6435336" y="25437703"/>
          <a:ext cx="60126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DE66C68D-8F56-4409-BD6F-7BAB26C5C002}" type="TxLink">
            <a:rPr lang="en-US" sz="1400" b="1">
              <a:solidFill>
                <a:srgbClr val="C00000"/>
              </a:solidFill>
              <a:latin typeface="Slider" pitchFamily="2" charset="0"/>
            </a:rPr>
            <a:pPr algn="r"/>
            <a:t>/ 14</a:t>
          </a:fld>
          <a:endParaRPr lang="en-US" sz="1400" b="1">
            <a:solidFill>
              <a:srgbClr val="C00000"/>
            </a:solidFill>
            <a:latin typeface="Slider" pitchFamily="2" charset="0"/>
          </a:endParaRPr>
        </a:p>
      </xdr:txBody>
    </xdr:sp>
    <xdr:clientData/>
  </xdr:twoCellAnchor>
  <xdr:twoCellAnchor>
    <xdr:from>
      <xdr:col>49</xdr:col>
      <xdr:colOff>0</xdr:colOff>
      <xdr:row>264</xdr:row>
      <xdr:rowOff>8620</xdr:rowOff>
    </xdr:from>
    <xdr:to>
      <xdr:col>75</xdr:col>
      <xdr:colOff>95249</xdr:colOff>
      <xdr:row>267</xdr:row>
      <xdr:rowOff>30601</xdr:rowOff>
    </xdr:to>
    <xdr:sp macro="" textlink="">
      <xdr:nvSpPr>
        <xdr:cNvPr id="11" name="Hexagon 10"/>
        <xdr:cNvSpPr/>
      </xdr:nvSpPr>
      <xdr:spPr>
        <a:xfrm>
          <a:off x="4667250" y="25154620"/>
          <a:ext cx="2571749" cy="307731"/>
        </a:xfrm>
        <a:prstGeom prst="hexagon">
          <a:avLst/>
        </a:prstGeom>
        <a:solidFill>
          <a:schemeClr val="tx2">
            <a:lumMod val="20000"/>
            <a:lumOff val="80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C00000"/>
            </a:solidFill>
          </a:endParaRPr>
        </a:p>
      </xdr:txBody>
    </xdr:sp>
    <xdr:clientData/>
  </xdr:twoCellAnchor>
  <xdr:twoCellAnchor>
    <xdr:from>
      <xdr:col>68</xdr:col>
      <xdr:colOff>41677</xdr:colOff>
      <xdr:row>264</xdr:row>
      <xdr:rowOff>65485</xdr:rowOff>
    </xdr:from>
    <xdr:to>
      <xdr:col>75</xdr:col>
      <xdr:colOff>89302</xdr:colOff>
      <xdr:row>266</xdr:row>
      <xdr:rowOff>71438</xdr:rowOff>
    </xdr:to>
    <xdr:sp macro="" textlink="SHP">
      <xdr:nvSpPr>
        <xdr:cNvPr id="12" name="TextBox 11"/>
        <xdr:cNvSpPr txBox="1"/>
      </xdr:nvSpPr>
      <xdr:spPr>
        <a:xfrm>
          <a:off x="6518677" y="25211485"/>
          <a:ext cx="714375" cy="196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308F2F0E-4AE2-4071-813D-87E56815E75C}" type="TxLink">
            <a:rPr lang="en-US" sz="1400" b="1">
              <a:solidFill>
                <a:srgbClr val="002060"/>
              </a:solidFill>
              <a:latin typeface="Slider" pitchFamily="2" charset="0"/>
            </a:rPr>
            <a:pPr algn="r"/>
            <a:t> </a:t>
          </a:fld>
          <a:endParaRPr lang="en-US" sz="1400" b="1">
            <a:solidFill>
              <a:srgbClr val="002060"/>
            </a:solidFill>
            <a:latin typeface="Slider" pitchFamily="2" charset="0"/>
          </a:endParaRPr>
        </a:p>
      </xdr:txBody>
    </xdr:sp>
    <xdr:clientData/>
  </xdr:twoCellAnchor>
  <xdr:twoCellAnchor>
    <xdr:from>
      <xdr:col>100</xdr:col>
      <xdr:colOff>0</xdr:colOff>
      <xdr:row>31</xdr:row>
      <xdr:rowOff>67943</xdr:rowOff>
    </xdr:from>
    <xdr:to>
      <xdr:col>100</xdr:col>
      <xdr:colOff>5443</xdr:colOff>
      <xdr:row>36</xdr:row>
      <xdr:rowOff>92950</xdr:rowOff>
    </xdr:to>
    <xdr:sp macro="" textlink="Avoidance">
      <xdr:nvSpPr>
        <xdr:cNvPr id="14" name="TextBox 13"/>
        <xdr:cNvSpPr txBox="1"/>
      </xdr:nvSpPr>
      <xdr:spPr>
        <a:xfrm>
          <a:off x="12778154" y="3020693"/>
          <a:ext cx="657539" cy="501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5728D1-E853-42A1-99F2-4F3FFB905DA7}" type="TxLink">
            <a:rPr lang="en-US" sz="2000" b="1">
              <a:solidFill>
                <a:schemeClr val="bg1"/>
              </a:solidFill>
              <a:latin typeface="Slider" pitchFamily="2" charset="0"/>
            </a:rPr>
            <a:pPr algn="ctr"/>
            <a:t>12</a:t>
          </a:fld>
          <a:endParaRPr lang="en-US" sz="2000" b="1">
            <a:solidFill>
              <a:schemeClr val="bg1"/>
            </a:solidFill>
            <a:latin typeface="Slider" pitchFamily="2" charset="0"/>
          </a:endParaRPr>
        </a:p>
      </xdr:txBody>
    </xdr:sp>
    <xdr:clientData/>
  </xdr:twoCellAnchor>
  <xdr:twoCellAnchor editAs="oneCell">
    <xdr:from>
      <xdr:col>3</xdr:col>
      <xdr:colOff>0</xdr:colOff>
      <xdr:row>142</xdr:row>
      <xdr:rowOff>42863</xdr:rowOff>
    </xdr:from>
    <xdr:to>
      <xdr:col>9</xdr:col>
      <xdr:colOff>94739</xdr:colOff>
      <xdr:row>148</xdr:row>
      <xdr:rowOff>5097</xdr:rowOff>
    </xdr:to>
    <xdr:pic>
      <xdr:nvPicPr>
        <xdr:cNvPr id="23" name="Picture 22"/>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7610" t="14634" r="18195" b="17073"/>
        <a:stretch/>
      </xdr:blipFill>
      <xdr:spPr>
        <a:xfrm>
          <a:off x="3434953" y="13568363"/>
          <a:ext cx="666239" cy="533734"/>
        </a:xfrm>
        <a:prstGeom prst="rect">
          <a:avLst/>
        </a:prstGeom>
      </xdr:spPr>
    </xdr:pic>
    <xdr:clientData/>
  </xdr:twoCellAnchor>
  <xdr:twoCellAnchor editAs="oneCell">
    <xdr:from>
      <xdr:col>3</xdr:col>
      <xdr:colOff>0</xdr:colOff>
      <xdr:row>142</xdr:row>
      <xdr:rowOff>48306</xdr:rowOff>
    </xdr:from>
    <xdr:to>
      <xdr:col>9</xdr:col>
      <xdr:colOff>94739</xdr:colOff>
      <xdr:row>148</xdr:row>
      <xdr:rowOff>10540</xdr:rowOff>
    </xdr:to>
    <xdr:pic>
      <xdr:nvPicPr>
        <xdr:cNvPr id="31" name="Picture 30"/>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7610" t="14634" r="18195" b="17073"/>
        <a:stretch/>
      </xdr:blipFill>
      <xdr:spPr>
        <a:xfrm>
          <a:off x="4196953" y="13573806"/>
          <a:ext cx="666239" cy="533734"/>
        </a:xfrm>
        <a:prstGeom prst="rect">
          <a:avLst/>
        </a:prstGeom>
      </xdr:spPr>
    </xdr:pic>
    <xdr:clientData/>
  </xdr:twoCellAnchor>
  <xdr:twoCellAnchor>
    <xdr:from>
      <xdr:col>35</xdr:col>
      <xdr:colOff>16013</xdr:colOff>
      <xdr:row>30</xdr:row>
      <xdr:rowOff>10777</xdr:rowOff>
    </xdr:from>
    <xdr:to>
      <xdr:col>65</xdr:col>
      <xdr:colOff>87086</xdr:colOff>
      <xdr:row>33</xdr:row>
      <xdr:rowOff>92529</xdr:rowOff>
    </xdr:to>
    <xdr:sp macro="" textlink="">
      <xdr:nvSpPr>
        <xdr:cNvPr id="52" name="Hexagon 51"/>
        <xdr:cNvSpPr/>
      </xdr:nvSpPr>
      <xdr:spPr>
        <a:xfrm>
          <a:off x="3349763" y="2868277"/>
          <a:ext cx="2928573" cy="367502"/>
        </a:xfrm>
        <a:prstGeom prst="hexagon">
          <a:avLst>
            <a:gd name="adj" fmla="val 28051"/>
            <a:gd name="vf" fmla="val 115470"/>
          </a:avLst>
        </a:prstGeom>
        <a:solidFill>
          <a:schemeClr val="accent6">
            <a:lumMod val="40000"/>
            <a:lumOff val="60000"/>
          </a:schemeClr>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C00000"/>
            </a:solidFill>
          </a:endParaRPr>
        </a:p>
      </xdr:txBody>
    </xdr:sp>
    <xdr:clientData/>
  </xdr:twoCellAnchor>
  <xdr:twoCellAnchor>
    <xdr:from>
      <xdr:col>38</xdr:col>
      <xdr:colOff>21771</xdr:colOff>
      <xdr:row>28</xdr:row>
      <xdr:rowOff>4396</xdr:rowOff>
    </xdr:from>
    <xdr:to>
      <xdr:col>41</xdr:col>
      <xdr:colOff>5860</xdr:colOff>
      <xdr:row>31</xdr:row>
      <xdr:rowOff>72462</xdr:rowOff>
    </xdr:to>
    <xdr:sp macro="" textlink="">
      <xdr:nvSpPr>
        <xdr:cNvPr id="53" name="Pentagon 52"/>
        <xdr:cNvSpPr/>
      </xdr:nvSpPr>
      <xdr:spPr>
        <a:xfrm rot="5400000">
          <a:off x="3599283" y="2713384"/>
          <a:ext cx="353816" cy="269839"/>
        </a:xfrm>
        <a:prstGeom prst="homePlate">
          <a:avLst>
            <a:gd name="adj" fmla="val 59923"/>
          </a:avLst>
        </a:prstGeom>
        <a:solidFill>
          <a:schemeClr val="accent6">
            <a:lumMod val="40000"/>
            <a:lumOff val="60000"/>
          </a:schemeClr>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nchorCtr="1"/>
        <a:lstStyle/>
        <a:p>
          <a:pPr algn="l"/>
          <a:endParaRPr lang="en-US" sz="1600" b="1" i="0" u="none" strike="noStrike">
            <a:solidFill>
              <a:srgbClr val="C00000"/>
            </a:solidFill>
            <a:latin typeface="Calibri"/>
          </a:endParaRPr>
        </a:p>
      </xdr:txBody>
    </xdr:sp>
    <xdr:clientData/>
  </xdr:twoCellAnchor>
  <xdr:twoCellAnchor>
    <xdr:from>
      <xdr:col>35</xdr:col>
      <xdr:colOff>10886</xdr:colOff>
      <xdr:row>52</xdr:row>
      <xdr:rowOff>10886</xdr:rowOff>
    </xdr:from>
    <xdr:to>
      <xdr:col>37</xdr:col>
      <xdr:colOff>1</xdr:colOff>
      <xdr:row>53</xdr:row>
      <xdr:rowOff>93344</xdr:rowOff>
    </xdr:to>
    <xdr:sp macro="" textlink="">
      <xdr:nvSpPr>
        <xdr:cNvPr id="65" name="Oval 64"/>
        <xdr:cNvSpPr/>
      </xdr:nvSpPr>
      <xdr:spPr>
        <a:xfrm>
          <a:off x="3344636" y="4963886"/>
          <a:ext cx="179615" cy="177708"/>
        </a:xfrm>
        <a:prstGeom prst="ellipse">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5443</xdr:colOff>
      <xdr:row>52</xdr:row>
      <xdr:rowOff>10886</xdr:rowOff>
    </xdr:from>
    <xdr:to>
      <xdr:col>39</xdr:col>
      <xdr:colOff>92529</xdr:colOff>
      <xdr:row>53</xdr:row>
      <xdr:rowOff>93344</xdr:rowOff>
    </xdr:to>
    <xdr:sp macro="" textlink="">
      <xdr:nvSpPr>
        <xdr:cNvPr id="66" name="Oval 65"/>
        <xdr:cNvSpPr/>
      </xdr:nvSpPr>
      <xdr:spPr>
        <a:xfrm>
          <a:off x="3624943" y="4963886"/>
          <a:ext cx="182336" cy="177708"/>
        </a:xfrm>
        <a:prstGeom prst="ellipse">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41</xdr:col>
      <xdr:colOff>5443</xdr:colOff>
      <xdr:row>52</xdr:row>
      <xdr:rowOff>10886</xdr:rowOff>
    </xdr:from>
    <xdr:to>
      <xdr:col>42</xdr:col>
      <xdr:colOff>92530</xdr:colOff>
      <xdr:row>53</xdr:row>
      <xdr:rowOff>93344</xdr:rowOff>
    </xdr:to>
    <xdr:sp macro="" textlink="">
      <xdr:nvSpPr>
        <xdr:cNvPr id="67" name="Oval 66"/>
        <xdr:cNvSpPr/>
      </xdr:nvSpPr>
      <xdr:spPr>
        <a:xfrm>
          <a:off x="3910693" y="4963886"/>
          <a:ext cx="182337" cy="177708"/>
        </a:xfrm>
        <a:prstGeom prst="ellipse">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44</xdr:col>
      <xdr:colOff>5443</xdr:colOff>
      <xdr:row>52</xdr:row>
      <xdr:rowOff>10886</xdr:rowOff>
    </xdr:from>
    <xdr:to>
      <xdr:col>45</xdr:col>
      <xdr:colOff>92530</xdr:colOff>
      <xdr:row>53</xdr:row>
      <xdr:rowOff>93344</xdr:rowOff>
    </xdr:to>
    <xdr:sp macro="" textlink="">
      <xdr:nvSpPr>
        <xdr:cNvPr id="68" name="Oval 67"/>
        <xdr:cNvSpPr/>
      </xdr:nvSpPr>
      <xdr:spPr>
        <a:xfrm>
          <a:off x="4196443" y="4963886"/>
          <a:ext cx="182337" cy="177708"/>
        </a:xfrm>
        <a:prstGeom prst="ellipse">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47</xdr:col>
      <xdr:colOff>5443</xdr:colOff>
      <xdr:row>52</xdr:row>
      <xdr:rowOff>10886</xdr:rowOff>
    </xdr:from>
    <xdr:to>
      <xdr:col>48</xdr:col>
      <xdr:colOff>92529</xdr:colOff>
      <xdr:row>53</xdr:row>
      <xdr:rowOff>93344</xdr:rowOff>
    </xdr:to>
    <xdr:sp macro="" textlink="">
      <xdr:nvSpPr>
        <xdr:cNvPr id="69" name="Oval 68"/>
        <xdr:cNvSpPr/>
      </xdr:nvSpPr>
      <xdr:spPr>
        <a:xfrm>
          <a:off x="4482193" y="4963886"/>
          <a:ext cx="182336" cy="177708"/>
        </a:xfrm>
        <a:prstGeom prst="ellipse">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16012</xdr:colOff>
      <xdr:row>37</xdr:row>
      <xdr:rowOff>10777</xdr:rowOff>
    </xdr:from>
    <xdr:to>
      <xdr:col>65</xdr:col>
      <xdr:colOff>81643</xdr:colOff>
      <xdr:row>40</xdr:row>
      <xdr:rowOff>92529</xdr:rowOff>
    </xdr:to>
    <xdr:sp macro="" textlink="">
      <xdr:nvSpPr>
        <xdr:cNvPr id="70" name="Hexagon 69"/>
        <xdr:cNvSpPr/>
      </xdr:nvSpPr>
      <xdr:spPr>
        <a:xfrm>
          <a:off x="3349762" y="3535027"/>
          <a:ext cx="2923131" cy="367502"/>
        </a:xfrm>
        <a:prstGeom prst="hexagon">
          <a:avLst>
            <a:gd name="adj" fmla="val 28051"/>
            <a:gd name="vf" fmla="val 115470"/>
          </a:avLst>
        </a:prstGeom>
        <a:solidFill>
          <a:schemeClr val="accent1">
            <a:lumMod val="40000"/>
            <a:lumOff val="6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C00000"/>
            </a:solidFill>
          </a:endParaRPr>
        </a:p>
      </xdr:txBody>
    </xdr:sp>
    <xdr:clientData/>
  </xdr:twoCellAnchor>
  <xdr:twoCellAnchor>
    <xdr:from>
      <xdr:col>38</xdr:col>
      <xdr:colOff>21771</xdr:colOff>
      <xdr:row>35</xdr:row>
      <xdr:rowOff>4396</xdr:rowOff>
    </xdr:from>
    <xdr:to>
      <xdr:col>41</xdr:col>
      <xdr:colOff>5860</xdr:colOff>
      <xdr:row>38</xdr:row>
      <xdr:rowOff>72462</xdr:rowOff>
    </xdr:to>
    <xdr:sp macro="" textlink="">
      <xdr:nvSpPr>
        <xdr:cNvPr id="71" name="Pentagon 70"/>
        <xdr:cNvSpPr/>
      </xdr:nvSpPr>
      <xdr:spPr>
        <a:xfrm rot="5400000">
          <a:off x="3599283" y="3380134"/>
          <a:ext cx="353816" cy="269839"/>
        </a:xfrm>
        <a:prstGeom prst="homePlate">
          <a:avLst>
            <a:gd name="adj" fmla="val 59923"/>
          </a:avLst>
        </a:prstGeom>
        <a:solidFill>
          <a:schemeClr val="accent1">
            <a:lumMod val="40000"/>
            <a:lumOff val="6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nchorCtr="1"/>
        <a:lstStyle/>
        <a:p>
          <a:pPr algn="l"/>
          <a:endParaRPr lang="en-US" sz="1600" b="1" i="0" u="none" strike="noStrike">
            <a:solidFill>
              <a:schemeClr val="tx2"/>
            </a:solidFill>
            <a:latin typeface="Calibri"/>
          </a:endParaRPr>
        </a:p>
      </xdr:txBody>
    </xdr:sp>
    <xdr:clientData/>
  </xdr:twoCellAnchor>
  <xdr:twoCellAnchor>
    <xdr:from>
      <xdr:col>35</xdr:col>
      <xdr:colOff>16013</xdr:colOff>
      <xdr:row>44</xdr:row>
      <xdr:rowOff>10777</xdr:rowOff>
    </xdr:from>
    <xdr:to>
      <xdr:col>65</xdr:col>
      <xdr:colOff>76200</xdr:colOff>
      <xdr:row>47</xdr:row>
      <xdr:rowOff>92529</xdr:rowOff>
    </xdr:to>
    <xdr:sp macro="" textlink="">
      <xdr:nvSpPr>
        <xdr:cNvPr id="73" name="Hexagon 72"/>
        <xdr:cNvSpPr/>
      </xdr:nvSpPr>
      <xdr:spPr>
        <a:xfrm>
          <a:off x="3349763" y="4201777"/>
          <a:ext cx="2917687" cy="367502"/>
        </a:xfrm>
        <a:prstGeom prst="hexagon">
          <a:avLst>
            <a:gd name="adj" fmla="val 28051"/>
            <a:gd name="vf" fmla="val 115470"/>
          </a:avLst>
        </a:prstGeom>
        <a:solidFill>
          <a:srgbClr val="FFFFCC"/>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6"/>
            </a:solidFill>
          </a:endParaRPr>
        </a:p>
      </xdr:txBody>
    </xdr:sp>
    <xdr:clientData/>
  </xdr:twoCellAnchor>
  <xdr:twoCellAnchor>
    <xdr:from>
      <xdr:col>38</xdr:col>
      <xdr:colOff>21771</xdr:colOff>
      <xdr:row>42</xdr:row>
      <xdr:rowOff>4396</xdr:rowOff>
    </xdr:from>
    <xdr:to>
      <xdr:col>41</xdr:col>
      <xdr:colOff>5860</xdr:colOff>
      <xdr:row>45</xdr:row>
      <xdr:rowOff>72462</xdr:rowOff>
    </xdr:to>
    <xdr:sp macro="" textlink="">
      <xdr:nvSpPr>
        <xdr:cNvPr id="74" name="Pentagon 73"/>
        <xdr:cNvSpPr/>
      </xdr:nvSpPr>
      <xdr:spPr>
        <a:xfrm rot="5400000">
          <a:off x="3599283" y="4046884"/>
          <a:ext cx="353816" cy="269839"/>
        </a:xfrm>
        <a:prstGeom prst="homePlate">
          <a:avLst>
            <a:gd name="adj" fmla="val 59923"/>
          </a:avLst>
        </a:prstGeom>
        <a:solidFill>
          <a:srgbClr val="FFFFCC"/>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nchorCtr="1"/>
        <a:lstStyle/>
        <a:p>
          <a:pPr algn="l"/>
          <a:endParaRPr lang="en-US" sz="1600" b="1" i="0" u="none" strike="noStrike">
            <a:solidFill>
              <a:schemeClr val="accent6"/>
            </a:solidFill>
            <a:latin typeface="Calibri"/>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splay%20an%20image%20based%20on%20a%20cell's%20value-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ropbox/Blue%20Shift/Character%20Builder%20v2013.08.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bun"/>
      <sheetName val="Picker"/>
    </sheetNames>
    <sheetDataSet>
      <sheetData sheetId="0"/>
      <sheetData sheetId="1">
        <row r="1">
          <cell r="A1" t="str">
            <v>Flag of Azerbaijan</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ces"/>
      <sheetName val="Descriptions"/>
      <sheetName val="START HERE - Basics"/>
      <sheetName val="Success Chance Calculator"/>
      <sheetName val="Combat Skills"/>
      <sheetName val="Tech Skills"/>
      <sheetName val="Biotic Skills"/>
      <sheetName val="Expertise Skills"/>
      <sheetName val="#Skill Template"/>
      <sheetName val="Pro Sheet"/>
      <sheetName val="Basic Sheet"/>
      <sheetName val="Pro Inventory"/>
      <sheetName val="Mobs"/>
      <sheetName val="#Mini Sheets Pro"/>
      <sheetName val="#Mini Sheets Basic"/>
      <sheetName val="Control Panel"/>
      <sheetName val="Spell Sheet"/>
      <sheetName val="Changelog"/>
      <sheetName val="Skill Compiler"/>
      <sheetName val="Tech"/>
      <sheetName val="Sheet1"/>
      <sheetName val="Sheet2"/>
      <sheetName val="#Album"/>
    </sheetNames>
    <sheetDataSet>
      <sheetData sheetId="0" refreshError="1"/>
      <sheetData sheetId="1">
        <row r="1">
          <cell r="A1" t="str">
            <v>Races</v>
          </cell>
          <cell r="C1" t="str">
            <v>Plural</v>
          </cell>
          <cell r="D1" t="str">
            <v>Description</v>
          </cell>
        </row>
        <row r="2">
          <cell r="A2" t="str">
            <v>Asari</v>
          </cell>
          <cell r="C2" t="str">
            <v>Asari</v>
          </cell>
          <cell r="D2" t="str">
            <v>The asari, native to the planet Thessia, are often considered the most powerful and respected sentient species in the galaxy, and are known for their elegance, diplomacy, and biotic aptitude. This is partly due to the fact that the asari were among the earliest races to achieve interstellar flight after the Protheans, and the first to discover and settle the Citadel.</v>
          </cell>
        </row>
        <row r="3">
          <cell r="A3" t="str">
            <v>Drell</v>
          </cell>
          <cell r="C3" t="str">
            <v>Drell</v>
          </cell>
          <cell r="D3" t="str">
            <v>The drell are a reptile-like race that were rescued from their dying homeworld by the hanar following first contact between the two. Since then, the drell have remained loyal to the hanar for their camaraderie and have fit comfortably into galactic civilization.</v>
          </cell>
        </row>
        <row r="4">
          <cell r="A4" t="str">
            <v>Salarian</v>
          </cell>
          <cell r="C4" t="str">
            <v>Salarians</v>
          </cell>
          <cell r="D4" t="str">
            <v>The second species to join the Citadel, the salarians are warm-blooded amphibians native to the planet Sur'Kesh. Salarians possess a hyperactive metabolism; they think fast, talk fast, and move fast. To salarians, other species seem sluggish and dull-witted, especially the elcor. Unfortunately, their metabolic speed leaves them with a relatively short lifespan; salarians over the age of 40 are a rarity.</v>
          </cell>
        </row>
        <row r="5">
          <cell r="A5" t="str">
            <v>Turian</v>
          </cell>
          <cell r="C5" t="str">
            <v>Turians</v>
          </cell>
          <cell r="D5" t="str">
            <v>Known for their militaristic and disciplined culture, the turians were the third race to join the Citadel Council. They gained their Council seat after defeating the hostile krogan for the Council during the Krogan Rebellions. The turians deployed a salarian-created biological weapon called the genophage, which virtually sterilised the krogan and sent them into a decline. The turians then filled the peacekeeping niche left by the once-cooperative krogan, and eventually gained a Council seat in recognition of their efforts.</v>
          </cell>
        </row>
        <row r="6">
          <cell r="A6" t="str">
            <v>Human</v>
          </cell>
          <cell r="C6" t="str">
            <v>Humans</v>
          </cell>
          <cell r="D6" t="str">
            <v>Humans, from the planet Earth, are the newest sentient species of notable size to enter the galactic stage and are the most rapidly expanding and developing. They independently discovered a Prothean data cache on Mars in 2148, and the mass relay networks shortly</v>
          </cell>
        </row>
        <row r="7">
          <cell r="A7" t="str">
            <v>Geth</v>
          </cell>
          <cell r="C7" t="str">
            <v>Geth</v>
          </cell>
          <cell r="D7" t="str">
            <v>The geth ("Servant of the People" in Khelish) are a race of networked artificial intelligences that reside beyond the Perseus Veil. The geth were created by the quarians, as laborers and tools of war. When the geth became sentient and began to question their masters, the quarians attempted to exterminate them. The geth won the resulting war, and reduced the quarians to a race of nomads.</v>
          </cell>
        </row>
        <row r="8">
          <cell r="A8" t="str">
            <v>Krogan</v>
          </cell>
          <cell r="C8" t="str">
            <v>Krogan</v>
          </cell>
          <cell r="D8" t="str">
            <v>The krogan are a species of large reptilian bipeds native to the planet Tuchanka, a world known for its harsh environments, scarce resources, and overabundance of vicious predators. The krogan managed to not only survive on their unforgiving homeworld, but actually thrived in the extreme conditions. Unfortunately, as krogan society became more technologically advanced, so did their weaponry.</v>
          </cell>
        </row>
        <row r="9">
          <cell r="A9" t="str">
            <v>Quarian</v>
          </cell>
          <cell r="C9" t="str">
            <v>Quarians</v>
          </cell>
          <cell r="D9" t="str">
            <v>The quarians are a nomadic species of humanoid aliens known for their skills with technology and synthetic intelligence. Since their homeworld Rannoch was conquered, the quarians live aboard the Migrant Fleet, a huge collection of starships that travel as a single fleet.</v>
          </cell>
        </row>
        <row r="15">
          <cell r="Q15">
            <v>15</v>
          </cell>
        </row>
        <row r="17">
          <cell r="M17" t="str">
            <v>SKILL</v>
          </cell>
          <cell r="N17" t="str">
            <v>SPENT</v>
          </cell>
        </row>
        <row r="18">
          <cell r="A18" t="str">
            <v>Bonuses</v>
          </cell>
          <cell r="M18">
            <v>1</v>
          </cell>
          <cell r="N18">
            <v>1</v>
          </cell>
        </row>
        <row r="19">
          <cell r="A19" t="str">
            <v>Penalties</v>
          </cell>
          <cell r="M19">
            <v>2</v>
          </cell>
          <cell r="N19">
            <v>2</v>
          </cell>
        </row>
        <row r="20">
          <cell r="A20" t="str">
            <v>STR</v>
          </cell>
          <cell r="M20">
            <v>3</v>
          </cell>
          <cell r="N20">
            <v>3</v>
          </cell>
        </row>
        <row r="21">
          <cell r="A21" t="str">
            <v>AGI</v>
          </cell>
          <cell r="M21">
            <v>4</v>
          </cell>
          <cell r="N21">
            <v>4</v>
          </cell>
        </row>
        <row r="22">
          <cell r="A22" t="str">
            <v>CON</v>
          </cell>
          <cell r="M22">
            <v>5</v>
          </cell>
          <cell r="N22">
            <v>5</v>
          </cell>
        </row>
        <row r="23">
          <cell r="A23" t="str">
            <v>INT</v>
          </cell>
          <cell r="M23">
            <v>6</v>
          </cell>
          <cell r="N23">
            <v>6</v>
          </cell>
        </row>
        <row r="24">
          <cell r="A24" t="str">
            <v>WIS</v>
          </cell>
          <cell r="M24">
            <v>7</v>
          </cell>
          <cell r="N24">
            <v>7</v>
          </cell>
        </row>
        <row r="25">
          <cell r="A25" t="str">
            <v>FOC</v>
          </cell>
          <cell r="M25">
            <v>8</v>
          </cell>
          <cell r="N25">
            <v>8</v>
          </cell>
        </row>
        <row r="26">
          <cell r="A26" t="str">
            <v>CHA</v>
          </cell>
          <cell r="M26">
            <v>9</v>
          </cell>
          <cell r="N26">
            <v>9</v>
          </cell>
        </row>
        <row r="27">
          <cell r="A27" t="str">
            <v>INS</v>
          </cell>
          <cell r="M27">
            <v>10</v>
          </cell>
          <cell r="N27">
            <v>10</v>
          </cell>
        </row>
        <row r="28">
          <cell r="A28" t="str">
            <v>CNV</v>
          </cell>
          <cell r="M28">
            <v>11</v>
          </cell>
          <cell r="N28">
            <v>11</v>
          </cell>
        </row>
        <row r="29">
          <cell r="A29" t="str">
            <v>Defense Bonus</v>
          </cell>
          <cell r="M29">
            <v>12</v>
          </cell>
          <cell r="N29">
            <v>12</v>
          </cell>
        </row>
        <row r="30">
          <cell r="A30" t="str">
            <v>Reflex</v>
          </cell>
          <cell r="M30">
            <v>13</v>
          </cell>
          <cell r="N30">
            <v>13</v>
          </cell>
        </row>
        <row r="31">
          <cell r="A31" t="str">
            <v>Fortitude</v>
          </cell>
          <cell r="M31">
            <v>14</v>
          </cell>
          <cell r="N31">
            <v>14</v>
          </cell>
        </row>
        <row r="32">
          <cell r="A32" t="str">
            <v>Will</v>
          </cell>
          <cell r="M32">
            <v>15</v>
          </cell>
          <cell r="N32">
            <v>15</v>
          </cell>
        </row>
        <row r="33">
          <cell r="A33" t="str">
            <v>Fervor</v>
          </cell>
          <cell r="M33">
            <v>16</v>
          </cell>
          <cell r="N33">
            <v>17</v>
          </cell>
        </row>
        <row r="34">
          <cell r="A34" t="str">
            <v>Any</v>
          </cell>
          <cell r="M34">
            <v>17</v>
          </cell>
          <cell r="N34">
            <v>19</v>
          </cell>
        </row>
        <row r="35">
          <cell r="A35" t="str">
            <v>Languages</v>
          </cell>
          <cell r="M35">
            <v>18</v>
          </cell>
          <cell r="N35">
            <v>21</v>
          </cell>
        </row>
        <row r="36">
          <cell r="A36" t="str">
            <v>Ancient Draconic</v>
          </cell>
          <cell r="M36">
            <v>19</v>
          </cell>
          <cell r="N36">
            <v>23</v>
          </cell>
        </row>
        <row r="37">
          <cell r="A37" t="str">
            <v>True Draconic</v>
          </cell>
          <cell r="M37">
            <v>20</v>
          </cell>
          <cell r="N37">
            <v>25</v>
          </cell>
        </row>
        <row r="38">
          <cell r="A38" t="str">
            <v>Draconic</v>
          </cell>
          <cell r="M38">
            <v>21</v>
          </cell>
          <cell r="N38">
            <v>28</v>
          </cell>
        </row>
        <row r="39">
          <cell r="A39" t="str">
            <v>Old Elven</v>
          </cell>
          <cell r="M39">
            <v>22</v>
          </cell>
          <cell r="N39">
            <v>31</v>
          </cell>
        </row>
        <row r="40">
          <cell r="A40" t="str">
            <v>High Elven</v>
          </cell>
          <cell r="M40">
            <v>23</v>
          </cell>
          <cell r="N40">
            <v>34</v>
          </cell>
        </row>
        <row r="41">
          <cell r="A41" t="str">
            <v>Wood Elven</v>
          </cell>
          <cell r="M41">
            <v>24</v>
          </cell>
          <cell r="N41">
            <v>37</v>
          </cell>
        </row>
        <row r="42">
          <cell r="A42" t="str">
            <v>Dark Elven</v>
          </cell>
          <cell r="M42">
            <v>25</v>
          </cell>
          <cell r="N42">
            <v>40</v>
          </cell>
        </row>
        <row r="43">
          <cell r="A43" t="str">
            <v>Aqua Elven</v>
          </cell>
          <cell r="M43">
            <v>26</v>
          </cell>
          <cell r="N43">
            <v>44</v>
          </cell>
        </row>
        <row r="44">
          <cell r="A44" t="str">
            <v>Sylvan</v>
          </cell>
          <cell r="M44">
            <v>27</v>
          </cell>
          <cell r="N44">
            <v>48</v>
          </cell>
        </row>
        <row r="45">
          <cell r="A45" t="str">
            <v>Kotaba</v>
          </cell>
          <cell r="M45">
            <v>28</v>
          </cell>
          <cell r="N45">
            <v>52</v>
          </cell>
        </row>
        <row r="46">
          <cell r="A46" t="str">
            <v>Basic Elven</v>
          </cell>
          <cell r="M46">
            <v>29</v>
          </cell>
          <cell r="N46">
            <v>56</v>
          </cell>
        </row>
        <row r="47">
          <cell r="A47" t="str">
            <v>Eulian</v>
          </cell>
          <cell r="M47">
            <v>30</v>
          </cell>
          <cell r="N47">
            <v>60</v>
          </cell>
        </row>
        <row r="48">
          <cell r="A48" t="str">
            <v>Common</v>
          </cell>
          <cell r="M48">
            <v>31</v>
          </cell>
          <cell r="N48">
            <v>65</v>
          </cell>
        </row>
        <row r="49">
          <cell r="A49" t="str">
            <v>Garonian</v>
          </cell>
          <cell r="M49">
            <v>32</v>
          </cell>
          <cell r="N49">
            <v>70</v>
          </cell>
        </row>
        <row r="50">
          <cell r="A50" t="str">
            <v>Lower Common</v>
          </cell>
          <cell r="M50">
            <v>33</v>
          </cell>
          <cell r="N50">
            <v>75</v>
          </cell>
        </row>
        <row r="51">
          <cell r="A51" t="str">
            <v>Davek</v>
          </cell>
          <cell r="M51">
            <v>34</v>
          </cell>
          <cell r="N51">
            <v>80</v>
          </cell>
        </row>
        <row r="52">
          <cell r="A52" t="str">
            <v>Geovek</v>
          </cell>
        </row>
        <row r="53">
          <cell r="A53" t="str">
            <v>Goblin</v>
          </cell>
        </row>
        <row r="54">
          <cell r="A54" t="str">
            <v>Gnomish</v>
          </cell>
        </row>
        <row r="55">
          <cell r="A55" t="str">
            <v>Volken</v>
          </cell>
        </row>
        <row r="56">
          <cell r="A56" t="str">
            <v>Skill Bonus</v>
          </cell>
        </row>
        <row r="57">
          <cell r="A57" t="str">
            <v>Earthen Ingenuity</v>
          </cell>
          <cell r="D57" t="str">
            <v>The complexity for checks that involve working with stone or metal is reduced by 1.</v>
          </cell>
        </row>
        <row r="58">
          <cell r="A58" t="b">
            <v>0</v>
          </cell>
          <cell r="D58" t="str">
            <v>The complexity for checks that involve FALSE is reduced by 1.</v>
          </cell>
        </row>
        <row r="59">
          <cell r="A59" t="str">
            <v>Olfactory Savant</v>
          </cell>
          <cell r="D59" t="str">
            <v>The complexity for checks that involve working with stone or metal is reduced by 1.</v>
          </cell>
        </row>
        <row r="60">
          <cell r="A60" t="b">
            <v>0</v>
          </cell>
          <cell r="D60" t="str">
            <v>The complexity for checks that involve FALSE is reduced by 1.</v>
          </cell>
        </row>
        <row r="61">
          <cell r="A61" t="str">
            <v>Influential</v>
          </cell>
          <cell r="D61" t="str">
            <v>The complexity for checks that involve negotiating and bargaining is reduced by 1.</v>
          </cell>
        </row>
        <row r="62">
          <cell r="A62" t="str">
            <v>Innocent Demeanor</v>
          </cell>
          <cell r="D62" t="str">
            <v>The complexity for checks that involve appearing innocent or harmless is reduced by 1.</v>
          </cell>
        </row>
        <row r="63">
          <cell r="A63" t="str">
            <v>Menacing</v>
          </cell>
          <cell r="D63" t="str">
            <v>The complexity for checks that involve appearing threatening is reduced by 1.</v>
          </cell>
        </row>
        <row r="64">
          <cell r="A64" t="str">
            <v>Deceptive</v>
          </cell>
          <cell r="D64" t="str">
            <v>The complexity for checks that involve deceiving or detecting deception is reduced by 1.</v>
          </cell>
        </row>
        <row r="65">
          <cell r="A65" t="str">
            <v>Keen Ears</v>
          </cell>
          <cell r="D65" t="str">
            <v>The complexity for checks that involve detecting or tracking sounds is reduced by 1.</v>
          </cell>
        </row>
        <row r="66">
          <cell r="A66" t="str">
            <v>Diplomatic Demeanor</v>
          </cell>
          <cell r="D66" t="str">
            <v>The complexity for checks that involve positively influencing others is reduced by 1.</v>
          </cell>
        </row>
        <row r="67">
          <cell r="A67" t="str">
            <v>Keen Perception</v>
          </cell>
          <cell r="D67" t="str">
            <v>The complexity for checks that involve THE NATURAL ENVIRONMENT??? is reduced by 1.</v>
          </cell>
        </row>
        <row r="68">
          <cell r="A68" t="str">
            <v>Arcane Knack</v>
          </cell>
          <cell r="D68" t="str">
            <v>The complexity for checks that involve determing or handling ethereal forces is reduced by 1.</v>
          </cell>
        </row>
        <row r="69">
          <cell r="A69" t="str">
            <v>Mechanical Proficiency</v>
          </cell>
          <cell r="D69" t="str">
            <v>The complexity for checks that involve interacting with technology and constructs is reduced by 1.</v>
          </cell>
        </row>
        <row r="70">
          <cell r="A70" t="str">
            <v>Athletic</v>
          </cell>
          <cell r="D70" t="str">
            <v>The complexity for checks that involve running and jumping is reduced by 1.</v>
          </cell>
        </row>
        <row r="71">
          <cell r="A71" t="str">
            <v>Feline Grace</v>
          </cell>
          <cell r="D71" t="str">
            <v>The complexity for checks that involve balancing and acrobatics is reduced by 1.</v>
          </cell>
        </row>
        <row r="72">
          <cell r="A72" t="str">
            <v>Botany</v>
          </cell>
          <cell r="D72" t="str">
            <v>The complexity for checks that involve handling plants and herbs is reduced by 1.</v>
          </cell>
        </row>
        <row r="73">
          <cell r="A73" t="str">
            <v>Weapon Proficiency</v>
          </cell>
          <cell r="D73" t="str">
            <v>You gain a +1 bonus to attack rolls with Weapon Proficiency.</v>
          </cell>
        </row>
        <row r="74">
          <cell r="A74" t="str">
            <v>Light Armor</v>
          </cell>
          <cell r="D74" t="str">
            <v>You gain a +1 bonus to attack rolls with Light Armor.</v>
          </cell>
        </row>
        <row r="75">
          <cell r="A75" t="str">
            <v>Heavy Armor</v>
          </cell>
          <cell r="D75" t="str">
            <v>You gain a +1 bonus to attack rolls with Heavy Armor.</v>
          </cell>
        </row>
        <row r="76">
          <cell r="A76" t="str">
            <v>Shields</v>
          </cell>
          <cell r="D76" t="str">
            <v>You gain a +1 bonus to attack rolls with Shields.</v>
          </cell>
        </row>
        <row r="77">
          <cell r="A77" t="str">
            <v>Exotic Weapons</v>
          </cell>
          <cell r="D77" t="str">
            <v>You gain a +1 bonus to attack rolls with Exotic Weapons.</v>
          </cell>
        </row>
        <row r="78">
          <cell r="A78" t="str">
            <v>Archery</v>
          </cell>
          <cell r="D78" t="str">
            <v>You gain a +1 bonus to attack rolls with Archery weapons.</v>
          </cell>
        </row>
        <row r="79">
          <cell r="A79" t="str">
            <v>Crossbows</v>
          </cell>
          <cell r="D79" t="str">
            <v>You gain a +1 bonus to attack rolls with Crossbows.</v>
          </cell>
        </row>
        <row r="80">
          <cell r="A80" t="str">
            <v>Hand-to-Hand Weapons</v>
          </cell>
          <cell r="D80" t="str">
            <v>You gain a +1 bonus to attack rolls with Hand-to-Hand Weapons.</v>
          </cell>
        </row>
        <row r="81">
          <cell r="A81" t="str">
            <v>Improvised Weaponry</v>
          </cell>
          <cell r="D81" t="str">
            <v>You gain a +1 bonus to attack rolls with Improvised Weaponry.</v>
          </cell>
        </row>
        <row r="82">
          <cell r="A82" t="str">
            <v>Magicka</v>
          </cell>
          <cell r="D82" t="str">
            <v>You gain a +1 bonus to attack rolls with Magicka.</v>
          </cell>
        </row>
        <row r="83">
          <cell r="A83" t="str">
            <v>One-Handed Axes</v>
          </cell>
          <cell r="D83" t="str">
            <v>You gain a +1 bonus to attack rolls with One-Handed Axes.</v>
          </cell>
        </row>
        <row r="84">
          <cell r="A84" t="str">
            <v>One-Handed Maces</v>
          </cell>
          <cell r="D84" t="str">
            <v>You gain a +1 bonus to attack rolls with One-Handed Maces.</v>
          </cell>
        </row>
        <row r="85">
          <cell r="A85" t="str">
            <v>One-Handed Swords</v>
          </cell>
          <cell r="D85" t="str">
            <v>You gain a +1 bonus to attack rolls with One-Handed Swords.</v>
          </cell>
        </row>
        <row r="86">
          <cell r="A86" t="str">
            <v>Polearms</v>
          </cell>
          <cell r="D86" t="str">
            <v>You gain a +1 bonus to attack rolls with Polearms.</v>
          </cell>
        </row>
        <row r="87">
          <cell r="A87" t="str">
            <v>Staves</v>
          </cell>
          <cell r="D87" t="str">
            <v>You gain a +1 bonus to attack rolls with Staves.</v>
          </cell>
        </row>
        <row r="88">
          <cell r="A88" t="str">
            <v>Two-Handed Axes</v>
          </cell>
          <cell r="D88" t="str">
            <v>You gain a +1 bonus to attack rolls with Two-Handed Axes.</v>
          </cell>
        </row>
        <row r="89">
          <cell r="A89" t="str">
            <v>Two-Handed Maces</v>
          </cell>
          <cell r="D89" t="str">
            <v>You gain a +1 bonus to attack rolls with Two-Handed Maces.</v>
          </cell>
        </row>
        <row r="90">
          <cell r="A90" t="str">
            <v>Two-Handed Swords</v>
          </cell>
          <cell r="D90" t="str">
            <v>You gain a +1 bonus to attack rolls with Two-Handed Swords.</v>
          </cell>
        </row>
        <row r="91">
          <cell r="A91" t="str">
            <v>Daggers</v>
          </cell>
          <cell r="D91" t="str">
            <v>You gain a +1 bonus to attack rolls with Daggers.</v>
          </cell>
        </row>
        <row r="92">
          <cell r="A92" t="str">
            <v>Throwing</v>
          </cell>
          <cell r="D92" t="str">
            <v>You gain a +1 bonus to attack rolls with Throwing weapons.</v>
          </cell>
        </row>
        <row r="93">
          <cell r="A93" t="str">
            <v>Training Focus</v>
          </cell>
          <cell r="D93" t="str">
            <v>You gain +2 favor on attack rolls with the chosen weapon type.</v>
          </cell>
        </row>
        <row r="94">
          <cell r="A94" t="str">
            <v>Arcane Proficiency</v>
          </cell>
          <cell r="D94" t="str">
            <v>You gain a +1 bonus to attack rolls with spells of your chosen attunment.</v>
          </cell>
        </row>
        <row r="95">
          <cell r="A95" t="str">
            <v>Flanking</v>
          </cell>
          <cell r="D95" t="str">
            <v>You gain a +1 bonus to attack rolls against enemies you are flanking.</v>
          </cell>
        </row>
        <row r="96">
          <cell r="A96" t="str">
            <v>Vision</v>
          </cell>
        </row>
        <row r="97">
          <cell r="A97" t="str">
            <v>Eclipsed Vision</v>
          </cell>
          <cell r="D97" t="str">
            <v>You can see just as well in darkness as you can in bright light or normal light, but you have difficulty seeing in low light conditions. </v>
          </cell>
        </row>
        <row r="98">
          <cell r="A98" t="str">
            <v>Lesser Ethereal Vision</v>
          </cell>
          <cell r="D98" t="str">
            <v>You can see well in normal light conditions, but poorly in low light and you cannot see in darkness.  In any light, you can see always faintly see any creature with a soul.</v>
          </cell>
        </row>
        <row r="99">
          <cell r="A99" t="str">
            <v>Normal Vision</v>
          </cell>
          <cell r="D99" t="str">
            <v>You can see well in normal light conditions, but poorly in low light conditions and you cannot see in darkness.</v>
          </cell>
        </row>
        <row r="100">
          <cell r="A100" t="str">
            <v>Penumbra Vision</v>
          </cell>
          <cell r="D100" t="str">
            <v>You can see well in bright light and low light conditions, but you cannot see in darkness.</v>
          </cell>
        </row>
        <row r="101">
          <cell r="A101" t="str">
            <v>Reflective Vision</v>
          </cell>
          <cell r="D101" t="str">
            <v>You can see extremely well in low light to near darkness. Your eyes seem to glow in certain lighting conditions. You can see half as far as a human in daylight conditions.</v>
          </cell>
        </row>
        <row r="102">
          <cell r="A102" t="str">
            <v>Shadow Vision</v>
          </cell>
          <cell r="D102" t="str">
            <v>You can see perfectly well in darkness, but cannot see in daylight or other well lit conditions.</v>
          </cell>
        </row>
        <row r="103">
          <cell r="A103" t="str">
            <v>Attunement</v>
          </cell>
        </row>
        <row r="104">
          <cell r="A104" t="str">
            <v>Fire Attunement</v>
          </cell>
          <cell r="D104" t="str">
            <v>+1 Affinity with Fire Magic</v>
          </cell>
        </row>
        <row r="105">
          <cell r="A105" t="str">
            <v>Wind Attunement</v>
          </cell>
          <cell r="D105" t="str">
            <v>+1 Affinity with Air  Magic</v>
          </cell>
        </row>
        <row r="106">
          <cell r="A106" t="str">
            <v>Cold Attunement</v>
          </cell>
          <cell r="D106" t="str">
            <v>+1 Affinity with Ice Magic</v>
          </cell>
        </row>
        <row r="107">
          <cell r="A107" t="str">
            <v>Earthen Attunement</v>
          </cell>
          <cell r="D107" t="str">
            <v>+1 Affinity with Earth Magic</v>
          </cell>
        </row>
        <row r="108">
          <cell r="A108" t="str">
            <v>Electrical Attunement</v>
          </cell>
          <cell r="D108" t="str">
            <v>+1 Affinity with Lightning Magic</v>
          </cell>
        </row>
        <row r="109">
          <cell r="A109" t="str">
            <v>Water Attunement</v>
          </cell>
          <cell r="D109" t="str">
            <v>+1 Affinity with Water Magic</v>
          </cell>
        </row>
        <row r="110">
          <cell r="A110" t="str">
            <v>Null Attunement</v>
          </cell>
          <cell r="D110" t="str">
            <v>-1 Affinity with all elemental magic and +1 bonus to resistance.</v>
          </cell>
        </row>
        <row r="111">
          <cell r="A111" t="str">
            <v>Balanced Attunement</v>
          </cell>
          <cell r="D111" t="str">
            <v>+1 resistance</v>
          </cell>
        </row>
        <row r="112">
          <cell r="A112" t="str">
            <v>Manakin Attunement</v>
          </cell>
          <cell r="D112" t="str">
            <v>+1 Affinity with elementa magic of your chosen element</v>
          </cell>
        </row>
        <row r="113">
          <cell r="A113" t="str">
            <v>Neutral Core</v>
          </cell>
          <cell r="D113" t="str">
            <v>Your soul polarity is neutral.</v>
          </cell>
        </row>
        <row r="114">
          <cell r="A114" t="str">
            <v>Dark Soul</v>
          </cell>
          <cell r="D114" t="str">
            <v>+1 Affinity with dark magic, -1 affinity with light magic, and your soul polarity is negative.</v>
          </cell>
        </row>
        <row r="115">
          <cell r="A115" t="str">
            <v>Size</v>
          </cell>
        </row>
        <row r="116">
          <cell r="A116" t="str">
            <v>Tiny</v>
          </cell>
        </row>
        <row r="117">
          <cell r="A117" t="str">
            <v>Small</v>
          </cell>
          <cell r="D117" t="str">
            <v>Your carrying capacity is equal to STR * 1.5, AP Cost for movement increased by 2, -1 penalty to athletics checks, Must use "small" armor and weapons.</v>
          </cell>
        </row>
        <row r="118">
          <cell r="A118" t="str">
            <v>Medium</v>
          </cell>
          <cell r="D118" t="str">
            <v>Your carrying capacity is equal to STR * 2.0</v>
          </cell>
        </row>
        <row r="119">
          <cell r="A119" t="str">
            <v>Large</v>
          </cell>
        </row>
        <row r="120">
          <cell r="A120" t="str">
            <v>Creature Type</v>
          </cell>
        </row>
        <row r="121">
          <cell r="A121" t="str">
            <v>Elven</v>
          </cell>
        </row>
        <row r="122">
          <cell r="A122" t="str">
            <v>Humanoid</v>
          </cell>
        </row>
        <row r="123">
          <cell r="A123" t="str">
            <v>Goblinoid</v>
          </cell>
        </row>
        <row r="124">
          <cell r="A124" t="str">
            <v>Fey</v>
          </cell>
        </row>
        <row r="125">
          <cell r="A125" t="str">
            <v>Construct</v>
          </cell>
        </row>
        <row r="126">
          <cell r="A126" t="str">
            <v>Racial Passive</v>
          </cell>
        </row>
        <row r="127">
          <cell r="A127" t="str">
            <v>Description</v>
          </cell>
        </row>
        <row r="128">
          <cell r="A128" t="str">
            <v>Racial Active</v>
          </cell>
        </row>
        <row r="129">
          <cell r="A129" t="str">
            <v>AP</v>
          </cell>
        </row>
        <row r="130">
          <cell r="A130" t="str">
            <v>TP</v>
          </cell>
        </row>
        <row r="131">
          <cell r="A131" t="str">
            <v>Duration</v>
          </cell>
        </row>
        <row r="132">
          <cell r="A132" t="str">
            <v>Description</v>
          </cell>
        </row>
        <row r="134">
          <cell r="A134" t="str">
            <v>Languages</v>
          </cell>
        </row>
        <row r="135">
          <cell r="A135">
            <v>1</v>
          </cell>
          <cell r="D135" t="str">
            <v>(ILR L5) You have complete fluency in this language.</v>
          </cell>
        </row>
        <row r="136">
          <cell r="A136">
            <v>0.8</v>
          </cell>
          <cell r="D136" t="str">
            <v>(ILR L4)  You are able to use this language fluently and accurately with rare and unpatterened errors of pronunciation and grammar</v>
          </cell>
        </row>
        <row r="137">
          <cell r="A137">
            <v>0.6</v>
          </cell>
          <cell r="D137" t="str">
            <v>(ILR L3) You are able to use this language with sufficient structual accuracy and vocabulary to participate effectively in most practical conversations.</v>
          </cell>
        </row>
        <row r="138">
          <cell r="A138">
            <v>0.4</v>
          </cell>
          <cell r="D138" t="str">
            <v>(ILR L2) You can handle casual conversations and elementary  construction with confidence, but do not have confident grammatical control and have grasp complex lingual ideas.</v>
          </cell>
        </row>
        <row r="139">
          <cell r="A139">
            <v>0.2</v>
          </cell>
          <cell r="D139" t="str">
            <v>(ILR L1) You understand the basics of this language, but your vocabulary is only large enough to fulfull the most basic of needs.  Pronunciation and grammatical errors are common.</v>
          </cell>
        </row>
        <row r="140">
          <cell r="A140">
            <v>0</v>
          </cell>
          <cell r="D140" t="str">
            <v>(ILR L0) You don't know this language, or only know a few choice words and phrases.</v>
          </cell>
        </row>
        <row r="141">
          <cell r="A141" t="str">
            <v>Skill Tooltips</v>
          </cell>
        </row>
        <row r="142">
          <cell r="A142" t="str">
            <v>Skill TIP.10</v>
          </cell>
          <cell r="D142" t="str">
            <v>General Skills only pull points from your general skill pool.  Combat skills only pull points from your combat skill pool.  Language and Expertise skills will pull from whichever is available.</v>
          </cell>
        </row>
        <row r="143">
          <cell r="A143" t="str">
            <v>Skill TIP.9</v>
          </cell>
          <cell r="D143" t="str">
            <v>Your combat skill will increase your accuracy, but won't increase the damage you deal.  Being better trained in a weapon will help you get past defenses as well as open other options.</v>
          </cell>
        </row>
        <row r="144">
          <cell r="A144" t="str">
            <v>Skill TIP.8</v>
          </cell>
          <cell r="D144" t="str">
            <v>Can't figure out where to spend your combat points?  Try picking up an expertise skill or language skill with the leftover points, after you've spent your general skill pool.</v>
          </cell>
        </row>
        <row r="145">
          <cell r="A145" t="str">
            <v>Skill TIP.7</v>
          </cell>
          <cell r="D145" t="str">
            <v>Arcana is an extremely important skill for arcane casters while Theology is important for divine casters.  Both determine your maximum spell level for related spells.</v>
          </cell>
        </row>
        <row r="146">
          <cell r="A146" t="str">
            <v>Skill TIP.6</v>
          </cell>
          <cell r="D146" t="str">
            <v>When you make a skill check, you roll a number of dice equal to the modifier of the skill.  Most checks will a skill check and an ability check.  Some are just two skill checks or ability checks.</v>
          </cell>
        </row>
        <row r="147">
          <cell r="A147" t="str">
            <v>Skill TIP.5</v>
          </cell>
          <cell r="D147" t="str">
            <v>Perception isn't the catch-all for detection.  For example, detecting man-made traps falls under security, and natural hazards under survival.</v>
          </cell>
        </row>
        <row r="148">
          <cell r="A148" t="str">
            <v>Skill TIP.4</v>
          </cell>
          <cell r="D148" t="str">
            <v>The modifier isn't the only important thing about your skill;  Certain merits require you to be at a minimum skill level before you can take them.</v>
          </cell>
        </row>
        <row r="149">
          <cell r="A149" t="str">
            <v>Skill TIP.3</v>
          </cell>
          <cell r="D149" t="str">
            <v>There isn't a single unified language.  However in order to facilitate communication there are a few easy-to-learn languages such as Common or Basic Elven.</v>
          </cell>
        </row>
        <row r="150">
          <cell r="A150" t="str">
            <v>Skill TIP.2</v>
          </cell>
          <cell r="D150" t="str">
            <v>Your language skills can be increased passed level 5 fluency.  Doing so means you have more in depth information about that race's history, background, and lore.</v>
          </cell>
        </row>
        <row r="151">
          <cell r="A151" t="str">
            <v>Skill TIP.1</v>
          </cell>
          <cell r="D151" t="str">
            <v>Don't see a language you want to learn?  It is probably one of the more uncommon languages that can't be picked up regularly, even if you already know a bit of it.</v>
          </cell>
        </row>
        <row r="152">
          <cell r="A152" t="str">
            <v>Skill TIP.0</v>
          </cell>
          <cell r="D152" t="str">
            <v>When you have completed spending your skill points, head over to the next tab to start spending experience points.</v>
          </cell>
        </row>
        <row r="153">
          <cell r="A153" t="str">
            <v>Skill ERR.TooMany</v>
          </cell>
          <cell r="D153" t="str">
            <v>You've bought too many skills!  You need to reduce a skill otherwise you're a cheater and your friends won't like you!</v>
          </cell>
        </row>
        <row r="154">
          <cell r="A154" t="str">
            <v>Skill ERR.LowLanguage</v>
          </cell>
          <cell r="D154" t="str">
            <v>You have a language that is below your racial starting value.</v>
          </cell>
        </row>
        <row r="155">
          <cell r="A155" t="str">
            <v>Rank Names</v>
          </cell>
        </row>
        <row r="156">
          <cell r="A156" t="str">
            <v>Rank 1</v>
          </cell>
          <cell r="D156" t="str">
            <v>Minor</v>
          </cell>
        </row>
        <row r="157">
          <cell r="A157" t="str">
            <v>Rank 2</v>
          </cell>
          <cell r="D157" t="str">
            <v>Lesser</v>
          </cell>
        </row>
        <row r="158">
          <cell r="A158" t="str">
            <v>Rank 3</v>
          </cell>
          <cell r="D158" t="str">
            <v>Moderate</v>
          </cell>
        </row>
        <row r="159">
          <cell r="A159" t="str">
            <v>Rank 4</v>
          </cell>
          <cell r="D159" t="str">
            <v>Greater</v>
          </cell>
        </row>
        <row r="160">
          <cell r="A160" t="str">
            <v>Rank 5</v>
          </cell>
          <cell r="D160" t="str">
            <v>Superior</v>
          </cell>
        </row>
        <row r="161">
          <cell r="A161" t="str">
            <v>Rank 6</v>
          </cell>
          <cell r="D161" t="str">
            <v>Major</v>
          </cell>
        </row>
        <row r="162">
          <cell r="A162" t="str">
            <v>Rank 7</v>
          </cell>
          <cell r="D162" t="str">
            <v>Grand</v>
          </cell>
        </row>
        <row r="163">
          <cell r="A163" t="str">
            <v>Rank 8</v>
          </cell>
          <cell r="D163" t="str">
            <v>Grand</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18" Type="http://schemas.openxmlformats.org/officeDocument/2006/relationships/ctrlProp" Target="../ctrlProps/ctrlProp16.xml"/><Relationship Id="rId3" Type="http://schemas.openxmlformats.org/officeDocument/2006/relationships/ctrlProp" Target="../ctrlProps/ctrlProp1.xml"/><Relationship Id="rId21" Type="http://schemas.openxmlformats.org/officeDocument/2006/relationships/comments" Target="../comments1.xml"/><Relationship Id="rId7" Type="http://schemas.openxmlformats.org/officeDocument/2006/relationships/ctrlProp" Target="../ctrlProps/ctrlProp5.xml"/><Relationship Id="rId12" Type="http://schemas.openxmlformats.org/officeDocument/2006/relationships/ctrlProp" Target="../ctrlProps/ctrlProp10.xml"/><Relationship Id="rId17" Type="http://schemas.openxmlformats.org/officeDocument/2006/relationships/ctrlProp" Target="../ctrlProps/ctrlProp15.xml"/><Relationship Id="rId2" Type="http://schemas.openxmlformats.org/officeDocument/2006/relationships/vmlDrawing" Target="../drawings/vmlDrawing1.vml"/><Relationship Id="rId16" Type="http://schemas.openxmlformats.org/officeDocument/2006/relationships/ctrlProp" Target="../ctrlProps/ctrlProp14.xml"/><Relationship Id="rId20" Type="http://schemas.openxmlformats.org/officeDocument/2006/relationships/ctrlProp" Target="../ctrlProps/ctrlProp18.xml"/><Relationship Id="rId1" Type="http://schemas.openxmlformats.org/officeDocument/2006/relationships/drawing" Target="../drawings/drawing1.xml"/><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5" Type="http://schemas.openxmlformats.org/officeDocument/2006/relationships/ctrlProp" Target="../ctrlProps/ctrlProp13.xml"/><Relationship Id="rId10" Type="http://schemas.openxmlformats.org/officeDocument/2006/relationships/ctrlProp" Target="../ctrlProps/ctrlProp8.xml"/><Relationship Id="rId19" Type="http://schemas.openxmlformats.org/officeDocument/2006/relationships/ctrlProp" Target="../ctrlProps/ctrlProp17.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s>
</file>

<file path=xl/worksheets/_rels/sheet3.xml.rels><?xml version="1.0" encoding="UTF-8" standalone="yes"?>
<Relationships xmlns="http://schemas.openxmlformats.org/package/2006/relationships"><Relationship Id="rId13" Type="http://schemas.openxmlformats.org/officeDocument/2006/relationships/ctrlProp" Target="../ctrlProps/ctrlProp29.xml"/><Relationship Id="rId18" Type="http://schemas.openxmlformats.org/officeDocument/2006/relationships/ctrlProp" Target="../ctrlProps/ctrlProp34.xml"/><Relationship Id="rId26" Type="http://schemas.openxmlformats.org/officeDocument/2006/relationships/ctrlProp" Target="../ctrlProps/ctrlProp42.xml"/><Relationship Id="rId39" Type="http://schemas.openxmlformats.org/officeDocument/2006/relationships/ctrlProp" Target="../ctrlProps/ctrlProp55.xml"/><Relationship Id="rId21" Type="http://schemas.openxmlformats.org/officeDocument/2006/relationships/ctrlProp" Target="../ctrlProps/ctrlProp37.xml"/><Relationship Id="rId34" Type="http://schemas.openxmlformats.org/officeDocument/2006/relationships/ctrlProp" Target="../ctrlProps/ctrlProp50.xml"/><Relationship Id="rId42" Type="http://schemas.openxmlformats.org/officeDocument/2006/relationships/ctrlProp" Target="../ctrlProps/ctrlProp58.xml"/><Relationship Id="rId47" Type="http://schemas.openxmlformats.org/officeDocument/2006/relationships/ctrlProp" Target="../ctrlProps/ctrlProp63.xml"/><Relationship Id="rId50" Type="http://schemas.openxmlformats.org/officeDocument/2006/relationships/ctrlProp" Target="../ctrlProps/ctrlProp66.xml"/><Relationship Id="rId55" Type="http://schemas.openxmlformats.org/officeDocument/2006/relationships/ctrlProp" Target="../ctrlProps/ctrlProp71.xml"/><Relationship Id="rId63" Type="http://schemas.openxmlformats.org/officeDocument/2006/relationships/ctrlProp" Target="../ctrlProps/ctrlProp79.xml"/><Relationship Id="rId7" Type="http://schemas.openxmlformats.org/officeDocument/2006/relationships/ctrlProp" Target="../ctrlProps/ctrlProp23.xml"/><Relationship Id="rId2" Type="http://schemas.openxmlformats.org/officeDocument/2006/relationships/vmlDrawing" Target="../drawings/vmlDrawing2.vml"/><Relationship Id="rId16" Type="http://schemas.openxmlformats.org/officeDocument/2006/relationships/ctrlProp" Target="../ctrlProps/ctrlProp32.xml"/><Relationship Id="rId20" Type="http://schemas.openxmlformats.org/officeDocument/2006/relationships/ctrlProp" Target="../ctrlProps/ctrlProp36.xml"/><Relationship Id="rId29" Type="http://schemas.openxmlformats.org/officeDocument/2006/relationships/ctrlProp" Target="../ctrlProps/ctrlProp45.xml"/><Relationship Id="rId41" Type="http://schemas.openxmlformats.org/officeDocument/2006/relationships/ctrlProp" Target="../ctrlProps/ctrlProp57.xml"/><Relationship Id="rId54" Type="http://schemas.openxmlformats.org/officeDocument/2006/relationships/ctrlProp" Target="../ctrlProps/ctrlProp70.xml"/><Relationship Id="rId62" Type="http://schemas.openxmlformats.org/officeDocument/2006/relationships/ctrlProp" Target="../ctrlProps/ctrlProp78.xml"/><Relationship Id="rId1" Type="http://schemas.openxmlformats.org/officeDocument/2006/relationships/drawing" Target="../drawings/drawing2.xml"/><Relationship Id="rId6" Type="http://schemas.openxmlformats.org/officeDocument/2006/relationships/ctrlProp" Target="../ctrlProps/ctrlProp22.xml"/><Relationship Id="rId11" Type="http://schemas.openxmlformats.org/officeDocument/2006/relationships/ctrlProp" Target="../ctrlProps/ctrlProp27.xml"/><Relationship Id="rId24" Type="http://schemas.openxmlformats.org/officeDocument/2006/relationships/ctrlProp" Target="../ctrlProps/ctrlProp40.xml"/><Relationship Id="rId32" Type="http://schemas.openxmlformats.org/officeDocument/2006/relationships/ctrlProp" Target="../ctrlProps/ctrlProp48.xml"/><Relationship Id="rId37" Type="http://schemas.openxmlformats.org/officeDocument/2006/relationships/ctrlProp" Target="../ctrlProps/ctrlProp53.xml"/><Relationship Id="rId40" Type="http://schemas.openxmlformats.org/officeDocument/2006/relationships/ctrlProp" Target="../ctrlProps/ctrlProp56.xml"/><Relationship Id="rId45" Type="http://schemas.openxmlformats.org/officeDocument/2006/relationships/ctrlProp" Target="../ctrlProps/ctrlProp61.xml"/><Relationship Id="rId53" Type="http://schemas.openxmlformats.org/officeDocument/2006/relationships/ctrlProp" Target="../ctrlProps/ctrlProp69.xml"/><Relationship Id="rId58" Type="http://schemas.openxmlformats.org/officeDocument/2006/relationships/ctrlProp" Target="../ctrlProps/ctrlProp74.xml"/><Relationship Id="rId5" Type="http://schemas.openxmlformats.org/officeDocument/2006/relationships/ctrlProp" Target="../ctrlProps/ctrlProp21.xml"/><Relationship Id="rId15" Type="http://schemas.openxmlformats.org/officeDocument/2006/relationships/ctrlProp" Target="../ctrlProps/ctrlProp31.xml"/><Relationship Id="rId23" Type="http://schemas.openxmlformats.org/officeDocument/2006/relationships/ctrlProp" Target="../ctrlProps/ctrlProp39.xml"/><Relationship Id="rId28" Type="http://schemas.openxmlformats.org/officeDocument/2006/relationships/ctrlProp" Target="../ctrlProps/ctrlProp44.xml"/><Relationship Id="rId36" Type="http://schemas.openxmlformats.org/officeDocument/2006/relationships/ctrlProp" Target="../ctrlProps/ctrlProp52.xml"/><Relationship Id="rId49" Type="http://schemas.openxmlformats.org/officeDocument/2006/relationships/ctrlProp" Target="../ctrlProps/ctrlProp65.xml"/><Relationship Id="rId57" Type="http://schemas.openxmlformats.org/officeDocument/2006/relationships/ctrlProp" Target="../ctrlProps/ctrlProp73.xml"/><Relationship Id="rId61" Type="http://schemas.openxmlformats.org/officeDocument/2006/relationships/ctrlProp" Target="../ctrlProps/ctrlProp77.xml"/><Relationship Id="rId10" Type="http://schemas.openxmlformats.org/officeDocument/2006/relationships/ctrlProp" Target="../ctrlProps/ctrlProp26.xml"/><Relationship Id="rId19" Type="http://schemas.openxmlformats.org/officeDocument/2006/relationships/ctrlProp" Target="../ctrlProps/ctrlProp35.xml"/><Relationship Id="rId31" Type="http://schemas.openxmlformats.org/officeDocument/2006/relationships/ctrlProp" Target="../ctrlProps/ctrlProp47.xml"/><Relationship Id="rId44" Type="http://schemas.openxmlformats.org/officeDocument/2006/relationships/ctrlProp" Target="../ctrlProps/ctrlProp60.xml"/><Relationship Id="rId52" Type="http://schemas.openxmlformats.org/officeDocument/2006/relationships/ctrlProp" Target="../ctrlProps/ctrlProp68.xml"/><Relationship Id="rId60" Type="http://schemas.openxmlformats.org/officeDocument/2006/relationships/ctrlProp" Target="../ctrlProps/ctrlProp76.xml"/><Relationship Id="rId4" Type="http://schemas.openxmlformats.org/officeDocument/2006/relationships/ctrlProp" Target="../ctrlProps/ctrlProp20.xml"/><Relationship Id="rId9" Type="http://schemas.openxmlformats.org/officeDocument/2006/relationships/ctrlProp" Target="../ctrlProps/ctrlProp25.xml"/><Relationship Id="rId14" Type="http://schemas.openxmlformats.org/officeDocument/2006/relationships/ctrlProp" Target="../ctrlProps/ctrlProp30.xml"/><Relationship Id="rId22" Type="http://schemas.openxmlformats.org/officeDocument/2006/relationships/ctrlProp" Target="../ctrlProps/ctrlProp38.xml"/><Relationship Id="rId27" Type="http://schemas.openxmlformats.org/officeDocument/2006/relationships/ctrlProp" Target="../ctrlProps/ctrlProp43.xml"/><Relationship Id="rId30" Type="http://schemas.openxmlformats.org/officeDocument/2006/relationships/ctrlProp" Target="../ctrlProps/ctrlProp46.xml"/><Relationship Id="rId35" Type="http://schemas.openxmlformats.org/officeDocument/2006/relationships/ctrlProp" Target="../ctrlProps/ctrlProp51.xml"/><Relationship Id="rId43" Type="http://schemas.openxmlformats.org/officeDocument/2006/relationships/ctrlProp" Target="../ctrlProps/ctrlProp59.xml"/><Relationship Id="rId48" Type="http://schemas.openxmlformats.org/officeDocument/2006/relationships/ctrlProp" Target="../ctrlProps/ctrlProp64.xml"/><Relationship Id="rId56" Type="http://schemas.openxmlformats.org/officeDocument/2006/relationships/ctrlProp" Target="../ctrlProps/ctrlProp72.xml"/><Relationship Id="rId64" Type="http://schemas.openxmlformats.org/officeDocument/2006/relationships/ctrlProp" Target="../ctrlProps/ctrlProp80.xml"/><Relationship Id="rId8" Type="http://schemas.openxmlformats.org/officeDocument/2006/relationships/ctrlProp" Target="../ctrlProps/ctrlProp24.xml"/><Relationship Id="rId51" Type="http://schemas.openxmlformats.org/officeDocument/2006/relationships/ctrlProp" Target="../ctrlProps/ctrlProp67.xml"/><Relationship Id="rId3" Type="http://schemas.openxmlformats.org/officeDocument/2006/relationships/ctrlProp" Target="../ctrlProps/ctrlProp19.xml"/><Relationship Id="rId12" Type="http://schemas.openxmlformats.org/officeDocument/2006/relationships/ctrlProp" Target="../ctrlProps/ctrlProp28.xml"/><Relationship Id="rId17" Type="http://schemas.openxmlformats.org/officeDocument/2006/relationships/ctrlProp" Target="../ctrlProps/ctrlProp33.xml"/><Relationship Id="rId25" Type="http://schemas.openxmlformats.org/officeDocument/2006/relationships/ctrlProp" Target="../ctrlProps/ctrlProp41.xml"/><Relationship Id="rId33" Type="http://schemas.openxmlformats.org/officeDocument/2006/relationships/ctrlProp" Target="../ctrlProps/ctrlProp49.xml"/><Relationship Id="rId38" Type="http://schemas.openxmlformats.org/officeDocument/2006/relationships/ctrlProp" Target="../ctrlProps/ctrlProp54.xml"/><Relationship Id="rId46" Type="http://schemas.openxmlformats.org/officeDocument/2006/relationships/ctrlProp" Target="../ctrlProps/ctrlProp62.xml"/><Relationship Id="rId59" Type="http://schemas.openxmlformats.org/officeDocument/2006/relationships/ctrlProp" Target="../ctrlProps/ctrlProp7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A1:HH165"/>
  <sheetViews>
    <sheetView showGridLines="0" zoomScale="145" zoomScaleNormal="145" zoomScalePageLayoutView="145" workbookViewId="0">
      <pane ySplit="6" topLeftCell="A7" activePane="bottomLeft" state="frozen"/>
      <selection activeCell="D1" sqref="D1"/>
      <selection pane="bottomLeft" activeCell="T48" sqref="T48"/>
    </sheetView>
  </sheetViews>
  <sheetFormatPr defaultColWidth="1.42578125" defaultRowHeight="7.5" customHeight="1" x14ac:dyDescent="0.25"/>
  <cols>
    <col min="1" max="11" width="1.42578125" style="119" customWidth="1"/>
    <col min="12" max="27" width="1.42578125" style="119"/>
    <col min="28" max="31" width="1.42578125" style="119" customWidth="1"/>
    <col min="32" max="32" width="1.42578125" style="119"/>
    <col min="33" max="33" width="1.42578125" style="119" customWidth="1"/>
    <col min="34" max="46" width="1.42578125" style="119"/>
    <col min="47" max="47" width="1.42578125" style="119" customWidth="1"/>
    <col min="48" max="92" width="1.42578125" style="119"/>
    <col min="93" max="93" width="1.42578125" style="119" customWidth="1"/>
    <col min="94" max="116" width="1.42578125" style="119"/>
    <col min="117" max="139" width="1.42578125" style="119" customWidth="1"/>
    <col min="140" max="140" width="1.42578125" style="17" customWidth="1"/>
    <col min="141" max="141" width="1.42578125" style="119" customWidth="1"/>
    <col min="142" max="16384" width="1.42578125" style="119"/>
  </cols>
  <sheetData>
    <row r="1" spans="1:172" ht="7.5" customHeight="1" x14ac:dyDescent="0.25">
      <c r="EH1" s="17"/>
      <c r="EI1" s="17"/>
      <c r="EK1" s="17"/>
      <c r="EL1" s="17"/>
      <c r="EM1" s="17"/>
      <c r="EN1" s="17"/>
      <c r="EO1" s="17"/>
      <c r="EP1" s="17"/>
      <c r="EQ1" s="17"/>
      <c r="ER1" s="17"/>
      <c r="ES1" s="17"/>
      <c r="ET1" s="17"/>
      <c r="EU1" s="17"/>
      <c r="EV1" s="17"/>
      <c r="EW1" s="17"/>
      <c r="EX1" s="17"/>
      <c r="EY1" s="17"/>
      <c r="EZ1" s="17"/>
      <c r="FA1" s="17"/>
      <c r="FB1" s="17"/>
      <c r="FC1" s="17"/>
      <c r="FD1" s="17"/>
      <c r="FE1" s="17"/>
      <c r="FF1" s="17"/>
      <c r="FG1" s="17"/>
      <c r="FH1" s="17"/>
      <c r="FI1" s="17"/>
      <c r="FJ1" s="17"/>
      <c r="FK1" s="17"/>
      <c r="FL1" s="17"/>
      <c r="FM1" s="17"/>
      <c r="FN1" s="17"/>
      <c r="FO1" s="17"/>
      <c r="FP1" s="17"/>
    </row>
    <row r="2" spans="1:172" ht="7.5" customHeight="1" x14ac:dyDescent="0.3">
      <c r="H2" s="379"/>
      <c r="I2" s="379"/>
      <c r="J2" s="379"/>
      <c r="K2" s="379"/>
      <c r="L2" s="448" t="s">
        <v>552</v>
      </c>
      <c r="M2" s="448"/>
      <c r="N2" s="448"/>
      <c r="O2" s="448"/>
      <c r="P2" s="448"/>
      <c r="Q2" s="448"/>
      <c r="R2" s="448"/>
      <c r="S2" s="448"/>
      <c r="T2" s="448"/>
      <c r="U2" s="448"/>
      <c r="V2" s="448"/>
      <c r="W2" s="448"/>
      <c r="X2" s="448"/>
      <c r="Y2" s="448"/>
      <c r="Z2" s="448"/>
      <c r="AA2" s="448"/>
      <c r="AB2" s="448"/>
      <c r="AC2" s="448"/>
      <c r="AD2" s="448"/>
      <c r="AE2" s="448"/>
      <c r="AF2" s="448"/>
      <c r="AG2" s="448"/>
      <c r="AH2" s="448"/>
      <c r="AI2" s="448"/>
      <c r="AJ2" s="448"/>
      <c r="AK2" s="448"/>
      <c r="AL2" s="448"/>
      <c r="AN2" s="449" t="s">
        <v>543</v>
      </c>
      <c r="AO2" s="449"/>
      <c r="AP2" s="449"/>
      <c r="AQ2" s="449"/>
      <c r="AR2" s="449"/>
      <c r="AS2" s="449"/>
      <c r="AT2" s="449"/>
      <c r="AU2" s="449"/>
      <c r="AV2" s="449"/>
      <c r="AW2" s="449"/>
      <c r="AX2" s="449"/>
      <c r="AY2" s="449"/>
      <c r="AZ2" s="449"/>
      <c r="BI2" s="450" t="s">
        <v>544</v>
      </c>
      <c r="BJ2" s="450"/>
      <c r="BK2" s="450"/>
      <c r="BL2" s="450"/>
      <c r="BM2" s="450"/>
      <c r="BN2" s="450"/>
      <c r="BO2" s="450"/>
      <c r="BP2" s="450"/>
      <c r="BQ2" s="450"/>
      <c r="BT2" s="451" t="e">
        <f>VLOOKUP(#REF!,[2]Descriptions!$A:$U,COLUMN([2]Descriptions!$D:$D),0)</f>
        <v>#REF!</v>
      </c>
      <c r="BU2" s="452"/>
      <c r="BV2" s="452"/>
      <c r="BW2" s="452"/>
      <c r="BX2" s="452"/>
      <c r="BY2" s="452"/>
      <c r="BZ2" s="452"/>
      <c r="CA2" s="452"/>
      <c r="CB2" s="452"/>
      <c r="CC2" s="452"/>
      <c r="CD2" s="452"/>
      <c r="CE2" s="452"/>
      <c r="CF2" s="452"/>
      <c r="CG2" s="452"/>
      <c r="CH2" s="452"/>
      <c r="CI2" s="452"/>
      <c r="CJ2" s="452"/>
      <c r="CK2" s="452"/>
      <c r="CL2" s="452"/>
      <c r="CM2" s="452"/>
      <c r="CN2" s="452"/>
      <c r="CO2" s="452"/>
      <c r="CP2" s="452"/>
      <c r="CQ2" s="452"/>
      <c r="CR2" s="452"/>
      <c r="CS2" s="452"/>
      <c r="CT2" s="452"/>
      <c r="CU2" s="452"/>
      <c r="CV2" s="452"/>
      <c r="CW2" s="452"/>
      <c r="CX2" s="452"/>
      <c r="CY2" s="452"/>
      <c r="CZ2" s="452"/>
      <c r="DA2" s="452"/>
      <c r="DB2" s="452"/>
      <c r="DC2" s="452"/>
      <c r="DD2" s="452"/>
      <c r="DE2" s="452"/>
      <c r="DF2" s="452"/>
      <c r="DG2" s="452"/>
      <c r="DH2" s="452"/>
      <c r="DI2" s="452"/>
      <c r="DJ2" s="452"/>
      <c r="DK2" s="452"/>
      <c r="DL2" s="452"/>
      <c r="DM2" s="452"/>
      <c r="DN2" s="452"/>
      <c r="DO2" s="452"/>
      <c r="DP2" s="452"/>
      <c r="DQ2" s="452"/>
      <c r="DR2" s="452"/>
      <c r="DS2" s="452"/>
      <c r="DT2" s="453"/>
      <c r="EH2" s="17"/>
      <c r="EI2" s="17"/>
      <c r="EK2" s="17"/>
      <c r="EL2" s="17"/>
      <c r="EM2" s="17"/>
      <c r="EN2" s="17"/>
      <c r="EO2" s="17"/>
      <c r="EP2" s="17"/>
      <c r="EQ2" s="17"/>
      <c r="ER2" s="17"/>
      <c r="ES2" s="17"/>
      <c r="ET2" s="17"/>
      <c r="EU2" s="17"/>
      <c r="EV2" s="17"/>
      <c r="EW2" s="17"/>
      <c r="EX2" s="17"/>
      <c r="EY2" s="17"/>
      <c r="EZ2" s="17"/>
      <c r="FA2" s="17"/>
      <c r="FB2" s="17"/>
      <c r="FC2" s="17"/>
      <c r="FD2" s="17"/>
      <c r="FE2" s="17"/>
      <c r="FF2" s="17"/>
      <c r="FG2" s="17"/>
      <c r="FH2" s="17"/>
      <c r="FI2" s="17"/>
      <c r="FJ2" s="17"/>
      <c r="FK2" s="17"/>
      <c r="FL2" s="17"/>
      <c r="FM2" s="17"/>
      <c r="FN2" s="17"/>
      <c r="FO2" s="17"/>
      <c r="FP2" s="17"/>
    </row>
    <row r="3" spans="1:172" ht="7.5" customHeight="1" x14ac:dyDescent="0.25">
      <c r="A3" s="460" t="s">
        <v>546</v>
      </c>
      <c r="B3" s="460"/>
      <c r="C3" s="460"/>
      <c r="D3" s="460"/>
      <c r="E3" s="460"/>
      <c r="F3" s="460"/>
      <c r="G3" s="460"/>
      <c r="H3" s="460"/>
      <c r="I3" s="460"/>
      <c r="J3" s="460"/>
      <c r="K3" s="461"/>
      <c r="L3" s="448"/>
      <c r="M3" s="448"/>
      <c r="N3" s="448"/>
      <c r="O3" s="448"/>
      <c r="P3" s="448"/>
      <c r="Q3" s="448"/>
      <c r="R3" s="448"/>
      <c r="S3" s="448"/>
      <c r="T3" s="448"/>
      <c r="U3" s="448"/>
      <c r="V3" s="448"/>
      <c r="W3" s="448"/>
      <c r="X3" s="448"/>
      <c r="Y3" s="448"/>
      <c r="Z3" s="448"/>
      <c r="AA3" s="448"/>
      <c r="AB3" s="448"/>
      <c r="AC3" s="448"/>
      <c r="AD3" s="448"/>
      <c r="AE3" s="448"/>
      <c r="AF3" s="448"/>
      <c r="AG3" s="448"/>
      <c r="AH3" s="448"/>
      <c r="AI3" s="448"/>
      <c r="AJ3" s="448"/>
      <c r="AK3" s="448"/>
      <c r="AL3" s="448"/>
      <c r="AN3" s="449"/>
      <c r="AO3" s="449"/>
      <c r="AP3" s="449"/>
      <c r="AQ3" s="449"/>
      <c r="AR3" s="449"/>
      <c r="AS3" s="449"/>
      <c r="AT3" s="449"/>
      <c r="AU3" s="449"/>
      <c r="AV3" s="449"/>
      <c r="AW3" s="449"/>
      <c r="AX3" s="449"/>
      <c r="AY3" s="449"/>
      <c r="AZ3" s="449"/>
      <c r="BI3" s="450"/>
      <c r="BJ3" s="450"/>
      <c r="BK3" s="450"/>
      <c r="BL3" s="450"/>
      <c r="BM3" s="450"/>
      <c r="BN3" s="450"/>
      <c r="BO3" s="450"/>
      <c r="BP3" s="450"/>
      <c r="BQ3" s="450"/>
      <c r="BT3" s="454"/>
      <c r="BU3" s="455"/>
      <c r="BV3" s="455"/>
      <c r="BW3" s="455"/>
      <c r="BX3" s="455"/>
      <c r="BY3" s="455"/>
      <c r="BZ3" s="455"/>
      <c r="CA3" s="455"/>
      <c r="CB3" s="455"/>
      <c r="CC3" s="455"/>
      <c r="CD3" s="455"/>
      <c r="CE3" s="455"/>
      <c r="CF3" s="455"/>
      <c r="CG3" s="455"/>
      <c r="CH3" s="455"/>
      <c r="CI3" s="455"/>
      <c r="CJ3" s="455"/>
      <c r="CK3" s="455"/>
      <c r="CL3" s="455"/>
      <c r="CM3" s="455"/>
      <c r="CN3" s="455"/>
      <c r="CO3" s="455"/>
      <c r="CP3" s="455"/>
      <c r="CQ3" s="455"/>
      <c r="CR3" s="455"/>
      <c r="CS3" s="455"/>
      <c r="CT3" s="455"/>
      <c r="CU3" s="455"/>
      <c r="CV3" s="455"/>
      <c r="CW3" s="455"/>
      <c r="CX3" s="455"/>
      <c r="CY3" s="455"/>
      <c r="CZ3" s="455"/>
      <c r="DA3" s="455"/>
      <c r="DB3" s="455"/>
      <c r="DC3" s="455"/>
      <c r="DD3" s="455"/>
      <c r="DE3" s="455"/>
      <c r="DF3" s="455"/>
      <c r="DG3" s="455"/>
      <c r="DH3" s="455"/>
      <c r="DI3" s="455"/>
      <c r="DJ3" s="455"/>
      <c r="DK3" s="455"/>
      <c r="DL3" s="455"/>
      <c r="DM3" s="455"/>
      <c r="DN3" s="455"/>
      <c r="DO3" s="455"/>
      <c r="DP3" s="455"/>
      <c r="DQ3" s="455"/>
      <c r="DR3" s="455"/>
      <c r="DS3" s="455"/>
      <c r="DT3" s="456"/>
      <c r="EH3" s="17"/>
      <c r="EI3" s="17"/>
      <c r="EK3" s="17"/>
      <c r="EL3" s="17"/>
      <c r="EM3" s="17"/>
      <c r="EN3" s="17"/>
      <c r="EO3" s="17"/>
      <c r="EP3" s="17"/>
      <c r="EQ3" s="17"/>
      <c r="ER3" s="17"/>
      <c r="ES3" s="17"/>
      <c r="ET3" s="17"/>
      <c r="EU3" s="17"/>
      <c r="EV3" s="17"/>
      <c r="EW3" s="17"/>
      <c r="EX3" s="17"/>
      <c r="EY3" s="17"/>
      <c r="EZ3" s="17"/>
      <c r="FA3" s="17"/>
      <c r="FB3" s="17"/>
      <c r="FC3" s="17"/>
      <c r="FD3" s="17"/>
      <c r="FE3" s="17"/>
      <c r="FF3" s="17"/>
      <c r="FG3" s="17"/>
      <c r="FH3" s="17"/>
      <c r="FI3" s="17"/>
      <c r="FJ3" s="17"/>
      <c r="FK3" s="17"/>
      <c r="FL3" s="17"/>
      <c r="FM3" s="17"/>
      <c r="FN3" s="17"/>
      <c r="FO3" s="17"/>
      <c r="FP3" s="17"/>
    </row>
    <row r="4" spans="1:172" ht="7.5" customHeight="1" x14ac:dyDescent="0.25">
      <c r="A4" s="460"/>
      <c r="B4" s="460"/>
      <c r="C4" s="460"/>
      <c r="D4" s="460"/>
      <c r="E4" s="460"/>
      <c r="F4" s="460"/>
      <c r="G4" s="460"/>
      <c r="H4" s="460"/>
      <c r="I4" s="460"/>
      <c r="J4" s="460"/>
      <c r="K4" s="461"/>
      <c r="L4" s="448"/>
      <c r="M4" s="448"/>
      <c r="N4" s="448"/>
      <c r="O4" s="448"/>
      <c r="P4" s="448"/>
      <c r="Q4" s="448"/>
      <c r="R4" s="448"/>
      <c r="S4" s="448"/>
      <c r="T4" s="448"/>
      <c r="U4" s="448"/>
      <c r="V4" s="448"/>
      <c r="W4" s="448"/>
      <c r="X4" s="448"/>
      <c r="Y4" s="448"/>
      <c r="Z4" s="448"/>
      <c r="AA4" s="448"/>
      <c r="AB4" s="448"/>
      <c r="AC4" s="448"/>
      <c r="AD4" s="448"/>
      <c r="AE4" s="448"/>
      <c r="AF4" s="448"/>
      <c r="AG4" s="448"/>
      <c r="AH4" s="448"/>
      <c r="AI4" s="448"/>
      <c r="AJ4" s="448"/>
      <c r="AK4" s="448"/>
      <c r="AL4" s="448"/>
      <c r="AN4" s="462" t="e">
        <f>MAX(0,EXP.Combat-EXPSpent.Combat)</f>
        <v>#NAME?</v>
      </c>
      <c r="AO4" s="463"/>
      <c r="AP4" s="463"/>
      <c r="AQ4" s="463"/>
      <c r="AR4" s="464"/>
      <c r="AS4" s="468" t="s">
        <v>545</v>
      </c>
      <c r="AT4" s="469"/>
      <c r="AU4" s="470"/>
      <c r="AV4" s="471" t="e">
        <f>EXP.Combat</f>
        <v>#NAME?</v>
      </c>
      <c r="AW4" s="472"/>
      <c r="AX4" s="472"/>
      <c r="AY4" s="472"/>
      <c r="AZ4" s="473"/>
      <c r="BA4" s="128"/>
      <c r="BB4" s="474"/>
      <c r="BC4" s="475"/>
      <c r="BD4" s="475"/>
      <c r="BE4" s="475"/>
      <c r="BF4" s="476"/>
      <c r="BK4" s="462" t="e">
        <f>EXP.Available</f>
        <v>#REF!</v>
      </c>
      <c r="BL4" s="463"/>
      <c r="BM4" s="463"/>
      <c r="BN4" s="463"/>
      <c r="BO4" s="464"/>
      <c r="BT4" s="454"/>
      <c r="BU4" s="455"/>
      <c r="BV4" s="455"/>
      <c r="BW4" s="455"/>
      <c r="BX4" s="455"/>
      <c r="BY4" s="455"/>
      <c r="BZ4" s="455"/>
      <c r="CA4" s="455"/>
      <c r="CB4" s="455"/>
      <c r="CC4" s="455"/>
      <c r="CD4" s="455"/>
      <c r="CE4" s="455"/>
      <c r="CF4" s="455"/>
      <c r="CG4" s="455"/>
      <c r="CH4" s="455"/>
      <c r="CI4" s="455"/>
      <c r="CJ4" s="455"/>
      <c r="CK4" s="455"/>
      <c r="CL4" s="455"/>
      <c r="CM4" s="455"/>
      <c r="CN4" s="455"/>
      <c r="CO4" s="455"/>
      <c r="CP4" s="455"/>
      <c r="CQ4" s="455"/>
      <c r="CR4" s="455"/>
      <c r="CS4" s="455"/>
      <c r="CT4" s="455"/>
      <c r="CU4" s="455"/>
      <c r="CV4" s="455"/>
      <c r="CW4" s="455"/>
      <c r="CX4" s="455"/>
      <c r="CY4" s="455"/>
      <c r="CZ4" s="455"/>
      <c r="DA4" s="455"/>
      <c r="DB4" s="455"/>
      <c r="DC4" s="455"/>
      <c r="DD4" s="455"/>
      <c r="DE4" s="455"/>
      <c r="DF4" s="455"/>
      <c r="DG4" s="455"/>
      <c r="DH4" s="455"/>
      <c r="DI4" s="455"/>
      <c r="DJ4" s="455"/>
      <c r="DK4" s="455"/>
      <c r="DL4" s="455"/>
      <c r="DM4" s="455"/>
      <c r="DN4" s="455"/>
      <c r="DO4" s="455"/>
      <c r="DP4" s="455"/>
      <c r="DQ4" s="455"/>
      <c r="DR4" s="455"/>
      <c r="DS4" s="455"/>
      <c r="DT4" s="456"/>
      <c r="EH4" s="17"/>
      <c r="EI4" s="17"/>
      <c r="EK4" s="17"/>
      <c r="EL4" s="17"/>
      <c r="EM4" s="17"/>
      <c r="EN4" s="17"/>
      <c r="EO4" s="17"/>
      <c r="EP4" s="17"/>
      <c r="EQ4" s="17"/>
      <c r="ER4" s="17"/>
      <c r="ES4" s="17"/>
      <c r="ET4" s="17"/>
      <c r="EU4" s="17"/>
      <c r="EV4" s="17"/>
      <c r="EW4" s="17"/>
      <c r="EX4" s="17"/>
      <c r="EY4" s="17"/>
      <c r="EZ4" s="17"/>
      <c r="FA4" s="17"/>
      <c r="FB4" s="17"/>
      <c r="FC4" s="17"/>
      <c r="FD4" s="17"/>
      <c r="FE4" s="17"/>
      <c r="FF4" s="17"/>
      <c r="FG4" s="17"/>
      <c r="FH4" s="17"/>
      <c r="FI4" s="17"/>
      <c r="FJ4" s="17"/>
      <c r="FK4" s="17"/>
      <c r="FL4" s="17"/>
      <c r="FM4" s="17"/>
      <c r="FN4" s="17"/>
      <c r="FO4" s="17"/>
      <c r="FP4" s="17"/>
    </row>
    <row r="5" spans="1:172" ht="7.5" customHeight="1" x14ac:dyDescent="0.25">
      <c r="B5" s="373"/>
      <c r="C5" s="374"/>
      <c r="D5" s="374"/>
      <c r="E5" s="374"/>
      <c r="F5" s="375"/>
      <c r="G5" s="375"/>
      <c r="H5" s="375"/>
      <c r="I5" s="375"/>
      <c r="J5" s="375"/>
      <c r="K5" s="376"/>
      <c r="L5" s="448"/>
      <c r="M5" s="448"/>
      <c r="N5" s="448"/>
      <c r="O5" s="448"/>
      <c r="P5" s="448"/>
      <c r="Q5" s="448"/>
      <c r="R5" s="448"/>
      <c r="S5" s="448"/>
      <c r="T5" s="448"/>
      <c r="U5" s="448"/>
      <c r="V5" s="448"/>
      <c r="W5" s="448"/>
      <c r="X5" s="448"/>
      <c r="Y5" s="448"/>
      <c r="Z5" s="448"/>
      <c r="AA5" s="448"/>
      <c r="AB5" s="448"/>
      <c r="AC5" s="448"/>
      <c r="AD5" s="448"/>
      <c r="AE5" s="448"/>
      <c r="AF5" s="448"/>
      <c r="AG5" s="448"/>
      <c r="AH5" s="448"/>
      <c r="AI5" s="448"/>
      <c r="AJ5" s="448"/>
      <c r="AK5" s="448"/>
      <c r="AL5" s="448"/>
      <c r="AN5" s="465"/>
      <c r="AO5" s="466"/>
      <c r="AP5" s="466"/>
      <c r="AQ5" s="466"/>
      <c r="AR5" s="467"/>
      <c r="AS5" s="468"/>
      <c r="AT5" s="469"/>
      <c r="AU5" s="470"/>
      <c r="AV5" s="471"/>
      <c r="AW5" s="472"/>
      <c r="AX5" s="472"/>
      <c r="AY5" s="472"/>
      <c r="AZ5" s="473"/>
      <c r="BB5" s="477"/>
      <c r="BC5" s="478"/>
      <c r="BD5" s="478"/>
      <c r="BE5" s="478"/>
      <c r="BF5" s="479"/>
      <c r="BK5" s="465"/>
      <c r="BL5" s="466"/>
      <c r="BM5" s="466"/>
      <c r="BN5" s="466"/>
      <c r="BO5" s="467"/>
      <c r="BT5" s="457"/>
      <c r="BU5" s="458"/>
      <c r="BV5" s="458"/>
      <c r="BW5" s="458"/>
      <c r="BX5" s="458"/>
      <c r="BY5" s="458"/>
      <c r="BZ5" s="458"/>
      <c r="CA5" s="458"/>
      <c r="CB5" s="458"/>
      <c r="CC5" s="458"/>
      <c r="CD5" s="458"/>
      <c r="CE5" s="458"/>
      <c r="CF5" s="458"/>
      <c r="CG5" s="458"/>
      <c r="CH5" s="458"/>
      <c r="CI5" s="458"/>
      <c r="CJ5" s="458"/>
      <c r="CK5" s="458"/>
      <c r="CL5" s="458"/>
      <c r="CM5" s="458"/>
      <c r="CN5" s="458"/>
      <c r="CO5" s="458"/>
      <c r="CP5" s="458"/>
      <c r="CQ5" s="458"/>
      <c r="CR5" s="458"/>
      <c r="CS5" s="458"/>
      <c r="CT5" s="458"/>
      <c r="CU5" s="458"/>
      <c r="CV5" s="458"/>
      <c r="CW5" s="458"/>
      <c r="CX5" s="458"/>
      <c r="CY5" s="458"/>
      <c r="CZ5" s="458"/>
      <c r="DA5" s="458"/>
      <c r="DB5" s="458"/>
      <c r="DC5" s="458"/>
      <c r="DD5" s="458"/>
      <c r="DE5" s="458"/>
      <c r="DF5" s="458"/>
      <c r="DG5" s="458"/>
      <c r="DH5" s="458"/>
      <c r="DI5" s="458"/>
      <c r="DJ5" s="458"/>
      <c r="DK5" s="458"/>
      <c r="DL5" s="458"/>
      <c r="DM5" s="458"/>
      <c r="DN5" s="458"/>
      <c r="DO5" s="458"/>
      <c r="DP5" s="458"/>
      <c r="DQ5" s="458"/>
      <c r="DR5" s="458"/>
      <c r="DS5" s="458"/>
      <c r="DT5" s="459"/>
      <c r="EH5" s="17"/>
      <c r="EI5" s="17"/>
      <c r="EK5" s="17"/>
      <c r="EL5" s="17"/>
      <c r="EM5" s="17"/>
      <c r="EN5" s="17"/>
      <c r="EO5" s="17"/>
      <c r="EP5" s="17"/>
      <c r="EQ5" s="17"/>
      <c r="ER5" s="17"/>
      <c r="ES5" s="17"/>
      <c r="ET5" s="17"/>
      <c r="EU5" s="17"/>
      <c r="EV5" s="17"/>
      <c r="EW5" s="17"/>
      <c r="EX5" s="17"/>
      <c r="EY5" s="17"/>
      <c r="EZ5" s="17"/>
      <c r="FA5" s="17"/>
      <c r="FB5" s="17"/>
      <c r="FC5" s="17"/>
      <c r="FD5" s="17"/>
      <c r="FE5" s="17"/>
      <c r="FF5" s="17"/>
      <c r="FG5" s="17"/>
      <c r="FH5" s="17"/>
      <c r="FI5" s="17"/>
      <c r="FJ5" s="17"/>
      <c r="FK5" s="17"/>
      <c r="FL5" s="17"/>
      <c r="FM5" s="17"/>
      <c r="FN5" s="17"/>
      <c r="FO5" s="17"/>
      <c r="FP5" s="17"/>
    </row>
    <row r="6" spans="1:172" ht="7.5" customHeight="1" x14ac:dyDescent="0.25">
      <c r="L6" s="448"/>
      <c r="M6" s="448"/>
      <c r="N6" s="448"/>
      <c r="O6" s="448"/>
      <c r="P6" s="448"/>
      <c r="Q6" s="448"/>
      <c r="R6" s="448"/>
      <c r="S6" s="448"/>
      <c r="T6" s="448"/>
      <c r="U6" s="448"/>
      <c r="V6" s="448"/>
      <c r="W6" s="448"/>
      <c r="X6" s="448"/>
      <c r="Y6" s="448"/>
      <c r="Z6" s="448"/>
      <c r="AA6" s="448"/>
      <c r="AB6" s="448"/>
      <c r="AC6" s="448"/>
      <c r="AD6" s="448"/>
      <c r="AE6" s="448"/>
      <c r="AF6" s="448"/>
      <c r="AG6" s="448"/>
      <c r="AH6" s="448"/>
      <c r="AI6" s="448"/>
      <c r="AJ6" s="448"/>
      <c r="AK6" s="448"/>
      <c r="AL6" s="448"/>
      <c r="EH6" s="17"/>
      <c r="EI6" s="17"/>
      <c r="EK6" s="17"/>
      <c r="EL6" s="17"/>
      <c r="EM6" s="17"/>
      <c r="EN6" s="17"/>
      <c r="EO6" s="17"/>
      <c r="EP6" s="17"/>
      <c r="EQ6" s="17"/>
      <c r="ER6" s="17"/>
      <c r="ES6" s="17"/>
      <c r="ET6" s="17"/>
      <c r="EU6" s="17"/>
      <c r="EV6" s="17"/>
      <c r="EW6" s="17"/>
      <c r="EX6" s="17"/>
      <c r="EY6" s="17"/>
      <c r="EZ6" s="17"/>
      <c r="FA6" s="17"/>
      <c r="FB6" s="17"/>
      <c r="FC6" s="17"/>
      <c r="FD6" s="17"/>
      <c r="FE6" s="17"/>
      <c r="FF6" s="17"/>
      <c r="FG6" s="17"/>
      <c r="FH6" s="17"/>
      <c r="FI6" s="17"/>
      <c r="FJ6" s="17"/>
      <c r="FK6" s="17"/>
      <c r="FL6" s="17"/>
      <c r="FM6" s="17"/>
      <c r="FN6" s="17"/>
      <c r="FO6" s="17"/>
      <c r="FP6" s="17"/>
    </row>
    <row r="7" spans="1:172" ht="7.5" customHeight="1" x14ac:dyDescent="0.25">
      <c r="EK7" s="17"/>
      <c r="EL7" s="17"/>
      <c r="EM7" s="17"/>
      <c r="EN7" s="17"/>
      <c r="EO7" s="17"/>
      <c r="EP7" s="17"/>
      <c r="EQ7" s="17"/>
      <c r="ER7" s="17"/>
      <c r="ES7" s="17"/>
      <c r="ET7" s="17"/>
      <c r="EU7" s="17"/>
      <c r="EV7" s="17"/>
      <c r="EW7" s="17"/>
      <c r="EX7" s="17"/>
      <c r="EY7" s="17"/>
      <c r="EZ7" s="17"/>
      <c r="FA7" s="17"/>
      <c r="FB7" s="17"/>
      <c r="FC7" s="17"/>
      <c r="FD7" s="17"/>
      <c r="FE7" s="17"/>
      <c r="FF7" s="17"/>
      <c r="FG7" s="17"/>
      <c r="FH7" s="17"/>
      <c r="FI7" s="17"/>
      <c r="FJ7" s="17"/>
      <c r="FK7" s="17"/>
      <c r="FL7" s="17"/>
      <c r="FM7" s="17"/>
      <c r="FN7" s="17"/>
      <c r="FO7" s="17"/>
      <c r="FP7" s="17"/>
    </row>
    <row r="8" spans="1:172" ht="7.5" customHeight="1" x14ac:dyDescent="0.25">
      <c r="B8" s="485">
        <f ca="1">SUM(D:D)</f>
        <v>0</v>
      </c>
      <c r="C8" s="486"/>
      <c r="D8" s="487"/>
      <c r="E8" s="396"/>
      <c r="F8" s="491">
        <f ca="1">SUM(G:G)</f>
        <v>0</v>
      </c>
      <c r="G8" s="492"/>
      <c r="H8" s="493"/>
      <c r="I8" s="395"/>
      <c r="J8" s="129"/>
      <c r="L8" s="401"/>
      <c r="M8" s="401"/>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row>
    <row r="9" spans="1:172" ht="7.5" customHeight="1" x14ac:dyDescent="0.25">
      <c r="B9" s="488"/>
      <c r="C9" s="489"/>
      <c r="D9" s="490"/>
      <c r="E9" s="396"/>
      <c r="F9" s="494"/>
      <c r="G9" s="495"/>
      <c r="H9" s="496"/>
      <c r="I9" s="395"/>
      <c r="J9" s="129"/>
      <c r="L9" s="401"/>
      <c r="M9" s="401"/>
      <c r="EK9" s="17"/>
      <c r="EL9" s="17"/>
      <c r="EM9" s="17"/>
      <c r="EN9" s="17"/>
      <c r="EO9" s="17"/>
      <c r="EP9" s="17"/>
      <c r="EQ9" s="17"/>
      <c r="ER9" s="17"/>
      <c r="ES9" s="17"/>
      <c r="ET9" s="17"/>
      <c r="EU9" s="17"/>
      <c r="EV9" s="17"/>
      <c r="EW9" s="17"/>
      <c r="EX9" s="17"/>
      <c r="EY9" s="17"/>
      <c r="EZ9" s="17"/>
      <c r="FA9" s="17"/>
      <c r="FB9" s="17"/>
      <c r="FC9" s="17"/>
      <c r="FD9" s="17"/>
      <c r="FE9" s="17"/>
      <c r="FF9" s="17"/>
      <c r="FG9" s="17"/>
      <c r="FH9" s="17"/>
      <c r="FI9" s="17"/>
      <c r="FJ9" s="17"/>
      <c r="FK9" s="17"/>
      <c r="FL9" s="17"/>
      <c r="FM9" s="17"/>
      <c r="FN9" s="17"/>
      <c r="FO9" s="17"/>
      <c r="FP9" s="17"/>
    </row>
    <row r="10" spans="1:172" ht="7.5" customHeight="1" x14ac:dyDescent="0.25">
      <c r="D10" s="497" t="s">
        <v>548</v>
      </c>
      <c r="F10" s="381"/>
      <c r="G10" s="498" t="s">
        <v>548</v>
      </c>
      <c r="H10" s="381"/>
      <c r="I10" s="129"/>
      <c r="J10" s="129"/>
      <c r="L10" s="401"/>
      <c r="M10" s="401"/>
    </row>
    <row r="11" spans="1:172" ht="7.5" customHeight="1" x14ac:dyDescent="0.25">
      <c r="D11" s="497"/>
      <c r="G11" s="498"/>
      <c r="H11" s="129"/>
      <c r="I11" s="129"/>
      <c r="J11" s="129"/>
      <c r="L11" s="401"/>
      <c r="M11" s="401"/>
      <c r="AS11" s="129"/>
    </row>
    <row r="12" spans="1:172" ht="7.5" customHeight="1" x14ac:dyDescent="0.25">
      <c r="D12" s="497"/>
      <c r="G12" s="498"/>
      <c r="H12" s="129"/>
      <c r="I12" s="129"/>
      <c r="J12" s="129"/>
      <c r="AS12" s="129"/>
    </row>
    <row r="13" spans="1:172" ht="7.5" customHeight="1" x14ac:dyDescent="0.25">
      <c r="D13" s="497"/>
      <c r="G13" s="498"/>
      <c r="H13" s="129"/>
      <c r="I13" s="129"/>
      <c r="J13" s="129"/>
      <c r="O13" s="17"/>
      <c r="P13" s="17"/>
      <c r="Q13" s="17"/>
      <c r="R13" s="17"/>
      <c r="S13" s="17"/>
      <c r="T13" s="17"/>
      <c r="U13" s="17"/>
      <c r="V13" s="17"/>
      <c r="W13" s="17"/>
      <c r="X13" s="17"/>
      <c r="Y13" s="17"/>
      <c r="Z13" s="17"/>
      <c r="AS13" s="30"/>
    </row>
    <row r="14" spans="1:172" ht="7.5" customHeight="1" x14ac:dyDescent="0.25">
      <c r="D14" s="399"/>
      <c r="G14" s="398"/>
      <c r="L14" s="17"/>
      <c r="M14" s="17"/>
      <c r="N14" s="17"/>
      <c r="O14" s="17"/>
      <c r="P14" s="17"/>
      <c r="Q14" s="17"/>
      <c r="R14" s="17"/>
      <c r="S14" s="17"/>
      <c r="T14" s="17"/>
      <c r="U14" s="17"/>
      <c r="V14" s="17"/>
      <c r="W14" s="17"/>
      <c r="X14" s="17"/>
      <c r="Y14" s="17"/>
      <c r="Z14" s="17"/>
    </row>
    <row r="15" spans="1:172" ht="7.5" customHeight="1" x14ac:dyDescent="0.25">
      <c r="D15" s="400"/>
      <c r="G15" s="398"/>
      <c r="L15" s="17"/>
      <c r="M15" s="17"/>
      <c r="N15" s="17"/>
      <c r="O15" s="17"/>
      <c r="P15" s="17"/>
      <c r="Q15" s="17"/>
      <c r="R15" s="17"/>
      <c r="S15" s="17"/>
      <c r="T15" s="17"/>
      <c r="U15" s="17"/>
      <c r="V15" s="17"/>
      <c r="W15" s="17"/>
      <c r="X15" s="17"/>
      <c r="Y15" s="17"/>
      <c r="Z15" s="17"/>
      <c r="AI15" s="128"/>
      <c r="AJ15" s="128"/>
      <c r="AK15" s="128"/>
      <c r="AL15" s="128"/>
      <c r="DH15" s="17"/>
      <c r="DI15" s="17"/>
      <c r="DJ15" s="17"/>
      <c r="DK15" s="17"/>
      <c r="DL15" s="17"/>
      <c r="DM15" s="17"/>
      <c r="DN15" s="17"/>
      <c r="DO15" s="17"/>
      <c r="DP15" s="17"/>
    </row>
    <row r="16" spans="1:172" ht="7.5" customHeight="1" x14ac:dyDescent="0.25">
      <c r="B16" s="378"/>
      <c r="C16" s="129"/>
      <c r="D16" s="400"/>
      <c r="E16" s="129"/>
      <c r="F16" s="30"/>
      <c r="G16" s="385"/>
      <c r="H16" s="30"/>
      <c r="I16" s="30"/>
      <c r="J16" s="30"/>
      <c r="K16" s="377"/>
      <c r="L16" s="17"/>
      <c r="M16" s="17"/>
      <c r="N16" s="17"/>
      <c r="O16" s="17"/>
      <c r="P16" s="17"/>
      <c r="Q16" s="17"/>
      <c r="R16" s="17"/>
      <c r="S16" s="17"/>
      <c r="T16" s="17"/>
      <c r="U16" s="17"/>
      <c r="V16" s="17"/>
      <c r="W16" s="17"/>
      <c r="X16" s="17"/>
      <c r="Y16" s="17"/>
      <c r="Z16" s="17"/>
    </row>
    <row r="17" spans="1:140" ht="7.5" customHeight="1" x14ac:dyDescent="0.25">
      <c r="A17" s="17"/>
      <c r="B17" s="499">
        <f>B3+1</f>
        <v>1</v>
      </c>
      <c r="C17" s="500"/>
      <c r="D17" s="400"/>
      <c r="E17" s="17"/>
      <c r="F17" s="346"/>
      <c r="G17" s="403"/>
      <c r="H17" s="17"/>
      <c r="I17" s="503">
        <f>I3+D6</f>
        <v>0</v>
      </c>
      <c r="J17" s="504"/>
      <c r="K17" s="17"/>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c r="CF17" s="30"/>
      <c r="CG17" s="30"/>
      <c r="CH17" s="30"/>
      <c r="CI17" s="30"/>
      <c r="CJ17" s="30"/>
      <c r="CK17" s="30"/>
      <c r="CL17" s="30"/>
      <c r="CM17" s="30"/>
      <c r="CN17" s="30"/>
      <c r="CO17" s="30"/>
      <c r="CP17" s="30"/>
      <c r="CQ17" s="30"/>
      <c r="CR17" s="30"/>
      <c r="CS17" s="30"/>
      <c r="CT17" s="30"/>
      <c r="CU17" s="30"/>
      <c r="CV17" s="30"/>
      <c r="CW17" s="30"/>
      <c r="CX17" s="30"/>
      <c r="CY17" s="30"/>
      <c r="CZ17" s="30"/>
      <c r="DA17" s="30"/>
      <c r="DB17" s="30"/>
      <c r="DC17" s="30"/>
      <c r="DD17" s="30"/>
      <c r="DE17" s="30"/>
      <c r="DF17" s="30"/>
      <c r="DG17" s="30"/>
      <c r="DH17" s="30"/>
      <c r="DI17" s="30"/>
      <c r="DJ17" s="30"/>
      <c r="DK17" s="30"/>
      <c r="DL17" s="30"/>
      <c r="DM17" s="30"/>
      <c r="DN17" s="30"/>
      <c r="DO17" s="30"/>
      <c r="DP17" s="30"/>
      <c r="DQ17" s="30"/>
      <c r="DR17" s="30"/>
      <c r="DS17" s="30"/>
      <c r="DT17" s="30"/>
      <c r="DU17" s="30"/>
      <c r="DV17" s="30"/>
      <c r="DW17" s="30"/>
      <c r="DX17" s="30"/>
      <c r="DY17" s="30"/>
      <c r="DZ17" s="30"/>
      <c r="EA17" s="30"/>
      <c r="EB17" s="30"/>
      <c r="EC17" s="30"/>
      <c r="ED17" s="30"/>
      <c r="EE17" s="30"/>
      <c r="EF17" s="30"/>
    </row>
    <row r="18" spans="1:140" ht="7.5" customHeight="1" x14ac:dyDescent="0.25">
      <c r="A18" s="17"/>
      <c r="B18" s="501"/>
      <c r="C18" s="502"/>
      <c r="D18" s="389"/>
      <c r="E18" s="17"/>
      <c r="F18" s="346"/>
      <c r="G18" s="385"/>
      <c r="H18" s="408"/>
      <c r="I18" s="505"/>
      <c r="J18" s="506"/>
      <c r="K18" s="17"/>
      <c r="N18" s="30"/>
      <c r="O18" s="30"/>
      <c r="P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0"/>
      <c r="BZ18" s="30"/>
      <c r="CA18" s="30"/>
      <c r="CB18" s="30"/>
      <c r="CC18" s="30"/>
      <c r="CD18" s="30"/>
      <c r="CE18" s="30"/>
      <c r="CF18" s="30"/>
      <c r="CG18" s="30"/>
      <c r="CH18" s="30"/>
      <c r="CI18" s="30"/>
      <c r="CJ18" s="30"/>
      <c r="CK18" s="30"/>
      <c r="CL18" s="30"/>
      <c r="CM18" s="30"/>
      <c r="CN18" s="30"/>
      <c r="CO18" s="30"/>
      <c r="CP18" s="30"/>
      <c r="CQ18" s="30"/>
      <c r="CR18" s="30"/>
      <c r="CS18" s="30"/>
      <c r="CT18" s="30"/>
      <c r="CU18" s="30"/>
      <c r="CV18" s="30"/>
      <c r="CW18" s="30"/>
      <c r="CX18" s="30"/>
      <c r="CY18" s="30"/>
      <c r="CZ18" s="30"/>
      <c r="DA18" s="30"/>
      <c r="DB18" s="30"/>
      <c r="DC18" s="30"/>
      <c r="DD18" s="30"/>
      <c r="DE18" s="30"/>
      <c r="DF18" s="30"/>
      <c r="DG18" s="30"/>
      <c r="DH18" s="30"/>
      <c r="DI18" s="30"/>
      <c r="DJ18" s="30"/>
      <c r="DK18" s="30"/>
      <c r="DL18" s="30"/>
      <c r="DM18" s="30"/>
      <c r="DN18" s="30"/>
      <c r="DO18" s="30"/>
      <c r="DP18" s="30"/>
      <c r="DQ18" s="30"/>
      <c r="DR18" s="30"/>
      <c r="DS18" s="30"/>
      <c r="DT18" s="30"/>
      <c r="DU18" s="30"/>
      <c r="DV18" s="30"/>
      <c r="DW18" s="30"/>
      <c r="DX18" s="30"/>
      <c r="DY18" s="30"/>
      <c r="DZ18" s="30"/>
      <c r="EA18" s="30"/>
      <c r="EB18" s="30"/>
      <c r="EC18" s="30"/>
      <c r="ED18" s="30"/>
      <c r="EE18" s="30"/>
      <c r="EF18" s="30"/>
    </row>
    <row r="19" spans="1:140" ht="7.5" customHeight="1" x14ac:dyDescent="0.25">
      <c r="A19" s="17"/>
      <c r="B19" s="480" t="s">
        <v>549</v>
      </c>
      <c r="C19" s="17"/>
      <c r="D19" s="388"/>
      <c r="E19" s="394"/>
      <c r="G19" s="398"/>
      <c r="N19" s="30"/>
      <c r="O19" s="30"/>
      <c r="P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0"/>
      <c r="BZ19" s="30"/>
      <c r="CA19" s="30"/>
      <c r="CB19" s="30"/>
      <c r="CC19" s="30"/>
      <c r="CD19" s="30"/>
      <c r="CE19" s="30"/>
      <c r="CF19" s="30"/>
      <c r="CG19" s="30"/>
      <c r="CH19" s="30"/>
      <c r="CI19" s="30"/>
      <c r="CJ19" s="30"/>
      <c r="CK19" s="30"/>
      <c r="CL19" s="30"/>
      <c r="CM19" s="30"/>
      <c r="CN19" s="30"/>
      <c r="CO19" s="30"/>
      <c r="CP19" s="30"/>
      <c r="CQ19" s="30"/>
      <c r="CR19" s="30"/>
      <c r="CS19" s="30"/>
      <c r="CT19" s="30"/>
      <c r="CU19" s="30"/>
      <c r="CV19" s="30"/>
      <c r="CW19" s="30"/>
      <c r="CX19" s="30"/>
      <c r="CY19" s="30"/>
      <c r="CZ19" s="30"/>
      <c r="DA19" s="30"/>
      <c r="DB19" s="30"/>
      <c r="DC19" s="30"/>
      <c r="DD19" s="30"/>
      <c r="DE19" s="30"/>
      <c r="DF19" s="30"/>
      <c r="DG19" s="30"/>
      <c r="DH19" s="30"/>
      <c r="DI19" s="30"/>
      <c r="DJ19" s="30"/>
      <c r="DK19" s="30"/>
      <c r="DL19" s="30"/>
      <c r="DM19" s="30"/>
      <c r="DN19" s="30"/>
      <c r="DO19" s="30"/>
      <c r="DP19" s="30"/>
      <c r="DQ19" s="30"/>
      <c r="DR19" s="30"/>
      <c r="DS19" s="30"/>
      <c r="DT19" s="30"/>
      <c r="DU19" s="30"/>
      <c r="DV19" s="30"/>
      <c r="DW19" s="30"/>
      <c r="DX19" s="30"/>
      <c r="DY19" s="30"/>
      <c r="DZ19" s="30"/>
      <c r="EA19" s="30"/>
      <c r="EB19" s="30"/>
      <c r="EC19" s="30"/>
      <c r="ED19" s="30"/>
      <c r="EE19" s="30"/>
      <c r="EF19" s="30"/>
    </row>
    <row r="20" spans="1:140" ht="7.5" customHeight="1" x14ac:dyDescent="0.25">
      <c r="A20" s="17"/>
      <c r="B20" s="481"/>
      <c r="C20" s="17"/>
      <c r="D20" s="484">
        <f>SUM(21:21)</f>
        <v>0</v>
      </c>
      <c r="E20" s="483"/>
      <c r="F20" s="394"/>
      <c r="G20" s="407"/>
      <c r="L20" s="17"/>
      <c r="N20" s="30"/>
      <c r="O20" s="30"/>
      <c r="P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0"/>
      <c r="BZ20" s="30"/>
      <c r="CA20" s="30"/>
      <c r="CB20" s="30"/>
      <c r="CC20" s="30"/>
      <c r="CD20" s="30"/>
      <c r="CE20" s="30"/>
      <c r="CF20" s="30"/>
      <c r="CG20" s="30"/>
      <c r="CH20" s="30"/>
      <c r="CI20" s="30"/>
      <c r="CJ20" s="30"/>
      <c r="CK20" s="30"/>
      <c r="CL20" s="30"/>
      <c r="CM20" s="30"/>
      <c r="CN20" s="30"/>
      <c r="CO20" s="30"/>
      <c r="CP20" s="30"/>
      <c r="CQ20" s="30"/>
      <c r="CR20" s="30"/>
      <c r="CS20" s="30"/>
      <c r="CT20" s="30"/>
      <c r="CU20" s="30"/>
      <c r="CV20" s="30"/>
      <c r="CW20" s="30"/>
      <c r="CX20" s="30"/>
      <c r="CY20" s="30"/>
      <c r="CZ20" s="30"/>
      <c r="DA20" s="30"/>
      <c r="DB20" s="30"/>
      <c r="DC20" s="30"/>
      <c r="DD20" s="30"/>
      <c r="DE20" s="30"/>
      <c r="DF20" s="30"/>
      <c r="DG20" s="30"/>
      <c r="DH20" s="30"/>
      <c r="DI20" s="30"/>
      <c r="DJ20" s="30"/>
      <c r="DK20" s="30"/>
      <c r="DL20" s="30"/>
      <c r="DM20" s="30"/>
      <c r="DN20" s="30"/>
      <c r="DO20" s="30"/>
      <c r="DP20" s="30"/>
      <c r="DQ20" s="30"/>
      <c r="DR20" s="30"/>
      <c r="DS20" s="30"/>
      <c r="DT20" s="30"/>
      <c r="DU20" s="30"/>
      <c r="DV20" s="30"/>
      <c r="DW20" s="30"/>
      <c r="DX20" s="30"/>
      <c r="DY20" s="30"/>
      <c r="DZ20" s="30"/>
      <c r="EA20" s="30"/>
      <c r="EB20" s="30"/>
      <c r="EC20" s="30"/>
      <c r="ED20" s="30"/>
      <c r="EE20" s="30"/>
      <c r="EF20" s="30"/>
    </row>
    <row r="21" spans="1:140" ht="7.5" customHeight="1" x14ac:dyDescent="0.25">
      <c r="A21" s="17"/>
      <c r="B21" s="481"/>
      <c r="C21" s="17"/>
      <c r="D21" s="484"/>
      <c r="E21" s="483"/>
      <c r="F21" s="386" t="s">
        <v>547</v>
      </c>
      <c r="G21" s="387"/>
      <c r="H21" s="387"/>
      <c r="I21" s="387"/>
      <c r="J21" s="387"/>
      <c r="L21" s="17"/>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0"/>
      <c r="BZ21" s="30"/>
      <c r="CA21" s="30"/>
      <c r="CB21" s="30"/>
      <c r="CC21" s="30"/>
      <c r="CD21" s="30"/>
      <c r="CE21" s="30"/>
      <c r="CF21" s="30"/>
      <c r="CG21" s="30"/>
      <c r="CH21" s="30"/>
      <c r="CI21" s="30"/>
      <c r="CJ21" s="30"/>
      <c r="CK21" s="30"/>
      <c r="CL21" s="30"/>
      <c r="CM21" s="30"/>
      <c r="CN21" s="30"/>
      <c r="CO21" s="30"/>
      <c r="CP21" s="30"/>
      <c r="CQ21" s="30"/>
      <c r="CR21" s="30"/>
      <c r="CS21" s="30"/>
      <c r="CT21" s="30"/>
      <c r="CU21" s="30"/>
      <c r="CV21" s="30"/>
      <c r="CW21" s="30"/>
      <c r="CX21" s="30"/>
      <c r="CY21" s="30"/>
      <c r="CZ21" s="30"/>
      <c r="DA21" s="30"/>
      <c r="DB21" s="30"/>
      <c r="DC21" s="30"/>
      <c r="DD21" s="30"/>
      <c r="DE21" s="30"/>
      <c r="DF21" s="30"/>
      <c r="DG21" s="30"/>
      <c r="DH21" s="30"/>
      <c r="DI21" s="30"/>
      <c r="DJ21" s="30"/>
      <c r="DK21" s="30"/>
      <c r="DL21" s="30"/>
      <c r="DM21" s="30"/>
      <c r="DN21" s="30"/>
      <c r="DO21" s="30"/>
      <c r="DP21" s="30"/>
      <c r="DQ21" s="30"/>
      <c r="DR21" s="30"/>
      <c r="DS21" s="30"/>
      <c r="DT21" s="30"/>
      <c r="DU21" s="30"/>
      <c r="DV21" s="30"/>
      <c r="DW21" s="30"/>
      <c r="DX21" s="30"/>
      <c r="DY21" s="30"/>
      <c r="DZ21" s="30"/>
      <c r="EA21" s="30"/>
      <c r="EB21" s="30"/>
      <c r="EC21" s="30"/>
      <c r="ED21" s="30"/>
      <c r="EE21" s="30"/>
      <c r="EF21" s="30"/>
    </row>
    <row r="22" spans="1:140" ht="7.5" customHeight="1" x14ac:dyDescent="0.25">
      <c r="A22" s="17"/>
      <c r="B22" s="481"/>
      <c r="C22" s="17"/>
      <c r="D22" s="484"/>
      <c r="E22" s="483"/>
      <c r="F22" s="393"/>
      <c r="G22" s="391"/>
      <c r="H22" s="425"/>
      <c r="I22" s="17"/>
      <c r="K22" s="17"/>
      <c r="L22" s="17"/>
      <c r="M22" s="353"/>
      <c r="N22" s="30"/>
      <c r="O22" s="30"/>
      <c r="P22" s="30"/>
      <c r="Q22" s="30"/>
      <c r="R22" s="30"/>
      <c r="S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0"/>
      <c r="BZ22" s="30"/>
      <c r="CA22" s="30"/>
      <c r="CB22" s="30"/>
      <c r="CC22" s="30"/>
      <c r="CD22" s="30"/>
      <c r="CE22" s="30"/>
      <c r="CF22" s="30"/>
      <c r="CG22" s="30"/>
      <c r="CH22" s="30"/>
      <c r="CI22" s="30"/>
      <c r="CJ22" s="30"/>
      <c r="CK22" s="30"/>
      <c r="CL22" s="30"/>
      <c r="CM22" s="30"/>
      <c r="CN22" s="30"/>
      <c r="CO22" s="30"/>
      <c r="CP22" s="30"/>
      <c r="CQ22" s="30"/>
      <c r="CR22" s="30"/>
      <c r="CS22" s="30"/>
      <c r="CT22" s="30"/>
      <c r="CU22" s="30"/>
      <c r="CV22" s="30"/>
      <c r="CW22" s="30"/>
      <c r="CX22" s="30"/>
      <c r="CY22" s="30"/>
      <c r="CZ22" s="30"/>
      <c r="DA22" s="30"/>
      <c r="DB22" s="30"/>
      <c r="DC22" s="30"/>
      <c r="DD22" s="30"/>
      <c r="DE22" s="30"/>
      <c r="DF22" s="30"/>
      <c r="DG22" s="30"/>
      <c r="DH22" s="30"/>
      <c r="DI22" s="30"/>
      <c r="DJ22" s="30"/>
      <c r="DK22" s="30"/>
      <c r="DL22" s="30"/>
      <c r="DM22" s="30"/>
      <c r="DN22" s="30"/>
      <c r="DO22" s="30"/>
      <c r="DP22" s="30"/>
      <c r="DQ22" s="30"/>
      <c r="DR22" s="30"/>
      <c r="DS22" s="30"/>
      <c r="DT22" s="30"/>
      <c r="DU22" s="30"/>
      <c r="DV22" s="30"/>
      <c r="DW22" s="30"/>
      <c r="DX22" s="30"/>
      <c r="DY22" s="30"/>
      <c r="DZ22" s="30"/>
      <c r="EA22" s="30"/>
      <c r="EB22" s="30"/>
      <c r="EC22" s="30"/>
      <c r="ED22" s="30"/>
      <c r="EE22" s="30"/>
      <c r="EF22" s="30"/>
    </row>
    <row r="23" spans="1:140" ht="7.5" customHeight="1" x14ac:dyDescent="0.25">
      <c r="A23" s="17"/>
      <c r="B23" s="481"/>
      <c r="C23" s="17"/>
      <c r="D23" s="388"/>
      <c r="E23" s="390"/>
      <c r="G23" s="398"/>
      <c r="H23" s="409"/>
      <c r="J23" s="17"/>
      <c r="K23" s="17"/>
      <c r="L23" s="353"/>
      <c r="M23" s="353"/>
      <c r="N23" s="30"/>
      <c r="O23" s="30"/>
      <c r="P23" s="30"/>
      <c r="Q23" s="30"/>
      <c r="R23" s="30"/>
      <c r="S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0"/>
      <c r="BZ23" s="30"/>
      <c r="CA23" s="30"/>
      <c r="CB23" s="30"/>
      <c r="CC23" s="30"/>
      <c r="CD23" s="30"/>
      <c r="CE23" s="30"/>
      <c r="CF23" s="30"/>
      <c r="CG23" s="30"/>
      <c r="CH23" s="30"/>
      <c r="CI23" s="30"/>
      <c r="CJ23" s="30"/>
      <c r="CK23" s="30"/>
      <c r="CL23" s="30"/>
      <c r="CM23" s="30"/>
      <c r="CN23" s="30"/>
      <c r="CO23" s="30"/>
      <c r="CP23" s="30"/>
      <c r="CQ23" s="30"/>
      <c r="CR23" s="30"/>
      <c r="CS23" s="30"/>
      <c r="CT23" s="30"/>
      <c r="CU23" s="30"/>
      <c r="CV23" s="30"/>
      <c r="CW23" s="30"/>
      <c r="CX23" s="30"/>
      <c r="CY23" s="30"/>
      <c r="CZ23" s="30"/>
      <c r="DA23" s="30"/>
      <c r="DB23" s="30"/>
      <c r="DC23" s="30"/>
      <c r="DD23" s="30"/>
      <c r="DE23" s="30"/>
      <c r="DF23" s="30"/>
      <c r="DG23" s="30"/>
      <c r="DH23" s="30"/>
      <c r="DI23" s="30"/>
      <c r="DJ23" s="30"/>
      <c r="DK23" s="30"/>
      <c r="DL23" s="30"/>
      <c r="DM23" s="30"/>
      <c r="DN23" s="30"/>
      <c r="DO23" s="30"/>
      <c r="DP23" s="30"/>
      <c r="DQ23" s="30"/>
      <c r="DR23" s="30"/>
      <c r="DS23" s="30"/>
      <c r="DT23" s="30"/>
      <c r="DU23" s="30"/>
      <c r="DV23" s="30"/>
      <c r="DW23" s="30"/>
      <c r="DX23" s="30"/>
      <c r="DY23" s="30"/>
      <c r="DZ23" s="30"/>
      <c r="EA23" s="30"/>
      <c r="EB23" s="30"/>
      <c r="EC23" s="30"/>
      <c r="ED23" s="30"/>
      <c r="EE23" s="30"/>
      <c r="EF23" s="30"/>
    </row>
    <row r="24" spans="1:140" ht="7.5" customHeight="1" x14ac:dyDescent="0.25">
      <c r="A24" s="17"/>
      <c r="B24" s="481"/>
      <c r="C24" s="17"/>
      <c r="D24" s="380"/>
      <c r="F24" s="392"/>
      <c r="G24" s="482">
        <f>SUM(26:26)</f>
        <v>0</v>
      </c>
      <c r="H24" s="483"/>
      <c r="I24" s="412"/>
      <c r="J24" s="17"/>
      <c r="K24" s="17"/>
      <c r="N24" s="30"/>
      <c r="O24" s="30"/>
      <c r="P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0"/>
      <c r="BZ24" s="30"/>
      <c r="CA24" s="30"/>
      <c r="CB24" s="30"/>
      <c r="CC24" s="30"/>
      <c r="CD24" s="30"/>
      <c r="CE24" s="30"/>
      <c r="CF24" s="30"/>
      <c r="CG24" s="30"/>
      <c r="CH24" s="30"/>
      <c r="CI24" s="30"/>
      <c r="CJ24" s="30"/>
      <c r="CK24" s="30"/>
      <c r="CL24" s="30"/>
      <c r="CM24" s="30"/>
      <c r="CN24" s="30"/>
      <c r="CO24" s="30"/>
      <c r="CP24" s="30"/>
      <c r="CQ24" s="30"/>
      <c r="CR24" s="30"/>
      <c r="CS24" s="30"/>
      <c r="CT24" s="30"/>
      <c r="CU24" s="30"/>
      <c r="CV24" s="30"/>
      <c r="CW24" s="30"/>
      <c r="CX24" s="30"/>
      <c r="CY24" s="30"/>
      <c r="CZ24" s="30"/>
      <c r="DA24" s="30"/>
      <c r="DB24" s="30"/>
      <c r="DC24" s="30"/>
      <c r="DD24" s="30"/>
      <c r="DE24" s="30"/>
      <c r="DF24" s="30"/>
      <c r="DG24" s="30"/>
      <c r="DH24" s="30"/>
      <c r="DI24" s="30"/>
      <c r="DJ24" s="30"/>
      <c r="DK24" s="30"/>
      <c r="DL24" s="30"/>
      <c r="DM24" s="30"/>
      <c r="DN24" s="30"/>
      <c r="DO24" s="30"/>
      <c r="DP24" s="30"/>
      <c r="DQ24" s="30"/>
      <c r="DR24" s="30"/>
      <c r="DS24" s="30"/>
      <c r="DT24" s="30"/>
      <c r="DU24" s="30"/>
      <c r="DV24" s="30"/>
      <c r="DW24" s="30"/>
      <c r="DX24" s="30"/>
      <c r="DY24" s="30"/>
      <c r="DZ24" s="30"/>
      <c r="EA24" s="30"/>
      <c r="EB24" s="30"/>
      <c r="EC24" s="30"/>
      <c r="ED24" s="30"/>
      <c r="EE24" s="30"/>
      <c r="EF24" s="30"/>
    </row>
    <row r="25" spans="1:140" ht="7.5" customHeight="1" x14ac:dyDescent="0.25">
      <c r="A25" s="17"/>
      <c r="B25" s="481"/>
      <c r="C25" s="17"/>
      <c r="D25" s="380"/>
      <c r="E25" s="17"/>
      <c r="G25" s="482"/>
      <c r="H25" s="483"/>
      <c r="I25" s="411"/>
      <c r="N25" s="30"/>
      <c r="O25" s="30"/>
      <c r="P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0"/>
      <c r="BZ25" s="30"/>
      <c r="CA25" s="30"/>
      <c r="CB25" s="30"/>
      <c r="CC25" s="30"/>
      <c r="CD25" s="30"/>
      <c r="CE25" s="30"/>
      <c r="CF25" s="30"/>
      <c r="CG25" s="30"/>
      <c r="CH25" s="30"/>
      <c r="CI25" s="30"/>
      <c r="CJ25" s="30"/>
      <c r="CK25" s="30"/>
      <c r="CL25" s="30"/>
      <c r="CM25" s="30"/>
      <c r="CN25" s="30"/>
      <c r="CO25" s="30"/>
      <c r="CP25" s="30"/>
      <c r="CQ25" s="30"/>
      <c r="CR25" s="30"/>
      <c r="CS25" s="30"/>
      <c r="CT25" s="30"/>
      <c r="CU25" s="30"/>
      <c r="CV25" s="30"/>
      <c r="CW25" s="30"/>
      <c r="CX25" s="30"/>
      <c r="CY25" s="30"/>
      <c r="CZ25" s="30"/>
      <c r="DA25" s="30"/>
      <c r="DB25" s="30"/>
      <c r="DC25" s="30"/>
      <c r="DD25" s="30"/>
      <c r="DE25" s="30"/>
      <c r="DF25" s="30"/>
      <c r="DG25" s="30"/>
      <c r="DH25" s="30"/>
      <c r="DI25" s="30"/>
      <c r="DJ25" s="30"/>
      <c r="DK25" s="30"/>
      <c r="DL25" s="30"/>
      <c r="DM25" s="30"/>
      <c r="DN25" s="30"/>
      <c r="DO25" s="30"/>
      <c r="DP25" s="30"/>
      <c r="DQ25" s="30"/>
      <c r="DR25" s="30"/>
      <c r="DS25" s="30"/>
      <c r="DT25" s="30"/>
      <c r="DU25" s="30"/>
      <c r="DV25" s="30"/>
      <c r="DW25" s="30"/>
      <c r="DX25" s="30"/>
      <c r="DY25" s="30"/>
      <c r="DZ25" s="30"/>
      <c r="EA25" s="30"/>
      <c r="EB25" s="30"/>
      <c r="EC25" s="30"/>
      <c r="ED25" s="30"/>
      <c r="EE25" s="30"/>
      <c r="EF25" s="30"/>
    </row>
    <row r="26" spans="1:140" ht="7.5" customHeight="1" x14ac:dyDescent="0.25">
      <c r="A26" s="17"/>
      <c r="B26" s="481"/>
      <c r="C26" s="17"/>
      <c r="D26" s="380"/>
      <c r="E26" s="17"/>
      <c r="G26" s="482"/>
      <c r="H26" s="483"/>
      <c r="I26" s="426" t="s">
        <v>547</v>
      </c>
      <c r="J26" s="410"/>
      <c r="K26" s="384"/>
      <c r="N26" s="357"/>
      <c r="O26" s="357"/>
      <c r="P26" s="357"/>
      <c r="Q26" s="357"/>
      <c r="R26" s="357"/>
      <c r="S26" s="357"/>
      <c r="T26" s="357"/>
      <c r="U26" s="357"/>
      <c r="V26" s="357"/>
      <c r="W26" s="357"/>
      <c r="X26" s="357"/>
      <c r="Y26" s="357"/>
      <c r="Z26" s="357"/>
      <c r="AA26" s="357"/>
      <c r="AB26" s="357"/>
      <c r="AC26" s="357"/>
      <c r="AD26" s="357"/>
      <c r="AE26" s="357"/>
      <c r="AF26" s="357"/>
      <c r="AG26" s="357"/>
      <c r="AH26" s="357"/>
      <c r="AI26" s="357"/>
      <c r="AJ26" s="357"/>
      <c r="AK26" s="357"/>
      <c r="AL26" s="357"/>
      <c r="AM26" s="357"/>
      <c r="AN26" s="357"/>
      <c r="AO26" s="357"/>
      <c r="AP26" s="357"/>
      <c r="AQ26" s="357"/>
      <c r="AR26" s="357"/>
      <c r="AS26" s="357"/>
      <c r="AT26" s="357"/>
      <c r="AU26" s="357"/>
      <c r="AV26" s="357"/>
      <c r="AW26" s="357"/>
      <c r="AX26" s="357"/>
      <c r="AY26" s="357"/>
      <c r="AZ26" s="357"/>
      <c r="BA26" s="357"/>
      <c r="BB26" s="357"/>
      <c r="BC26" s="357"/>
      <c r="BD26" s="357"/>
      <c r="BE26" s="357"/>
      <c r="BF26" s="357"/>
      <c r="BG26" s="357"/>
      <c r="BH26" s="357"/>
      <c r="BI26" s="357"/>
      <c r="BJ26" s="357"/>
      <c r="BK26" s="357"/>
      <c r="BL26" s="357"/>
      <c r="BM26" s="357"/>
      <c r="BN26" s="357"/>
      <c r="BO26" s="357"/>
      <c r="BP26" s="357"/>
      <c r="BQ26" s="357"/>
      <c r="BR26" s="357"/>
      <c r="BS26" s="357"/>
      <c r="BT26" s="357"/>
      <c r="BU26" s="357"/>
      <c r="BV26" s="357"/>
      <c r="BW26" s="357"/>
      <c r="BX26" s="357"/>
      <c r="BY26" s="357"/>
      <c r="BZ26" s="357"/>
      <c r="CA26" s="357"/>
      <c r="CB26" s="357"/>
      <c r="CC26" s="357"/>
      <c r="CD26" s="357"/>
      <c r="CE26" s="357"/>
      <c r="CF26" s="357"/>
      <c r="CG26" s="357"/>
      <c r="CH26" s="357"/>
      <c r="CI26" s="357"/>
      <c r="CJ26" s="357"/>
      <c r="CK26" s="357"/>
      <c r="CL26" s="357"/>
      <c r="CM26" s="357"/>
      <c r="CN26" s="357"/>
      <c r="CO26" s="357"/>
      <c r="CP26" s="357"/>
      <c r="CQ26" s="357"/>
      <c r="CR26" s="357"/>
      <c r="CS26" s="357"/>
      <c r="CT26" s="357"/>
      <c r="CU26" s="357"/>
      <c r="CV26" s="357"/>
      <c r="CW26" s="357"/>
      <c r="CX26" s="357"/>
      <c r="CY26" s="357"/>
      <c r="CZ26" s="357"/>
      <c r="DA26" s="357"/>
      <c r="DB26" s="357"/>
      <c r="DC26" s="357"/>
      <c r="DD26" s="357"/>
      <c r="DE26" s="357"/>
      <c r="DF26" s="357"/>
      <c r="DG26" s="357"/>
      <c r="DH26" s="357"/>
      <c r="DI26" s="357"/>
      <c r="DJ26" s="357"/>
      <c r="DK26" s="357"/>
      <c r="DL26" s="357"/>
      <c r="DM26" s="357"/>
      <c r="DN26" s="357"/>
      <c r="DO26" s="357"/>
      <c r="DP26" s="357"/>
      <c r="DQ26" s="357"/>
      <c r="DR26" s="357"/>
      <c r="DS26" s="357"/>
      <c r="DT26" s="357"/>
      <c r="DU26" s="357"/>
      <c r="DV26" s="357"/>
      <c r="DW26" s="357"/>
      <c r="DX26" s="357"/>
      <c r="DY26" s="357"/>
      <c r="DZ26" s="357"/>
      <c r="EA26" s="357"/>
      <c r="EB26" s="357"/>
      <c r="EC26" s="357"/>
      <c r="ED26" s="357"/>
      <c r="EE26" s="357"/>
      <c r="EF26" s="357"/>
    </row>
    <row r="27" spans="1:140" s="17" customFormat="1" ht="7.5" customHeight="1" x14ac:dyDescent="0.25">
      <c r="A27" s="572" t="s">
        <v>551</v>
      </c>
      <c r="B27" s="573"/>
      <c r="C27" s="402"/>
      <c r="D27" s="422"/>
      <c r="E27" s="578" t="s">
        <v>551</v>
      </c>
      <c r="F27" s="579"/>
      <c r="G27" s="403"/>
      <c r="H27" s="402"/>
      <c r="I27" s="573" t="s">
        <v>551</v>
      </c>
      <c r="J27" s="573"/>
      <c r="K27" s="404"/>
      <c r="CI27" s="30"/>
      <c r="CJ27" s="30"/>
      <c r="CK27" s="30"/>
      <c r="CL27" s="30"/>
      <c r="CM27" s="30"/>
      <c r="CN27" s="30"/>
      <c r="CO27" s="30"/>
      <c r="CP27" s="30"/>
      <c r="CQ27" s="30"/>
      <c r="CR27" s="30"/>
      <c r="CS27" s="30"/>
      <c r="CT27" s="30"/>
      <c r="CU27" s="30"/>
      <c r="CV27" s="30"/>
      <c r="CW27" s="30"/>
      <c r="CX27" s="30"/>
      <c r="CY27" s="30"/>
      <c r="CZ27" s="30"/>
      <c r="DA27" s="30"/>
      <c r="DB27" s="30"/>
      <c r="DC27" s="30"/>
      <c r="DD27" s="30"/>
      <c r="DE27" s="30"/>
      <c r="DF27" s="30"/>
      <c r="DG27" s="30"/>
      <c r="DH27" s="30"/>
      <c r="DI27" s="30"/>
      <c r="DJ27" s="30"/>
      <c r="DK27" s="30"/>
      <c r="DL27" s="355"/>
      <c r="DM27" s="30"/>
      <c r="DN27" s="355"/>
    </row>
    <row r="28" spans="1:140" s="17" customFormat="1" ht="7.5" customHeight="1" thickBot="1" x14ac:dyDescent="0.3">
      <c r="A28" s="574"/>
      <c r="B28" s="575"/>
      <c r="C28" s="30"/>
      <c r="D28" s="423"/>
      <c r="E28" s="580"/>
      <c r="F28" s="581"/>
      <c r="G28" s="385"/>
      <c r="H28" s="30"/>
      <c r="I28" s="575"/>
      <c r="J28" s="575"/>
      <c r="K28" s="377"/>
      <c r="CI28" s="343"/>
      <c r="CJ28" s="343"/>
      <c r="CK28" s="343"/>
      <c r="CL28" s="343"/>
      <c r="CM28" s="343"/>
      <c r="CN28" s="343"/>
      <c r="CO28" s="343"/>
      <c r="CP28" s="343"/>
      <c r="CQ28" s="343"/>
      <c r="CR28" s="343"/>
      <c r="CS28" s="343"/>
      <c r="CT28" s="343"/>
      <c r="CU28" s="343"/>
      <c r="CV28" s="343"/>
      <c r="CW28" s="343"/>
      <c r="CX28" s="343"/>
      <c r="CY28" s="343"/>
      <c r="CZ28" s="343"/>
      <c r="DA28" s="343"/>
      <c r="DB28" s="343"/>
      <c r="DC28" s="343"/>
      <c r="DD28" s="343"/>
      <c r="DE28" s="343"/>
      <c r="DF28" s="343"/>
      <c r="DG28" s="343"/>
      <c r="DH28" s="343"/>
      <c r="DI28" s="343"/>
      <c r="DJ28" s="343"/>
      <c r="DK28" s="343"/>
      <c r="DL28" s="356"/>
      <c r="DM28" s="30"/>
      <c r="DN28" s="355"/>
    </row>
    <row r="29" spans="1:140" s="17" customFormat="1" ht="7.5" customHeight="1" x14ac:dyDescent="0.25">
      <c r="A29" s="574"/>
      <c r="B29" s="575"/>
      <c r="C29" s="30"/>
      <c r="D29" s="153"/>
      <c r="E29" s="580"/>
      <c r="F29" s="581"/>
      <c r="G29" s="385"/>
      <c r="H29" s="30"/>
      <c r="I29" s="575"/>
      <c r="J29" s="575"/>
      <c r="K29" s="377"/>
      <c r="CI29" s="157"/>
      <c r="CJ29" s="342"/>
      <c r="CK29" s="342"/>
      <c r="CL29" s="342"/>
      <c r="DH29" s="30"/>
      <c r="DI29" s="30"/>
      <c r="DJ29" s="30"/>
      <c r="DK29" s="30"/>
      <c r="DL29" s="30"/>
      <c r="DM29" s="30"/>
      <c r="DN29" s="355"/>
    </row>
    <row r="30" spans="1:140" s="17" customFormat="1" ht="7.5" customHeight="1" x14ac:dyDescent="0.25">
      <c r="A30" s="576"/>
      <c r="B30" s="577"/>
      <c r="C30" s="397"/>
      <c r="D30" s="424"/>
      <c r="E30" s="582"/>
      <c r="F30" s="583"/>
      <c r="G30" s="405"/>
      <c r="H30" s="357"/>
      <c r="I30" s="577"/>
      <c r="J30" s="577"/>
      <c r="K30" s="406"/>
      <c r="BY30" s="30"/>
      <c r="BZ30" s="30"/>
      <c r="CA30" s="30"/>
      <c r="CB30" s="357"/>
      <c r="CC30" s="357"/>
      <c r="CD30" s="357"/>
      <c r="CE30" s="357"/>
      <c r="CF30" s="357"/>
      <c r="CG30" s="357"/>
      <c r="CH30" s="358"/>
      <c r="CI30" s="30"/>
      <c r="CJ30" s="30"/>
      <c r="CK30" s="30"/>
      <c r="CL30" s="30"/>
      <c r="CM30" s="30"/>
      <c r="CN30" s="30"/>
      <c r="CO30" s="30"/>
      <c r="CP30" s="30"/>
      <c r="CQ30" s="30"/>
      <c r="CR30" s="30"/>
      <c r="CS30" s="30"/>
      <c r="CT30" s="30"/>
      <c r="CU30" s="30"/>
      <c r="CV30" s="30"/>
      <c r="CW30" s="30"/>
      <c r="CX30" s="30"/>
      <c r="CY30" s="30"/>
      <c r="CZ30" s="30"/>
      <c r="DA30" s="30"/>
      <c r="DE30" s="30"/>
      <c r="DF30" s="30"/>
      <c r="DG30" s="30"/>
      <c r="DH30" s="357"/>
      <c r="DI30" s="357"/>
      <c r="DJ30" s="357"/>
      <c r="DK30" s="357"/>
      <c r="DL30" s="357"/>
      <c r="DM30" s="357"/>
      <c r="DN30" s="358"/>
      <c r="DO30" s="30"/>
      <c r="DP30" s="30"/>
      <c r="DQ30" s="30"/>
      <c r="DR30" s="30"/>
      <c r="DS30" s="30"/>
      <c r="DT30" s="30"/>
      <c r="DU30" s="30"/>
      <c r="DV30" s="30"/>
      <c r="DW30" s="30"/>
      <c r="DX30" s="30"/>
      <c r="DY30" s="30"/>
      <c r="DZ30" s="30"/>
      <c r="EA30" s="30"/>
      <c r="EB30" s="30"/>
      <c r="EC30" s="30"/>
      <c r="ED30" s="30"/>
      <c r="EE30" s="30"/>
      <c r="EF30" s="30"/>
      <c r="EG30" s="30"/>
    </row>
    <row r="31" spans="1:140" s="346" customFormat="1" ht="7.5" customHeight="1" x14ac:dyDescent="7.35">
      <c r="A31" s="17"/>
      <c r="B31" s="499">
        <f>B17+1</f>
        <v>2</v>
      </c>
      <c r="C31" s="500"/>
      <c r="D31" s="400"/>
      <c r="E31" s="17"/>
      <c r="G31" s="403"/>
      <c r="H31" s="17"/>
      <c r="I31" s="503">
        <f>I17+D20</f>
        <v>0</v>
      </c>
      <c r="J31" s="504"/>
      <c r="K31" s="17"/>
      <c r="L31" s="119"/>
      <c r="M31" s="119"/>
      <c r="N31" s="520"/>
      <c r="O31" s="520"/>
      <c r="P31" s="507" t="s">
        <v>449</v>
      </c>
      <c r="Q31" s="507"/>
      <c r="R31" s="507"/>
      <c r="S31" s="507"/>
      <c r="T31" s="507"/>
      <c r="U31" s="507"/>
      <c r="V31" s="507"/>
      <c r="W31" s="507"/>
      <c r="X31" s="507"/>
      <c r="Y31" s="507"/>
      <c r="Z31" s="507"/>
      <c r="AA31" s="507"/>
      <c r="AB31" s="507"/>
      <c r="AC31" s="507"/>
      <c r="AD31" s="509"/>
      <c r="AE31" s="509"/>
      <c r="AH31" s="17"/>
      <c r="AI31" s="17"/>
      <c r="AJ31" s="164"/>
      <c r="AK31" s="164"/>
      <c r="AL31" s="164"/>
      <c r="AM31" s="348"/>
      <c r="AN31" s="164"/>
      <c r="AO31" s="359"/>
      <c r="AP31" s="359"/>
      <c r="AV31" s="520"/>
      <c r="AW31" s="520"/>
      <c r="AX31" s="507" t="s">
        <v>449</v>
      </c>
      <c r="AY31" s="507"/>
      <c r="AZ31" s="507"/>
      <c r="BA31" s="507"/>
      <c r="BB31" s="507"/>
      <c r="BC31" s="507"/>
      <c r="BD31" s="507"/>
      <c r="BE31" s="507"/>
      <c r="BF31" s="507"/>
      <c r="BG31" s="507"/>
      <c r="BH31" s="507"/>
      <c r="BI31" s="507"/>
      <c r="BJ31" s="507"/>
      <c r="BK31" s="507"/>
      <c r="BL31" s="509"/>
      <c r="BM31" s="509"/>
      <c r="BN31" s="30"/>
      <c r="BO31" s="30"/>
      <c r="BP31" s="30"/>
      <c r="BQ31" s="347"/>
      <c r="BR31" s="365"/>
      <c r="BS31" s="348"/>
      <c r="BT31" s="164"/>
      <c r="BU31" s="359"/>
      <c r="BV31" s="359"/>
      <c r="BY31" s="370"/>
      <c r="BZ31" s="520"/>
      <c r="CA31" s="520"/>
      <c r="CB31" s="507" t="s">
        <v>449</v>
      </c>
      <c r="CC31" s="507"/>
      <c r="CD31" s="507"/>
      <c r="CE31" s="507"/>
      <c r="CF31" s="507"/>
      <c r="CG31" s="507"/>
      <c r="CH31" s="507"/>
      <c r="CI31" s="507"/>
      <c r="CJ31" s="507"/>
      <c r="CK31" s="507"/>
      <c r="CL31" s="507"/>
      <c r="CM31" s="507"/>
      <c r="CN31" s="507"/>
      <c r="CO31" s="507"/>
      <c r="CP31" s="509"/>
      <c r="CQ31" s="509"/>
      <c r="CR31" s="30"/>
      <c r="CS31" s="30"/>
      <c r="CT31" s="30"/>
      <c r="CU31" s="347"/>
      <c r="CV31" s="365"/>
      <c r="CW31" s="365"/>
      <c r="CX31" s="365"/>
      <c r="CY31" s="360"/>
      <c r="CZ31" s="365"/>
      <c r="DA31" s="365"/>
      <c r="DB31" s="359"/>
      <c r="DE31" s="370"/>
      <c r="DF31" s="520"/>
      <c r="DG31" s="520"/>
      <c r="DH31" s="507" t="s">
        <v>449</v>
      </c>
      <c r="DI31" s="507"/>
      <c r="DJ31" s="507"/>
      <c r="DK31" s="507"/>
      <c r="DL31" s="507"/>
      <c r="DM31" s="507"/>
      <c r="DN31" s="507"/>
      <c r="DO31" s="507"/>
      <c r="DP31" s="507"/>
      <c r="DQ31" s="507"/>
      <c r="DR31" s="507"/>
      <c r="DS31" s="507"/>
      <c r="DT31" s="507"/>
      <c r="DU31" s="507"/>
      <c r="DV31" s="509"/>
      <c r="DW31" s="509"/>
      <c r="DX31" s="30"/>
      <c r="DY31" s="30"/>
      <c r="DZ31" s="30"/>
      <c r="EA31" s="347"/>
      <c r="EB31" s="365"/>
      <c r="EC31" s="365"/>
      <c r="ED31" s="365"/>
      <c r="EE31" s="360"/>
      <c r="EF31" s="365"/>
      <c r="EG31" s="365"/>
      <c r="EH31" s="359"/>
      <c r="EJ31" s="17"/>
    </row>
    <row r="32" spans="1:140" s="346" customFormat="1" ht="7.5" customHeight="1" x14ac:dyDescent="0.25">
      <c r="A32" s="17"/>
      <c r="B32" s="501"/>
      <c r="C32" s="502"/>
      <c r="D32" s="389"/>
      <c r="E32" s="17"/>
      <c r="G32" s="385"/>
      <c r="H32" s="408"/>
      <c r="I32" s="505"/>
      <c r="J32" s="506"/>
      <c r="K32" s="17"/>
      <c r="L32" s="119"/>
      <c r="M32" s="119"/>
      <c r="N32" s="521"/>
      <c r="O32" s="521"/>
      <c r="P32" s="508"/>
      <c r="Q32" s="508"/>
      <c r="R32" s="508"/>
      <c r="S32" s="508"/>
      <c r="T32" s="508"/>
      <c r="U32" s="508"/>
      <c r="V32" s="508"/>
      <c r="W32" s="508"/>
      <c r="X32" s="508"/>
      <c r="Y32" s="508"/>
      <c r="Z32" s="508"/>
      <c r="AA32" s="508"/>
      <c r="AB32" s="508"/>
      <c r="AC32" s="508"/>
      <c r="AD32" s="510"/>
      <c r="AE32" s="510"/>
      <c r="AH32" s="17"/>
      <c r="AI32" s="17"/>
      <c r="AO32" s="359"/>
      <c r="AP32" s="359"/>
      <c r="AV32" s="521"/>
      <c r="AW32" s="521"/>
      <c r="AX32" s="508"/>
      <c r="AY32" s="508"/>
      <c r="AZ32" s="508"/>
      <c r="BA32" s="508"/>
      <c r="BB32" s="508"/>
      <c r="BC32" s="508"/>
      <c r="BD32" s="508"/>
      <c r="BE32" s="508"/>
      <c r="BF32" s="508"/>
      <c r="BG32" s="508"/>
      <c r="BH32" s="508"/>
      <c r="BI32" s="508"/>
      <c r="BJ32" s="508"/>
      <c r="BK32" s="508"/>
      <c r="BL32" s="510"/>
      <c r="BM32" s="510"/>
      <c r="BN32" s="511" t="str">
        <f>HYPERLINK("http://wiki.project-saros.com/w/"&amp;AX31,"View Online")</f>
        <v>View Online</v>
      </c>
      <c r="BO32" s="512"/>
      <c r="BP32" s="512"/>
      <c r="BQ32" s="513"/>
      <c r="BR32" s="513"/>
      <c r="BS32" s="17"/>
      <c r="BT32" s="17"/>
      <c r="BU32" s="359"/>
      <c r="BV32" s="359"/>
      <c r="BY32" s="370"/>
      <c r="BZ32" s="521"/>
      <c r="CA32" s="521"/>
      <c r="CB32" s="508"/>
      <c r="CC32" s="508"/>
      <c r="CD32" s="508"/>
      <c r="CE32" s="508"/>
      <c r="CF32" s="508"/>
      <c r="CG32" s="508"/>
      <c r="CH32" s="508"/>
      <c r="CI32" s="508"/>
      <c r="CJ32" s="508"/>
      <c r="CK32" s="508"/>
      <c r="CL32" s="508"/>
      <c r="CM32" s="508"/>
      <c r="CN32" s="508"/>
      <c r="CO32" s="508"/>
      <c r="CP32" s="510"/>
      <c r="CQ32" s="510"/>
      <c r="CR32" s="511" t="str">
        <f>HYPERLINK("http://wiki.project-saros.com/w/"&amp;CB31,"View Online")</f>
        <v>View Online</v>
      </c>
      <c r="CS32" s="512"/>
      <c r="CT32" s="512"/>
      <c r="CU32" s="513"/>
      <c r="CV32" s="513"/>
      <c r="CW32" s="370"/>
      <c r="CX32" s="370"/>
      <c r="CY32" s="370"/>
      <c r="CZ32" s="370"/>
      <c r="DA32" s="365"/>
      <c r="DB32" s="359"/>
      <c r="DE32" s="370"/>
      <c r="DF32" s="521"/>
      <c r="DG32" s="521"/>
      <c r="DH32" s="508"/>
      <c r="DI32" s="508"/>
      <c r="DJ32" s="508"/>
      <c r="DK32" s="508"/>
      <c r="DL32" s="508"/>
      <c r="DM32" s="508"/>
      <c r="DN32" s="508"/>
      <c r="DO32" s="508"/>
      <c r="DP32" s="508"/>
      <c r="DQ32" s="508"/>
      <c r="DR32" s="508"/>
      <c r="DS32" s="508"/>
      <c r="DT32" s="508"/>
      <c r="DU32" s="508"/>
      <c r="DV32" s="510"/>
      <c r="DW32" s="510"/>
      <c r="DX32" s="511" t="str">
        <f>HYPERLINK("http://wiki.project-saros.com/w/"&amp;DH31,"View Online")</f>
        <v>View Online</v>
      </c>
      <c r="DY32" s="511"/>
      <c r="DZ32" s="511"/>
      <c r="EA32" s="511"/>
      <c r="EB32" s="511"/>
      <c r="EC32" s="511"/>
      <c r="ED32" s="511"/>
      <c r="EE32" s="511"/>
      <c r="EF32" s="511"/>
      <c r="EG32" s="365"/>
      <c r="EH32" s="359"/>
      <c r="EJ32" s="17"/>
    </row>
    <row r="33" spans="1:169" ht="7.5" customHeight="1" x14ac:dyDescent="0.25">
      <c r="A33" s="17"/>
      <c r="B33" s="480" t="s">
        <v>549</v>
      </c>
      <c r="C33" s="17"/>
      <c r="D33" s="388"/>
      <c r="E33" s="394"/>
      <c r="G33" s="398"/>
      <c r="N33" s="514">
        <v>1</v>
      </c>
      <c r="O33" s="515"/>
      <c r="P33" s="17"/>
      <c r="Q33" s="17"/>
      <c r="T33" s="517"/>
      <c r="U33" s="517"/>
      <c r="V33" s="368"/>
      <c r="W33" s="369"/>
      <c r="X33" s="369"/>
      <c r="Y33" s="161"/>
      <c r="Z33" s="161"/>
      <c r="AA33" s="518" t="str">
        <f>HYPERLINK("http://wiki.project-saros.com/w/"&amp;P31,"View Online")</f>
        <v>View Online</v>
      </c>
      <c r="AB33" s="519"/>
      <c r="AC33" s="519"/>
      <c r="AD33" s="519"/>
      <c r="AE33" s="519"/>
      <c r="AF33" s="361"/>
      <c r="AG33" s="362"/>
      <c r="AH33" s="17"/>
      <c r="AI33" s="17"/>
      <c r="AJ33" s="161"/>
      <c r="AK33" s="161"/>
      <c r="AL33" s="161"/>
      <c r="AM33" s="161"/>
      <c r="AN33" s="161"/>
      <c r="AO33" s="161"/>
      <c r="AP33" s="161"/>
      <c r="AV33" s="514"/>
      <c r="AW33" s="515"/>
      <c r="AX33" s="17"/>
      <c r="AY33" s="17"/>
      <c r="BB33" s="517"/>
      <c r="BC33" s="517"/>
      <c r="BD33" s="368"/>
      <c r="BE33" s="369"/>
      <c r="BF33" s="369"/>
      <c r="BG33" s="161"/>
      <c r="BH33" s="161"/>
      <c r="BI33" s="161"/>
      <c r="BJ33" s="161"/>
      <c r="BK33" s="161"/>
      <c r="BL33" s="161"/>
      <c r="BM33" s="161"/>
      <c r="BN33" s="350"/>
      <c r="BO33" s="350"/>
      <c r="BP33" s="350"/>
      <c r="BQ33" s="350"/>
      <c r="BR33" s="351"/>
      <c r="BS33" s="17"/>
      <c r="BT33" s="17"/>
      <c r="BU33" s="161"/>
      <c r="BV33" s="161"/>
      <c r="BY33" s="129"/>
      <c r="BZ33" s="514">
        <v>0</v>
      </c>
      <c r="CA33" s="515"/>
      <c r="CB33" s="17"/>
      <c r="CC33" s="17"/>
      <c r="CF33" s="517"/>
      <c r="CG33" s="517"/>
      <c r="CH33" s="368"/>
      <c r="CI33" s="369"/>
      <c r="CJ33" s="369"/>
      <c r="CK33" s="161"/>
      <c r="CL33" s="161"/>
      <c r="CM33" s="161"/>
      <c r="CN33" s="161"/>
      <c r="CO33" s="161"/>
      <c r="CP33" s="161"/>
      <c r="CQ33" s="161"/>
      <c r="CR33" s="371"/>
      <c r="CS33" s="371"/>
      <c r="CT33" s="371"/>
      <c r="CU33" s="371"/>
      <c r="CV33" s="372"/>
      <c r="CW33" s="349"/>
      <c r="CX33" s="161"/>
      <c r="CY33" s="161"/>
      <c r="CZ33" s="129"/>
      <c r="DA33" s="161"/>
      <c r="DB33" s="161"/>
      <c r="DE33" s="129"/>
      <c r="DF33" s="514">
        <v>0</v>
      </c>
      <c r="DG33" s="515"/>
      <c r="DH33" s="17"/>
      <c r="DI33" s="17"/>
      <c r="DL33" s="517"/>
      <c r="DM33" s="517"/>
      <c r="DN33" s="368"/>
      <c r="DO33" s="369"/>
      <c r="DP33" s="369"/>
      <c r="DQ33" s="161"/>
      <c r="DR33" s="161"/>
      <c r="DS33" s="161"/>
      <c r="DT33" s="161"/>
      <c r="DU33" s="161"/>
      <c r="DV33" s="161"/>
      <c r="DW33" s="161"/>
      <c r="DX33" s="371"/>
      <c r="DY33" s="371"/>
      <c r="DZ33" s="371"/>
      <c r="EA33" s="371"/>
      <c r="EB33" s="371"/>
      <c r="EC33" s="371"/>
      <c r="ED33" s="371"/>
      <c r="EE33" s="371"/>
      <c r="EF33" s="372"/>
      <c r="EG33" s="161"/>
      <c r="EH33" s="161"/>
    </row>
    <row r="34" spans="1:169" ht="7.5" customHeight="1" x14ac:dyDescent="0.25">
      <c r="A34" s="17"/>
      <c r="B34" s="481"/>
      <c r="C34" s="17"/>
      <c r="D34" s="484">
        <f ca="1">SUM(35:35)</f>
        <v>0</v>
      </c>
      <c r="E34" s="483"/>
      <c r="F34" s="394"/>
      <c r="G34" s="407"/>
      <c r="L34" s="17"/>
      <c r="N34" s="516"/>
      <c r="O34" s="517"/>
      <c r="Q34" s="524" t="s">
        <v>550</v>
      </c>
      <c r="R34" s="524"/>
      <c r="S34" s="524"/>
      <c r="T34" s="524"/>
      <c r="U34" s="524"/>
      <c r="V34" s="525"/>
      <c r="W34" s="547" t="str">
        <f ca="1">IF(AC40&lt;0,"✗",IF(AC40&gt;0,"✓",SUM(P36+$B31&amp;" xp")))</f>
        <v>✗</v>
      </c>
      <c r="X34" s="548"/>
      <c r="Y34" s="548"/>
      <c r="Z34" s="549"/>
      <c r="AB34" s="161"/>
      <c r="AC34" s="161"/>
      <c r="AD34" s="161"/>
      <c r="AE34" s="161"/>
      <c r="AF34" s="361"/>
      <c r="AG34" s="362"/>
      <c r="AH34" s="17"/>
      <c r="AI34" s="17"/>
      <c r="AJ34" s="344"/>
      <c r="AK34" s="344"/>
      <c r="AL34" s="344"/>
      <c r="AM34" s="344"/>
      <c r="AN34" s="161"/>
      <c r="AO34" s="161"/>
      <c r="AP34" s="161"/>
      <c r="AV34" s="516"/>
      <c r="AW34" s="517"/>
      <c r="AY34" s="524" t="s">
        <v>550</v>
      </c>
      <c r="AZ34" s="524"/>
      <c r="BA34" s="524"/>
      <c r="BB34" s="524"/>
      <c r="BC34" s="524"/>
      <c r="BD34" s="525"/>
      <c r="BE34" s="528" t="str">
        <f ca="1">IF(BL40&lt;0,"✗",IF(BL40&gt;0,"✓",SUM(AX36:BQ37)+$B31&amp;" xp"))</f>
        <v>✗</v>
      </c>
      <c r="BF34" s="529"/>
      <c r="BG34" s="529"/>
      <c r="BH34" s="530"/>
      <c r="BI34" s="129"/>
      <c r="BJ34" s="17"/>
      <c r="BK34" s="17"/>
      <c r="BL34" s="17"/>
      <c r="BM34" s="17"/>
      <c r="BN34" s="17"/>
      <c r="BO34" s="17"/>
      <c r="BP34" s="17"/>
      <c r="BQ34" s="17"/>
      <c r="BR34" s="352"/>
      <c r="BS34" s="17"/>
      <c r="BT34" s="17"/>
      <c r="BU34" s="161"/>
      <c r="BV34" s="161"/>
      <c r="BY34" s="129"/>
      <c r="BZ34" s="516"/>
      <c r="CA34" s="517"/>
      <c r="CC34" s="524" t="s">
        <v>550</v>
      </c>
      <c r="CD34" s="524"/>
      <c r="CE34" s="524"/>
      <c r="CF34" s="524"/>
      <c r="CG34" s="524"/>
      <c r="CH34" s="525"/>
      <c r="CI34" s="528" t="str">
        <f ca="1">IF(CP40&lt;0,"✗",IF(CP40&gt;0,"✓",SUM(CB36:CU37)+$B31&amp;" xp"))</f>
        <v>✗</v>
      </c>
      <c r="CJ34" s="529"/>
      <c r="CK34" s="529"/>
      <c r="CL34" s="530"/>
      <c r="CM34" s="129"/>
      <c r="CN34" s="522"/>
      <c r="CO34" s="522"/>
      <c r="CP34" s="522"/>
      <c r="CQ34" s="522"/>
      <c r="CR34" s="522"/>
      <c r="CS34" s="522"/>
      <c r="CT34" s="522"/>
      <c r="CU34" s="522"/>
      <c r="CV34" s="352"/>
      <c r="CW34" s="366"/>
      <c r="CX34" s="367"/>
      <c r="CY34" s="367"/>
      <c r="CZ34" s="129"/>
      <c r="DA34" s="161"/>
      <c r="DB34" s="161"/>
      <c r="DE34" s="129"/>
      <c r="DF34" s="516"/>
      <c r="DG34" s="517"/>
      <c r="DI34" s="524" t="s">
        <v>550</v>
      </c>
      <c r="DJ34" s="524"/>
      <c r="DK34" s="524"/>
      <c r="DL34" s="524"/>
      <c r="DM34" s="524"/>
      <c r="DN34" s="525"/>
      <c r="DO34" s="528" t="str">
        <f ca="1">IF(DV40&lt;0,"✗",IF(DV40&gt;0,"✓",SUM(DH36:EA37)+$B31&amp;" xp"))</f>
        <v>✗</v>
      </c>
      <c r="DP34" s="529"/>
      <c r="DQ34" s="529"/>
      <c r="DR34" s="530"/>
      <c r="DS34" s="129"/>
      <c r="DT34" s="522"/>
      <c r="DU34" s="522"/>
      <c r="DV34" s="522"/>
      <c r="DW34" s="522"/>
      <c r="DX34" s="522"/>
      <c r="DY34" s="522"/>
      <c r="DZ34" s="522"/>
      <c r="EA34" s="522"/>
      <c r="EB34" s="522"/>
      <c r="EC34" s="522"/>
      <c r="ED34" s="522"/>
      <c r="EE34" s="522"/>
      <c r="EF34" s="352"/>
      <c r="EG34" s="161"/>
      <c r="EH34" s="161"/>
    </row>
    <row r="35" spans="1:169" ht="7.5" customHeight="1" x14ac:dyDescent="0.25">
      <c r="A35" s="17"/>
      <c r="B35" s="481"/>
      <c r="C35" s="17"/>
      <c r="D35" s="484"/>
      <c r="E35" s="483"/>
      <c r="F35" s="386" t="s">
        <v>547</v>
      </c>
      <c r="G35" s="387"/>
      <c r="H35" s="387"/>
      <c r="I35" s="387"/>
      <c r="J35" s="387"/>
      <c r="L35" s="17"/>
      <c r="N35" s="570">
        <f ca="1">IF(AC40&lt;0,0,SUM(P36))</f>
        <v>0</v>
      </c>
      <c r="O35" s="571"/>
      <c r="P35" s="383"/>
      <c r="Q35" s="526"/>
      <c r="R35" s="526"/>
      <c r="S35" s="526"/>
      <c r="T35" s="524"/>
      <c r="U35" s="524"/>
      <c r="V35" s="525"/>
      <c r="W35" s="550"/>
      <c r="X35" s="551"/>
      <c r="Y35" s="551"/>
      <c r="Z35" s="552"/>
      <c r="AB35" s="161"/>
      <c r="AC35" s="161"/>
      <c r="AD35" s="161"/>
      <c r="AE35" s="161"/>
      <c r="AF35" s="361"/>
      <c r="AG35" s="362"/>
      <c r="AH35" s="17"/>
      <c r="AI35" s="17"/>
      <c r="AJ35" s="344"/>
      <c r="AK35" s="344"/>
      <c r="AL35" s="344"/>
      <c r="AM35" s="344"/>
      <c r="AN35" s="161"/>
      <c r="AO35" s="161"/>
      <c r="AP35" s="161"/>
      <c r="AV35" s="570">
        <f ca="1">IF(BL40&lt;0,0,SUM(AX36:BQ37))</f>
        <v>0</v>
      </c>
      <c r="AW35" s="571"/>
      <c r="AX35" s="383"/>
      <c r="AY35" s="526"/>
      <c r="AZ35" s="526"/>
      <c r="BA35" s="526"/>
      <c r="BB35" s="526"/>
      <c r="BC35" s="526"/>
      <c r="BD35" s="527"/>
      <c r="BE35" s="531"/>
      <c r="BF35" s="532"/>
      <c r="BG35" s="532"/>
      <c r="BH35" s="533"/>
      <c r="BI35" s="129"/>
      <c r="BJ35" s="17"/>
      <c r="BK35" s="17"/>
      <c r="BL35" s="17"/>
      <c r="BM35" s="17"/>
      <c r="BN35" s="17"/>
      <c r="BO35" s="17"/>
      <c r="BP35" s="17"/>
      <c r="BQ35" s="17"/>
      <c r="BR35" s="352"/>
      <c r="BS35" s="17"/>
      <c r="BT35" s="17"/>
      <c r="BU35" s="161"/>
      <c r="BV35" s="161"/>
      <c r="BY35" s="129"/>
      <c r="BZ35" s="570">
        <f ca="1">IF(CP40&lt;0,0,SUM(CB36:CU37))</f>
        <v>0</v>
      </c>
      <c r="CA35" s="571"/>
      <c r="CB35" s="383"/>
      <c r="CC35" s="526"/>
      <c r="CD35" s="526"/>
      <c r="CE35" s="526"/>
      <c r="CF35" s="526"/>
      <c r="CG35" s="526"/>
      <c r="CH35" s="527"/>
      <c r="CI35" s="531"/>
      <c r="CJ35" s="532"/>
      <c r="CK35" s="532"/>
      <c r="CL35" s="533"/>
      <c r="CM35" s="129"/>
      <c r="CN35" s="523"/>
      <c r="CO35" s="523"/>
      <c r="CP35" s="523"/>
      <c r="CQ35" s="523"/>
      <c r="CR35" s="523"/>
      <c r="CS35" s="523"/>
      <c r="CT35" s="523"/>
      <c r="CU35" s="523"/>
      <c r="CV35" s="352"/>
      <c r="CW35" s="366"/>
      <c r="CX35" s="367"/>
      <c r="CY35" s="367"/>
      <c r="CZ35" s="129"/>
      <c r="DA35" s="161"/>
      <c r="DB35" s="161"/>
      <c r="DE35" s="129"/>
      <c r="DF35" s="570">
        <f ca="1">IF(DV40&lt;0,0,SUM(DH36:EE37))</f>
        <v>0</v>
      </c>
      <c r="DG35" s="571"/>
      <c r="DH35" s="383"/>
      <c r="DI35" s="526"/>
      <c r="DJ35" s="526"/>
      <c r="DK35" s="526"/>
      <c r="DL35" s="526"/>
      <c r="DM35" s="526"/>
      <c r="DN35" s="527"/>
      <c r="DO35" s="531"/>
      <c r="DP35" s="532"/>
      <c r="DQ35" s="532"/>
      <c r="DR35" s="533"/>
      <c r="DS35" s="129"/>
      <c r="DT35" s="523"/>
      <c r="DU35" s="523"/>
      <c r="DV35" s="523"/>
      <c r="DW35" s="523"/>
      <c r="DX35" s="523"/>
      <c r="DY35" s="523"/>
      <c r="DZ35" s="523"/>
      <c r="EA35" s="523"/>
      <c r="EB35" s="523"/>
      <c r="EC35" s="523"/>
      <c r="ED35" s="523"/>
      <c r="EE35" s="523"/>
      <c r="EF35" s="352"/>
      <c r="EG35" s="161"/>
      <c r="EH35" s="161"/>
    </row>
    <row r="36" spans="1:169" ht="7.5" customHeight="1" x14ac:dyDescent="0.25">
      <c r="A36" s="17"/>
      <c r="B36" s="481"/>
      <c r="C36" s="17"/>
      <c r="D36" s="484"/>
      <c r="E36" s="483"/>
      <c r="F36" s="393"/>
      <c r="G36" s="391"/>
      <c r="H36" s="425"/>
      <c r="I36" s="17"/>
      <c r="K36" s="17"/>
      <c r="L36" s="17"/>
      <c r="M36" s="353"/>
      <c r="N36" s="349"/>
      <c r="O36" s="164"/>
      <c r="P36" s="534">
        <v>0</v>
      </c>
      <c r="Q36" s="535"/>
      <c r="R36" s="535"/>
      <c r="S36" s="536"/>
      <c r="T36" s="382"/>
      <c r="U36" s="30"/>
      <c r="V36" s="30"/>
      <c r="W36" s="30"/>
      <c r="X36" s="30"/>
      <c r="Y36" s="30"/>
      <c r="Z36" s="30"/>
      <c r="AA36" s="17"/>
      <c r="AB36" s="17"/>
      <c r="AC36" s="17"/>
      <c r="AD36" s="17"/>
      <c r="AE36" s="17"/>
      <c r="AF36" s="363"/>
      <c r="AG36" s="345"/>
      <c r="AH36" s="17"/>
      <c r="AI36" s="17"/>
      <c r="AJ36" s="30"/>
      <c r="AK36" s="129"/>
      <c r="AL36" s="344"/>
      <c r="AM36" s="344"/>
      <c r="AN36" s="161"/>
      <c r="AO36" s="161"/>
      <c r="AP36" s="161"/>
      <c r="AV36" s="349"/>
      <c r="AW36" s="161"/>
      <c r="AX36" s="522">
        <v>5</v>
      </c>
      <c r="AY36" s="522"/>
      <c r="AZ36" s="522"/>
      <c r="BA36" s="522"/>
      <c r="BB36" s="540"/>
      <c r="BC36" s="541"/>
      <c r="BD36" s="541"/>
      <c r="BE36" s="542"/>
      <c r="BF36" s="522"/>
      <c r="BG36" s="522"/>
      <c r="BH36" s="522"/>
      <c r="BI36" s="522"/>
      <c r="BJ36" s="534"/>
      <c r="BK36" s="535"/>
      <c r="BL36" s="535"/>
      <c r="BM36" s="536"/>
      <c r="BN36" s="534"/>
      <c r="BO36" s="535"/>
      <c r="BP36" s="535"/>
      <c r="BQ36" s="536"/>
      <c r="BR36" s="546"/>
      <c r="BS36" s="17"/>
      <c r="BT36" s="17"/>
      <c r="BU36" s="161"/>
      <c r="BV36" s="161"/>
      <c r="BY36" s="129"/>
      <c r="BZ36" s="349"/>
      <c r="CA36" s="161"/>
      <c r="CB36" s="522">
        <v>0</v>
      </c>
      <c r="CC36" s="522"/>
      <c r="CD36" s="522"/>
      <c r="CE36" s="522"/>
      <c r="CF36" s="540"/>
      <c r="CG36" s="541"/>
      <c r="CH36" s="541"/>
      <c r="CI36" s="542"/>
      <c r="CJ36" s="522"/>
      <c r="CK36" s="522"/>
      <c r="CL36" s="522"/>
      <c r="CM36" s="522"/>
      <c r="CN36" s="553">
        <f>IF(AND(CB36=3,CN38&lt;&gt;5),1,0)</f>
        <v>0</v>
      </c>
      <c r="CO36" s="554"/>
      <c r="CP36" s="554"/>
      <c r="CQ36" s="554"/>
      <c r="CR36" s="553">
        <f>IF(AND(CN36&lt;&gt;0,CR38&lt;&gt;5),1,0)</f>
        <v>0</v>
      </c>
      <c r="CS36" s="554"/>
      <c r="CT36" s="554"/>
      <c r="CU36" s="557"/>
      <c r="CV36" s="416"/>
      <c r="CW36" s="349"/>
      <c r="CX36" s="161"/>
      <c r="CY36" s="161"/>
      <c r="CZ36" s="129"/>
      <c r="DA36" s="161"/>
      <c r="DB36" s="161"/>
      <c r="DE36" s="129"/>
      <c r="DF36" s="349"/>
      <c r="DG36" s="161"/>
      <c r="DH36" s="522">
        <v>0</v>
      </c>
      <c r="DI36" s="522"/>
      <c r="DJ36" s="522"/>
      <c r="DK36" s="522"/>
      <c r="DL36" s="540"/>
      <c r="DM36" s="541"/>
      <c r="DN36" s="541"/>
      <c r="DO36" s="542"/>
      <c r="DP36" s="522"/>
      <c r="DQ36" s="522"/>
      <c r="DR36" s="522"/>
      <c r="DS36" s="522"/>
      <c r="DT36" s="553">
        <f>IF(AND(DH36=3,DT38&lt;&gt;5),1,0)</f>
        <v>0</v>
      </c>
      <c r="DU36" s="554"/>
      <c r="DV36" s="554"/>
      <c r="DW36" s="554"/>
      <c r="DX36" s="553">
        <f>IF(AND(DT36&lt;&gt;0,DX38&lt;&gt;5),1,0)</f>
        <v>0</v>
      </c>
      <c r="DY36" s="554"/>
      <c r="DZ36" s="554"/>
      <c r="EA36" s="557"/>
      <c r="EB36" s="553">
        <f>IF(AND(DX36&lt;&gt;0,EB38&lt;&gt;5),1,0)</f>
        <v>0</v>
      </c>
      <c r="EC36" s="554"/>
      <c r="ED36" s="554"/>
      <c r="EE36" s="557"/>
      <c r="EF36" s="352"/>
      <c r="EG36" s="161"/>
      <c r="EH36" s="161"/>
    </row>
    <row r="37" spans="1:169" ht="7.5" customHeight="1" x14ac:dyDescent="0.25">
      <c r="A37" s="17"/>
      <c r="B37" s="481"/>
      <c r="C37" s="17"/>
      <c r="D37" s="388"/>
      <c r="E37" s="390"/>
      <c r="G37" s="398"/>
      <c r="H37" s="409"/>
      <c r="J37" s="17"/>
      <c r="K37" s="17"/>
      <c r="L37" s="353"/>
      <c r="M37" s="353"/>
      <c r="N37" s="349"/>
      <c r="O37" s="164"/>
      <c r="P37" s="537"/>
      <c r="Q37" s="538"/>
      <c r="R37" s="538"/>
      <c r="S37" s="539"/>
      <c r="T37" s="17"/>
      <c r="U37" s="17"/>
      <c r="V37" s="17"/>
      <c r="W37" s="17"/>
      <c r="X37" s="17"/>
      <c r="Y37" s="17"/>
      <c r="Z37" s="17"/>
      <c r="AA37" s="17"/>
      <c r="AB37" s="17"/>
      <c r="AC37" s="17"/>
      <c r="AD37" s="17"/>
      <c r="AE37" s="17"/>
      <c r="AF37" s="363"/>
      <c r="AG37" s="345"/>
      <c r="AH37" s="17"/>
      <c r="AI37" s="17"/>
      <c r="AJ37" s="30"/>
      <c r="AK37" s="129"/>
      <c r="AL37" s="344"/>
      <c r="AM37" s="344"/>
      <c r="AN37" s="161"/>
      <c r="AO37" s="161"/>
      <c r="AP37" s="161"/>
      <c r="AV37" s="349"/>
      <c r="AW37" s="161"/>
      <c r="AX37" s="523"/>
      <c r="AY37" s="523"/>
      <c r="AZ37" s="523"/>
      <c r="BA37" s="523"/>
      <c r="BB37" s="543"/>
      <c r="BC37" s="544"/>
      <c r="BD37" s="544"/>
      <c r="BE37" s="545"/>
      <c r="BF37" s="523"/>
      <c r="BG37" s="523"/>
      <c r="BH37" s="523"/>
      <c r="BI37" s="523"/>
      <c r="BJ37" s="537"/>
      <c r="BK37" s="538"/>
      <c r="BL37" s="538"/>
      <c r="BM37" s="539"/>
      <c r="BN37" s="537"/>
      <c r="BO37" s="538"/>
      <c r="BP37" s="538"/>
      <c r="BQ37" s="539"/>
      <c r="BR37" s="546"/>
      <c r="BS37" s="17"/>
      <c r="BT37" s="17"/>
      <c r="BU37" s="161"/>
      <c r="BV37" s="161"/>
      <c r="BY37" s="129"/>
      <c r="BZ37" s="349"/>
      <c r="CA37" s="161"/>
      <c r="CB37" s="523"/>
      <c r="CC37" s="523"/>
      <c r="CD37" s="523"/>
      <c r="CE37" s="523"/>
      <c r="CF37" s="543"/>
      <c r="CG37" s="544"/>
      <c r="CH37" s="544"/>
      <c r="CI37" s="545"/>
      <c r="CJ37" s="523"/>
      <c r="CK37" s="523"/>
      <c r="CL37" s="523"/>
      <c r="CM37" s="523"/>
      <c r="CN37" s="555"/>
      <c r="CO37" s="556"/>
      <c r="CP37" s="556"/>
      <c r="CQ37" s="556"/>
      <c r="CR37" s="555"/>
      <c r="CS37" s="556"/>
      <c r="CT37" s="556"/>
      <c r="CU37" s="558"/>
      <c r="CV37" s="416"/>
      <c r="CW37" s="349"/>
      <c r="CX37" s="161"/>
      <c r="CY37" s="161"/>
      <c r="CZ37" s="129"/>
      <c r="DA37" s="161"/>
      <c r="DB37" s="161"/>
      <c r="DE37" s="129"/>
      <c r="DF37" s="349"/>
      <c r="DG37" s="161"/>
      <c r="DH37" s="523"/>
      <c r="DI37" s="523"/>
      <c r="DJ37" s="523"/>
      <c r="DK37" s="523"/>
      <c r="DL37" s="543"/>
      <c r="DM37" s="544"/>
      <c r="DN37" s="544"/>
      <c r="DO37" s="545"/>
      <c r="DP37" s="523"/>
      <c r="DQ37" s="523"/>
      <c r="DR37" s="523"/>
      <c r="DS37" s="523"/>
      <c r="DT37" s="555"/>
      <c r="DU37" s="556"/>
      <c r="DV37" s="556"/>
      <c r="DW37" s="556"/>
      <c r="DX37" s="555"/>
      <c r="DY37" s="556"/>
      <c r="DZ37" s="556"/>
      <c r="EA37" s="558"/>
      <c r="EB37" s="555"/>
      <c r="EC37" s="556"/>
      <c r="ED37" s="556"/>
      <c r="EE37" s="558"/>
      <c r="EF37" s="352"/>
      <c r="EG37" s="161"/>
      <c r="EH37" s="161"/>
    </row>
    <row r="38" spans="1:169" ht="7.5" customHeight="1" x14ac:dyDescent="0.25">
      <c r="A38" s="17"/>
      <c r="B38" s="481"/>
      <c r="C38" s="17"/>
      <c r="D38" s="380"/>
      <c r="F38" s="392"/>
      <c r="G38" s="482">
        <f ca="1">SUM(40:40)</f>
        <v>0</v>
      </c>
      <c r="H38" s="483"/>
      <c r="I38" s="412"/>
      <c r="J38" s="17"/>
      <c r="K38" s="17"/>
      <c r="N38" s="559" t="str">
        <f ca="1">IF(($B31-1)*6&lt;=$I31,"","Need "&amp;($B31-1)*6-$I31&amp; " more rank(s) in "&amp;$L$2&amp;".
")&amp;IF(OR(N33&lt;&gt;1,OFFSET(U17,4,-2)&gt;=3),"","Need "&amp;3-OFFSET(U17,4,-2)&amp;" more rank(s) in "&amp;U17&amp;".")</f>
        <v>Need 6 more rank(s) in _________ Skills.
Need 3 more rank(s) in .</v>
      </c>
      <c r="O38" s="560"/>
      <c r="P38" s="560"/>
      <c r="Q38" s="560"/>
      <c r="R38" s="560"/>
      <c r="S38" s="560"/>
      <c r="T38" s="560"/>
      <c r="U38" s="560"/>
      <c r="V38" s="560"/>
      <c r="W38" s="560"/>
      <c r="X38" s="560"/>
      <c r="Y38" s="560"/>
      <c r="Z38" s="560"/>
      <c r="AA38" s="560"/>
      <c r="AB38" s="17"/>
      <c r="AC38" s="17"/>
      <c r="AD38" s="17"/>
      <c r="AE38" s="17"/>
      <c r="AF38" s="363"/>
      <c r="AG38" s="345"/>
      <c r="AH38" s="17"/>
      <c r="AI38" s="17"/>
      <c r="AJ38" s="30"/>
      <c r="AK38" s="129"/>
      <c r="AL38" s="344"/>
      <c r="AM38" s="344"/>
      <c r="AN38" s="161"/>
      <c r="AO38" s="161"/>
      <c r="AP38" s="161"/>
      <c r="AV38" s="559" t="str">
        <f ca="1">IF(($B31-1)*6&lt;=$I31,"","Need "&amp;($B31-1)*6-$I31&amp; " more rank(s) in "&amp;$L$2&amp;".
")&amp;IF(OR(AV33&lt;&gt;1,OFFSET(BC17,4,-2)&gt;=3),"","Need "&amp;3-OFFSET(BC17,4,-2)&amp;" more rank(s) in "&amp;BC17&amp;".")</f>
        <v xml:space="preserve">Need 6 more rank(s) in _________ Skills.
</v>
      </c>
      <c r="AW38" s="560"/>
      <c r="AX38" s="560"/>
      <c r="AY38" s="560"/>
      <c r="AZ38" s="560"/>
      <c r="BA38" s="560"/>
      <c r="BB38" s="560"/>
      <c r="BC38" s="560"/>
      <c r="BD38" s="560"/>
      <c r="BE38" s="560"/>
      <c r="BF38" s="560"/>
      <c r="BG38" s="560"/>
      <c r="BH38" s="560"/>
      <c r="BI38" s="560"/>
      <c r="BJ38" s="17"/>
      <c r="BK38" s="17"/>
      <c r="BL38" s="17"/>
      <c r="BM38" s="17"/>
      <c r="BN38" s="17"/>
      <c r="BO38" s="17"/>
      <c r="BP38" s="17"/>
      <c r="BQ38" s="17"/>
      <c r="BR38" s="415"/>
      <c r="BS38" s="17"/>
      <c r="BT38" s="17"/>
      <c r="BU38" s="161"/>
      <c r="BV38" s="161"/>
      <c r="BY38" s="129"/>
      <c r="BZ38" s="559" t="str">
        <f ca="1">IF(($B31-1)*6&lt;=$I31,"","Need "&amp;($B31-1)*6-$I31&amp; " more rank(s) in "&amp;$L$2&amp;".
")&amp;IF(OR(BZ33&lt;&gt;1,OFFSET(CG17,4,-2)&gt;=3),"","Need "&amp;3-OFFSET(CG17,4,-2)&amp;" more rank(s) in "&amp;CG17&amp;".")</f>
        <v xml:space="preserve">Need 6 more rank(s) in _________ Skills.
</v>
      </c>
      <c r="CA38" s="560"/>
      <c r="CB38" s="560"/>
      <c r="CC38" s="560"/>
      <c r="CD38" s="560"/>
      <c r="CE38" s="560"/>
      <c r="CF38" s="560"/>
      <c r="CG38" s="560"/>
      <c r="CH38" s="560"/>
      <c r="CI38" s="560"/>
      <c r="CJ38" s="560"/>
      <c r="CK38" s="560"/>
      <c r="CL38" s="560"/>
      <c r="CM38" s="560"/>
      <c r="CN38" s="522">
        <v>5</v>
      </c>
      <c r="CO38" s="522"/>
      <c r="CP38" s="522"/>
      <c r="CQ38" s="522"/>
      <c r="CR38" s="522">
        <v>5</v>
      </c>
      <c r="CS38" s="522"/>
      <c r="CT38" s="522"/>
      <c r="CU38" s="522"/>
      <c r="CV38" s="352"/>
      <c r="CW38" s="366"/>
      <c r="CX38" s="367"/>
      <c r="CY38" s="367"/>
      <c r="CZ38" s="129"/>
      <c r="DA38" s="161"/>
      <c r="DB38" s="161"/>
      <c r="DE38" s="129"/>
      <c r="DF38" s="559" t="str">
        <f ca="1">IF(($B31-1)*6&lt;=$I31,"","Need "&amp;($B31-1)*6-$I31&amp; " more rank(s) in "&amp;$L$2&amp;".
")&amp;IF(OR(DF33&lt;&gt;1,OFFSET(DM17,4,-2)&gt;=3),"","Need "&amp;3-OFFSET(DM17,4,-2)&amp;" more rank(s) in "&amp;DM17&amp;".")</f>
        <v xml:space="preserve">Need 6 more rank(s) in _________ Skills.
</v>
      </c>
      <c r="DG38" s="560"/>
      <c r="DH38" s="560"/>
      <c r="DI38" s="560"/>
      <c r="DJ38" s="560"/>
      <c r="DK38" s="560"/>
      <c r="DL38" s="560"/>
      <c r="DM38" s="560"/>
      <c r="DN38" s="560"/>
      <c r="DO38" s="560"/>
      <c r="DP38" s="560"/>
      <c r="DQ38" s="560"/>
      <c r="DR38" s="560"/>
      <c r="DS38" s="560"/>
      <c r="DT38" s="522">
        <v>5</v>
      </c>
      <c r="DU38" s="522"/>
      <c r="DV38" s="522"/>
      <c r="DW38" s="522"/>
      <c r="DX38" s="522">
        <v>5</v>
      </c>
      <c r="DY38" s="522"/>
      <c r="DZ38" s="522"/>
      <c r="EA38" s="522"/>
      <c r="EB38" s="522">
        <v>5</v>
      </c>
      <c r="EC38" s="522"/>
      <c r="ED38" s="522"/>
      <c r="EE38" s="522"/>
      <c r="EF38" s="352"/>
      <c r="EG38" s="161"/>
      <c r="EH38" s="161"/>
    </row>
    <row r="39" spans="1:169" ht="7.5" customHeight="1" x14ac:dyDescent="0.25">
      <c r="A39" s="17"/>
      <c r="B39" s="481"/>
      <c r="C39" s="17"/>
      <c r="D39" s="380"/>
      <c r="E39" s="17"/>
      <c r="G39" s="482"/>
      <c r="H39" s="483"/>
      <c r="I39" s="411"/>
      <c r="N39" s="559"/>
      <c r="O39" s="560"/>
      <c r="P39" s="560"/>
      <c r="Q39" s="560"/>
      <c r="R39" s="560"/>
      <c r="S39" s="560"/>
      <c r="T39" s="560"/>
      <c r="U39" s="560"/>
      <c r="V39" s="560"/>
      <c r="W39" s="560"/>
      <c r="X39" s="560"/>
      <c r="Y39" s="560"/>
      <c r="Z39" s="560"/>
      <c r="AA39" s="560"/>
      <c r="AB39" s="344"/>
      <c r="AC39" s="344"/>
      <c r="AD39" s="344"/>
      <c r="AE39" s="344"/>
      <c r="AF39" s="364"/>
      <c r="AG39" s="17"/>
      <c r="AH39" s="17"/>
      <c r="AI39" s="17"/>
      <c r="AJ39" s="17"/>
      <c r="AK39" s="344"/>
      <c r="AL39" s="344"/>
      <c r="AM39" s="344"/>
      <c r="AN39" s="161"/>
      <c r="AO39" s="161"/>
      <c r="AP39" s="161"/>
      <c r="AV39" s="559"/>
      <c r="AW39" s="560"/>
      <c r="AX39" s="560"/>
      <c r="AY39" s="560"/>
      <c r="AZ39" s="560"/>
      <c r="BA39" s="560"/>
      <c r="BB39" s="560"/>
      <c r="BC39" s="560"/>
      <c r="BD39" s="560"/>
      <c r="BE39" s="560"/>
      <c r="BF39" s="560"/>
      <c r="BG39" s="560"/>
      <c r="BH39" s="560"/>
      <c r="BI39" s="560"/>
      <c r="BJ39" s="17"/>
      <c r="BK39" s="17"/>
      <c r="BL39" s="30"/>
      <c r="BM39" s="30"/>
      <c r="BN39" s="30"/>
      <c r="BO39" s="30"/>
      <c r="BP39" s="30"/>
      <c r="BQ39" s="30"/>
      <c r="BR39" s="352"/>
      <c r="BS39" s="17"/>
      <c r="BT39" s="17"/>
      <c r="BU39" s="161"/>
      <c r="BV39" s="161"/>
      <c r="BY39" s="129"/>
      <c r="BZ39" s="559"/>
      <c r="CA39" s="560"/>
      <c r="CB39" s="560"/>
      <c r="CC39" s="560"/>
      <c r="CD39" s="560"/>
      <c r="CE39" s="560"/>
      <c r="CF39" s="560"/>
      <c r="CG39" s="560"/>
      <c r="CH39" s="560"/>
      <c r="CI39" s="560"/>
      <c r="CJ39" s="560"/>
      <c r="CK39" s="560"/>
      <c r="CL39" s="560"/>
      <c r="CM39" s="560"/>
      <c r="CN39" s="523"/>
      <c r="CO39" s="523"/>
      <c r="CP39" s="523"/>
      <c r="CQ39" s="523"/>
      <c r="CR39" s="523"/>
      <c r="CS39" s="523"/>
      <c r="CT39" s="523"/>
      <c r="CU39" s="523"/>
      <c r="CV39" s="352"/>
      <c r="CW39" s="366"/>
      <c r="CX39" s="367"/>
      <c r="CY39" s="367"/>
      <c r="CZ39" s="129"/>
      <c r="DA39" s="161"/>
      <c r="DB39" s="161"/>
      <c r="DE39" s="129"/>
      <c r="DF39" s="559"/>
      <c r="DG39" s="560"/>
      <c r="DH39" s="560"/>
      <c r="DI39" s="560"/>
      <c r="DJ39" s="560"/>
      <c r="DK39" s="560"/>
      <c r="DL39" s="560"/>
      <c r="DM39" s="560"/>
      <c r="DN39" s="560"/>
      <c r="DO39" s="560"/>
      <c r="DP39" s="560"/>
      <c r="DQ39" s="560"/>
      <c r="DR39" s="560"/>
      <c r="DS39" s="560"/>
      <c r="DT39" s="523"/>
      <c r="DU39" s="523"/>
      <c r="DV39" s="523"/>
      <c r="DW39" s="523"/>
      <c r="DX39" s="523"/>
      <c r="DY39" s="523"/>
      <c r="DZ39" s="523"/>
      <c r="EA39" s="523"/>
      <c r="EB39" s="523"/>
      <c r="EC39" s="523"/>
      <c r="ED39" s="523"/>
      <c r="EE39" s="523"/>
      <c r="EF39" s="352"/>
      <c r="EG39" s="161"/>
      <c r="EH39" s="161"/>
    </row>
    <row r="40" spans="1:169" ht="7.5" customHeight="1" x14ac:dyDescent="0.25">
      <c r="A40" s="17"/>
      <c r="B40" s="481"/>
      <c r="C40" s="17"/>
      <c r="D40" s="380"/>
      <c r="E40" s="17"/>
      <c r="G40" s="482"/>
      <c r="H40" s="483"/>
      <c r="I40" s="426" t="s">
        <v>547</v>
      </c>
      <c r="J40" s="410"/>
      <c r="K40" s="410"/>
      <c r="N40" s="561"/>
      <c r="O40" s="562"/>
      <c r="P40" s="562"/>
      <c r="Q40" s="562"/>
      <c r="R40" s="562"/>
      <c r="S40" s="562"/>
      <c r="T40" s="562"/>
      <c r="U40" s="562"/>
      <c r="V40" s="562"/>
      <c r="W40" s="562"/>
      <c r="X40" s="562"/>
      <c r="Y40" s="562"/>
      <c r="Z40" s="562"/>
      <c r="AA40" s="562"/>
      <c r="AB40" s="421">
        <f ca="1">IF(AC40&lt;0,0,((P36+$B31-1)*(P36+$B31)/2)-($B31*($B31-1)/2))</f>
        <v>0</v>
      </c>
      <c r="AC40" s="418">
        <f ca="1">IF(N38&lt;&gt;"",-1,IF(P36=1,1,0))</f>
        <v>-1</v>
      </c>
      <c r="AD40" s="420">
        <f ca="1">-AE40-AC40</f>
        <v>1</v>
      </c>
      <c r="AE40" s="419">
        <f>P36+AB38*0.1+AF38*0.01+AJ38*0.001</f>
        <v>0</v>
      </c>
      <c r="AG40" s="17"/>
      <c r="AH40" s="17"/>
      <c r="AI40" s="17"/>
      <c r="AJ40" s="17"/>
      <c r="AK40" s="161"/>
      <c r="AL40" s="161"/>
      <c r="AM40" s="161"/>
      <c r="AN40" s="161"/>
      <c r="AO40" s="161"/>
      <c r="AP40" s="161"/>
      <c r="AV40" s="561"/>
      <c r="AW40" s="562"/>
      <c r="AX40" s="562"/>
      <c r="AY40" s="562"/>
      <c r="AZ40" s="562"/>
      <c r="BA40" s="562"/>
      <c r="BB40" s="562"/>
      <c r="BC40" s="562"/>
      <c r="BD40" s="562"/>
      <c r="BE40" s="562"/>
      <c r="BF40" s="562"/>
      <c r="BG40" s="562"/>
      <c r="BH40" s="562"/>
      <c r="BI40" s="562"/>
      <c r="BJ40" s="563">
        <f ca="1">IF(BL40&lt;0,0,((SUM(AX36,BJ36,BN36,BR36)+$B31-1)*(SUM(AX36,BJ36,BN36,BR36)+$B31)/2)-($B31*($B31-1)/2))</f>
        <v>0</v>
      </c>
      <c r="BK40" s="563"/>
      <c r="BL40" s="567">
        <f ca="1">IF(AV38&lt;&gt;"",-1,IF(AX36=5,1,0))</f>
        <v>-1</v>
      </c>
      <c r="BM40" s="567"/>
      <c r="BN40" s="568">
        <f ca="1">-BP40-BL40</f>
        <v>-4</v>
      </c>
      <c r="BO40" s="568"/>
      <c r="BP40" s="569">
        <f>AX36+BJ38*0.1+BN38*0.01+BR38*0.001</f>
        <v>5</v>
      </c>
      <c r="BQ40" s="569"/>
      <c r="BR40" s="413"/>
      <c r="BS40" s="17"/>
      <c r="BT40" s="17"/>
      <c r="BU40" s="161"/>
      <c r="BV40" s="161"/>
      <c r="BY40" s="129"/>
      <c r="BZ40" s="561"/>
      <c r="CA40" s="562"/>
      <c r="CB40" s="562"/>
      <c r="CC40" s="562"/>
      <c r="CD40" s="562"/>
      <c r="CE40" s="562"/>
      <c r="CF40" s="562"/>
      <c r="CG40" s="562"/>
      <c r="CH40" s="562"/>
      <c r="CI40" s="562"/>
      <c r="CJ40" s="562"/>
      <c r="CK40" s="562"/>
      <c r="CL40" s="562"/>
      <c r="CM40" s="562"/>
      <c r="CN40" s="563">
        <f ca="1">IF(CP40&lt;0,0,((SUM(CB36,CN36,CR36,CV36)+$B31-1)*(SUM(CB36,CN36,CR36,CV36)+$B31)/2)-($B31*($B31-1)/2))</f>
        <v>0</v>
      </c>
      <c r="CO40" s="563"/>
      <c r="CP40" s="566">
        <f ca="1">IF(BZ38&lt;&gt;"",-1,IF(CR36=1,1,0))</f>
        <v>-1</v>
      </c>
      <c r="CQ40" s="566"/>
      <c r="CR40" s="564">
        <f ca="1">-CT40-CP40</f>
        <v>0.44999999999999996</v>
      </c>
      <c r="CS40" s="564"/>
      <c r="CT40" s="565">
        <f>CB36+CN38*0.1+CR38*0.01+CV38*0.001</f>
        <v>0.55000000000000004</v>
      </c>
      <c r="CU40" s="565"/>
      <c r="CV40" s="413"/>
      <c r="CW40" s="132"/>
      <c r="CX40" s="129"/>
      <c r="CY40" s="129"/>
      <c r="CZ40" s="129"/>
      <c r="DA40" s="161"/>
      <c r="DB40" s="161"/>
      <c r="DE40" s="129"/>
      <c r="DF40" s="561"/>
      <c r="DG40" s="562"/>
      <c r="DH40" s="562"/>
      <c r="DI40" s="562"/>
      <c r="DJ40" s="562"/>
      <c r="DK40" s="562"/>
      <c r="DL40" s="562"/>
      <c r="DM40" s="562"/>
      <c r="DN40" s="562"/>
      <c r="DO40" s="562"/>
      <c r="DP40" s="562"/>
      <c r="DQ40" s="562"/>
      <c r="DR40" s="562"/>
      <c r="DS40" s="562"/>
      <c r="DT40" s="563">
        <f ca="1">IF(DV40&lt;0,0,((SUM(DH36,DT36,DX36,EB36)+$B31-1)*(SUM(DH36,DT36,DX36,EB36)+$B31)/2)-($B31*($B31-1)/2))</f>
        <v>0</v>
      </c>
      <c r="DU40" s="563"/>
      <c r="DV40" s="417">
        <f ca="1">IF(DF38&lt;&gt;"",-1,IF(EB36=1,1,0))</f>
        <v>-1</v>
      </c>
      <c r="DW40" s="417"/>
      <c r="DX40" s="564">
        <f ca="1">-DZ40-DV40</f>
        <v>0.44499999999999995</v>
      </c>
      <c r="DY40" s="564"/>
      <c r="DZ40" s="565">
        <f>DH36+DT38*0.1+DX38*0.01+EB38*0.001</f>
        <v>0.55500000000000005</v>
      </c>
      <c r="EA40" s="565"/>
      <c r="EB40" s="397"/>
      <c r="EC40" s="397"/>
      <c r="ED40" s="397"/>
      <c r="EE40" s="397"/>
      <c r="EF40" s="414"/>
      <c r="EG40" s="161"/>
      <c r="EH40" s="161"/>
      <c r="EM40" s="17"/>
      <c r="EN40" s="17"/>
      <c r="EO40" s="17"/>
      <c r="EP40" s="17"/>
      <c r="EQ40" s="17"/>
      <c r="ER40" s="17"/>
      <c r="ES40" s="17"/>
      <c r="ET40" s="17"/>
      <c r="EU40" s="17"/>
      <c r="EV40" s="17"/>
      <c r="EW40" s="17"/>
      <c r="EX40" s="17"/>
      <c r="EY40" s="17"/>
      <c r="EZ40" s="17"/>
      <c r="FA40" s="17"/>
      <c r="FB40" s="17"/>
      <c r="FC40" s="17"/>
      <c r="FD40" s="17"/>
      <c r="FE40" s="17"/>
      <c r="FF40" s="17"/>
      <c r="FG40" s="17"/>
      <c r="FH40" s="17"/>
      <c r="FI40" s="17"/>
      <c r="FJ40" s="17"/>
      <c r="FK40" s="17"/>
      <c r="FL40" s="17"/>
      <c r="FM40" s="17"/>
    </row>
    <row r="41" spans="1:169" s="17" customFormat="1" ht="7.5" customHeight="1" x14ac:dyDescent="0.25">
      <c r="A41" s="572" t="s">
        <v>551</v>
      </c>
      <c r="B41" s="573"/>
      <c r="C41" s="402"/>
      <c r="D41" s="422"/>
      <c r="E41" s="578" t="s">
        <v>551</v>
      </c>
      <c r="F41" s="579"/>
      <c r="G41" s="403"/>
      <c r="H41" s="402"/>
      <c r="I41" s="573" t="s">
        <v>551</v>
      </c>
      <c r="J41" s="573"/>
      <c r="K41" s="427"/>
      <c r="V41" s="354"/>
      <c r="AO41" s="119"/>
      <c r="AP41" s="119"/>
      <c r="AQ41" s="119"/>
      <c r="AR41" s="119"/>
      <c r="AS41" s="119"/>
      <c r="AT41" s="119"/>
      <c r="AU41" s="119"/>
      <c r="AV41" s="119"/>
      <c r="AW41" s="119"/>
      <c r="AX41" s="119"/>
      <c r="AY41" s="119"/>
      <c r="AZ41" s="119"/>
      <c r="BA41" s="119"/>
      <c r="BB41" s="119"/>
      <c r="BC41" s="119"/>
      <c r="BD41" s="119"/>
      <c r="BE41" s="119"/>
      <c r="BF41" s="119"/>
      <c r="BG41" s="119"/>
      <c r="BH41" s="119"/>
      <c r="BI41" s="119"/>
      <c r="BJ41" s="119"/>
      <c r="BK41" s="119"/>
      <c r="BL41" s="119"/>
      <c r="BM41" s="119"/>
      <c r="BN41" s="119"/>
      <c r="BO41" s="119"/>
      <c r="BP41" s="119"/>
      <c r="BQ41" s="119"/>
      <c r="BR41" s="119"/>
      <c r="BS41" s="119"/>
      <c r="BT41" s="119"/>
      <c r="BU41" s="119"/>
      <c r="BV41" s="119"/>
      <c r="BW41" s="119"/>
      <c r="BX41" s="119"/>
      <c r="BY41" s="119"/>
      <c r="BZ41" s="119"/>
      <c r="CA41" s="119"/>
      <c r="CB41" s="119"/>
      <c r="CC41" s="119"/>
      <c r="CD41" s="119"/>
      <c r="CE41" s="119"/>
      <c r="CF41" s="119"/>
      <c r="CG41" s="119"/>
      <c r="CH41" s="119"/>
      <c r="CI41" s="119"/>
      <c r="CJ41" s="119"/>
      <c r="CK41" s="119"/>
      <c r="CL41" s="119"/>
      <c r="CM41" s="119"/>
      <c r="CN41" s="119"/>
      <c r="CO41" s="119"/>
      <c r="CP41" s="119"/>
      <c r="CQ41" s="119"/>
      <c r="CR41" s="119"/>
      <c r="CS41" s="119"/>
      <c r="CT41" s="119"/>
      <c r="CU41" s="119"/>
      <c r="CV41" s="119"/>
      <c r="CW41" s="119"/>
      <c r="CX41" s="119"/>
      <c r="CY41" s="119"/>
      <c r="CZ41" s="119"/>
      <c r="DA41" s="119"/>
      <c r="DB41" s="119"/>
      <c r="DC41" s="119"/>
      <c r="DD41" s="119"/>
      <c r="DE41" s="119"/>
      <c r="DF41" s="119"/>
      <c r="DG41" s="119"/>
      <c r="DH41" s="119"/>
      <c r="DI41" s="119"/>
      <c r="DJ41" s="119"/>
      <c r="DK41" s="119"/>
      <c r="DL41" s="119"/>
      <c r="DM41" s="119"/>
      <c r="DN41" s="119"/>
      <c r="DO41" s="119"/>
      <c r="DP41" s="119"/>
      <c r="DQ41" s="119"/>
      <c r="DR41" s="119"/>
      <c r="DS41" s="119"/>
      <c r="DT41" s="119"/>
      <c r="DU41" s="119"/>
      <c r="DV41" s="119"/>
      <c r="DW41" s="119"/>
      <c r="DX41" s="119"/>
      <c r="DY41" s="119"/>
      <c r="DZ41" s="119"/>
      <c r="EA41" s="119"/>
      <c r="EB41" s="119"/>
      <c r="EC41" s="119"/>
      <c r="ED41" s="119"/>
      <c r="EE41" s="119"/>
      <c r="EF41" s="119"/>
      <c r="EG41" s="119"/>
      <c r="EH41" s="119"/>
      <c r="EI41" s="119"/>
    </row>
    <row r="42" spans="1:169" s="17" customFormat="1" ht="7.5" customHeight="1" x14ac:dyDescent="0.25">
      <c r="A42" s="574"/>
      <c r="B42" s="575"/>
      <c r="C42" s="30"/>
      <c r="D42" s="423"/>
      <c r="E42" s="580"/>
      <c r="F42" s="581"/>
      <c r="G42" s="385"/>
      <c r="H42" s="30"/>
      <c r="I42" s="575"/>
      <c r="J42" s="575"/>
      <c r="K42" s="377"/>
      <c r="V42" s="355"/>
      <c r="AO42" s="119"/>
      <c r="AP42" s="119"/>
      <c r="AQ42" s="119"/>
      <c r="AR42" s="119"/>
      <c r="AS42" s="119"/>
      <c r="AT42" s="119"/>
      <c r="AU42" s="119"/>
      <c r="AV42" s="119"/>
      <c r="AW42" s="119"/>
      <c r="AX42" s="119"/>
      <c r="AY42" s="119"/>
      <c r="AZ42" s="119"/>
      <c r="BA42" s="119"/>
      <c r="BB42" s="119"/>
      <c r="BC42" s="119"/>
      <c r="BD42" s="119"/>
      <c r="BE42" s="119"/>
      <c r="BF42" s="119"/>
      <c r="BG42" s="119"/>
      <c r="BH42" s="119"/>
      <c r="BI42" s="119"/>
      <c r="BJ42" s="119"/>
      <c r="BK42" s="119"/>
      <c r="BL42" s="119"/>
      <c r="BM42" s="119"/>
      <c r="BN42" s="119"/>
      <c r="BO42" s="119"/>
      <c r="BP42" s="119"/>
      <c r="BQ42" s="119"/>
      <c r="BR42" s="119"/>
      <c r="BS42" s="119"/>
      <c r="BT42" s="119"/>
      <c r="BU42" s="119"/>
      <c r="BV42" s="119"/>
      <c r="BW42" s="119"/>
      <c r="BX42" s="119"/>
      <c r="BY42" s="119"/>
      <c r="BZ42" s="119"/>
      <c r="CA42" s="119"/>
      <c r="CB42" s="119"/>
      <c r="CC42" s="119"/>
      <c r="CD42" s="119"/>
      <c r="CE42" s="119"/>
      <c r="CF42" s="119"/>
      <c r="CG42" s="119"/>
      <c r="CH42" s="119"/>
      <c r="CI42" s="119"/>
      <c r="CJ42" s="119"/>
      <c r="CK42" s="119"/>
      <c r="CL42" s="119"/>
      <c r="CM42" s="119"/>
      <c r="CN42" s="119"/>
      <c r="CO42" s="119"/>
      <c r="CP42" s="119"/>
      <c r="CQ42" s="119"/>
      <c r="CR42" s="119"/>
      <c r="CS42" s="119"/>
      <c r="CT42" s="119"/>
      <c r="CU42" s="119"/>
      <c r="CV42" s="119"/>
      <c r="CW42" s="119"/>
      <c r="CX42" s="119"/>
      <c r="CY42" s="119"/>
      <c r="CZ42" s="119"/>
      <c r="DA42" s="119"/>
      <c r="DB42" s="119"/>
      <c r="DC42" s="119"/>
      <c r="DD42" s="119"/>
      <c r="DE42" s="119"/>
      <c r="DF42" s="119"/>
      <c r="DG42" s="119"/>
      <c r="DH42" s="119"/>
      <c r="DI42" s="119"/>
      <c r="DJ42" s="119"/>
      <c r="DK42" s="119"/>
      <c r="DL42" s="119"/>
      <c r="DM42" s="119"/>
      <c r="DN42" s="119"/>
      <c r="DO42" s="119"/>
      <c r="DP42" s="119"/>
      <c r="DQ42" s="119"/>
      <c r="DR42" s="119"/>
      <c r="DS42" s="119"/>
      <c r="DT42" s="119"/>
      <c r="DU42" s="119"/>
      <c r="DV42" s="119"/>
      <c r="DW42" s="119"/>
      <c r="DX42" s="119"/>
      <c r="DY42" s="119"/>
      <c r="EB42" s="119"/>
      <c r="EE42" s="119"/>
      <c r="EF42" s="119"/>
      <c r="EG42" s="119"/>
      <c r="EH42" s="119"/>
      <c r="EI42" s="119"/>
    </row>
    <row r="43" spans="1:169" s="17" customFormat="1" ht="7.5" customHeight="1" x14ac:dyDescent="0.25">
      <c r="A43" s="574"/>
      <c r="B43" s="575"/>
      <c r="C43" s="30"/>
      <c r="D43" s="153"/>
      <c r="E43" s="580"/>
      <c r="F43" s="581"/>
      <c r="G43" s="385"/>
      <c r="H43" s="30"/>
      <c r="I43" s="575"/>
      <c r="J43" s="575"/>
      <c r="K43" s="377"/>
      <c r="V43" s="355"/>
      <c r="AO43" s="119"/>
      <c r="AP43" s="119"/>
      <c r="AQ43" s="119"/>
      <c r="AR43" s="119"/>
      <c r="AS43" s="119"/>
      <c r="AT43" s="119"/>
      <c r="AU43" s="119"/>
      <c r="AV43" s="119"/>
      <c r="AW43" s="119"/>
      <c r="AX43" s="119"/>
      <c r="AY43" s="119"/>
      <c r="AZ43" s="119"/>
      <c r="BA43" s="119"/>
      <c r="BB43" s="119"/>
      <c r="BC43" s="119"/>
      <c r="BD43" s="119"/>
      <c r="BE43" s="119"/>
      <c r="BF43" s="119"/>
      <c r="BG43" s="119"/>
      <c r="BH43" s="119"/>
      <c r="BI43" s="119"/>
      <c r="BJ43" s="119"/>
      <c r="BK43" s="119"/>
      <c r="BL43" s="119"/>
      <c r="BM43" s="119"/>
      <c r="BN43" s="119"/>
      <c r="BO43" s="119"/>
      <c r="BP43" s="119"/>
      <c r="BQ43" s="119"/>
      <c r="BR43" s="119"/>
      <c r="BS43" s="119"/>
      <c r="BT43" s="119"/>
      <c r="BU43" s="119"/>
      <c r="BV43" s="119"/>
      <c r="BW43" s="119"/>
      <c r="BX43" s="119"/>
      <c r="BY43" s="119"/>
      <c r="BZ43" s="119"/>
      <c r="CA43" s="119"/>
      <c r="CB43" s="119"/>
      <c r="CC43" s="119"/>
      <c r="CD43" s="119"/>
      <c r="CE43" s="119"/>
      <c r="CF43" s="119"/>
      <c r="CG43" s="119"/>
      <c r="CH43" s="119"/>
      <c r="CI43" s="119"/>
      <c r="CJ43" s="119"/>
      <c r="CK43" s="119"/>
      <c r="CL43" s="119"/>
      <c r="CM43" s="119"/>
      <c r="CN43" s="119"/>
      <c r="CO43" s="119"/>
      <c r="CP43" s="119"/>
      <c r="CQ43" s="119"/>
      <c r="CR43" s="119"/>
      <c r="CS43" s="119"/>
      <c r="CT43" s="119"/>
      <c r="CU43" s="119"/>
      <c r="CV43" s="119"/>
      <c r="CW43" s="119"/>
      <c r="CX43" s="119"/>
      <c r="CY43" s="119"/>
      <c r="CZ43" s="119"/>
      <c r="DA43" s="119"/>
      <c r="DB43" s="119"/>
      <c r="DC43" s="119"/>
      <c r="DD43" s="119"/>
      <c r="DE43" s="119"/>
      <c r="DF43" s="119"/>
      <c r="DG43" s="119"/>
      <c r="DH43" s="119"/>
      <c r="DI43" s="119"/>
      <c r="DJ43" s="119"/>
      <c r="DK43" s="119"/>
      <c r="DL43" s="119"/>
      <c r="DM43" s="119"/>
      <c r="DN43" s="119"/>
      <c r="DO43" s="119"/>
      <c r="DP43" s="119"/>
      <c r="DQ43" s="119"/>
      <c r="EC43" s="119"/>
      <c r="ED43" s="119"/>
      <c r="EE43" s="119"/>
      <c r="EF43" s="119"/>
      <c r="EG43" s="119"/>
      <c r="EH43" s="119"/>
      <c r="EI43" s="119"/>
    </row>
    <row r="44" spans="1:169" s="17" customFormat="1" ht="7.5" customHeight="1" x14ac:dyDescent="0.25">
      <c r="A44" s="576"/>
      <c r="B44" s="577"/>
      <c r="C44" s="397"/>
      <c r="D44" s="424"/>
      <c r="E44" s="582"/>
      <c r="F44" s="583"/>
      <c r="G44" s="405"/>
      <c r="H44" s="357"/>
      <c r="I44" s="577"/>
      <c r="J44" s="577"/>
      <c r="K44" s="377"/>
      <c r="V44" s="355"/>
      <c r="AO44" s="119"/>
      <c r="AP44" s="119"/>
      <c r="AQ44" s="119"/>
      <c r="AR44" s="119"/>
      <c r="AS44" s="119"/>
      <c r="AT44" s="119"/>
      <c r="AU44" s="119"/>
      <c r="AV44" s="119"/>
      <c r="AW44" s="119"/>
      <c r="AX44" s="119"/>
      <c r="AY44" s="119"/>
      <c r="AZ44" s="119"/>
      <c r="BA44" s="119"/>
      <c r="BB44" s="119"/>
      <c r="BC44" s="119"/>
      <c r="BD44" s="119"/>
      <c r="BE44" s="119"/>
      <c r="BF44" s="119"/>
      <c r="BG44" s="119"/>
      <c r="BH44" s="119"/>
      <c r="BI44" s="119"/>
      <c r="BJ44" s="119"/>
      <c r="BK44" s="119"/>
      <c r="BL44" s="119"/>
      <c r="BM44" s="119"/>
      <c r="BN44" s="119"/>
      <c r="BO44" s="119"/>
      <c r="BP44" s="119"/>
      <c r="BQ44" s="119"/>
      <c r="BR44" s="119"/>
      <c r="BS44" s="119"/>
      <c r="BT44" s="119"/>
      <c r="BU44" s="119"/>
      <c r="BV44" s="119"/>
      <c r="BW44" s="119"/>
      <c r="BX44" s="119"/>
      <c r="BY44" s="119"/>
      <c r="BZ44" s="119"/>
      <c r="CA44" s="119"/>
      <c r="CB44" s="119"/>
      <c r="CC44" s="119"/>
      <c r="CD44" s="119"/>
      <c r="CE44" s="119"/>
      <c r="CF44" s="119"/>
      <c r="CG44" s="119"/>
      <c r="CH44" s="119"/>
      <c r="CI44" s="119"/>
      <c r="CJ44" s="119"/>
      <c r="CK44" s="119"/>
      <c r="CL44" s="119"/>
      <c r="CO44" s="119"/>
      <c r="CP44" s="119"/>
      <c r="CQ44" s="119"/>
      <c r="CR44" s="119"/>
      <c r="CS44" s="119"/>
      <c r="CT44" s="119"/>
      <c r="CU44" s="119"/>
      <c r="CV44" s="119"/>
      <c r="CW44" s="119" t="s">
        <v>124</v>
      </c>
      <c r="CX44" s="119"/>
      <c r="CY44" s="119"/>
      <c r="CZ44" s="119"/>
      <c r="DA44" s="119"/>
      <c r="DB44" s="119"/>
      <c r="DC44" s="119"/>
      <c r="DD44" s="119"/>
      <c r="DE44" s="119"/>
      <c r="DF44" s="119"/>
      <c r="DG44" s="119"/>
      <c r="DH44" s="119"/>
      <c r="DI44" s="119"/>
      <c r="DJ44" s="119"/>
      <c r="DK44" s="119"/>
      <c r="DL44" s="119"/>
      <c r="DM44" s="119"/>
      <c r="DN44" s="119"/>
      <c r="DO44" s="119"/>
      <c r="DP44" s="119"/>
      <c r="DQ44" s="119"/>
      <c r="EE44" s="119"/>
      <c r="EF44" s="119"/>
      <c r="EG44" s="119"/>
      <c r="EH44" s="119"/>
      <c r="EI44" s="119"/>
    </row>
    <row r="45" spans="1:169" s="17" customFormat="1" ht="7.5" customHeight="1" x14ac:dyDescent="0.25">
      <c r="B45" s="499">
        <f>B31+1</f>
        <v>3</v>
      </c>
      <c r="C45" s="500"/>
      <c r="D45" s="400"/>
      <c r="F45" s="346"/>
      <c r="G45" s="403"/>
      <c r="I45" s="503">
        <f ca="1">I31+D34</f>
        <v>0</v>
      </c>
      <c r="J45" s="504"/>
      <c r="K45" s="406"/>
      <c r="V45" s="358"/>
      <c r="AO45" s="119"/>
      <c r="AP45" s="119"/>
      <c r="AQ45" s="119"/>
      <c r="AR45" s="119"/>
      <c r="AS45" s="119"/>
      <c r="AT45" s="119"/>
      <c r="AU45" s="119"/>
      <c r="AV45" s="119"/>
      <c r="AW45" s="119"/>
      <c r="AX45" s="119"/>
      <c r="AY45" s="119"/>
      <c r="AZ45" s="119"/>
      <c r="BA45" s="119"/>
      <c r="BB45" s="119"/>
      <c r="BC45" s="119"/>
      <c r="BD45" s="119"/>
      <c r="BE45" s="119"/>
      <c r="BF45" s="119"/>
      <c r="BG45" s="119"/>
      <c r="BH45" s="119"/>
      <c r="BI45" s="119"/>
      <c r="BJ45" s="119"/>
      <c r="BK45" s="119"/>
      <c r="BL45" s="119"/>
      <c r="BM45" s="119"/>
      <c r="BN45" s="119"/>
      <c r="BO45" s="119"/>
      <c r="BP45" s="119"/>
      <c r="BQ45" s="119"/>
      <c r="BR45" s="119"/>
      <c r="BS45" s="119"/>
      <c r="BT45" s="119"/>
      <c r="BU45" s="119"/>
      <c r="BV45" s="119"/>
      <c r="BW45" s="119"/>
      <c r="BX45" s="119"/>
      <c r="BY45" s="119"/>
      <c r="BZ45" s="119"/>
      <c r="CA45" s="119"/>
      <c r="CB45" s="119"/>
      <c r="CC45" s="119"/>
      <c r="CD45" s="119"/>
      <c r="CE45" s="119"/>
      <c r="CF45" s="119"/>
      <c r="CG45" s="119"/>
      <c r="CH45" s="119"/>
      <c r="CI45" s="119"/>
      <c r="CJ45" s="119"/>
      <c r="CK45" s="119"/>
      <c r="CN45" s="119"/>
      <c r="CO45" s="119"/>
      <c r="CP45" s="119"/>
      <c r="CQ45" s="119"/>
      <c r="CR45" s="119"/>
      <c r="CS45" s="119"/>
      <c r="CT45" s="119"/>
      <c r="CU45" s="119"/>
      <c r="CV45" s="119"/>
      <c r="CW45" s="119"/>
      <c r="CX45" s="119"/>
      <c r="CY45" s="119"/>
      <c r="CZ45" s="119"/>
      <c r="DA45" s="119"/>
      <c r="DB45" s="119"/>
      <c r="DC45" s="119"/>
      <c r="DD45" s="119"/>
      <c r="DE45" s="119"/>
      <c r="DF45" s="119"/>
      <c r="DG45" s="119"/>
      <c r="DH45" s="119"/>
      <c r="DI45" s="119"/>
      <c r="DJ45" s="119"/>
      <c r="DK45" s="119"/>
      <c r="DL45" s="119"/>
      <c r="DM45" s="119"/>
      <c r="DN45" s="119"/>
      <c r="DO45" s="119"/>
      <c r="DP45" s="119"/>
      <c r="DQ45" s="119"/>
      <c r="EC45" s="119"/>
      <c r="ED45" s="119"/>
      <c r="EE45" s="119"/>
      <c r="EF45" s="119"/>
      <c r="EG45" s="119"/>
      <c r="EH45" s="119"/>
      <c r="EI45" s="119"/>
    </row>
    <row r="46" spans="1:169" ht="7.5" customHeight="1" x14ac:dyDescent="0.25">
      <c r="A46" s="17"/>
      <c r="B46" s="501"/>
      <c r="C46" s="502"/>
      <c r="D46" s="389"/>
      <c r="E46" s="17"/>
      <c r="F46" s="346"/>
      <c r="G46" s="385"/>
      <c r="H46" s="408"/>
      <c r="I46" s="505"/>
      <c r="J46" s="506"/>
      <c r="K46" s="17"/>
      <c r="DF46" s="17"/>
      <c r="DG46" s="17"/>
      <c r="DH46" s="17"/>
      <c r="DI46" s="17"/>
      <c r="DR46" s="17"/>
      <c r="DS46" s="17"/>
      <c r="DT46" s="17"/>
      <c r="DU46" s="17"/>
      <c r="DV46" s="17"/>
      <c r="DW46" s="17"/>
      <c r="DX46" s="17"/>
      <c r="DY46" s="17"/>
      <c r="DZ46" s="17"/>
      <c r="EA46" s="17"/>
      <c r="EB46" s="17"/>
      <c r="EJ46" s="119"/>
      <c r="EM46" s="17"/>
      <c r="EN46" s="17"/>
      <c r="EO46" s="17"/>
      <c r="EP46" s="17"/>
      <c r="EQ46" s="17"/>
      <c r="ER46" s="17"/>
      <c r="ES46" s="17"/>
      <c r="ET46" s="17"/>
      <c r="EU46" s="17"/>
      <c r="EV46" s="17"/>
      <c r="EW46" s="17"/>
      <c r="EX46" s="17"/>
      <c r="EY46" s="17"/>
      <c r="EZ46" s="17"/>
      <c r="FA46" s="17"/>
      <c r="FB46" s="17"/>
      <c r="FC46" s="17"/>
      <c r="FD46" s="17"/>
      <c r="FE46" s="17"/>
      <c r="FF46" s="17"/>
      <c r="FG46" s="17"/>
      <c r="FH46" s="17"/>
      <c r="FI46" s="17"/>
      <c r="FJ46" s="17"/>
      <c r="FK46" s="17"/>
      <c r="FL46" s="17"/>
      <c r="FM46" s="17"/>
    </row>
    <row r="47" spans="1:169" ht="7.5" customHeight="1" x14ac:dyDescent="0.25">
      <c r="A47" s="17"/>
      <c r="B47" s="480" t="s">
        <v>549</v>
      </c>
      <c r="C47" s="17"/>
      <c r="D47" s="388"/>
      <c r="E47" s="394"/>
      <c r="G47" s="398"/>
      <c r="K47" s="17"/>
      <c r="DF47" s="17"/>
      <c r="DG47" s="17"/>
      <c r="DH47" s="17"/>
      <c r="DI47" s="17"/>
      <c r="EJ47" s="119"/>
      <c r="EM47" s="17"/>
      <c r="EN47" s="17"/>
      <c r="EO47" s="17"/>
      <c r="EP47" s="17"/>
      <c r="EQ47" s="17"/>
      <c r="ER47" s="17"/>
      <c r="ES47" s="17"/>
      <c r="ET47" s="17"/>
      <c r="EU47" s="17"/>
      <c r="EV47" s="17"/>
      <c r="EW47" s="17"/>
      <c r="EX47" s="17"/>
      <c r="EY47" s="17"/>
      <c r="EZ47" s="17"/>
      <c r="FA47" s="17"/>
      <c r="FB47" s="17"/>
      <c r="FC47" s="17"/>
      <c r="FD47" s="17"/>
      <c r="FE47" s="17"/>
      <c r="FF47" s="17"/>
      <c r="FG47" s="17"/>
      <c r="FH47" s="17"/>
      <c r="FI47" s="17"/>
      <c r="FJ47" s="17"/>
      <c r="FK47" s="17"/>
      <c r="FL47" s="17"/>
      <c r="FM47" s="17"/>
    </row>
    <row r="48" spans="1:169" ht="7.5" customHeight="1" x14ac:dyDescent="0.25">
      <c r="A48" s="17"/>
      <c r="B48" s="481"/>
      <c r="C48" s="17"/>
      <c r="D48" s="484">
        <f>SUM(49:49)</f>
        <v>0</v>
      </c>
      <c r="E48" s="483"/>
      <c r="F48" s="394"/>
      <c r="G48" s="407"/>
      <c r="DF48" s="17"/>
      <c r="DG48" s="17"/>
      <c r="DH48" s="17"/>
      <c r="DI48" s="17"/>
      <c r="ED48" s="17"/>
      <c r="EE48" s="17"/>
      <c r="EF48" s="17"/>
      <c r="EG48" s="17"/>
      <c r="EH48" s="17"/>
      <c r="EI48" s="17"/>
      <c r="EK48" s="17"/>
      <c r="EL48" s="17"/>
      <c r="EM48" s="17"/>
      <c r="EN48" s="17"/>
      <c r="EO48" s="17"/>
      <c r="EP48" s="17"/>
      <c r="EQ48" s="17"/>
      <c r="ER48" s="17"/>
      <c r="ES48" s="17"/>
      <c r="ET48" s="17"/>
      <c r="EU48" s="17"/>
      <c r="EV48" s="17"/>
      <c r="EW48" s="17"/>
      <c r="EX48" s="17"/>
      <c r="EY48" s="17"/>
      <c r="EZ48" s="17"/>
      <c r="FA48" s="17"/>
      <c r="FB48" s="17"/>
      <c r="FC48" s="17"/>
      <c r="FD48" s="17"/>
      <c r="FE48" s="17"/>
      <c r="FF48" s="17"/>
      <c r="FG48" s="17"/>
      <c r="FH48" s="17"/>
      <c r="FI48" s="17"/>
      <c r="FJ48" s="17"/>
      <c r="FK48" s="17"/>
      <c r="FL48" s="17"/>
      <c r="FM48" s="17"/>
    </row>
    <row r="49" spans="1:199" ht="7.5" customHeight="1" x14ac:dyDescent="0.25">
      <c r="A49" s="17"/>
      <c r="B49" s="481"/>
      <c r="C49" s="17"/>
      <c r="D49" s="484"/>
      <c r="E49" s="483"/>
      <c r="F49" s="386" t="s">
        <v>547</v>
      </c>
      <c r="G49" s="387"/>
      <c r="H49" s="387"/>
      <c r="I49" s="387"/>
      <c r="J49" s="387"/>
      <c r="DF49" s="17"/>
      <c r="DG49" s="17"/>
      <c r="DH49" s="17"/>
      <c r="DI49" s="17"/>
      <c r="ED49" s="17"/>
      <c r="EE49" s="17"/>
      <c r="EF49" s="17"/>
      <c r="EG49" s="17"/>
      <c r="EH49" s="17"/>
      <c r="EI49" s="17"/>
      <c r="EK49" s="17"/>
      <c r="EL49" s="17"/>
      <c r="EM49" s="17"/>
      <c r="EN49" s="17"/>
      <c r="EO49" s="17"/>
      <c r="EP49" s="17"/>
      <c r="EQ49" s="17"/>
      <c r="ER49" s="17"/>
      <c r="ES49" s="17"/>
      <c r="ET49" s="17"/>
      <c r="EU49" s="17"/>
      <c r="EV49" s="17"/>
      <c r="EW49" s="17"/>
      <c r="EX49" s="17"/>
      <c r="EY49" s="17"/>
      <c r="EZ49" s="17"/>
      <c r="FA49" s="17"/>
      <c r="FB49" s="17"/>
      <c r="FC49" s="17"/>
      <c r="FD49" s="17"/>
      <c r="FE49" s="17"/>
      <c r="FF49" s="17"/>
      <c r="FG49" s="17"/>
      <c r="FH49" s="17"/>
      <c r="FI49" s="17"/>
      <c r="FJ49" s="17"/>
      <c r="FK49" s="17"/>
      <c r="FL49" s="17"/>
      <c r="FM49" s="17"/>
    </row>
    <row r="50" spans="1:199" ht="7.5" customHeight="1" x14ac:dyDescent="0.25">
      <c r="A50" s="17"/>
      <c r="B50" s="481"/>
      <c r="C50" s="17"/>
      <c r="D50" s="484"/>
      <c r="E50" s="483"/>
      <c r="F50" s="393"/>
      <c r="G50" s="391"/>
      <c r="H50" s="425"/>
      <c r="I50" s="17"/>
      <c r="DF50" s="17"/>
      <c r="DG50" s="17"/>
      <c r="DH50" s="17"/>
      <c r="DI50" s="17"/>
      <c r="ED50" s="17"/>
      <c r="EE50" s="17"/>
      <c r="EF50" s="17"/>
      <c r="EG50" s="17"/>
      <c r="EH50" s="17"/>
      <c r="EI50" s="17"/>
      <c r="EK50" s="17"/>
      <c r="EL50" s="17"/>
      <c r="EM50" s="17"/>
      <c r="EN50" s="17"/>
      <c r="EO50" s="17"/>
      <c r="EP50" s="17"/>
      <c r="EQ50" s="17"/>
      <c r="ER50" s="17"/>
      <c r="ES50" s="17"/>
      <c r="ET50" s="17"/>
      <c r="EU50" s="17"/>
      <c r="EV50" s="17"/>
      <c r="EW50" s="17"/>
      <c r="EX50" s="17"/>
      <c r="EY50" s="17"/>
      <c r="EZ50" s="17"/>
      <c r="FA50" s="17"/>
      <c r="FB50" s="17"/>
      <c r="FC50" s="17"/>
      <c r="FD50" s="17"/>
      <c r="FE50" s="17"/>
      <c r="FF50" s="17"/>
      <c r="FG50" s="17"/>
      <c r="FH50" s="17"/>
      <c r="FI50" s="17"/>
      <c r="FJ50" s="17"/>
      <c r="FK50" s="17"/>
      <c r="FL50" s="17"/>
      <c r="FM50" s="17"/>
    </row>
    <row r="51" spans="1:199" ht="7.5" customHeight="1" x14ac:dyDescent="0.25">
      <c r="A51" s="17"/>
      <c r="B51" s="481"/>
      <c r="C51" s="17"/>
      <c r="D51" s="388"/>
      <c r="E51" s="390"/>
      <c r="G51" s="398"/>
      <c r="H51" s="409"/>
      <c r="J51" s="17"/>
      <c r="K51" s="17"/>
      <c r="DF51" s="17"/>
      <c r="DG51" s="17"/>
      <c r="DH51" s="17"/>
      <c r="DI51" s="17"/>
      <c r="ED51" s="17"/>
      <c r="EE51" s="17"/>
      <c r="EF51" s="17"/>
      <c r="EG51" s="17"/>
      <c r="EH51" s="17"/>
      <c r="EI51" s="17"/>
      <c r="EK51" s="17"/>
      <c r="EL51" s="17"/>
      <c r="EM51" s="17"/>
      <c r="EN51" s="17"/>
      <c r="EO51" s="17"/>
      <c r="EP51" s="17"/>
      <c r="EQ51" s="17"/>
      <c r="ER51" s="17"/>
      <c r="ES51" s="17"/>
      <c r="ET51" s="17"/>
      <c r="EU51" s="17"/>
      <c r="EV51" s="17"/>
      <c r="EW51" s="17"/>
      <c r="EX51" s="17"/>
      <c r="EY51" s="17"/>
      <c r="EZ51" s="17"/>
      <c r="FA51" s="17"/>
      <c r="FB51" s="17"/>
      <c r="FC51" s="17"/>
      <c r="FD51" s="17"/>
      <c r="FE51" s="17"/>
      <c r="FF51" s="17"/>
      <c r="FG51" s="17"/>
      <c r="FH51" s="17"/>
      <c r="FI51" s="17"/>
      <c r="FJ51" s="17"/>
      <c r="FK51" s="17"/>
      <c r="FL51" s="17"/>
      <c r="FM51" s="17"/>
    </row>
    <row r="52" spans="1:199" ht="7.5" customHeight="1" x14ac:dyDescent="0.25">
      <c r="A52" s="17"/>
      <c r="B52" s="481"/>
      <c r="C52" s="17"/>
      <c r="D52" s="380"/>
      <c r="F52" s="392"/>
      <c r="G52" s="482">
        <f>SUM(54:54)</f>
        <v>0</v>
      </c>
      <c r="H52" s="483"/>
      <c r="I52" s="412"/>
      <c r="J52" s="17"/>
      <c r="K52" s="17"/>
      <c r="DF52" s="17"/>
      <c r="DG52" s="17"/>
      <c r="DH52" s="17"/>
      <c r="DI52" s="17"/>
      <c r="ED52" s="17"/>
      <c r="EE52" s="17"/>
      <c r="EF52" s="17"/>
      <c r="EG52" s="17"/>
      <c r="EH52" s="17"/>
      <c r="EI52" s="17"/>
      <c r="EK52" s="17"/>
      <c r="EL52" s="17"/>
      <c r="EM52" s="17"/>
      <c r="EN52" s="17"/>
      <c r="EO52" s="17"/>
      <c r="EP52" s="17"/>
      <c r="EQ52" s="17"/>
      <c r="ER52" s="17"/>
      <c r="ES52" s="17"/>
      <c r="ET52" s="17"/>
      <c r="EU52" s="17"/>
      <c r="EV52" s="17"/>
      <c r="EW52" s="17"/>
      <c r="EX52" s="17"/>
      <c r="EY52" s="17"/>
      <c r="EZ52" s="17"/>
      <c r="FA52" s="17"/>
      <c r="FB52" s="17"/>
      <c r="FC52" s="17"/>
      <c r="FD52" s="17"/>
      <c r="FE52" s="17"/>
      <c r="FF52" s="17"/>
      <c r="FG52" s="17"/>
      <c r="FH52" s="17"/>
      <c r="FI52" s="17"/>
      <c r="FJ52" s="17"/>
      <c r="FK52" s="17"/>
      <c r="FL52" s="17"/>
      <c r="FM52" s="17"/>
    </row>
    <row r="53" spans="1:199" ht="7.5" customHeight="1" x14ac:dyDescent="0.25">
      <c r="A53" s="17"/>
      <c r="B53" s="481"/>
      <c r="C53" s="17"/>
      <c r="D53" s="380"/>
      <c r="E53" s="17"/>
      <c r="G53" s="482"/>
      <c r="H53" s="483"/>
      <c r="I53" s="411"/>
      <c r="K53" s="17"/>
      <c r="DF53" s="17"/>
      <c r="DG53" s="17"/>
      <c r="DH53" s="17"/>
      <c r="DI53" s="17"/>
      <c r="ED53" s="17"/>
      <c r="EE53" s="17"/>
      <c r="EF53" s="17"/>
      <c r="EG53" s="17"/>
      <c r="EH53" s="17"/>
      <c r="EI53" s="17"/>
      <c r="EK53" s="17"/>
      <c r="EL53" s="17"/>
      <c r="EM53" s="17"/>
      <c r="EN53" s="17"/>
      <c r="EO53" s="17"/>
      <c r="EP53" s="17"/>
      <c r="EQ53" s="17"/>
      <c r="ER53" s="17"/>
      <c r="ES53" s="17"/>
      <c r="ET53" s="17"/>
      <c r="EU53" s="17"/>
      <c r="EV53" s="17"/>
      <c r="EW53" s="17"/>
      <c r="EX53" s="17"/>
      <c r="EY53" s="17"/>
      <c r="EZ53" s="17"/>
      <c r="FA53" s="17"/>
      <c r="FB53" s="17"/>
      <c r="FC53" s="17"/>
      <c r="FD53" s="17"/>
      <c r="FE53" s="17"/>
      <c r="FF53" s="17"/>
      <c r="FG53" s="17"/>
      <c r="FH53" s="17"/>
      <c r="FI53" s="17"/>
      <c r="FJ53" s="17"/>
      <c r="FK53" s="17"/>
      <c r="FL53" s="17"/>
      <c r="FM53" s="17"/>
    </row>
    <row r="54" spans="1:199" ht="7.5" customHeight="1" x14ac:dyDescent="0.25">
      <c r="A54" s="17"/>
      <c r="B54" s="481"/>
      <c r="C54" s="17"/>
      <c r="D54" s="380"/>
      <c r="E54" s="17"/>
      <c r="G54" s="482"/>
      <c r="H54" s="483"/>
      <c r="I54" s="426" t="s">
        <v>547</v>
      </c>
      <c r="J54" s="410"/>
      <c r="DF54" s="17"/>
      <c r="DG54" s="17"/>
      <c r="DH54" s="17"/>
      <c r="DI54" s="17"/>
      <c r="ED54" s="17"/>
      <c r="EE54" s="17"/>
      <c r="EF54" s="17"/>
      <c r="EG54" s="17"/>
      <c r="EH54" s="17"/>
      <c r="EI54" s="17"/>
      <c r="EK54" s="17"/>
      <c r="EL54" s="17">
        <f>FLOOR((EG54/5),1)</f>
        <v>0</v>
      </c>
      <c r="EM54" s="17"/>
      <c r="EN54" s="17"/>
      <c r="EO54" s="17"/>
      <c r="EP54" s="17"/>
      <c r="EQ54" s="17"/>
      <c r="ER54" s="17"/>
      <c r="ES54" s="17"/>
      <c r="ET54" s="17"/>
      <c r="EU54" s="17"/>
      <c r="EV54" s="17"/>
      <c r="EW54" s="17"/>
      <c r="EX54" s="17"/>
      <c r="EY54" s="17"/>
      <c r="EZ54" s="17"/>
      <c r="FA54" s="17"/>
      <c r="FB54" s="17"/>
      <c r="FC54" s="17"/>
      <c r="FD54" s="17"/>
      <c r="FE54" s="17"/>
      <c r="FF54" s="17"/>
      <c r="FG54" s="17"/>
      <c r="FH54" s="17"/>
      <c r="FI54" s="17"/>
      <c r="FJ54" s="17"/>
      <c r="FK54" s="17"/>
      <c r="FL54" s="17"/>
      <c r="FM54" s="17"/>
    </row>
    <row r="55" spans="1:199" ht="7.5" customHeight="1" x14ac:dyDescent="0.25">
      <c r="A55" s="572" t="s">
        <v>551</v>
      </c>
      <c r="B55" s="573"/>
      <c r="C55" s="402"/>
      <c r="D55" s="422"/>
      <c r="E55" s="578" t="s">
        <v>551</v>
      </c>
      <c r="F55" s="579"/>
      <c r="G55" s="403"/>
      <c r="H55" s="402"/>
      <c r="I55" s="573" t="s">
        <v>551</v>
      </c>
      <c r="J55" s="573"/>
      <c r="K55" s="384"/>
      <c r="DF55" s="17"/>
      <c r="DG55" s="17"/>
      <c r="DH55" s="17"/>
      <c r="DI55" s="17"/>
      <c r="ED55" s="17"/>
      <c r="EE55" s="17"/>
      <c r="EF55" s="17"/>
      <c r="EG55" s="17"/>
      <c r="EH55" s="17"/>
      <c r="EI55" s="17"/>
      <c r="EK55" s="17"/>
      <c r="EL55" s="17"/>
      <c r="EM55" s="17"/>
      <c r="EN55" s="17"/>
      <c r="EO55" s="17"/>
      <c r="EP55" s="17"/>
      <c r="EQ55" s="17"/>
      <c r="ER55" s="17"/>
      <c r="ES55" s="17"/>
      <c r="ET55" s="17"/>
      <c r="EU55" s="17"/>
      <c r="EV55" s="17"/>
      <c r="EW55" s="17"/>
      <c r="EX55" s="17"/>
      <c r="EY55" s="17"/>
      <c r="EZ55" s="17"/>
      <c r="FA55" s="17"/>
      <c r="FB55" s="17"/>
      <c r="FC55" s="17"/>
      <c r="FD55" s="17"/>
      <c r="FE55" s="17"/>
      <c r="FF55" s="17"/>
      <c r="FG55" s="17"/>
      <c r="FH55" s="17"/>
      <c r="FI55" s="17"/>
      <c r="FJ55" s="17"/>
      <c r="FK55" s="17"/>
      <c r="FL55" s="17"/>
      <c r="FM55" s="17"/>
    </row>
    <row r="56" spans="1:199" s="17" customFormat="1" ht="7.5" customHeight="1" x14ac:dyDescent="0.25">
      <c r="A56" s="574"/>
      <c r="B56" s="575"/>
      <c r="C56" s="30"/>
      <c r="D56" s="423"/>
      <c r="E56" s="580"/>
      <c r="F56" s="581"/>
      <c r="G56" s="385"/>
      <c r="H56" s="30"/>
      <c r="I56" s="575"/>
      <c r="J56" s="575"/>
      <c r="K56" s="404"/>
      <c r="L56" s="119"/>
      <c r="M56" s="119"/>
      <c r="N56" s="119"/>
      <c r="O56" s="119"/>
      <c r="P56" s="119"/>
      <c r="Q56" s="119"/>
      <c r="R56" s="119"/>
      <c r="S56" s="119"/>
      <c r="T56" s="119"/>
      <c r="U56" s="119"/>
      <c r="AS56" s="119"/>
      <c r="AT56" s="119"/>
      <c r="AU56" s="119"/>
      <c r="AV56" s="119"/>
      <c r="AW56" s="119"/>
      <c r="AX56" s="119"/>
      <c r="AY56" s="119"/>
      <c r="AZ56" s="119"/>
      <c r="BA56" s="119"/>
      <c r="BB56" s="119"/>
      <c r="BC56" s="119"/>
      <c r="BD56" s="119"/>
      <c r="BE56" s="119"/>
      <c r="BF56" s="119"/>
      <c r="BG56" s="119"/>
      <c r="BH56" s="119"/>
      <c r="BI56" s="119"/>
      <c r="BJ56" s="119"/>
      <c r="BK56" s="119"/>
      <c r="BL56" s="119"/>
      <c r="BM56" s="119"/>
      <c r="BN56" s="119"/>
      <c r="BO56" s="119"/>
      <c r="BP56" s="119"/>
      <c r="BQ56" s="119"/>
      <c r="BR56" s="119"/>
      <c r="BS56" s="119"/>
      <c r="BT56" s="119"/>
      <c r="BU56" s="119"/>
      <c r="BV56" s="119"/>
      <c r="BW56" s="119"/>
      <c r="BX56" s="119"/>
      <c r="BY56" s="119"/>
      <c r="BZ56" s="119"/>
      <c r="CA56" s="119"/>
      <c r="CB56" s="119"/>
      <c r="CC56" s="119"/>
      <c r="CD56" s="119"/>
      <c r="CE56" s="119"/>
      <c r="CF56" s="119"/>
      <c r="CG56" s="119"/>
      <c r="CH56" s="119"/>
      <c r="CI56" s="119"/>
      <c r="CJ56" s="119"/>
      <c r="CK56" s="119"/>
      <c r="CL56" s="119"/>
      <c r="CM56" s="119"/>
      <c r="CN56" s="119"/>
      <c r="CO56" s="119"/>
      <c r="CP56" s="119"/>
      <c r="CQ56" s="119"/>
      <c r="CR56" s="119"/>
      <c r="CS56" s="119"/>
      <c r="CT56" s="119"/>
      <c r="CU56" s="119"/>
      <c r="CV56" s="119"/>
      <c r="CW56" s="119"/>
      <c r="CX56" s="119"/>
      <c r="CY56" s="119"/>
      <c r="CZ56" s="119"/>
      <c r="DA56" s="119"/>
      <c r="DB56" s="119"/>
      <c r="DC56" s="119"/>
      <c r="DD56" s="119"/>
      <c r="DE56" s="119"/>
    </row>
    <row r="57" spans="1:199" s="17" customFormat="1" ht="7.5" customHeight="1" x14ac:dyDescent="0.25">
      <c r="A57" s="574"/>
      <c r="B57" s="575"/>
      <c r="C57" s="30"/>
      <c r="D57" s="153"/>
      <c r="E57" s="580"/>
      <c r="F57" s="581"/>
      <c r="G57" s="385"/>
      <c r="H57" s="30"/>
      <c r="I57" s="575"/>
      <c r="J57" s="575"/>
      <c r="K57" s="377"/>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119"/>
      <c r="CE57" s="119"/>
      <c r="CF57" s="119"/>
      <c r="CG57" s="119"/>
      <c r="CH57" s="119"/>
      <c r="CI57" s="119"/>
      <c r="CJ57" s="119"/>
      <c r="CK57" s="119"/>
      <c r="CL57" s="119"/>
      <c r="CM57" s="119"/>
      <c r="CN57" s="119"/>
      <c r="CO57" s="119"/>
      <c r="CP57" s="119"/>
      <c r="CQ57" s="119"/>
      <c r="CR57" s="119"/>
      <c r="CS57" s="119"/>
      <c r="CT57" s="119"/>
      <c r="CU57" s="119"/>
      <c r="CV57" s="119"/>
      <c r="CW57" s="119"/>
      <c r="CX57" s="119"/>
      <c r="CY57" s="119"/>
      <c r="CZ57" s="119"/>
      <c r="DA57" s="119"/>
      <c r="DB57" s="119"/>
      <c r="DC57" s="119"/>
      <c r="DD57" s="119"/>
      <c r="DE57" s="119"/>
    </row>
    <row r="58" spans="1:199" s="17" customFormat="1" ht="7.5" customHeight="1" x14ac:dyDescent="0.25">
      <c r="A58" s="576"/>
      <c r="B58" s="577"/>
      <c r="C58" s="397"/>
      <c r="D58" s="424"/>
      <c r="E58" s="582"/>
      <c r="F58" s="583"/>
      <c r="G58" s="405"/>
      <c r="H58" s="357"/>
      <c r="I58" s="577"/>
      <c r="J58" s="577"/>
      <c r="K58" s="377"/>
      <c r="L58" s="119"/>
      <c r="M58" s="119"/>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19"/>
      <c r="AL58" s="119"/>
      <c r="AM58" s="119"/>
      <c r="AN58" s="119"/>
      <c r="AO58" s="119"/>
      <c r="AP58" s="119"/>
      <c r="AQ58" s="119"/>
      <c r="AR58" s="119"/>
      <c r="AS58" s="119"/>
      <c r="AT58" s="119"/>
      <c r="AU58" s="119"/>
      <c r="AV58" s="119"/>
      <c r="AW58" s="119"/>
      <c r="AX58" s="119"/>
      <c r="AY58" s="119"/>
      <c r="AZ58" s="119"/>
      <c r="BA58" s="119"/>
      <c r="BB58" s="119"/>
      <c r="BC58" s="119"/>
      <c r="BD58" s="119"/>
      <c r="BE58" s="119"/>
      <c r="BF58" s="119"/>
      <c r="BG58" s="119"/>
      <c r="BH58" s="119"/>
      <c r="BI58" s="119"/>
      <c r="BJ58" s="119"/>
      <c r="BK58" s="119"/>
      <c r="BL58" s="119"/>
      <c r="BM58" s="119"/>
      <c r="BN58" s="119"/>
      <c r="BO58" s="119"/>
      <c r="BP58" s="119"/>
      <c r="BQ58" s="119"/>
      <c r="BR58" s="119"/>
      <c r="BS58" s="119"/>
      <c r="BT58" s="119"/>
      <c r="BU58" s="119"/>
      <c r="BV58" s="119"/>
      <c r="BW58" s="119"/>
      <c r="BX58" s="119"/>
      <c r="BY58" s="119"/>
      <c r="BZ58" s="119"/>
      <c r="CA58" s="119"/>
      <c r="CB58" s="119"/>
      <c r="CC58" s="119"/>
      <c r="CD58" s="119"/>
      <c r="CE58" s="119"/>
      <c r="CF58" s="119"/>
      <c r="CG58" s="119"/>
      <c r="CH58" s="119"/>
      <c r="CI58" s="119"/>
      <c r="CJ58" s="119"/>
      <c r="CK58" s="119"/>
      <c r="CL58" s="119"/>
      <c r="CM58" s="119"/>
      <c r="CN58" s="119"/>
      <c r="CO58" s="119"/>
      <c r="CP58" s="119"/>
      <c r="CQ58" s="119"/>
      <c r="CR58" s="119"/>
      <c r="CS58" s="119"/>
      <c r="CT58" s="119"/>
      <c r="CU58" s="119"/>
      <c r="CV58" s="119"/>
      <c r="CW58" s="119"/>
      <c r="CX58" s="119"/>
      <c r="CY58" s="119"/>
      <c r="CZ58" s="119"/>
      <c r="DA58" s="119"/>
      <c r="DB58" s="119"/>
      <c r="DC58" s="119"/>
      <c r="DD58" s="119"/>
      <c r="DE58" s="119"/>
    </row>
    <row r="59" spans="1:199" s="17" customFormat="1" ht="7.5" customHeight="1" x14ac:dyDescent="0.25">
      <c r="B59" s="499">
        <f>B45+1</f>
        <v>4</v>
      </c>
      <c r="C59" s="500"/>
      <c r="D59" s="400"/>
      <c r="F59" s="346"/>
      <c r="G59" s="403"/>
      <c r="I59" s="503">
        <f ca="1">I45+D48</f>
        <v>0</v>
      </c>
      <c r="J59" s="504"/>
      <c r="K59" s="377"/>
      <c r="L59" s="119"/>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c r="AL59" s="119"/>
      <c r="AM59" s="119"/>
      <c r="AN59" s="119"/>
      <c r="AO59" s="119"/>
      <c r="AP59" s="119"/>
      <c r="AQ59" s="119"/>
      <c r="AR59" s="119"/>
      <c r="AS59" s="119"/>
      <c r="AT59" s="119"/>
      <c r="AU59" s="119"/>
      <c r="AV59" s="119"/>
      <c r="AW59" s="119"/>
      <c r="AX59" s="119"/>
      <c r="AY59" s="119"/>
      <c r="AZ59" s="119"/>
      <c r="BA59" s="119"/>
      <c r="BB59" s="119"/>
      <c r="BC59" s="119"/>
      <c r="BD59" s="119"/>
      <c r="BE59" s="119"/>
      <c r="BF59" s="119"/>
      <c r="BG59" s="119"/>
      <c r="BH59" s="119"/>
      <c r="BI59" s="119"/>
      <c r="BJ59" s="119"/>
      <c r="BK59" s="119"/>
      <c r="BL59" s="119"/>
      <c r="BM59" s="119"/>
      <c r="BN59" s="119"/>
      <c r="BO59" s="119"/>
      <c r="BP59" s="119"/>
      <c r="BQ59" s="119"/>
      <c r="BR59" s="119"/>
      <c r="BS59" s="119"/>
      <c r="BT59" s="119"/>
      <c r="BU59" s="119"/>
      <c r="BV59" s="119"/>
      <c r="BW59" s="119"/>
      <c r="BX59" s="119"/>
      <c r="BY59" s="119"/>
      <c r="BZ59" s="119"/>
      <c r="CA59" s="119"/>
      <c r="CB59" s="119"/>
      <c r="CC59" s="119"/>
      <c r="CD59" s="119"/>
      <c r="CE59" s="119"/>
      <c r="CF59" s="119"/>
      <c r="CG59" s="119"/>
      <c r="CH59" s="119"/>
      <c r="CI59" s="119"/>
      <c r="CJ59" s="119"/>
      <c r="CK59" s="119"/>
      <c r="CL59" s="119"/>
      <c r="CM59" s="119"/>
      <c r="CN59" s="119"/>
      <c r="CO59" s="119"/>
      <c r="CP59" s="119"/>
      <c r="CQ59" s="119"/>
      <c r="CR59" s="119"/>
      <c r="CS59" s="119"/>
      <c r="CT59" s="119"/>
      <c r="CU59" s="119"/>
      <c r="CV59" s="119"/>
      <c r="CW59" s="119"/>
      <c r="CX59" s="119"/>
      <c r="CY59" s="119"/>
      <c r="CZ59" s="119"/>
      <c r="DA59" s="119"/>
      <c r="DB59" s="119"/>
      <c r="DC59" s="119"/>
      <c r="DD59" s="119"/>
      <c r="DE59" s="119"/>
    </row>
    <row r="60" spans="1:199" s="17" customFormat="1" ht="7.5" customHeight="1" x14ac:dyDescent="0.25">
      <c r="B60" s="501"/>
      <c r="C60" s="502"/>
      <c r="D60" s="389"/>
      <c r="F60" s="346"/>
      <c r="G60" s="385"/>
      <c r="H60" s="408"/>
      <c r="I60" s="505"/>
      <c r="J60" s="506"/>
      <c r="K60" s="406"/>
      <c r="L60" s="119"/>
      <c r="M60" s="119"/>
      <c r="N60" s="119"/>
      <c r="O60" s="119"/>
      <c r="P60" s="119"/>
      <c r="Q60" s="119"/>
      <c r="R60" s="119"/>
      <c r="S60" s="119"/>
      <c r="T60" s="119"/>
      <c r="U60" s="119"/>
      <c r="V60" s="119"/>
      <c r="W60" s="119"/>
      <c r="X60" s="119"/>
      <c r="Y60" s="119"/>
      <c r="Z60" s="119"/>
      <c r="AA60" s="119"/>
      <c r="AB60" s="119"/>
      <c r="AC60" s="119"/>
      <c r="AD60" s="119"/>
      <c r="AE60" s="119"/>
      <c r="AF60" s="119"/>
      <c r="AG60" s="119"/>
      <c r="AH60" s="119"/>
      <c r="AI60" s="119"/>
      <c r="AJ60" s="119"/>
      <c r="AK60" s="119"/>
      <c r="AL60" s="119"/>
      <c r="AM60" s="119"/>
      <c r="AN60" s="119"/>
      <c r="AO60" s="119"/>
      <c r="AP60" s="119"/>
      <c r="AQ60" s="119"/>
      <c r="AR60" s="119"/>
      <c r="AS60" s="119"/>
      <c r="AT60" s="119"/>
      <c r="AU60" s="119"/>
      <c r="AV60" s="119"/>
      <c r="AW60" s="119"/>
      <c r="AX60" s="119"/>
      <c r="AY60" s="119"/>
      <c r="AZ60" s="119"/>
      <c r="BA60" s="119"/>
      <c r="BB60" s="119"/>
      <c r="BC60" s="119"/>
      <c r="BD60" s="119"/>
      <c r="BE60" s="119"/>
      <c r="BF60" s="119"/>
      <c r="BG60" s="119"/>
      <c r="BH60" s="119"/>
      <c r="BI60" s="119"/>
      <c r="BJ60" s="119"/>
      <c r="BK60" s="119"/>
      <c r="BL60" s="119"/>
      <c r="BM60" s="119"/>
      <c r="BN60" s="119"/>
      <c r="BO60" s="119"/>
      <c r="BP60" s="119"/>
      <c r="BQ60" s="119"/>
      <c r="BR60" s="119"/>
      <c r="BS60" s="119"/>
      <c r="BT60" s="119"/>
      <c r="BU60" s="119"/>
      <c r="BV60" s="119"/>
      <c r="BW60" s="119"/>
      <c r="BX60" s="119"/>
      <c r="BY60" s="119"/>
      <c r="BZ60" s="119"/>
      <c r="CA60" s="119"/>
      <c r="CB60" s="119"/>
      <c r="CC60" s="119"/>
      <c r="CD60" s="119"/>
      <c r="CE60" s="119"/>
      <c r="CF60" s="119"/>
      <c r="CG60" s="119"/>
      <c r="CH60" s="119"/>
      <c r="CI60" s="119"/>
      <c r="CJ60" s="119"/>
      <c r="CK60" s="119"/>
      <c r="CL60" s="119"/>
      <c r="CM60" s="119"/>
      <c r="CN60" s="119"/>
      <c r="CO60" s="119"/>
      <c r="CP60" s="119"/>
      <c r="CQ60" s="119"/>
      <c r="CR60" s="119"/>
      <c r="CS60" s="119"/>
      <c r="CT60" s="119"/>
      <c r="CU60" s="119"/>
      <c r="CV60" s="119"/>
      <c r="CW60" s="119"/>
      <c r="CX60" s="119"/>
      <c r="CY60" s="119"/>
      <c r="CZ60" s="119"/>
      <c r="DA60" s="119"/>
      <c r="DB60" s="119"/>
      <c r="DC60" s="119"/>
      <c r="DD60" s="119"/>
      <c r="DE60" s="119"/>
    </row>
    <row r="61" spans="1:199" ht="7.5" customHeight="1" x14ac:dyDescent="0.25">
      <c r="A61" s="17"/>
      <c r="B61" s="480" t="s">
        <v>549</v>
      </c>
      <c r="C61" s="17"/>
      <c r="D61" s="388"/>
      <c r="E61" s="394"/>
      <c r="G61" s="398"/>
      <c r="K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c r="EH61" s="17"/>
      <c r="EI61" s="17"/>
      <c r="EK61" s="17"/>
      <c r="EL61" s="17"/>
      <c r="EM61" s="17"/>
      <c r="EN61" s="17"/>
      <c r="EO61" s="17"/>
      <c r="EP61" s="17"/>
      <c r="EQ61" s="17"/>
      <c r="ER61" s="17"/>
      <c r="ES61" s="17"/>
      <c r="ET61" s="17"/>
      <c r="EU61" s="17"/>
      <c r="EV61" s="17"/>
      <c r="EW61" s="17"/>
      <c r="EX61" s="17"/>
      <c r="EY61" s="17"/>
      <c r="EZ61" s="17"/>
      <c r="FA61" s="17"/>
      <c r="FB61" s="17"/>
      <c r="FC61" s="17"/>
      <c r="FD61" s="17"/>
      <c r="FE61" s="17"/>
      <c r="FF61" s="17"/>
      <c r="FG61" s="17"/>
      <c r="FH61" s="17"/>
      <c r="FI61" s="17"/>
      <c r="FJ61" s="17"/>
      <c r="FK61" s="17"/>
      <c r="FL61" s="17"/>
      <c r="FM61" s="17"/>
    </row>
    <row r="62" spans="1:199" ht="7.5" customHeight="1" x14ac:dyDescent="0.25">
      <c r="A62" s="17"/>
      <c r="B62" s="481"/>
      <c r="C62" s="17"/>
      <c r="D62" s="484">
        <f>SUM(63:63)</f>
        <v>0</v>
      </c>
      <c r="E62" s="483"/>
      <c r="F62" s="394"/>
      <c r="G62" s="407"/>
      <c r="K62" s="17"/>
      <c r="L62" s="17"/>
      <c r="M62" s="17"/>
      <c r="N62" s="17"/>
      <c r="O62" s="17"/>
      <c r="P62" s="17"/>
      <c r="Q62" s="17"/>
      <c r="R62" s="17"/>
      <c r="S62" s="17"/>
      <c r="T62" s="17"/>
      <c r="U62" s="17"/>
      <c r="V62" s="17"/>
      <c r="W62" s="17"/>
      <c r="X62" s="17"/>
      <c r="Y62" s="17"/>
      <c r="Z62" s="17"/>
      <c r="AA62" s="17"/>
      <c r="AB62" s="17"/>
      <c r="AC62" s="17"/>
      <c r="AD62" s="17"/>
      <c r="AE62" s="17"/>
      <c r="EK62" s="17"/>
      <c r="EL62" s="17"/>
      <c r="EM62" s="17"/>
      <c r="EN62" s="17"/>
      <c r="EO62" s="17"/>
      <c r="EP62" s="17"/>
      <c r="EQ62" s="17"/>
      <c r="ER62" s="17"/>
      <c r="ES62" s="17"/>
      <c r="ET62" s="17"/>
      <c r="EU62" s="17"/>
      <c r="EV62" s="17"/>
      <c r="EW62" s="17"/>
      <c r="EX62" s="17"/>
      <c r="EY62" s="17"/>
      <c r="EZ62" s="17"/>
      <c r="FA62" s="17"/>
      <c r="FB62" s="17"/>
      <c r="FC62" s="17"/>
      <c r="FD62" s="17"/>
      <c r="FE62" s="17"/>
      <c r="FF62" s="17"/>
      <c r="FG62" s="17"/>
      <c r="FH62" s="17"/>
      <c r="FI62" s="17"/>
      <c r="FJ62" s="17"/>
      <c r="FK62" s="17"/>
      <c r="FL62" s="17"/>
      <c r="FM62" s="17"/>
      <c r="FN62" s="17"/>
      <c r="FO62" s="17"/>
      <c r="FP62" s="17"/>
      <c r="FQ62" s="17"/>
      <c r="FR62" s="17"/>
      <c r="FS62" s="17"/>
      <c r="FT62" s="17"/>
      <c r="FU62" s="17"/>
      <c r="FV62" s="17"/>
      <c r="FW62" s="17"/>
      <c r="FX62" s="17"/>
      <c r="FY62" s="17"/>
      <c r="FZ62" s="17"/>
      <c r="GA62" s="17"/>
      <c r="GB62" s="17"/>
      <c r="GC62" s="17"/>
      <c r="GD62" s="17"/>
      <c r="GE62" s="17"/>
      <c r="GF62" s="17"/>
      <c r="GG62" s="17"/>
      <c r="GH62" s="17"/>
      <c r="GI62" s="17"/>
      <c r="GJ62" s="17"/>
      <c r="GK62" s="17"/>
      <c r="GL62" s="17"/>
      <c r="GM62" s="17"/>
      <c r="GN62" s="17"/>
      <c r="GO62" s="17"/>
      <c r="GP62" s="17"/>
      <c r="GQ62" s="17"/>
    </row>
    <row r="63" spans="1:199" ht="7.5" customHeight="1" x14ac:dyDescent="0.25">
      <c r="A63" s="17"/>
      <c r="B63" s="481"/>
      <c r="C63" s="17"/>
      <c r="D63" s="484"/>
      <c r="E63" s="483"/>
      <c r="F63" s="386" t="s">
        <v>547</v>
      </c>
      <c r="G63" s="387"/>
      <c r="H63" s="387"/>
      <c r="I63" s="387"/>
      <c r="J63" s="387"/>
      <c r="L63" s="17"/>
      <c r="M63" s="17"/>
      <c r="N63" s="17"/>
      <c r="O63" s="17"/>
      <c r="P63" s="17"/>
      <c r="Q63" s="17"/>
      <c r="R63" s="17"/>
      <c r="S63" s="17"/>
      <c r="T63" s="17"/>
      <c r="U63" s="17"/>
      <c r="V63" s="17"/>
      <c r="W63" s="17"/>
      <c r="X63" s="17"/>
      <c r="Y63" s="17"/>
      <c r="Z63" s="17"/>
      <c r="AA63" s="17"/>
      <c r="AB63" s="17"/>
      <c r="AC63" s="17"/>
      <c r="AD63" s="17"/>
      <c r="AE63" s="17"/>
      <c r="EK63" s="17"/>
      <c r="EL63" s="17"/>
      <c r="EM63" s="17"/>
      <c r="EN63" s="17"/>
      <c r="EO63" s="17"/>
      <c r="EP63" s="17"/>
      <c r="EQ63" s="17"/>
      <c r="ER63" s="17"/>
      <c r="ES63" s="17"/>
      <c r="ET63" s="17"/>
      <c r="EU63" s="17"/>
      <c r="EV63" s="17"/>
      <c r="EW63" s="17"/>
      <c r="EX63" s="17"/>
      <c r="EY63" s="17"/>
      <c r="EZ63" s="17"/>
      <c r="FA63" s="17"/>
      <c r="FB63" s="17"/>
      <c r="FC63" s="17"/>
      <c r="FD63" s="17"/>
      <c r="FE63" s="17"/>
      <c r="FF63" s="17"/>
      <c r="FG63" s="17"/>
      <c r="FH63" s="17"/>
      <c r="FI63" s="17"/>
      <c r="FJ63" s="17"/>
      <c r="FK63" s="17"/>
      <c r="FL63" s="17"/>
      <c r="FM63" s="17"/>
      <c r="FN63" s="17"/>
      <c r="FO63" s="17"/>
      <c r="FP63" s="17"/>
      <c r="FQ63" s="17"/>
      <c r="FR63" s="17"/>
      <c r="FS63" s="17"/>
      <c r="FT63" s="17"/>
      <c r="FU63" s="17"/>
      <c r="FV63" s="17"/>
      <c r="FW63" s="17"/>
      <c r="FX63" s="17"/>
      <c r="FY63" s="17"/>
      <c r="FZ63" s="17"/>
      <c r="GA63" s="17"/>
      <c r="GB63" s="17"/>
      <c r="GC63" s="17"/>
      <c r="GD63" s="17"/>
      <c r="GE63" s="17"/>
      <c r="GF63" s="17"/>
      <c r="GG63" s="17"/>
      <c r="GH63" s="17"/>
      <c r="GI63" s="17"/>
      <c r="GJ63" s="17"/>
      <c r="GK63" s="17"/>
      <c r="GL63" s="17"/>
      <c r="GM63" s="17"/>
      <c r="GN63" s="17"/>
      <c r="GO63" s="17"/>
      <c r="GP63" s="17"/>
      <c r="GQ63" s="17"/>
    </row>
    <row r="64" spans="1:199" ht="7.5" customHeight="1" x14ac:dyDescent="0.25">
      <c r="A64" s="17"/>
      <c r="B64" s="481"/>
      <c r="C64" s="17"/>
      <c r="D64" s="484"/>
      <c r="E64" s="483"/>
      <c r="F64" s="393"/>
      <c r="G64" s="391"/>
      <c r="H64" s="425"/>
      <c r="I64" s="17"/>
      <c r="L64" s="17"/>
      <c r="M64" s="17"/>
      <c r="N64" s="17"/>
      <c r="O64" s="17"/>
      <c r="P64" s="17"/>
      <c r="Q64" s="17"/>
      <c r="R64" s="17"/>
      <c r="S64" s="17"/>
      <c r="T64" s="17"/>
      <c r="U64" s="17"/>
      <c r="V64" s="17"/>
      <c r="W64" s="17"/>
      <c r="X64" s="17"/>
      <c r="Y64" s="17"/>
      <c r="Z64" s="17"/>
      <c r="AA64" s="17"/>
      <c r="AB64" s="17"/>
      <c r="AC64" s="17"/>
      <c r="AD64" s="17"/>
      <c r="AE64" s="17"/>
      <c r="EK64" s="17"/>
      <c r="EL64" s="17"/>
      <c r="EM64" s="17"/>
      <c r="EN64" s="17"/>
      <c r="EO64" s="17"/>
      <c r="EP64" s="17"/>
      <c r="EQ64" s="17"/>
      <c r="ER64" s="17"/>
      <c r="ES64" s="17"/>
      <c r="ET64" s="17"/>
      <c r="EU64" s="17"/>
      <c r="EV64" s="17"/>
      <c r="EW64" s="17"/>
      <c r="EX64" s="17"/>
      <c r="EY64" s="17"/>
      <c r="EZ64" s="17"/>
      <c r="FA64" s="17"/>
      <c r="FB64" s="17"/>
      <c r="FC64" s="17"/>
      <c r="FD64" s="17"/>
      <c r="FE64" s="17"/>
      <c r="FF64" s="17"/>
      <c r="FG64" s="17"/>
      <c r="FH64" s="17"/>
      <c r="FI64" s="17"/>
      <c r="FJ64" s="17"/>
      <c r="FK64" s="17"/>
      <c r="FL64" s="17"/>
      <c r="FM64" s="17"/>
      <c r="FN64" s="17"/>
      <c r="FO64" s="17"/>
      <c r="FP64" s="17">
        <f>FLOOR((FK64/5),1)</f>
        <v>0</v>
      </c>
      <c r="FQ64" s="17"/>
      <c r="FR64" s="17"/>
      <c r="FS64" s="17"/>
      <c r="FT64" s="17"/>
      <c r="FU64" s="17"/>
      <c r="FV64" s="17"/>
      <c r="FW64" s="17"/>
      <c r="FX64" s="17"/>
      <c r="FY64" s="17"/>
      <c r="FZ64" s="17"/>
      <c r="GA64" s="17"/>
      <c r="GB64" s="17"/>
      <c r="GC64" s="17"/>
      <c r="GD64" s="17"/>
      <c r="GE64" s="17"/>
      <c r="GF64" s="17"/>
      <c r="GG64" s="17"/>
      <c r="GH64" s="17"/>
      <c r="GI64" s="17"/>
      <c r="GJ64" s="17"/>
      <c r="GK64" s="17"/>
      <c r="GL64" s="17"/>
      <c r="GM64" s="17"/>
      <c r="GN64" s="17"/>
      <c r="GO64" s="17"/>
      <c r="GP64" s="17"/>
      <c r="GQ64" s="17"/>
    </row>
    <row r="65" spans="1:216" ht="7.5" customHeight="1" x14ac:dyDescent="0.25">
      <c r="A65" s="17"/>
      <c r="B65" s="481"/>
      <c r="C65" s="17"/>
      <c r="D65" s="388"/>
      <c r="E65" s="390"/>
      <c r="G65" s="398"/>
      <c r="H65" s="409"/>
      <c r="J65" s="17"/>
      <c r="L65" s="17"/>
      <c r="M65" s="17"/>
      <c r="N65" s="17"/>
      <c r="O65" s="17"/>
      <c r="P65" s="17"/>
      <c r="Q65" s="17"/>
      <c r="R65" s="17"/>
      <c r="S65" s="17"/>
      <c r="T65" s="17"/>
      <c r="U65" s="17"/>
      <c r="V65" s="17"/>
      <c r="W65" s="17"/>
      <c r="X65" s="17"/>
      <c r="Y65" s="17"/>
      <c r="Z65" s="17"/>
      <c r="AA65" s="17"/>
      <c r="AB65" s="17"/>
      <c r="AC65" s="17"/>
      <c r="AD65" s="17"/>
      <c r="AE65" s="17"/>
      <c r="EK65" s="17"/>
      <c r="EL65" s="17"/>
      <c r="EM65" s="17"/>
      <c r="EN65" s="17"/>
      <c r="EO65" s="17"/>
      <c r="EP65" s="17"/>
      <c r="EQ65" s="17"/>
      <c r="ER65" s="17"/>
      <c r="ES65" s="17"/>
      <c r="ET65" s="17"/>
      <c r="EU65" s="17"/>
      <c r="EV65" s="17"/>
      <c r="EW65" s="17"/>
      <c r="EX65" s="17"/>
      <c r="EY65" s="17"/>
      <c r="EZ65" s="17"/>
      <c r="FA65" s="17"/>
      <c r="FB65" s="17"/>
      <c r="FC65" s="17"/>
      <c r="FD65" s="17"/>
      <c r="FE65" s="17"/>
      <c r="FF65" s="17"/>
      <c r="FG65" s="17"/>
      <c r="FH65" s="17"/>
      <c r="FI65" s="17"/>
      <c r="FJ65" s="17"/>
      <c r="FK65" s="17"/>
      <c r="FL65" s="17"/>
      <c r="FM65" s="17"/>
      <c r="FN65" s="17"/>
      <c r="FO65" s="17"/>
      <c r="FP65" s="17"/>
      <c r="FQ65" s="17"/>
      <c r="FR65" s="17"/>
      <c r="FS65" s="17"/>
      <c r="FT65" s="17"/>
      <c r="FU65" s="17"/>
      <c r="FV65" s="17"/>
      <c r="FW65" s="17"/>
      <c r="FX65" s="17"/>
      <c r="FY65" s="17"/>
      <c r="FZ65" s="17"/>
      <c r="GA65" s="17"/>
      <c r="GB65" s="17"/>
      <c r="GC65" s="17"/>
      <c r="GD65" s="17"/>
      <c r="GE65" s="17"/>
      <c r="GF65" s="17"/>
      <c r="GG65" s="17"/>
      <c r="GH65" s="17"/>
      <c r="GI65" s="17"/>
      <c r="GJ65" s="17"/>
      <c r="GK65" s="17"/>
      <c r="GL65" s="17"/>
      <c r="GM65" s="17"/>
      <c r="GN65" s="17"/>
      <c r="GO65" s="17"/>
      <c r="GP65" s="17"/>
      <c r="GQ65" s="17"/>
    </row>
    <row r="66" spans="1:216" ht="7.5" customHeight="1" x14ac:dyDescent="0.25">
      <c r="A66" s="17"/>
      <c r="B66" s="481"/>
      <c r="C66" s="17"/>
      <c r="D66" s="380"/>
      <c r="F66" s="392"/>
      <c r="G66" s="482">
        <f>SUM(68:68)</f>
        <v>0</v>
      </c>
      <c r="H66" s="483"/>
      <c r="I66" s="412"/>
      <c r="J66" s="17"/>
      <c r="K66" s="17"/>
      <c r="L66" s="17"/>
      <c r="M66" s="17"/>
      <c r="N66" s="17"/>
      <c r="O66" s="17"/>
      <c r="P66" s="17"/>
      <c r="Q66" s="17"/>
      <c r="R66" s="17"/>
      <c r="S66" s="17"/>
      <c r="T66" s="17"/>
      <c r="U66" s="17"/>
      <c r="V66" s="17"/>
      <c r="W66" s="17"/>
      <c r="X66" s="17"/>
      <c r="Y66" s="17"/>
      <c r="Z66" s="17"/>
      <c r="AA66" s="17"/>
      <c r="AB66" s="17"/>
      <c r="AC66" s="17"/>
      <c r="AD66" s="17"/>
      <c r="AE66" s="17"/>
      <c r="EK66" s="17"/>
      <c r="EL66" s="17"/>
      <c r="EM66" s="17"/>
      <c r="EN66" s="17"/>
      <c r="EO66" s="17"/>
      <c r="EP66" s="17"/>
      <c r="EQ66" s="17"/>
      <c r="ER66" s="17"/>
      <c r="ES66" s="17"/>
      <c r="ET66" s="17"/>
      <c r="EU66" s="17"/>
      <c r="EV66" s="17"/>
      <c r="EW66" s="17"/>
      <c r="EX66" s="17"/>
      <c r="EY66" s="17"/>
      <c r="EZ66" s="17"/>
      <c r="FA66" s="17"/>
      <c r="FB66" s="17"/>
      <c r="FC66" s="17"/>
      <c r="FD66" s="17"/>
      <c r="FE66" s="17"/>
      <c r="FF66" s="17"/>
      <c r="FG66" s="17"/>
      <c r="FH66" s="17"/>
      <c r="FI66" s="17"/>
      <c r="FJ66" s="17"/>
      <c r="FK66" s="17"/>
      <c r="FL66" s="17"/>
      <c r="FM66" s="17"/>
      <c r="FN66" s="17"/>
      <c r="FO66" s="17"/>
      <c r="FP66" s="17"/>
      <c r="FQ66" s="17"/>
      <c r="FR66" s="17"/>
      <c r="FS66" s="17"/>
      <c r="FT66" s="17"/>
      <c r="FU66" s="17"/>
      <c r="FV66" s="17"/>
      <c r="FW66" s="17"/>
      <c r="FX66" s="17"/>
      <c r="FY66" s="17"/>
      <c r="FZ66" s="17"/>
      <c r="GA66" s="17"/>
      <c r="GB66" s="17"/>
      <c r="GC66" s="17"/>
      <c r="GD66" s="17"/>
      <c r="GE66" s="17"/>
      <c r="GF66" s="17"/>
      <c r="GG66" s="17"/>
      <c r="GH66" s="17"/>
      <c r="GI66" s="17"/>
      <c r="GJ66" s="17"/>
      <c r="GK66" s="17"/>
      <c r="GL66" s="17"/>
      <c r="GM66" s="17"/>
      <c r="GN66" s="17"/>
      <c r="GO66" s="17"/>
      <c r="GP66" s="17"/>
      <c r="GQ66" s="17"/>
    </row>
    <row r="67" spans="1:216" ht="7.5" customHeight="1" x14ac:dyDescent="0.25">
      <c r="A67" s="17"/>
      <c r="B67" s="481"/>
      <c r="C67" s="17"/>
      <c r="D67" s="380"/>
      <c r="E67" s="17"/>
      <c r="G67" s="482"/>
      <c r="H67" s="483"/>
      <c r="I67" s="411"/>
      <c r="K67" s="17"/>
      <c r="L67" s="17"/>
      <c r="M67" s="17"/>
      <c r="N67" s="17"/>
      <c r="O67" s="17"/>
      <c r="P67" s="17"/>
      <c r="Q67" s="17"/>
      <c r="R67" s="17"/>
      <c r="S67" s="17"/>
      <c r="T67" s="17"/>
      <c r="U67" s="17"/>
      <c r="V67" s="17"/>
      <c r="W67" s="17"/>
      <c r="X67" s="17"/>
      <c r="Y67" s="17"/>
      <c r="Z67" s="17"/>
      <c r="AA67" s="17"/>
      <c r="AB67" s="17"/>
      <c r="AC67" s="17"/>
      <c r="AD67" s="17"/>
      <c r="AE67" s="17"/>
      <c r="EN67" s="17"/>
      <c r="EO67" s="17"/>
      <c r="EP67" s="17"/>
      <c r="EQ67" s="17"/>
      <c r="ER67" s="17"/>
      <c r="ES67" s="17"/>
      <c r="ET67" s="17"/>
      <c r="EU67" s="17"/>
      <c r="EV67" s="17"/>
      <c r="EW67" s="17"/>
      <c r="EX67" s="17"/>
      <c r="EY67" s="17"/>
      <c r="EZ67" s="17"/>
      <c r="FA67" s="17"/>
      <c r="FB67" s="17"/>
      <c r="FC67" s="17"/>
      <c r="FD67" s="17"/>
      <c r="FE67" s="17"/>
      <c r="FF67" s="17"/>
      <c r="FG67" s="17"/>
      <c r="FH67" s="17"/>
      <c r="FI67" s="17"/>
      <c r="FJ67" s="17"/>
      <c r="FK67" s="17"/>
      <c r="FL67" s="17"/>
      <c r="FM67" s="17"/>
      <c r="FN67" s="17"/>
      <c r="FO67" s="17"/>
      <c r="FP67" s="17"/>
      <c r="FQ67" s="17"/>
      <c r="FR67" s="17"/>
      <c r="FS67" s="17"/>
      <c r="FT67" s="17"/>
      <c r="FU67" s="17"/>
      <c r="FV67" s="17"/>
      <c r="FW67" s="17"/>
      <c r="FX67" s="17"/>
      <c r="FY67" s="17"/>
      <c r="FZ67" s="17"/>
      <c r="GA67" s="17"/>
      <c r="GB67" s="17"/>
      <c r="GC67" s="17"/>
      <c r="GD67" s="17"/>
      <c r="GE67" s="17"/>
      <c r="GF67" s="17"/>
      <c r="GG67" s="17"/>
      <c r="GH67" s="17"/>
      <c r="GI67" s="17"/>
      <c r="GJ67" s="17"/>
      <c r="GK67" s="17"/>
      <c r="GL67" s="17"/>
      <c r="GM67" s="17"/>
      <c r="GN67" s="17"/>
      <c r="GO67" s="17"/>
      <c r="GP67" s="17"/>
      <c r="GQ67" s="17"/>
    </row>
    <row r="68" spans="1:216" ht="7.5" customHeight="1" x14ac:dyDescent="0.25">
      <c r="A68" s="17"/>
      <c r="B68" s="481"/>
      <c r="C68" s="17"/>
      <c r="D68" s="380"/>
      <c r="E68" s="17"/>
      <c r="G68" s="482"/>
      <c r="H68" s="483"/>
      <c r="I68" s="426" t="s">
        <v>547</v>
      </c>
      <c r="J68" s="410"/>
      <c r="K68" s="17"/>
      <c r="L68" s="17"/>
      <c r="M68" s="17"/>
      <c r="N68" s="17"/>
      <c r="O68" s="17"/>
      <c r="P68" s="17"/>
      <c r="Q68" s="17"/>
      <c r="R68" s="17"/>
      <c r="S68" s="17"/>
      <c r="T68" s="17"/>
      <c r="U68" s="17"/>
      <c r="V68" s="17"/>
      <c r="W68" s="17"/>
      <c r="X68" s="17"/>
      <c r="Y68" s="17"/>
      <c r="Z68" s="17"/>
      <c r="AA68" s="17"/>
      <c r="AB68" s="17"/>
      <c r="AC68" s="17"/>
      <c r="AD68" s="17"/>
      <c r="AE68" s="17"/>
      <c r="EN68" s="17"/>
      <c r="EO68" s="17"/>
      <c r="EP68" s="17"/>
      <c r="EQ68" s="17"/>
      <c r="ER68" s="17"/>
      <c r="ES68" s="17"/>
      <c r="ET68" s="17"/>
      <c r="EU68" s="17"/>
      <c r="EV68" s="17"/>
      <c r="EW68" s="17"/>
      <c r="EX68" s="17"/>
      <c r="EY68" s="17"/>
      <c r="EZ68" s="17"/>
      <c r="FA68" s="17"/>
      <c r="FB68" s="17"/>
      <c r="FC68" s="17"/>
      <c r="FD68" s="17"/>
      <c r="FE68" s="17"/>
      <c r="FF68" s="17"/>
      <c r="FG68" s="17"/>
      <c r="FH68" s="17"/>
      <c r="FI68" s="17"/>
      <c r="FJ68" s="17"/>
      <c r="FK68" s="17"/>
      <c r="FL68" s="17"/>
      <c r="FM68" s="17"/>
      <c r="FN68" s="17"/>
      <c r="FO68" s="17"/>
      <c r="FP68" s="17"/>
      <c r="FQ68" s="17"/>
      <c r="FR68" s="17"/>
      <c r="FS68" s="17"/>
      <c r="FT68" s="17"/>
      <c r="FU68" s="17"/>
      <c r="FV68" s="17"/>
      <c r="FW68" s="17"/>
      <c r="FX68" s="17"/>
      <c r="FY68" s="17"/>
      <c r="FZ68" s="17"/>
      <c r="GA68" s="17"/>
      <c r="GB68" s="17"/>
      <c r="GC68" s="17"/>
      <c r="GD68" s="17"/>
      <c r="GE68" s="17"/>
      <c r="GF68" s="17"/>
      <c r="GG68" s="17"/>
      <c r="GH68" s="17"/>
      <c r="GI68" s="17"/>
      <c r="GJ68" s="17"/>
      <c r="GK68" s="17"/>
      <c r="GL68" s="17"/>
      <c r="GM68" s="17"/>
      <c r="GN68" s="17"/>
      <c r="GO68" s="17"/>
      <c r="GP68" s="17"/>
      <c r="GQ68" s="17"/>
    </row>
    <row r="69" spans="1:216" ht="7.5" customHeight="1" x14ac:dyDescent="0.25">
      <c r="A69" s="572" t="s">
        <v>551</v>
      </c>
      <c r="B69" s="573"/>
      <c r="C69" s="402"/>
      <c r="D69" s="422"/>
      <c r="E69" s="578" t="s">
        <v>551</v>
      </c>
      <c r="F69" s="579"/>
      <c r="G69" s="403"/>
      <c r="H69" s="402"/>
      <c r="I69" s="573" t="s">
        <v>551</v>
      </c>
      <c r="J69" s="573"/>
      <c r="L69" s="17"/>
      <c r="M69" s="17"/>
      <c r="N69" s="17"/>
      <c r="O69" s="17"/>
      <c r="P69" s="17"/>
      <c r="Q69" s="17"/>
      <c r="R69" s="17"/>
      <c r="S69" s="17"/>
      <c r="T69" s="17"/>
      <c r="U69" s="17"/>
      <c r="V69" s="17"/>
      <c r="W69" s="17"/>
      <c r="X69" s="17"/>
      <c r="Y69" s="17"/>
      <c r="Z69" s="17"/>
      <c r="AA69" s="17"/>
      <c r="AB69" s="17"/>
      <c r="AC69" s="17"/>
      <c r="AD69" s="17"/>
      <c r="AE69" s="17"/>
      <c r="EN69" s="17"/>
      <c r="EO69" s="17"/>
      <c r="EP69" s="17"/>
      <c r="EQ69" s="17"/>
      <c r="ER69" s="17"/>
      <c r="ES69" s="17"/>
      <c r="ET69" s="17"/>
      <c r="EU69" s="17"/>
      <c r="EV69" s="17"/>
      <c r="EW69" s="17"/>
      <c r="EX69" s="17"/>
      <c r="EY69" s="17"/>
      <c r="EZ69" s="17"/>
      <c r="FA69" s="17"/>
      <c r="FB69" s="17"/>
      <c r="FC69" s="17"/>
      <c r="FD69" s="17"/>
      <c r="FE69" s="17"/>
      <c r="FF69" s="17"/>
      <c r="FG69" s="17"/>
      <c r="FH69" s="17"/>
      <c r="FI69" s="17"/>
      <c r="FJ69" s="17"/>
      <c r="FK69" s="17"/>
      <c r="FL69" s="17"/>
      <c r="FM69" s="17"/>
      <c r="FN69" s="17"/>
      <c r="FO69" s="17"/>
      <c r="FP69" s="17"/>
      <c r="FQ69" s="17"/>
      <c r="FR69" s="17"/>
      <c r="FS69" s="17"/>
      <c r="FT69" s="17"/>
      <c r="FU69" s="17"/>
      <c r="FV69" s="17"/>
      <c r="FW69" s="17"/>
      <c r="FX69" s="17"/>
      <c r="FY69" s="17"/>
      <c r="FZ69" s="17"/>
      <c r="GA69" s="17"/>
      <c r="GB69" s="17"/>
      <c r="GC69" s="17"/>
      <c r="GD69" s="17"/>
      <c r="GE69" s="17"/>
      <c r="GF69" s="17"/>
      <c r="GG69" s="17"/>
      <c r="GH69" s="17"/>
      <c r="GI69" s="17"/>
      <c r="GJ69" s="17"/>
      <c r="GK69" s="17"/>
      <c r="GL69" s="17"/>
      <c r="GM69" s="17"/>
      <c r="GN69" s="17"/>
      <c r="GO69" s="17"/>
      <c r="GP69" s="17"/>
      <c r="GQ69" s="17"/>
    </row>
    <row r="70" spans="1:216" ht="7.5" customHeight="1" x14ac:dyDescent="0.25">
      <c r="A70" s="574"/>
      <c r="B70" s="575"/>
      <c r="C70" s="30"/>
      <c r="D70" s="423"/>
      <c r="E70" s="580"/>
      <c r="F70" s="581"/>
      <c r="G70" s="385"/>
      <c r="H70" s="30"/>
      <c r="I70" s="575"/>
      <c r="J70" s="575"/>
      <c r="K70" s="384"/>
      <c r="L70" s="17"/>
      <c r="M70" s="17"/>
      <c r="N70" s="17"/>
      <c r="O70" s="17"/>
      <c r="P70" s="17"/>
      <c r="Q70" s="17"/>
      <c r="R70" s="17"/>
      <c r="S70" s="17"/>
      <c r="T70" s="17"/>
      <c r="U70" s="17"/>
      <c r="V70" s="17"/>
      <c r="W70" s="17"/>
      <c r="X70" s="17"/>
      <c r="Y70" s="17"/>
      <c r="Z70" s="17"/>
      <c r="AA70" s="17"/>
      <c r="AB70" s="17"/>
      <c r="AC70" s="17"/>
      <c r="AD70" s="17"/>
      <c r="AE70" s="17"/>
      <c r="EN70" s="17"/>
      <c r="EO70" s="17"/>
      <c r="EP70" s="17"/>
      <c r="EQ70" s="17"/>
      <c r="ER70" s="17"/>
      <c r="ES70" s="17"/>
      <c r="ET70" s="17"/>
      <c r="EU70" s="17"/>
      <c r="EV70" s="17"/>
      <c r="EW70" s="17"/>
      <c r="EX70" s="17"/>
      <c r="EY70" s="17"/>
      <c r="EZ70" s="17"/>
      <c r="FA70" s="17"/>
      <c r="FB70" s="17"/>
      <c r="FC70" s="17"/>
      <c r="FD70" s="17"/>
      <c r="FE70" s="17"/>
      <c r="FF70" s="17"/>
      <c r="FG70" s="17"/>
      <c r="FH70" s="17"/>
      <c r="FI70" s="17"/>
      <c r="FJ70" s="17"/>
      <c r="FK70" s="17"/>
      <c r="FL70" s="17"/>
      <c r="FM70" s="17"/>
      <c r="FN70" s="17"/>
      <c r="FO70" s="17"/>
      <c r="FP70" s="17"/>
      <c r="FQ70" s="17"/>
      <c r="FR70" s="17"/>
      <c r="FS70" s="17"/>
      <c r="FT70" s="17"/>
      <c r="FU70" s="17"/>
      <c r="FV70" s="17"/>
      <c r="FW70" s="17"/>
      <c r="FX70" s="17"/>
      <c r="FY70" s="17"/>
      <c r="FZ70" s="17"/>
      <c r="GA70" s="17"/>
      <c r="GB70" s="17"/>
      <c r="GC70" s="17"/>
      <c r="GD70" s="17"/>
      <c r="GE70" s="17"/>
      <c r="GF70" s="17"/>
      <c r="GG70" s="17"/>
      <c r="GH70" s="17"/>
      <c r="GI70" s="17"/>
      <c r="GJ70" s="17"/>
      <c r="GK70" s="17"/>
      <c r="GL70" s="17"/>
      <c r="GM70" s="17"/>
      <c r="GN70" s="17"/>
      <c r="GO70" s="17"/>
      <c r="GP70" s="17"/>
      <c r="GQ70" s="17"/>
    </row>
    <row r="71" spans="1:216" s="17" customFormat="1" ht="7.5" customHeight="1" x14ac:dyDescent="0.25">
      <c r="A71" s="574"/>
      <c r="B71" s="575"/>
      <c r="C71" s="30"/>
      <c r="D71" s="153"/>
      <c r="E71" s="580"/>
      <c r="F71" s="581"/>
      <c r="G71" s="385"/>
      <c r="H71" s="30"/>
      <c r="I71" s="575"/>
      <c r="J71" s="575"/>
      <c r="K71" s="404"/>
      <c r="AF71" s="119"/>
      <c r="AG71" s="119"/>
      <c r="AH71" s="119"/>
      <c r="AI71" s="119"/>
      <c r="AJ71" s="119"/>
      <c r="AK71" s="119"/>
      <c r="AL71" s="119"/>
      <c r="AM71" s="119"/>
      <c r="AN71" s="119"/>
      <c r="AO71" s="119"/>
      <c r="AP71" s="119"/>
      <c r="AQ71" s="119"/>
      <c r="AR71" s="119"/>
      <c r="AS71" s="119"/>
      <c r="AT71" s="119"/>
      <c r="AU71" s="119"/>
      <c r="AV71" s="119"/>
      <c r="AW71" s="119"/>
      <c r="AX71" s="119"/>
      <c r="AY71" s="119"/>
      <c r="AZ71" s="119"/>
      <c r="BA71" s="119"/>
      <c r="BB71" s="119"/>
      <c r="BC71" s="119"/>
      <c r="BD71" s="119"/>
      <c r="BE71" s="119"/>
      <c r="BF71" s="119"/>
      <c r="BG71" s="119"/>
      <c r="BH71" s="119"/>
      <c r="BI71" s="119"/>
      <c r="BJ71" s="119"/>
      <c r="BK71" s="119"/>
      <c r="BL71" s="119"/>
      <c r="BM71" s="119"/>
      <c r="BN71" s="119"/>
      <c r="BO71" s="119"/>
      <c r="BP71" s="119"/>
      <c r="BQ71" s="119"/>
      <c r="BR71" s="119"/>
      <c r="BS71" s="119"/>
      <c r="BT71" s="119"/>
      <c r="BU71" s="119"/>
      <c r="BV71" s="119"/>
      <c r="BW71" s="119"/>
      <c r="BX71" s="119"/>
      <c r="BY71" s="119"/>
      <c r="BZ71" s="119"/>
      <c r="CA71" s="119"/>
      <c r="CB71" s="119"/>
      <c r="CC71" s="119"/>
      <c r="CD71" s="119"/>
      <c r="CE71" s="119"/>
      <c r="CF71" s="119"/>
      <c r="CG71" s="119"/>
      <c r="CH71" s="119"/>
      <c r="CI71" s="119"/>
      <c r="CJ71" s="119"/>
      <c r="CK71" s="119"/>
      <c r="CL71" s="119"/>
      <c r="CM71" s="119"/>
      <c r="CN71" s="119"/>
      <c r="CO71" s="119"/>
      <c r="CP71" s="119"/>
      <c r="CQ71" s="119"/>
      <c r="CR71" s="119"/>
      <c r="CS71" s="119"/>
      <c r="CT71" s="119"/>
      <c r="CU71" s="119"/>
      <c r="CV71" s="119"/>
      <c r="CW71" s="119"/>
      <c r="CX71" s="119"/>
      <c r="CY71" s="119"/>
      <c r="CZ71" s="119"/>
      <c r="DA71" s="119"/>
      <c r="DB71" s="119"/>
      <c r="DC71" s="119"/>
      <c r="DD71" s="119"/>
      <c r="DE71" s="119"/>
      <c r="DF71" s="119"/>
      <c r="DG71" s="119"/>
      <c r="DH71" s="119"/>
      <c r="DI71" s="119"/>
      <c r="DJ71" s="119"/>
      <c r="DK71" s="119"/>
      <c r="DL71" s="119"/>
      <c r="DM71" s="119"/>
      <c r="DN71" s="119"/>
      <c r="DO71" s="119"/>
      <c r="DP71" s="119"/>
      <c r="DQ71" s="119"/>
      <c r="DR71" s="119"/>
      <c r="DS71" s="119"/>
      <c r="DT71" s="119"/>
      <c r="DU71" s="119"/>
      <c r="DV71" s="119"/>
      <c r="DW71" s="119"/>
      <c r="DX71" s="119"/>
      <c r="DY71" s="119"/>
      <c r="DZ71" s="119"/>
      <c r="EA71" s="119"/>
      <c r="EB71" s="119"/>
      <c r="EC71" s="119"/>
      <c r="ED71" s="119"/>
      <c r="EE71" s="119"/>
      <c r="EF71" s="119"/>
      <c r="EG71" s="119"/>
      <c r="EH71" s="119"/>
      <c r="EI71" s="119"/>
      <c r="EK71" s="119"/>
      <c r="EL71" s="119"/>
      <c r="EM71" s="119"/>
    </row>
    <row r="72" spans="1:216" s="17" customFormat="1" ht="7.5" customHeight="1" x14ac:dyDescent="0.25">
      <c r="A72" s="576"/>
      <c r="B72" s="577"/>
      <c r="C72" s="397"/>
      <c r="D72" s="424"/>
      <c r="E72" s="582"/>
      <c r="F72" s="583"/>
      <c r="G72" s="405"/>
      <c r="H72" s="357"/>
      <c r="I72" s="577"/>
      <c r="J72" s="577"/>
      <c r="K72" s="377"/>
      <c r="AF72" s="119"/>
      <c r="AG72" s="119"/>
      <c r="AH72" s="119"/>
      <c r="AI72" s="119"/>
      <c r="AJ72" s="119"/>
      <c r="AK72" s="119"/>
      <c r="AL72" s="119"/>
      <c r="AM72" s="119"/>
      <c r="AN72" s="119"/>
      <c r="AO72" s="119"/>
      <c r="AP72" s="119"/>
      <c r="AQ72" s="119"/>
      <c r="AR72" s="119"/>
      <c r="AS72" s="119"/>
      <c r="AT72" s="119"/>
      <c r="AU72" s="119"/>
      <c r="AV72" s="119"/>
      <c r="AW72" s="119"/>
      <c r="AX72" s="119"/>
      <c r="AY72" s="119"/>
      <c r="AZ72" s="119"/>
      <c r="BA72" s="119"/>
      <c r="BB72" s="119"/>
      <c r="BC72" s="119"/>
      <c r="BD72" s="119"/>
      <c r="BE72" s="119"/>
      <c r="BF72" s="119"/>
      <c r="BG72" s="119"/>
      <c r="BH72" s="119"/>
      <c r="BI72" s="119"/>
      <c r="BJ72" s="119"/>
      <c r="BK72" s="119"/>
      <c r="BL72" s="119"/>
      <c r="BM72" s="119"/>
      <c r="BN72" s="119"/>
      <c r="BO72" s="119"/>
      <c r="BP72" s="119"/>
      <c r="BQ72" s="119"/>
      <c r="BR72" s="119"/>
      <c r="BS72" s="119"/>
      <c r="BT72" s="119"/>
      <c r="BU72" s="119"/>
      <c r="BV72" s="119"/>
      <c r="BW72" s="119"/>
      <c r="BX72" s="119"/>
      <c r="BY72" s="119"/>
      <c r="BZ72" s="119"/>
      <c r="CA72" s="119"/>
      <c r="CB72" s="119"/>
      <c r="CC72" s="119"/>
      <c r="CD72" s="119"/>
      <c r="CE72" s="119"/>
      <c r="CF72" s="119"/>
      <c r="CG72" s="119"/>
      <c r="CH72" s="119"/>
      <c r="CI72" s="119"/>
      <c r="CJ72" s="119"/>
      <c r="CK72" s="119"/>
      <c r="CL72" s="119"/>
      <c r="CM72" s="119"/>
      <c r="CN72" s="119"/>
      <c r="CO72" s="119"/>
      <c r="CP72" s="119"/>
      <c r="CQ72" s="119"/>
      <c r="CR72" s="119"/>
      <c r="CS72" s="119"/>
      <c r="CT72" s="119"/>
      <c r="CU72" s="119"/>
      <c r="CV72" s="119"/>
      <c r="CW72" s="119"/>
      <c r="CX72" s="119"/>
      <c r="CY72" s="119"/>
      <c r="CZ72" s="119"/>
      <c r="DA72" s="119"/>
      <c r="DB72" s="119"/>
      <c r="DC72" s="119"/>
      <c r="DD72" s="119"/>
      <c r="DE72" s="119"/>
      <c r="DF72" s="119"/>
      <c r="DG72" s="119"/>
      <c r="DH72" s="119"/>
      <c r="DI72" s="119"/>
      <c r="DJ72" s="119"/>
      <c r="DK72" s="119"/>
      <c r="DL72" s="119"/>
      <c r="DM72" s="119"/>
      <c r="DN72" s="119"/>
      <c r="DO72" s="119"/>
      <c r="DP72" s="119"/>
      <c r="DQ72" s="119"/>
      <c r="DR72" s="119"/>
      <c r="DS72" s="119"/>
      <c r="DT72" s="119"/>
      <c r="DU72" s="119"/>
      <c r="DV72" s="119"/>
      <c r="DW72" s="119"/>
      <c r="DX72" s="119"/>
      <c r="DY72" s="119"/>
      <c r="DZ72" s="119"/>
      <c r="EA72" s="119"/>
      <c r="EB72" s="119"/>
      <c r="EC72" s="119"/>
      <c r="ED72" s="119"/>
      <c r="EE72" s="119"/>
      <c r="EF72" s="119"/>
      <c r="EG72" s="119"/>
      <c r="EH72" s="119"/>
      <c r="EI72" s="119"/>
      <c r="EK72" s="119"/>
      <c r="EL72" s="119"/>
      <c r="EM72" s="119"/>
    </row>
    <row r="73" spans="1:216" s="17" customFormat="1" ht="7.5" customHeight="1" x14ac:dyDescent="0.25">
      <c r="B73" s="499">
        <f>B59+1</f>
        <v>5</v>
      </c>
      <c r="C73" s="500"/>
      <c r="D73" s="400"/>
      <c r="F73" s="346"/>
      <c r="G73" s="403"/>
      <c r="I73" s="503">
        <f ca="1">I59+D62</f>
        <v>0</v>
      </c>
      <c r="J73" s="504"/>
      <c r="K73" s="377"/>
      <c r="AF73" s="119"/>
      <c r="AG73" s="119"/>
      <c r="AH73" s="119"/>
      <c r="AI73" s="119"/>
      <c r="AJ73" s="119"/>
      <c r="AK73" s="119"/>
      <c r="AL73" s="119"/>
      <c r="AM73" s="119"/>
      <c r="AN73" s="119"/>
      <c r="AO73" s="119"/>
      <c r="AP73" s="119"/>
      <c r="AQ73" s="119"/>
      <c r="AR73" s="119"/>
      <c r="AS73" s="119"/>
      <c r="AT73" s="119"/>
      <c r="AU73" s="119"/>
      <c r="AV73" s="119"/>
      <c r="AW73" s="119"/>
      <c r="AX73" s="119"/>
      <c r="AY73" s="119"/>
      <c r="AZ73" s="119"/>
      <c r="BA73" s="119"/>
      <c r="BB73" s="119"/>
      <c r="BC73" s="119"/>
      <c r="BD73" s="119"/>
      <c r="BE73" s="119"/>
      <c r="BF73" s="119"/>
      <c r="BG73" s="119"/>
      <c r="BH73" s="119"/>
      <c r="BI73" s="119"/>
      <c r="BJ73" s="119"/>
      <c r="BK73" s="119"/>
      <c r="BL73" s="119"/>
      <c r="BM73" s="119"/>
      <c r="BN73" s="119"/>
      <c r="BO73" s="119"/>
      <c r="BP73" s="119"/>
      <c r="BQ73" s="119"/>
      <c r="BR73" s="119"/>
      <c r="BS73" s="119"/>
      <c r="BT73" s="119"/>
      <c r="BU73" s="119"/>
      <c r="BV73" s="119"/>
      <c r="BW73" s="119"/>
      <c r="BX73" s="119"/>
      <c r="BY73" s="119"/>
      <c r="BZ73" s="119"/>
      <c r="CA73" s="119"/>
      <c r="CB73" s="119"/>
      <c r="CC73" s="119"/>
      <c r="CD73" s="119"/>
      <c r="CE73" s="119"/>
      <c r="CF73" s="119"/>
      <c r="CG73" s="119"/>
      <c r="CH73" s="119"/>
      <c r="CI73" s="119"/>
      <c r="CJ73" s="119"/>
      <c r="CK73" s="119"/>
      <c r="CL73" s="119"/>
      <c r="CM73" s="119"/>
      <c r="CN73" s="119"/>
      <c r="CO73" s="119"/>
      <c r="CP73" s="119"/>
      <c r="CQ73" s="119"/>
      <c r="CR73" s="119"/>
      <c r="CS73" s="119"/>
      <c r="CT73" s="119"/>
      <c r="CU73" s="119"/>
      <c r="CV73" s="119"/>
      <c r="CW73" s="119"/>
      <c r="CX73" s="119"/>
      <c r="CY73" s="119"/>
      <c r="CZ73" s="119"/>
      <c r="DA73" s="119"/>
      <c r="DB73" s="119"/>
      <c r="DC73" s="119"/>
      <c r="DD73" s="119"/>
      <c r="DE73" s="119"/>
      <c r="DF73" s="119"/>
      <c r="DG73" s="119"/>
      <c r="DH73" s="119"/>
      <c r="DI73" s="119"/>
      <c r="DJ73" s="119"/>
      <c r="DK73" s="119"/>
      <c r="DL73" s="119"/>
      <c r="DM73" s="119"/>
      <c r="DN73" s="119"/>
      <c r="DO73" s="119"/>
      <c r="DP73" s="119"/>
      <c r="DQ73" s="119"/>
      <c r="DR73" s="119"/>
      <c r="DS73" s="119"/>
      <c r="DT73" s="119"/>
      <c r="DU73" s="119"/>
      <c r="DV73" s="119"/>
      <c r="DW73" s="119"/>
      <c r="DX73" s="119"/>
      <c r="DY73" s="119"/>
      <c r="DZ73" s="119"/>
      <c r="EA73" s="119"/>
      <c r="EB73" s="119"/>
      <c r="EC73" s="119"/>
      <c r="ED73" s="119"/>
      <c r="EE73" s="119"/>
      <c r="EF73" s="119"/>
      <c r="EG73" s="119"/>
      <c r="EH73" s="119"/>
      <c r="EI73" s="119"/>
      <c r="EK73" s="119"/>
      <c r="EL73" s="119"/>
      <c r="EM73" s="119"/>
    </row>
    <row r="74" spans="1:216" s="17" customFormat="1" ht="7.5" customHeight="1" x14ac:dyDescent="0.25">
      <c r="B74" s="501"/>
      <c r="C74" s="502"/>
      <c r="D74" s="389"/>
      <c r="F74" s="346"/>
      <c r="G74" s="385"/>
      <c r="H74" s="408"/>
      <c r="I74" s="505"/>
      <c r="J74" s="506"/>
      <c r="K74" s="377"/>
      <c r="AF74" s="119"/>
      <c r="AG74" s="119"/>
      <c r="AH74" s="119"/>
      <c r="AI74" s="119"/>
      <c r="AJ74" s="119"/>
      <c r="AK74" s="119"/>
      <c r="AL74" s="119"/>
      <c r="AM74" s="119"/>
      <c r="AN74" s="119"/>
      <c r="AO74" s="119"/>
      <c r="AP74" s="119"/>
      <c r="AQ74" s="119"/>
      <c r="AR74" s="119"/>
      <c r="AS74" s="119"/>
      <c r="AT74" s="119"/>
      <c r="AU74" s="119"/>
      <c r="AV74" s="119"/>
      <c r="AW74" s="119"/>
      <c r="AX74" s="119"/>
      <c r="AY74" s="119"/>
      <c r="AZ74" s="119"/>
      <c r="BA74" s="119"/>
      <c r="BB74" s="119"/>
      <c r="BC74" s="119"/>
      <c r="BD74" s="119"/>
      <c r="BE74" s="119"/>
      <c r="BF74" s="119"/>
      <c r="BG74" s="119"/>
      <c r="BH74" s="119"/>
      <c r="BI74" s="119"/>
      <c r="BJ74" s="119"/>
      <c r="BK74" s="119"/>
      <c r="BL74" s="119"/>
      <c r="BM74" s="119"/>
      <c r="BN74" s="119"/>
      <c r="BO74" s="119"/>
      <c r="BP74" s="119"/>
      <c r="BQ74" s="119"/>
      <c r="BR74" s="119"/>
      <c r="BS74" s="119"/>
      <c r="BT74" s="119"/>
      <c r="BU74" s="119"/>
      <c r="BV74" s="119"/>
      <c r="BW74" s="119"/>
      <c r="BX74" s="119"/>
      <c r="BY74" s="119"/>
      <c r="BZ74" s="119"/>
      <c r="CA74" s="119"/>
      <c r="CB74" s="119"/>
      <c r="CC74" s="119"/>
      <c r="CD74" s="119"/>
      <c r="CE74" s="119"/>
      <c r="CF74" s="119"/>
      <c r="CG74" s="119"/>
      <c r="CH74" s="119"/>
      <c r="CI74" s="119"/>
      <c r="CJ74" s="119"/>
      <c r="CK74" s="119"/>
      <c r="CL74" s="119"/>
      <c r="CM74" s="119"/>
      <c r="CN74" s="119"/>
      <c r="CO74" s="119"/>
      <c r="CP74" s="119"/>
      <c r="CQ74" s="119"/>
      <c r="CR74" s="119"/>
      <c r="CS74" s="119"/>
      <c r="CT74" s="119"/>
      <c r="CU74" s="119"/>
      <c r="CV74" s="119"/>
      <c r="CW74" s="119"/>
      <c r="CX74" s="119"/>
      <c r="CY74" s="119"/>
      <c r="CZ74" s="119"/>
      <c r="DA74" s="119"/>
      <c r="DB74" s="119"/>
      <c r="DC74" s="119"/>
      <c r="DD74" s="119"/>
      <c r="DE74" s="119"/>
      <c r="DF74" s="119"/>
      <c r="DG74" s="119"/>
      <c r="DH74" s="119"/>
      <c r="DI74" s="119"/>
      <c r="DJ74" s="119"/>
      <c r="DK74" s="119"/>
      <c r="DL74" s="119"/>
      <c r="DM74" s="119"/>
      <c r="DN74" s="119"/>
      <c r="DO74" s="119"/>
      <c r="DP74" s="119"/>
      <c r="DQ74" s="119"/>
      <c r="DR74" s="119"/>
      <c r="DS74" s="119"/>
      <c r="DT74" s="119"/>
      <c r="DU74" s="119"/>
      <c r="DV74" s="119"/>
      <c r="DW74" s="119"/>
      <c r="DX74" s="119"/>
      <c r="DY74" s="119"/>
      <c r="DZ74" s="119"/>
      <c r="EA74" s="119"/>
      <c r="EB74" s="119"/>
      <c r="EC74" s="119"/>
      <c r="ED74" s="119"/>
      <c r="EE74" s="119"/>
      <c r="EF74" s="119"/>
      <c r="EG74" s="119"/>
      <c r="EH74" s="119"/>
      <c r="EI74" s="119"/>
      <c r="EK74" s="119"/>
      <c r="EL74" s="119"/>
      <c r="EM74" s="119"/>
    </row>
    <row r="75" spans="1:216" s="17" customFormat="1" ht="7.5" customHeight="1" x14ac:dyDescent="0.25">
      <c r="B75" s="480" t="s">
        <v>549</v>
      </c>
      <c r="D75" s="388"/>
      <c r="E75" s="394"/>
      <c r="F75" s="119"/>
      <c r="G75" s="398"/>
      <c r="H75" s="119"/>
      <c r="I75" s="119"/>
      <c r="J75" s="119"/>
      <c r="K75" s="406"/>
      <c r="AF75" s="119"/>
      <c r="AG75" s="119"/>
      <c r="AH75" s="119"/>
      <c r="AI75" s="119"/>
      <c r="AJ75" s="119"/>
      <c r="AK75" s="119"/>
      <c r="AL75" s="119"/>
      <c r="AM75" s="119"/>
      <c r="AN75" s="119"/>
      <c r="AO75" s="119"/>
      <c r="AP75" s="119"/>
      <c r="AQ75" s="119"/>
      <c r="AR75" s="119"/>
      <c r="AS75" s="119"/>
      <c r="AT75" s="119"/>
      <c r="AU75" s="119"/>
      <c r="AV75" s="119"/>
      <c r="AW75" s="119"/>
      <c r="AX75" s="119"/>
      <c r="AY75" s="119"/>
      <c r="AZ75" s="119"/>
      <c r="BA75" s="119"/>
      <c r="BB75" s="119"/>
      <c r="BC75" s="119"/>
      <c r="BD75" s="119"/>
      <c r="BE75" s="119"/>
      <c r="BF75" s="119"/>
      <c r="BG75" s="119"/>
      <c r="BH75" s="119"/>
      <c r="BI75" s="119"/>
      <c r="BJ75" s="119"/>
      <c r="BK75" s="119"/>
      <c r="BL75" s="119"/>
      <c r="BM75" s="119"/>
      <c r="BN75" s="119"/>
      <c r="BO75" s="119"/>
      <c r="BP75" s="119"/>
      <c r="BQ75" s="119"/>
      <c r="BR75" s="119"/>
      <c r="BS75" s="119"/>
      <c r="BT75" s="119"/>
      <c r="BU75" s="119"/>
      <c r="BV75" s="119"/>
      <c r="BW75" s="119"/>
      <c r="BX75" s="119"/>
      <c r="BY75" s="119"/>
      <c r="BZ75" s="119"/>
      <c r="CA75" s="119"/>
      <c r="CB75" s="119"/>
      <c r="CC75" s="119"/>
      <c r="CD75" s="119"/>
      <c r="CE75" s="119"/>
      <c r="CF75" s="119"/>
      <c r="CG75" s="119"/>
      <c r="CH75" s="119"/>
      <c r="CI75" s="119"/>
      <c r="CJ75" s="119"/>
      <c r="CK75" s="119"/>
      <c r="CL75" s="119"/>
      <c r="CM75" s="119"/>
      <c r="CN75" s="119"/>
      <c r="CO75" s="119"/>
      <c r="CP75" s="119"/>
      <c r="CQ75" s="119"/>
      <c r="CR75" s="119"/>
      <c r="CS75" s="119"/>
      <c r="CT75" s="119"/>
      <c r="CU75" s="119"/>
      <c r="CV75" s="119"/>
      <c r="CW75" s="119"/>
      <c r="CX75" s="119"/>
      <c r="CY75" s="119"/>
      <c r="CZ75" s="119"/>
      <c r="DA75" s="119"/>
      <c r="DB75" s="119"/>
      <c r="DC75" s="119"/>
      <c r="DD75" s="119"/>
      <c r="DE75" s="119"/>
      <c r="DF75" s="119"/>
      <c r="DG75" s="119"/>
      <c r="DH75" s="119"/>
      <c r="DI75" s="119"/>
      <c r="DJ75" s="119"/>
      <c r="DK75" s="119"/>
      <c r="DL75" s="119"/>
      <c r="DM75" s="119"/>
      <c r="DN75" s="119"/>
      <c r="DO75" s="119"/>
      <c r="DP75" s="119"/>
      <c r="DQ75" s="119"/>
      <c r="DR75" s="119"/>
      <c r="DS75" s="119"/>
      <c r="DT75" s="119"/>
      <c r="DU75" s="119"/>
      <c r="DV75" s="119"/>
      <c r="DW75" s="119"/>
      <c r="DX75" s="119"/>
      <c r="DY75" s="119"/>
      <c r="DZ75" s="119"/>
      <c r="EA75" s="119"/>
      <c r="EB75" s="119"/>
      <c r="EC75" s="119"/>
      <c r="ED75" s="119"/>
      <c r="EE75" s="119"/>
      <c r="EF75" s="119"/>
      <c r="EG75" s="119"/>
      <c r="EH75" s="119"/>
      <c r="EI75" s="119"/>
      <c r="EK75" s="119"/>
      <c r="EL75" s="119"/>
      <c r="EM75" s="119"/>
    </row>
    <row r="76" spans="1:216" ht="7.5" customHeight="1" x14ac:dyDescent="0.25">
      <c r="A76" s="17"/>
      <c r="B76" s="481"/>
      <c r="C76" s="17"/>
      <c r="D76" s="484">
        <f>SUM(77:77)</f>
        <v>0</v>
      </c>
      <c r="E76" s="483"/>
      <c r="F76" s="394"/>
      <c r="G76" s="407"/>
      <c r="K76" s="17"/>
      <c r="L76" s="17"/>
      <c r="M76" s="17"/>
      <c r="N76" s="17"/>
      <c r="O76" s="17"/>
      <c r="P76" s="17"/>
      <c r="Q76" s="17"/>
      <c r="R76" s="17"/>
      <c r="S76" s="17"/>
      <c r="T76" s="17"/>
      <c r="U76" s="17"/>
      <c r="V76" s="17"/>
      <c r="W76" s="17"/>
      <c r="X76" s="17"/>
      <c r="Y76" s="17"/>
      <c r="Z76" s="17"/>
      <c r="AA76" s="17"/>
      <c r="AB76" s="17"/>
      <c r="AC76" s="17"/>
      <c r="AD76" s="17"/>
      <c r="AE76" s="17"/>
      <c r="EN76" s="17"/>
      <c r="EO76" s="17"/>
      <c r="EP76" s="17"/>
      <c r="EQ76" s="17"/>
      <c r="ER76" s="17"/>
      <c r="ES76" s="17"/>
      <c r="ET76" s="17"/>
      <c r="EU76" s="17"/>
      <c r="EV76" s="17"/>
      <c r="EW76" s="17"/>
      <c r="EX76" s="17"/>
      <c r="EY76" s="17"/>
      <c r="EZ76" s="17"/>
      <c r="FA76" s="17"/>
      <c r="FB76" s="17"/>
      <c r="FC76" s="17"/>
      <c r="FD76" s="17"/>
      <c r="FE76" s="17"/>
      <c r="FF76" s="17"/>
      <c r="FG76" s="17"/>
      <c r="FH76" s="17"/>
      <c r="FI76" s="17"/>
      <c r="FJ76" s="17"/>
      <c r="FK76" s="17"/>
      <c r="FL76" s="17"/>
      <c r="FM76" s="17"/>
      <c r="FN76" s="17"/>
      <c r="FO76" s="17"/>
      <c r="FP76" s="17"/>
      <c r="FQ76" s="17"/>
      <c r="FR76" s="17"/>
      <c r="FS76" s="17"/>
      <c r="FT76" s="17"/>
      <c r="FU76" s="17"/>
      <c r="FV76" s="17"/>
      <c r="FW76" s="17"/>
      <c r="FX76" s="17"/>
      <c r="FY76" s="17"/>
      <c r="FZ76" s="17"/>
      <c r="GA76" s="17"/>
      <c r="GB76" s="17"/>
      <c r="GC76" s="17"/>
      <c r="GD76" s="17"/>
      <c r="GE76" s="17"/>
      <c r="GF76" s="17"/>
      <c r="GG76" s="17"/>
      <c r="GH76" s="17"/>
      <c r="GI76" s="17"/>
      <c r="GJ76" s="17"/>
      <c r="GK76" s="17"/>
      <c r="GL76" s="17"/>
      <c r="GM76" s="17"/>
      <c r="GN76" s="17"/>
      <c r="GO76" s="17"/>
      <c r="GP76" s="17"/>
      <c r="GQ76" s="17"/>
      <c r="GR76" s="17"/>
      <c r="GS76" s="17"/>
      <c r="GT76" s="17"/>
      <c r="GU76" s="17"/>
      <c r="GV76" s="17"/>
      <c r="GW76" s="17"/>
      <c r="GX76" s="17"/>
      <c r="GY76" s="17"/>
      <c r="GZ76" s="17"/>
      <c r="HA76" s="17"/>
      <c r="HB76" s="17"/>
      <c r="HC76" s="17"/>
      <c r="HD76" s="17"/>
      <c r="HE76" s="17"/>
      <c r="HF76" s="17"/>
      <c r="HG76" s="17"/>
      <c r="HH76" s="17"/>
    </row>
    <row r="77" spans="1:216" ht="7.5" customHeight="1" x14ac:dyDescent="0.25">
      <c r="A77" s="17"/>
      <c r="B77" s="481"/>
      <c r="C77" s="17"/>
      <c r="D77" s="484"/>
      <c r="E77" s="483"/>
      <c r="F77" s="386" t="s">
        <v>547</v>
      </c>
      <c r="G77" s="387"/>
      <c r="H77" s="387"/>
      <c r="I77" s="387"/>
      <c r="J77" s="387"/>
      <c r="K77" s="17"/>
      <c r="L77" s="17"/>
      <c r="M77" s="17"/>
      <c r="N77" s="17"/>
      <c r="O77" s="17"/>
      <c r="P77" s="17"/>
      <c r="Q77" s="17"/>
      <c r="R77" s="17"/>
      <c r="S77" s="17"/>
      <c r="T77" s="17"/>
      <c r="U77" s="17"/>
      <c r="V77" s="17"/>
      <c r="W77" s="17"/>
      <c r="X77" s="17"/>
      <c r="Y77" s="17"/>
      <c r="Z77" s="17"/>
      <c r="AA77" s="17"/>
      <c r="AB77" s="17"/>
      <c r="AC77" s="17"/>
      <c r="AD77" s="17"/>
      <c r="AE77" s="17"/>
      <c r="EN77" s="17"/>
      <c r="EO77" s="17"/>
      <c r="EP77" s="17"/>
      <c r="EQ77" s="17"/>
      <c r="ER77" s="17"/>
      <c r="ES77" s="17"/>
      <c r="ET77" s="17"/>
      <c r="EU77" s="17"/>
      <c r="EV77" s="17"/>
      <c r="EW77" s="17"/>
      <c r="EX77" s="17"/>
      <c r="EY77" s="17"/>
      <c r="EZ77" s="17"/>
      <c r="FA77" s="17"/>
      <c r="FB77" s="17"/>
      <c r="FC77" s="17"/>
      <c r="FD77" s="17"/>
      <c r="FE77" s="17"/>
      <c r="FF77" s="17"/>
      <c r="FG77" s="17"/>
      <c r="FH77" s="17"/>
      <c r="FI77" s="17"/>
      <c r="FJ77" s="17"/>
      <c r="FK77" s="17"/>
      <c r="FL77" s="17"/>
      <c r="FM77" s="17"/>
      <c r="FN77" s="17"/>
      <c r="FO77" s="17"/>
      <c r="FP77" s="17"/>
      <c r="FQ77" s="17"/>
      <c r="FR77" s="17"/>
      <c r="FS77" s="17"/>
      <c r="FT77" s="17"/>
      <c r="FU77" s="17"/>
      <c r="FV77" s="17"/>
      <c r="FW77" s="17"/>
      <c r="FX77" s="17"/>
      <c r="FY77" s="17"/>
      <c r="FZ77" s="17"/>
      <c r="GA77" s="17"/>
      <c r="GB77" s="17"/>
      <c r="GC77" s="17"/>
      <c r="GD77" s="17"/>
      <c r="GE77" s="17"/>
      <c r="GF77" s="17"/>
      <c r="GG77" s="17"/>
    </row>
    <row r="78" spans="1:216" ht="7.5" customHeight="1" x14ac:dyDescent="0.25">
      <c r="A78" s="17"/>
      <c r="B78" s="481"/>
      <c r="C78" s="17"/>
      <c r="D78" s="484"/>
      <c r="E78" s="483"/>
      <c r="F78" s="393"/>
      <c r="G78" s="391"/>
      <c r="H78" s="425"/>
      <c r="I78" s="17"/>
      <c r="L78" s="17"/>
      <c r="M78" s="17"/>
      <c r="N78" s="17"/>
      <c r="O78" s="17"/>
      <c r="P78" s="17"/>
      <c r="Q78" s="17"/>
      <c r="R78" s="17"/>
      <c r="S78" s="17"/>
      <c r="T78" s="17"/>
      <c r="U78" s="17"/>
      <c r="V78" s="17"/>
      <c r="W78" s="17"/>
      <c r="X78" s="17"/>
      <c r="Y78" s="17"/>
      <c r="Z78" s="17"/>
      <c r="AA78" s="17"/>
      <c r="AB78" s="17"/>
      <c r="AC78" s="17"/>
      <c r="AD78" s="17"/>
      <c r="AE78" s="17"/>
      <c r="EN78" s="17"/>
      <c r="EO78" s="17"/>
      <c r="EP78" s="17"/>
      <c r="EQ78" s="17"/>
      <c r="ER78" s="17"/>
      <c r="ES78" s="17"/>
      <c r="ET78" s="17"/>
      <c r="EU78" s="17"/>
      <c r="EV78" s="17"/>
      <c r="EW78" s="17"/>
      <c r="EX78" s="17"/>
      <c r="EY78" s="17"/>
      <c r="EZ78" s="17"/>
      <c r="FA78" s="17"/>
      <c r="FB78" s="17"/>
      <c r="FC78" s="17"/>
      <c r="FD78" s="17"/>
      <c r="FE78" s="17"/>
      <c r="FF78" s="17"/>
      <c r="FG78" s="17"/>
      <c r="FH78" s="17"/>
      <c r="FI78" s="17"/>
      <c r="FJ78" s="17"/>
      <c r="FK78" s="17"/>
      <c r="FL78" s="17"/>
      <c r="FM78" s="17"/>
      <c r="FN78" s="17"/>
      <c r="FO78" s="17"/>
      <c r="FP78" s="17"/>
      <c r="FQ78" s="17"/>
      <c r="FR78" s="17"/>
      <c r="FS78" s="17"/>
      <c r="FT78" s="17"/>
      <c r="FU78" s="17"/>
      <c r="FV78" s="17"/>
      <c r="FW78" s="17"/>
      <c r="FX78" s="17"/>
      <c r="FY78" s="17"/>
      <c r="FZ78" s="17"/>
      <c r="GA78" s="17"/>
      <c r="GB78" s="17"/>
      <c r="GC78" s="17"/>
      <c r="GD78" s="17"/>
      <c r="GE78" s="17"/>
      <c r="GF78" s="17"/>
      <c r="GG78" s="17"/>
    </row>
    <row r="79" spans="1:216" ht="7.5" customHeight="1" x14ac:dyDescent="0.25">
      <c r="A79" s="17"/>
      <c r="B79" s="481"/>
      <c r="C79" s="17"/>
      <c r="D79" s="388"/>
      <c r="E79" s="390"/>
      <c r="G79" s="398"/>
      <c r="H79" s="409"/>
      <c r="J79" s="17"/>
      <c r="L79" s="17"/>
      <c r="M79" s="17"/>
      <c r="N79" s="17"/>
      <c r="O79" s="17"/>
      <c r="P79" s="17"/>
      <c r="Q79" s="17"/>
      <c r="R79" s="17"/>
      <c r="S79" s="17"/>
      <c r="T79" s="17"/>
      <c r="U79" s="17"/>
      <c r="V79" s="17"/>
      <c r="W79" s="17"/>
      <c r="X79" s="17"/>
      <c r="Y79" s="17"/>
      <c r="Z79" s="17"/>
      <c r="AA79" s="17"/>
      <c r="AB79" s="17"/>
      <c r="AC79" s="17"/>
      <c r="AD79" s="17"/>
      <c r="AE79" s="17"/>
      <c r="EN79" s="17"/>
      <c r="EO79" s="17"/>
      <c r="EP79" s="17"/>
      <c r="EQ79" s="17"/>
      <c r="ER79" s="17"/>
      <c r="ES79" s="17"/>
      <c r="ET79" s="17"/>
      <c r="EU79" s="17"/>
      <c r="EV79" s="17"/>
      <c r="EW79" s="17"/>
      <c r="EX79" s="17"/>
      <c r="EY79" s="17"/>
      <c r="EZ79" s="17"/>
      <c r="FA79" s="17"/>
      <c r="FB79" s="17"/>
      <c r="FC79" s="17"/>
      <c r="FD79" s="17"/>
      <c r="FE79" s="17"/>
      <c r="FF79" s="17"/>
      <c r="FG79" s="17"/>
      <c r="FH79" s="17"/>
      <c r="FI79" s="17"/>
      <c r="FJ79" s="17"/>
      <c r="FK79" s="17"/>
      <c r="FL79" s="17"/>
      <c r="FM79" s="17"/>
      <c r="FN79" s="17"/>
      <c r="FO79" s="17"/>
      <c r="FP79" s="17"/>
      <c r="FQ79" s="17"/>
      <c r="FR79" s="17"/>
      <c r="FS79" s="17"/>
      <c r="FT79" s="17"/>
      <c r="FU79" s="17"/>
      <c r="FV79" s="17"/>
      <c r="FW79" s="17"/>
      <c r="FX79" s="17"/>
      <c r="FY79" s="17"/>
      <c r="FZ79" s="17"/>
      <c r="GA79" s="17"/>
      <c r="GB79" s="17"/>
      <c r="GC79" s="17"/>
      <c r="GD79" s="17"/>
      <c r="GE79" s="17"/>
      <c r="GF79" s="17"/>
      <c r="GG79" s="17"/>
    </row>
    <row r="80" spans="1:216" ht="7.5" customHeight="1" x14ac:dyDescent="0.25">
      <c r="A80" s="17"/>
      <c r="B80" s="481"/>
      <c r="C80" s="17"/>
      <c r="D80" s="380"/>
      <c r="F80" s="392"/>
      <c r="G80" s="482">
        <f>SUM(82:82)</f>
        <v>0</v>
      </c>
      <c r="H80" s="483"/>
      <c r="I80" s="412"/>
      <c r="J80" s="17"/>
      <c r="L80" s="17"/>
      <c r="M80" s="17"/>
      <c r="N80" s="17"/>
      <c r="O80" s="17"/>
      <c r="P80" s="17"/>
      <c r="Q80" s="17"/>
      <c r="R80" s="17"/>
      <c r="S80" s="17"/>
      <c r="T80" s="17"/>
      <c r="U80" s="17"/>
      <c r="V80" s="17"/>
      <c r="W80" s="17"/>
      <c r="X80" s="17"/>
      <c r="Y80" s="17"/>
      <c r="Z80" s="17"/>
      <c r="AA80" s="17"/>
      <c r="AB80" s="17"/>
      <c r="AC80" s="17"/>
      <c r="AD80" s="17"/>
      <c r="AE80" s="17"/>
      <c r="EN80" s="17"/>
      <c r="EO80" s="17"/>
      <c r="EP80" s="17"/>
      <c r="EQ80" s="17"/>
      <c r="ER80" s="17"/>
      <c r="ES80" s="17"/>
      <c r="ET80" s="17"/>
      <c r="EU80" s="17"/>
      <c r="EV80" s="17"/>
      <c r="EW80" s="17"/>
      <c r="EX80" s="17"/>
      <c r="EY80" s="17"/>
      <c r="EZ80" s="17"/>
      <c r="FA80" s="17"/>
      <c r="FB80" s="17"/>
      <c r="FC80" s="17"/>
      <c r="FD80" s="17"/>
      <c r="FE80" s="17"/>
      <c r="FF80" s="17"/>
      <c r="FG80" s="17"/>
      <c r="FH80" s="17"/>
      <c r="FI80" s="17"/>
      <c r="FJ80" s="17"/>
      <c r="FK80" s="17"/>
      <c r="FL80" s="17"/>
      <c r="FM80" s="17"/>
      <c r="FN80" s="17"/>
      <c r="FO80" s="17"/>
      <c r="FP80" s="17"/>
      <c r="FQ80" s="17"/>
      <c r="FR80" s="17"/>
      <c r="FS80" s="17"/>
      <c r="FT80" s="17"/>
      <c r="FU80" s="17"/>
      <c r="FV80" s="17"/>
      <c r="FW80" s="17"/>
      <c r="FX80" s="17"/>
      <c r="FY80" s="17"/>
      <c r="FZ80" s="17"/>
      <c r="GA80" s="17"/>
      <c r="GB80" s="17"/>
      <c r="GC80" s="17"/>
      <c r="GD80" s="17"/>
      <c r="GE80" s="17"/>
      <c r="GF80" s="17"/>
      <c r="GG80" s="17"/>
    </row>
    <row r="81" spans="1:216" ht="7.5" customHeight="1" x14ac:dyDescent="0.25">
      <c r="A81" s="17"/>
      <c r="B81" s="481"/>
      <c r="C81" s="17"/>
      <c r="D81" s="380"/>
      <c r="E81" s="17"/>
      <c r="G81" s="482"/>
      <c r="H81" s="483"/>
      <c r="I81" s="411"/>
      <c r="K81" s="17"/>
      <c r="L81" s="17"/>
      <c r="M81" s="17"/>
      <c r="N81" s="17"/>
      <c r="O81" s="17"/>
      <c r="P81" s="17"/>
      <c r="Q81" s="17"/>
      <c r="R81" s="17"/>
      <c r="S81" s="17"/>
      <c r="T81" s="17"/>
      <c r="U81" s="17"/>
      <c r="V81" s="17"/>
      <c r="W81" s="17"/>
      <c r="X81" s="17"/>
      <c r="Y81" s="17"/>
      <c r="Z81" s="17"/>
      <c r="AA81" s="17"/>
      <c r="AB81" s="17"/>
      <c r="AC81" s="17"/>
      <c r="AD81" s="17"/>
      <c r="AE81" s="17"/>
      <c r="EN81" s="17"/>
      <c r="EO81" s="17"/>
      <c r="EP81" s="17"/>
      <c r="EQ81" s="17"/>
      <c r="ER81" s="17"/>
      <c r="ES81" s="17"/>
      <c r="ET81" s="17"/>
      <c r="EU81" s="17"/>
      <c r="EV81" s="17"/>
      <c r="EW81" s="17"/>
      <c r="EX81" s="17"/>
      <c r="EY81" s="17"/>
      <c r="EZ81" s="17"/>
      <c r="FA81" s="17"/>
      <c r="FB81" s="17"/>
      <c r="FC81" s="17"/>
      <c r="FD81" s="17"/>
      <c r="FE81" s="17"/>
      <c r="FF81" s="17"/>
    </row>
    <row r="82" spans="1:216" ht="7.5" customHeight="1" x14ac:dyDescent="0.25">
      <c r="A82" s="17"/>
      <c r="B82" s="481"/>
      <c r="C82" s="17"/>
      <c r="D82" s="380"/>
      <c r="E82" s="17"/>
      <c r="G82" s="482"/>
      <c r="H82" s="483"/>
      <c r="I82" s="426" t="s">
        <v>547</v>
      </c>
      <c r="J82" s="410"/>
      <c r="K82" s="17"/>
      <c r="L82" s="17"/>
      <c r="M82" s="17"/>
      <c r="N82" s="17"/>
      <c r="O82" s="17"/>
      <c r="P82" s="17"/>
      <c r="Q82" s="17"/>
      <c r="R82" s="17"/>
      <c r="S82" s="17"/>
      <c r="T82" s="17"/>
      <c r="U82" s="17"/>
      <c r="V82" s="17"/>
      <c r="W82" s="17"/>
      <c r="X82" s="17"/>
      <c r="Y82" s="17"/>
      <c r="Z82" s="17"/>
      <c r="AA82" s="17"/>
      <c r="AB82" s="17"/>
      <c r="AC82" s="17"/>
      <c r="AD82" s="17"/>
      <c r="AE82" s="17"/>
      <c r="EK82" s="17"/>
      <c r="EL82" s="17"/>
      <c r="EM82" s="17"/>
      <c r="EN82" s="17"/>
      <c r="EO82" s="17"/>
      <c r="EP82" s="17"/>
      <c r="EQ82" s="17"/>
      <c r="ER82" s="17"/>
      <c r="ES82" s="17"/>
      <c r="ET82" s="17"/>
      <c r="EU82" s="17"/>
      <c r="EV82" s="17"/>
      <c r="EW82" s="17"/>
      <c r="EX82" s="17"/>
      <c r="EY82" s="17"/>
      <c r="EZ82" s="17"/>
      <c r="FA82" s="17"/>
      <c r="FB82" s="17"/>
      <c r="FC82" s="17"/>
      <c r="FD82" s="17"/>
      <c r="FE82" s="17"/>
      <c r="FF82" s="17"/>
    </row>
    <row r="83" spans="1:216" ht="7.5" customHeight="1" x14ac:dyDescent="0.25">
      <c r="A83" s="572" t="s">
        <v>551</v>
      </c>
      <c r="B83" s="573"/>
      <c r="C83" s="402"/>
      <c r="D83" s="422"/>
      <c r="E83" s="578" t="s">
        <v>551</v>
      </c>
      <c r="F83" s="579"/>
      <c r="G83" s="403"/>
      <c r="H83" s="402"/>
      <c r="I83" s="573" t="s">
        <v>551</v>
      </c>
      <c r="J83" s="573"/>
      <c r="K83" s="17"/>
      <c r="L83" s="17"/>
      <c r="M83" s="17"/>
      <c r="N83" s="17"/>
      <c r="O83" s="17"/>
      <c r="P83" s="17"/>
      <c r="Q83" s="17"/>
      <c r="R83" s="17"/>
      <c r="S83" s="17"/>
      <c r="T83" s="17"/>
      <c r="U83" s="17"/>
      <c r="V83" s="17"/>
      <c r="W83" s="17"/>
      <c r="X83" s="17"/>
      <c r="Y83" s="17"/>
      <c r="Z83" s="17"/>
      <c r="AA83" s="17"/>
      <c r="AB83" s="17"/>
      <c r="AC83" s="17"/>
      <c r="AD83" s="17"/>
      <c r="AE83" s="17"/>
      <c r="EK83" s="17"/>
      <c r="EL83" s="17"/>
      <c r="EM83" s="17"/>
      <c r="EN83" s="17"/>
      <c r="EO83" s="17"/>
      <c r="EP83" s="17"/>
      <c r="EQ83" s="17"/>
      <c r="ER83" s="17"/>
      <c r="ES83" s="17"/>
      <c r="ET83" s="17"/>
      <c r="EU83" s="17"/>
      <c r="EV83" s="17"/>
      <c r="EW83" s="17"/>
      <c r="EX83" s="17"/>
      <c r="EY83" s="17"/>
      <c r="EZ83" s="17"/>
      <c r="FA83" s="17"/>
      <c r="FB83" s="17"/>
      <c r="FC83" s="17"/>
      <c r="FD83" s="17"/>
      <c r="FE83" s="17"/>
      <c r="FF83" s="17"/>
    </row>
    <row r="84" spans="1:216" ht="7.5" customHeight="1" x14ac:dyDescent="0.25">
      <c r="A84" s="574"/>
      <c r="B84" s="575"/>
      <c r="C84" s="30"/>
      <c r="D84" s="423"/>
      <c r="E84" s="580"/>
      <c r="F84" s="581"/>
      <c r="G84" s="385"/>
      <c r="H84" s="30"/>
      <c r="I84" s="575"/>
      <c r="J84" s="575"/>
      <c r="L84" s="17"/>
      <c r="M84" s="17"/>
      <c r="N84" s="17"/>
      <c r="O84" s="17"/>
      <c r="P84" s="17"/>
      <c r="Q84" s="17"/>
      <c r="R84" s="17"/>
      <c r="S84" s="17"/>
      <c r="T84" s="17"/>
      <c r="U84" s="17"/>
      <c r="V84" s="17"/>
      <c r="W84" s="17"/>
      <c r="X84" s="17"/>
      <c r="Y84" s="17"/>
      <c r="Z84" s="17"/>
      <c r="AA84" s="17"/>
      <c r="AB84" s="17"/>
      <c r="AC84" s="17"/>
      <c r="AD84" s="17"/>
      <c r="AE84" s="17"/>
      <c r="EK84" s="17"/>
      <c r="EL84" s="17"/>
      <c r="EM84" s="17"/>
      <c r="EN84" s="17"/>
      <c r="EO84" s="17"/>
      <c r="EP84" s="17"/>
      <c r="EQ84" s="17"/>
      <c r="ER84" s="17"/>
      <c r="ES84" s="17"/>
      <c r="ET84" s="17"/>
      <c r="EU84" s="17"/>
      <c r="EV84" s="17"/>
      <c r="EW84" s="17"/>
      <c r="EX84" s="17"/>
      <c r="EY84" s="17"/>
      <c r="EZ84" s="17"/>
      <c r="FA84" s="17"/>
      <c r="FB84" s="17"/>
      <c r="FC84" s="17"/>
      <c r="FD84" s="17"/>
      <c r="FE84" s="17"/>
      <c r="FF84" s="17"/>
    </row>
    <row r="85" spans="1:216" ht="7.5" customHeight="1" x14ac:dyDescent="0.25">
      <c r="A85" s="574"/>
      <c r="B85" s="575"/>
      <c r="C85" s="30"/>
      <c r="D85" s="153"/>
      <c r="E85" s="580"/>
      <c r="F85" s="581"/>
      <c r="G85" s="385"/>
      <c r="H85" s="30"/>
      <c r="I85" s="575"/>
      <c r="J85" s="575"/>
      <c r="K85" s="384"/>
      <c r="L85" s="17"/>
      <c r="M85" s="17"/>
      <c r="N85" s="17"/>
      <c r="O85" s="17"/>
      <c r="P85" s="17"/>
      <c r="Q85" s="17"/>
      <c r="R85" s="17"/>
      <c r="S85" s="17"/>
      <c r="T85" s="17"/>
      <c r="U85" s="17"/>
      <c r="V85" s="17"/>
      <c r="W85" s="17"/>
      <c r="X85" s="17"/>
      <c r="Y85" s="17"/>
      <c r="Z85" s="17"/>
      <c r="AA85" s="17"/>
      <c r="AB85" s="17"/>
      <c r="AC85" s="17"/>
      <c r="AD85" s="17"/>
      <c r="AE85" s="17"/>
      <c r="EK85" s="17"/>
      <c r="EL85" s="17"/>
      <c r="EM85" s="17"/>
      <c r="EN85" s="17"/>
      <c r="EO85" s="17"/>
      <c r="EP85" s="17"/>
      <c r="EQ85" s="17"/>
      <c r="ER85" s="17"/>
      <c r="ES85" s="17"/>
      <c r="ET85" s="17"/>
      <c r="EU85" s="17"/>
      <c r="EV85" s="17"/>
      <c r="EW85" s="17"/>
      <c r="EX85" s="17"/>
      <c r="EY85" s="17"/>
      <c r="EZ85" s="17"/>
      <c r="FA85" s="17"/>
      <c r="FB85" s="17"/>
      <c r="FC85" s="17"/>
      <c r="FD85" s="17"/>
      <c r="FE85" s="17"/>
      <c r="FF85" s="17"/>
    </row>
    <row r="86" spans="1:216" ht="7.5" customHeight="1" x14ac:dyDescent="0.25">
      <c r="A86" s="576"/>
      <c r="B86" s="577"/>
      <c r="C86" s="397"/>
      <c r="D86" s="424"/>
      <c r="E86" s="582"/>
      <c r="F86" s="583"/>
      <c r="G86" s="405"/>
      <c r="H86" s="357"/>
      <c r="I86" s="577"/>
      <c r="J86" s="577"/>
      <c r="K86" s="404"/>
      <c r="L86" s="17"/>
      <c r="M86" s="17"/>
      <c r="N86" s="17"/>
      <c r="O86" s="17"/>
      <c r="P86" s="17"/>
      <c r="Q86" s="17"/>
      <c r="R86" s="17"/>
      <c r="S86" s="17"/>
      <c r="T86" s="17"/>
      <c r="U86" s="17"/>
      <c r="V86" s="17"/>
      <c r="W86" s="17"/>
      <c r="X86" s="17"/>
      <c r="Y86" s="17"/>
      <c r="Z86" s="17"/>
      <c r="AA86" s="17"/>
      <c r="AB86" s="17"/>
      <c r="AC86" s="17"/>
      <c r="AD86" s="17"/>
      <c r="AE86" s="17"/>
      <c r="EK86" s="17"/>
      <c r="EL86" s="17"/>
      <c r="EM86" s="17"/>
      <c r="EN86" s="17"/>
      <c r="EO86" s="17"/>
      <c r="EP86" s="17"/>
      <c r="EQ86" s="17"/>
      <c r="ER86" s="17"/>
      <c r="ES86" s="17"/>
      <c r="ET86" s="17"/>
      <c r="EU86" s="17"/>
      <c r="EV86" s="17"/>
      <c r="EW86" s="17"/>
      <c r="EX86" s="17"/>
      <c r="EY86" s="17"/>
      <c r="EZ86" s="17"/>
      <c r="FA86" s="17"/>
      <c r="FB86" s="17"/>
      <c r="FC86" s="17"/>
      <c r="FD86" s="17"/>
      <c r="FE86" s="17"/>
      <c r="FF86" s="17"/>
    </row>
    <row r="87" spans="1:216" ht="7.5" customHeight="1" x14ac:dyDescent="0.25">
      <c r="A87" s="17"/>
      <c r="B87" s="499">
        <f>B73+1</f>
        <v>6</v>
      </c>
      <c r="C87" s="500"/>
      <c r="D87" s="400"/>
      <c r="E87" s="17"/>
      <c r="F87" s="346"/>
      <c r="G87" s="403"/>
      <c r="H87" s="17"/>
      <c r="I87" s="503">
        <f ca="1">I73+D76</f>
        <v>0</v>
      </c>
      <c r="J87" s="504"/>
      <c r="K87" s="377"/>
      <c r="L87" s="17"/>
      <c r="M87" s="17"/>
      <c r="N87" s="17"/>
      <c r="O87" s="17"/>
      <c r="P87" s="17"/>
      <c r="Q87" s="17"/>
      <c r="R87" s="17"/>
      <c r="S87" s="17"/>
      <c r="T87" s="17"/>
      <c r="U87" s="17"/>
      <c r="V87" s="17"/>
      <c r="W87" s="17"/>
      <c r="X87" s="17"/>
      <c r="Y87" s="17"/>
      <c r="Z87" s="17"/>
      <c r="AA87" s="17"/>
      <c r="AB87" s="17"/>
      <c r="AC87" s="17"/>
      <c r="AD87" s="17"/>
      <c r="AE87" s="17"/>
      <c r="EK87" s="17"/>
      <c r="EL87" s="17"/>
      <c r="EM87" s="17"/>
      <c r="EN87" s="17"/>
      <c r="EO87" s="17"/>
      <c r="EP87" s="17"/>
      <c r="EQ87" s="17"/>
      <c r="ER87" s="17"/>
      <c r="ES87" s="17"/>
      <c r="ET87" s="17"/>
      <c r="EU87" s="17"/>
      <c r="EV87" s="17"/>
      <c r="EW87" s="17"/>
      <c r="EX87" s="17"/>
      <c r="EY87" s="17"/>
      <c r="EZ87" s="17"/>
      <c r="FA87" s="17"/>
      <c r="FB87" s="17"/>
      <c r="FC87" s="17"/>
      <c r="FD87" s="17"/>
      <c r="FE87" s="17"/>
      <c r="FF87" s="17"/>
      <c r="FG87" s="17"/>
      <c r="FH87" s="17"/>
      <c r="FI87" s="17"/>
      <c r="FJ87" s="17"/>
      <c r="FK87" s="17"/>
      <c r="FL87" s="17"/>
      <c r="FM87" s="17"/>
      <c r="FN87" s="17"/>
      <c r="FO87" s="17"/>
      <c r="FP87" s="17"/>
      <c r="FQ87" s="17"/>
      <c r="FR87" s="17"/>
      <c r="FS87" s="17"/>
      <c r="FT87" s="17"/>
      <c r="FU87" s="17"/>
      <c r="FV87" s="17"/>
      <c r="FW87" s="17"/>
      <c r="FX87" s="17"/>
      <c r="FY87" s="17"/>
      <c r="FZ87" s="17"/>
      <c r="GA87" s="17"/>
      <c r="GB87" s="17"/>
      <c r="GC87" s="17"/>
      <c r="GD87" s="17"/>
      <c r="GE87" s="17"/>
      <c r="GF87" s="17"/>
      <c r="GG87" s="17"/>
    </row>
    <row r="88" spans="1:216" ht="7.5" customHeight="1" x14ac:dyDescent="0.25">
      <c r="A88" s="17"/>
      <c r="B88" s="501"/>
      <c r="C88" s="502"/>
      <c r="D88" s="389"/>
      <c r="E88" s="17"/>
      <c r="F88" s="346"/>
      <c r="G88" s="385"/>
      <c r="H88" s="408"/>
      <c r="I88" s="505"/>
      <c r="J88" s="506"/>
      <c r="K88" s="377"/>
      <c r="L88" s="17"/>
      <c r="M88" s="17"/>
      <c r="N88" s="17"/>
      <c r="O88" s="17"/>
      <c r="P88" s="17"/>
      <c r="Q88" s="17"/>
      <c r="R88" s="17"/>
      <c r="S88" s="17"/>
      <c r="T88" s="17"/>
      <c r="U88" s="17"/>
      <c r="V88" s="17"/>
      <c r="W88" s="17"/>
      <c r="X88" s="17"/>
      <c r="Y88" s="17"/>
      <c r="Z88" s="17"/>
      <c r="AA88" s="17"/>
      <c r="AB88" s="17"/>
      <c r="AC88" s="17"/>
      <c r="AD88" s="17"/>
      <c r="AE88" s="17"/>
      <c r="EK88" s="17"/>
      <c r="EL88" s="17"/>
      <c r="EM88" s="17"/>
      <c r="EN88" s="17"/>
      <c r="EO88" s="17"/>
      <c r="EP88" s="17"/>
      <c r="EQ88" s="17"/>
      <c r="ER88" s="17"/>
      <c r="ES88" s="17"/>
      <c r="ET88" s="17"/>
      <c r="EU88" s="17"/>
      <c r="EV88" s="17"/>
      <c r="EW88" s="17"/>
      <c r="EX88" s="17"/>
      <c r="EY88" s="17"/>
      <c r="EZ88" s="17"/>
      <c r="FA88" s="17"/>
      <c r="FB88" s="17"/>
      <c r="FC88" s="17"/>
      <c r="FD88" s="17"/>
      <c r="FE88" s="17"/>
      <c r="FF88" s="17"/>
      <c r="FG88" s="17"/>
      <c r="FH88" s="17"/>
      <c r="FI88" s="17"/>
      <c r="FJ88" s="17"/>
      <c r="FK88" s="17"/>
      <c r="FL88" s="17"/>
      <c r="FM88" s="17"/>
      <c r="FN88" s="17"/>
      <c r="FO88" s="17"/>
      <c r="FP88" s="17"/>
      <c r="FQ88" s="17"/>
      <c r="FR88" s="17"/>
      <c r="FS88" s="17"/>
      <c r="FT88" s="17"/>
      <c r="FU88" s="17"/>
      <c r="FV88" s="17"/>
      <c r="FW88" s="17"/>
      <c r="FX88" s="17"/>
      <c r="FY88" s="17"/>
      <c r="FZ88" s="17"/>
      <c r="GA88" s="17"/>
      <c r="GB88" s="17"/>
      <c r="GC88" s="17"/>
      <c r="GD88" s="17"/>
      <c r="GE88" s="17"/>
      <c r="GF88" s="17"/>
      <c r="GG88" s="17"/>
    </row>
    <row r="89" spans="1:216" ht="7.5" customHeight="1" x14ac:dyDescent="0.25">
      <c r="A89" s="17"/>
      <c r="B89" s="480" t="s">
        <v>549</v>
      </c>
      <c r="C89" s="17"/>
      <c r="D89" s="388"/>
      <c r="E89" s="394"/>
      <c r="G89" s="398"/>
      <c r="K89" s="377"/>
      <c r="L89" s="17"/>
      <c r="M89" s="17"/>
      <c r="N89" s="17"/>
      <c r="O89" s="17"/>
      <c r="P89" s="17"/>
      <c r="Q89" s="17"/>
      <c r="R89" s="17"/>
      <c r="S89" s="17"/>
      <c r="T89" s="17"/>
      <c r="U89" s="17"/>
      <c r="V89" s="17"/>
      <c r="W89" s="17"/>
      <c r="X89" s="17"/>
      <c r="Y89" s="17"/>
      <c r="Z89" s="17"/>
      <c r="AA89" s="17"/>
      <c r="AB89" s="17"/>
      <c r="AC89" s="17"/>
      <c r="AD89" s="17"/>
      <c r="AE89" s="17"/>
      <c r="EK89" s="17"/>
      <c r="EL89" s="17"/>
      <c r="EM89" s="17"/>
      <c r="EN89" s="17"/>
      <c r="EO89" s="17"/>
      <c r="EP89" s="17"/>
      <c r="EQ89" s="17"/>
      <c r="ER89" s="17"/>
      <c r="ES89" s="17"/>
      <c r="ET89" s="17"/>
      <c r="EU89" s="17"/>
      <c r="EV89" s="17"/>
      <c r="EW89" s="17"/>
      <c r="EX89" s="17"/>
      <c r="EY89" s="17"/>
      <c r="EZ89" s="17"/>
      <c r="FA89" s="17"/>
      <c r="FB89" s="17"/>
      <c r="FC89" s="17"/>
      <c r="FD89" s="17"/>
      <c r="FE89" s="17"/>
      <c r="FF89" s="17"/>
      <c r="FG89" s="17"/>
      <c r="FH89" s="17"/>
      <c r="FI89" s="17"/>
      <c r="FJ89" s="17"/>
      <c r="FK89" s="17"/>
      <c r="FL89" s="17"/>
      <c r="FM89" s="17"/>
      <c r="FN89" s="17"/>
      <c r="FO89" s="17"/>
      <c r="FP89" s="17"/>
      <c r="FQ89" s="17"/>
      <c r="FR89" s="17"/>
      <c r="FS89" s="17"/>
      <c r="FT89" s="17"/>
      <c r="FU89" s="17"/>
      <c r="FV89" s="17"/>
      <c r="FW89" s="17"/>
      <c r="FX89" s="17"/>
      <c r="FY89" s="17"/>
      <c r="FZ89" s="17"/>
      <c r="GA89" s="17"/>
      <c r="GB89" s="17"/>
      <c r="GC89" s="17"/>
      <c r="GD89" s="17"/>
      <c r="GE89" s="17"/>
      <c r="GF89" s="17"/>
      <c r="GG89" s="17"/>
    </row>
    <row r="90" spans="1:216" ht="7.5" customHeight="1" x14ac:dyDescent="0.25">
      <c r="A90" s="17"/>
      <c r="B90" s="481"/>
      <c r="C90" s="17"/>
      <c r="D90" s="484">
        <f>SUM(91:91)</f>
        <v>0</v>
      </c>
      <c r="E90" s="483"/>
      <c r="F90" s="394"/>
      <c r="G90" s="407"/>
      <c r="K90" s="406"/>
      <c r="L90" s="17"/>
      <c r="M90" s="17"/>
      <c r="N90" s="17"/>
      <c r="O90" s="17"/>
      <c r="P90" s="17"/>
      <c r="Q90" s="17"/>
      <c r="R90" s="17"/>
      <c r="S90" s="17"/>
      <c r="T90" s="17"/>
      <c r="U90" s="17"/>
      <c r="V90" s="17"/>
      <c r="W90" s="17"/>
      <c r="X90" s="17"/>
      <c r="Y90" s="17"/>
      <c r="Z90" s="17"/>
      <c r="AA90" s="17"/>
      <c r="AB90" s="17"/>
      <c r="AC90" s="17"/>
      <c r="AD90" s="17"/>
      <c r="AE90" s="17"/>
      <c r="EK90" s="17"/>
      <c r="EL90" s="17"/>
      <c r="EM90" s="17"/>
      <c r="EN90" s="17"/>
      <c r="EO90" s="17"/>
      <c r="EP90" s="17"/>
      <c r="EQ90" s="17"/>
      <c r="ER90" s="17"/>
      <c r="ES90" s="17"/>
      <c r="ET90" s="17"/>
      <c r="EU90" s="17"/>
      <c r="EV90" s="17"/>
      <c r="EW90" s="17"/>
      <c r="EX90" s="17"/>
      <c r="EY90" s="17"/>
      <c r="EZ90" s="17"/>
      <c r="FA90" s="17"/>
      <c r="FB90" s="17"/>
      <c r="FC90" s="17"/>
      <c r="FD90" s="17"/>
      <c r="FE90" s="17"/>
      <c r="FF90" s="17"/>
      <c r="FG90" s="17"/>
      <c r="FH90" s="17"/>
      <c r="FI90" s="17"/>
      <c r="FJ90" s="17"/>
      <c r="FK90" s="17"/>
      <c r="FL90" s="17"/>
      <c r="FM90" s="17"/>
      <c r="FN90" s="17"/>
      <c r="FO90" s="17"/>
      <c r="FP90" s="17"/>
      <c r="FQ90" s="17"/>
      <c r="FR90" s="17"/>
      <c r="FS90" s="17"/>
      <c r="FT90" s="17"/>
      <c r="FU90" s="17"/>
      <c r="FV90" s="17"/>
      <c r="FW90" s="17"/>
      <c r="FX90" s="17"/>
      <c r="FY90" s="17"/>
      <c r="FZ90" s="17"/>
      <c r="GA90" s="17"/>
      <c r="GB90" s="17"/>
      <c r="GC90" s="17"/>
      <c r="GD90" s="17"/>
      <c r="GE90" s="17"/>
      <c r="GF90" s="17"/>
      <c r="GG90" s="17"/>
    </row>
    <row r="91" spans="1:216" ht="7.5" customHeight="1" x14ac:dyDescent="0.25">
      <c r="A91" s="17"/>
      <c r="B91" s="481"/>
      <c r="C91" s="17"/>
      <c r="D91" s="484"/>
      <c r="E91" s="483"/>
      <c r="F91" s="386" t="s">
        <v>547</v>
      </c>
      <c r="G91" s="387"/>
      <c r="H91" s="387"/>
      <c r="I91" s="387"/>
      <c r="J91" s="387"/>
      <c r="K91" s="17"/>
      <c r="L91" s="17"/>
      <c r="M91" s="17"/>
      <c r="N91" s="17"/>
      <c r="O91" s="17"/>
      <c r="P91" s="17"/>
      <c r="Q91" s="17"/>
      <c r="R91" s="17"/>
      <c r="S91" s="17"/>
      <c r="T91" s="17"/>
      <c r="U91" s="17"/>
      <c r="V91" s="17"/>
      <c r="W91" s="17"/>
      <c r="X91" s="17"/>
      <c r="Y91" s="17"/>
      <c r="Z91" s="17"/>
      <c r="AA91" s="17"/>
      <c r="AB91" s="17"/>
      <c r="AC91" s="17"/>
      <c r="AD91" s="17"/>
      <c r="AE91" s="17"/>
      <c r="EK91" s="17"/>
      <c r="EL91" s="17"/>
      <c r="EM91" s="17"/>
      <c r="EN91" s="17"/>
      <c r="EO91" s="17"/>
      <c r="EP91" s="17"/>
      <c r="EQ91" s="17"/>
      <c r="ER91" s="17"/>
      <c r="ES91" s="17"/>
      <c r="ET91" s="17"/>
      <c r="EU91" s="17"/>
      <c r="EV91" s="17"/>
      <c r="EW91" s="17"/>
      <c r="EX91" s="17"/>
      <c r="EY91" s="17"/>
      <c r="EZ91" s="17"/>
      <c r="FA91" s="17"/>
      <c r="FB91" s="17"/>
      <c r="FC91" s="17"/>
      <c r="FD91" s="17"/>
      <c r="FE91" s="17"/>
      <c r="FF91" s="17"/>
      <c r="FG91" s="17"/>
      <c r="FH91" s="17"/>
      <c r="FI91" s="17"/>
      <c r="FJ91" s="17"/>
      <c r="FK91" s="17"/>
      <c r="FL91" s="17"/>
      <c r="FM91" s="17"/>
      <c r="FN91" s="17"/>
      <c r="FO91" s="17"/>
      <c r="FP91" s="17"/>
      <c r="FQ91" s="17"/>
      <c r="FR91" s="17"/>
      <c r="FS91" s="17"/>
      <c r="FT91" s="17"/>
      <c r="FU91" s="17"/>
      <c r="FV91" s="17"/>
      <c r="FW91" s="17"/>
      <c r="FX91" s="17"/>
      <c r="FY91" s="17"/>
      <c r="FZ91" s="17"/>
      <c r="GA91" s="17"/>
      <c r="GB91" s="17"/>
      <c r="GC91" s="17"/>
      <c r="GD91" s="17"/>
      <c r="GE91" s="17"/>
      <c r="GF91" s="17"/>
      <c r="GG91" s="17"/>
      <c r="GH91" s="17"/>
      <c r="GI91" s="17"/>
      <c r="GJ91" s="17"/>
      <c r="GK91" s="17"/>
      <c r="GL91" s="17"/>
      <c r="GM91" s="17"/>
      <c r="GN91" s="17"/>
      <c r="GO91" s="17"/>
      <c r="GP91" s="17"/>
      <c r="GQ91" s="17"/>
      <c r="GR91" s="17"/>
      <c r="GS91" s="17"/>
      <c r="GT91" s="17"/>
      <c r="GU91" s="17"/>
      <c r="GV91" s="17"/>
      <c r="GW91" s="17"/>
      <c r="GX91" s="17"/>
      <c r="GY91" s="17"/>
      <c r="GZ91" s="17"/>
      <c r="HA91" s="17"/>
      <c r="HB91" s="17"/>
      <c r="HC91" s="17"/>
      <c r="HD91" s="17"/>
      <c r="HE91" s="17"/>
      <c r="HF91" s="17"/>
      <c r="HG91" s="17"/>
      <c r="HH91" s="17"/>
    </row>
    <row r="92" spans="1:216" ht="7.5" customHeight="1" x14ac:dyDescent="0.25">
      <c r="A92" s="17"/>
      <c r="B92" s="481"/>
      <c r="C92" s="17"/>
      <c r="D92" s="484"/>
      <c r="E92" s="483"/>
      <c r="F92" s="393"/>
      <c r="G92" s="391"/>
      <c r="H92" s="425"/>
      <c r="I92" s="17"/>
      <c r="K92" s="17"/>
      <c r="L92" s="17"/>
      <c r="M92" s="17"/>
      <c r="N92" s="17"/>
      <c r="O92" s="17"/>
      <c r="P92" s="17"/>
      <c r="Q92" s="17"/>
      <c r="R92" s="17"/>
      <c r="S92" s="17"/>
      <c r="T92" s="17"/>
      <c r="U92" s="17"/>
      <c r="V92" s="17"/>
      <c r="W92" s="17"/>
      <c r="X92" s="17"/>
      <c r="Y92" s="17"/>
      <c r="Z92" s="17"/>
      <c r="AA92" s="17"/>
      <c r="AB92" s="17"/>
      <c r="AC92" s="17"/>
      <c r="AD92" s="17"/>
      <c r="AE92" s="17"/>
      <c r="EK92" s="17"/>
      <c r="EL92" s="17"/>
      <c r="EM92" s="17"/>
      <c r="EN92" s="17"/>
      <c r="EO92" s="17"/>
      <c r="EP92" s="17"/>
      <c r="EQ92" s="17"/>
      <c r="ER92" s="17"/>
      <c r="ES92" s="17"/>
      <c r="ET92" s="17"/>
      <c r="EU92" s="17"/>
      <c r="EV92" s="17"/>
      <c r="EW92" s="17"/>
      <c r="EX92" s="17"/>
      <c r="EY92" s="17"/>
      <c r="EZ92" s="17"/>
      <c r="FA92" s="17"/>
      <c r="FB92" s="17"/>
      <c r="FC92" s="17"/>
      <c r="FD92" s="17"/>
      <c r="FE92" s="17"/>
      <c r="FF92" s="17"/>
      <c r="FG92" s="17"/>
      <c r="FH92" s="17"/>
      <c r="FI92" s="17"/>
      <c r="FJ92" s="17"/>
      <c r="FK92" s="17"/>
      <c r="FL92" s="17"/>
      <c r="FM92" s="17"/>
      <c r="FN92" s="17"/>
      <c r="FO92" s="17"/>
      <c r="FP92" s="17"/>
      <c r="FQ92" s="17"/>
      <c r="FR92" s="17"/>
      <c r="FS92" s="17"/>
      <c r="FT92" s="17"/>
      <c r="FU92" s="17"/>
      <c r="FV92" s="17"/>
      <c r="FW92" s="17"/>
      <c r="FX92" s="17"/>
      <c r="FY92" s="17"/>
      <c r="FZ92" s="17"/>
      <c r="GA92" s="17"/>
      <c r="GB92" s="17"/>
      <c r="GC92" s="17"/>
      <c r="GD92" s="17"/>
      <c r="GE92" s="17"/>
      <c r="GF92" s="17"/>
      <c r="GG92" s="17"/>
      <c r="GH92" s="17"/>
      <c r="GI92" s="17"/>
      <c r="GJ92" s="17"/>
      <c r="GK92" s="17"/>
      <c r="GL92" s="17"/>
      <c r="GM92" s="17"/>
      <c r="GN92" s="17"/>
      <c r="GO92" s="17"/>
      <c r="GP92" s="17"/>
      <c r="GQ92" s="17"/>
      <c r="GR92" s="17"/>
      <c r="GS92" s="17"/>
      <c r="GT92" s="17"/>
      <c r="GU92" s="17"/>
      <c r="GV92" s="17"/>
      <c r="GW92" s="17"/>
      <c r="GX92" s="17"/>
      <c r="GY92" s="17"/>
      <c r="GZ92" s="17"/>
      <c r="HA92" s="17"/>
      <c r="HB92" s="17"/>
      <c r="HC92" s="17"/>
      <c r="HD92" s="17"/>
      <c r="HE92" s="17"/>
      <c r="HF92" s="17"/>
      <c r="HG92" s="17"/>
      <c r="HH92" s="17"/>
    </row>
    <row r="93" spans="1:216" ht="7.5" customHeight="1" x14ac:dyDescent="0.25">
      <c r="A93" s="17"/>
      <c r="B93" s="481"/>
      <c r="C93" s="17"/>
      <c r="D93" s="388"/>
      <c r="E93" s="390"/>
      <c r="G93" s="398"/>
      <c r="H93" s="409"/>
      <c r="J93" s="17"/>
      <c r="L93" s="17"/>
      <c r="M93" s="17"/>
      <c r="N93" s="17"/>
      <c r="O93" s="17"/>
      <c r="P93" s="17"/>
      <c r="Q93" s="17"/>
      <c r="R93" s="17"/>
      <c r="S93" s="17"/>
      <c r="T93" s="17"/>
      <c r="U93" s="17"/>
      <c r="V93" s="17"/>
      <c r="W93" s="17"/>
      <c r="X93" s="17"/>
      <c r="Y93" s="17"/>
      <c r="Z93" s="17"/>
      <c r="AA93" s="17"/>
      <c r="AB93" s="17"/>
      <c r="AC93" s="17"/>
      <c r="AD93" s="17"/>
      <c r="AE93" s="17"/>
      <c r="EK93" s="17"/>
      <c r="EL93" s="17"/>
      <c r="EM93" s="17"/>
      <c r="EN93" s="17"/>
      <c r="EO93" s="17"/>
      <c r="EP93" s="17"/>
      <c r="EQ93" s="17"/>
      <c r="ER93" s="17"/>
      <c r="ES93" s="17"/>
      <c r="ET93" s="17"/>
      <c r="EU93" s="17"/>
      <c r="EV93" s="17"/>
      <c r="EW93" s="17"/>
      <c r="EX93" s="17"/>
      <c r="EY93" s="17"/>
      <c r="EZ93" s="17"/>
      <c r="FA93" s="17"/>
      <c r="FB93" s="17"/>
      <c r="FC93" s="17"/>
      <c r="FD93" s="17"/>
      <c r="FE93" s="17"/>
      <c r="FF93" s="17"/>
      <c r="FG93" s="17"/>
      <c r="FH93" s="17"/>
      <c r="FI93" s="17"/>
      <c r="FJ93" s="17"/>
      <c r="FK93" s="17"/>
      <c r="FL93" s="17"/>
      <c r="FM93" s="17"/>
      <c r="FN93" s="17"/>
      <c r="FO93" s="17"/>
      <c r="FP93" s="17"/>
      <c r="FQ93" s="17"/>
      <c r="FR93" s="17"/>
      <c r="FS93" s="17"/>
      <c r="FT93" s="17"/>
      <c r="FU93" s="17"/>
      <c r="FV93" s="17"/>
      <c r="FW93" s="17"/>
      <c r="FX93" s="17"/>
      <c r="FY93" s="17"/>
      <c r="FZ93" s="17"/>
      <c r="GA93" s="17"/>
      <c r="GB93" s="17"/>
      <c r="GC93" s="17"/>
      <c r="GD93" s="17"/>
      <c r="GE93" s="17"/>
      <c r="GF93" s="17"/>
      <c r="GG93" s="17"/>
      <c r="GH93" s="17"/>
      <c r="GI93" s="17"/>
      <c r="GJ93" s="17"/>
      <c r="GK93" s="17"/>
      <c r="GL93" s="17"/>
      <c r="GM93" s="17"/>
      <c r="GN93" s="17"/>
      <c r="GO93" s="17"/>
      <c r="GP93" s="17"/>
      <c r="GQ93" s="17"/>
      <c r="GR93" s="17"/>
      <c r="GS93" s="17"/>
      <c r="GT93" s="17"/>
      <c r="GU93" s="17"/>
      <c r="GV93" s="17"/>
      <c r="GW93" s="17"/>
      <c r="GX93" s="17"/>
      <c r="GY93" s="17"/>
      <c r="GZ93" s="17"/>
      <c r="HA93" s="17"/>
      <c r="HB93" s="17"/>
      <c r="HC93" s="17"/>
      <c r="HD93" s="17"/>
      <c r="HE93" s="17"/>
      <c r="HF93" s="17"/>
      <c r="HG93" s="17"/>
      <c r="HH93" s="17"/>
    </row>
    <row r="94" spans="1:216" ht="7.5" customHeight="1" x14ac:dyDescent="0.25">
      <c r="A94" s="17"/>
      <c r="B94" s="481"/>
      <c r="C94" s="17"/>
      <c r="D94" s="380"/>
      <c r="F94" s="392"/>
      <c r="G94" s="482">
        <f>SUM(96:96)</f>
        <v>0</v>
      </c>
      <c r="H94" s="483"/>
      <c r="I94" s="412"/>
      <c r="J94" s="17"/>
      <c r="L94" s="17"/>
      <c r="M94" s="17"/>
      <c r="N94" s="17"/>
      <c r="O94" s="17"/>
      <c r="P94" s="17"/>
      <c r="Q94" s="17"/>
      <c r="R94" s="17"/>
      <c r="S94" s="17"/>
      <c r="T94" s="17"/>
      <c r="U94" s="17"/>
      <c r="V94" s="17"/>
      <c r="W94" s="17"/>
      <c r="X94" s="17"/>
      <c r="Y94" s="17"/>
      <c r="Z94" s="17"/>
      <c r="AA94" s="17"/>
      <c r="AB94" s="17"/>
      <c r="AC94" s="17"/>
      <c r="AD94" s="17"/>
      <c r="AE94" s="17"/>
      <c r="EK94" s="17"/>
      <c r="EL94" s="17"/>
      <c r="EM94" s="17"/>
      <c r="EN94" s="17"/>
      <c r="EO94" s="17"/>
      <c r="EP94" s="17"/>
      <c r="EQ94" s="17"/>
      <c r="ER94" s="17"/>
      <c r="ES94" s="17"/>
      <c r="ET94" s="17"/>
      <c r="EU94" s="17"/>
      <c r="EV94" s="17"/>
      <c r="EW94" s="17"/>
      <c r="EX94" s="17"/>
      <c r="EY94" s="17"/>
      <c r="EZ94" s="17"/>
      <c r="FA94" s="17"/>
      <c r="FB94" s="17"/>
      <c r="FC94" s="17"/>
      <c r="FD94" s="17"/>
      <c r="FE94" s="17"/>
      <c r="FF94" s="17"/>
      <c r="FG94" s="17"/>
      <c r="FH94" s="17"/>
      <c r="FI94" s="17"/>
      <c r="FJ94" s="17"/>
      <c r="FK94" s="17"/>
      <c r="FL94" s="17"/>
      <c r="FM94" s="17"/>
      <c r="FN94" s="17"/>
      <c r="FO94" s="17"/>
      <c r="FP94" s="17"/>
      <c r="FQ94" s="17"/>
      <c r="FR94" s="17"/>
      <c r="FS94" s="17"/>
      <c r="FT94" s="17"/>
      <c r="FU94" s="17"/>
      <c r="FV94" s="17"/>
      <c r="FW94" s="17"/>
      <c r="FX94" s="17"/>
      <c r="FY94" s="17"/>
      <c r="FZ94" s="17"/>
      <c r="GA94" s="17"/>
      <c r="GB94" s="17"/>
      <c r="GC94" s="17"/>
      <c r="GD94" s="17"/>
      <c r="GE94" s="17"/>
      <c r="GF94" s="17"/>
      <c r="GG94" s="17"/>
      <c r="GH94" s="17"/>
      <c r="GI94" s="17"/>
      <c r="GJ94" s="17"/>
      <c r="GK94" s="17"/>
      <c r="GL94" s="17"/>
      <c r="GM94" s="17"/>
      <c r="GN94" s="17"/>
      <c r="GO94" s="17"/>
      <c r="GP94" s="17"/>
      <c r="GQ94" s="17"/>
      <c r="GR94" s="17"/>
      <c r="GS94" s="17"/>
      <c r="GT94" s="17"/>
      <c r="GU94" s="17"/>
      <c r="GV94" s="17"/>
      <c r="GW94" s="17"/>
      <c r="GX94" s="17"/>
      <c r="GY94" s="17"/>
      <c r="GZ94" s="17"/>
      <c r="HA94" s="17"/>
      <c r="HB94" s="17"/>
      <c r="HC94" s="17"/>
      <c r="HD94" s="17"/>
      <c r="HE94" s="17"/>
      <c r="HF94" s="17"/>
      <c r="HG94" s="17"/>
      <c r="HH94" s="17"/>
    </row>
    <row r="95" spans="1:216" ht="7.5" customHeight="1" x14ac:dyDescent="0.25">
      <c r="A95" s="17"/>
      <c r="B95" s="481"/>
      <c r="C95" s="17"/>
      <c r="D95" s="380"/>
      <c r="E95" s="17"/>
      <c r="G95" s="482"/>
      <c r="H95" s="483"/>
      <c r="I95" s="411"/>
      <c r="L95" s="17"/>
      <c r="M95" s="17"/>
      <c r="N95" s="17"/>
      <c r="O95" s="17"/>
      <c r="P95" s="17"/>
      <c r="Q95" s="17"/>
      <c r="R95" s="17"/>
      <c r="S95" s="17"/>
      <c r="T95" s="17"/>
      <c r="U95" s="17"/>
      <c r="V95" s="17"/>
      <c r="W95" s="17"/>
      <c r="X95" s="17"/>
      <c r="Y95" s="17"/>
      <c r="Z95" s="17"/>
      <c r="AA95" s="17"/>
      <c r="AB95" s="17"/>
      <c r="AC95" s="17"/>
      <c r="AD95" s="17"/>
      <c r="AE95" s="17"/>
      <c r="EK95" s="17"/>
      <c r="EL95" s="17"/>
      <c r="EM95" s="17"/>
      <c r="EN95" s="17"/>
      <c r="EO95" s="17"/>
      <c r="EP95" s="17"/>
      <c r="EQ95" s="17"/>
      <c r="ER95" s="17"/>
      <c r="ES95" s="17"/>
      <c r="ET95" s="17"/>
      <c r="EU95" s="17"/>
      <c r="EV95" s="17"/>
      <c r="EW95" s="17"/>
      <c r="EX95" s="17"/>
      <c r="EY95" s="17"/>
      <c r="EZ95" s="17"/>
      <c r="FA95" s="17"/>
      <c r="FB95" s="17"/>
      <c r="FC95" s="17"/>
      <c r="FD95" s="17"/>
      <c r="FE95" s="17"/>
      <c r="FF95" s="17"/>
      <c r="FG95" s="17"/>
      <c r="FH95" s="17"/>
      <c r="FI95" s="17"/>
      <c r="FJ95" s="17"/>
      <c r="FK95" s="17"/>
      <c r="FL95" s="17"/>
      <c r="FM95" s="17"/>
      <c r="FN95" s="17"/>
      <c r="FO95" s="17"/>
      <c r="FP95" s="17"/>
      <c r="FQ95" s="17"/>
      <c r="FR95" s="17"/>
      <c r="FS95" s="17"/>
      <c r="FT95" s="17"/>
      <c r="FU95" s="17"/>
      <c r="FV95" s="17"/>
      <c r="FW95" s="17"/>
      <c r="FX95" s="17"/>
      <c r="FY95" s="17"/>
      <c r="FZ95" s="17"/>
      <c r="GA95" s="17"/>
      <c r="GB95" s="17"/>
      <c r="GC95" s="17"/>
      <c r="GD95" s="17"/>
      <c r="GE95" s="17"/>
      <c r="GF95" s="17"/>
      <c r="GG95" s="17"/>
      <c r="GH95" s="17"/>
      <c r="GI95" s="17"/>
      <c r="GJ95" s="17"/>
      <c r="GK95" s="17"/>
      <c r="GL95" s="17"/>
      <c r="GM95" s="17"/>
      <c r="GN95" s="17"/>
      <c r="GO95" s="17"/>
      <c r="GP95" s="17"/>
      <c r="GQ95" s="17"/>
      <c r="GR95" s="17"/>
      <c r="GS95" s="17"/>
      <c r="GT95" s="17"/>
      <c r="GU95" s="17"/>
      <c r="GV95" s="17"/>
      <c r="GW95" s="17"/>
      <c r="GX95" s="17"/>
      <c r="GY95" s="17"/>
      <c r="GZ95" s="17"/>
      <c r="HA95" s="17"/>
      <c r="HB95" s="17"/>
      <c r="HC95" s="17"/>
      <c r="HD95" s="17"/>
      <c r="HE95" s="17"/>
      <c r="HF95" s="17"/>
      <c r="HG95" s="17"/>
      <c r="HH95" s="17"/>
    </row>
    <row r="96" spans="1:216" ht="7.5" customHeight="1" x14ac:dyDescent="0.25">
      <c r="A96" s="17"/>
      <c r="B96" s="481"/>
      <c r="C96" s="17"/>
      <c r="D96" s="380"/>
      <c r="E96" s="17"/>
      <c r="G96" s="482"/>
      <c r="H96" s="483"/>
      <c r="I96" s="426" t="s">
        <v>547</v>
      </c>
      <c r="J96" s="410"/>
      <c r="K96" s="17"/>
      <c r="L96" s="17"/>
      <c r="M96" s="17"/>
      <c r="N96" s="17"/>
      <c r="O96" s="17"/>
      <c r="P96" s="17"/>
      <c r="Q96" s="17"/>
      <c r="R96" s="17"/>
      <c r="S96" s="17"/>
      <c r="T96" s="17"/>
      <c r="U96" s="17"/>
      <c r="V96" s="17"/>
      <c r="W96" s="17"/>
      <c r="X96" s="17"/>
      <c r="Y96" s="17"/>
      <c r="Z96" s="17"/>
      <c r="AA96" s="17"/>
      <c r="AB96" s="17"/>
      <c r="AC96" s="17"/>
      <c r="AD96" s="17"/>
      <c r="AE96" s="17"/>
      <c r="EK96" s="17"/>
      <c r="EL96" s="17"/>
      <c r="EM96" s="17"/>
      <c r="EN96" s="17"/>
      <c r="EO96" s="17"/>
      <c r="EP96" s="17"/>
      <c r="EQ96" s="17"/>
      <c r="ER96" s="17"/>
      <c r="ES96" s="17"/>
      <c r="ET96" s="17"/>
      <c r="EU96" s="17"/>
      <c r="EV96" s="17"/>
      <c r="EW96" s="17"/>
      <c r="EX96" s="17"/>
      <c r="EY96" s="17"/>
      <c r="EZ96" s="17"/>
      <c r="FA96" s="17"/>
      <c r="FB96" s="17"/>
      <c r="FC96" s="17"/>
      <c r="FD96" s="17"/>
      <c r="FE96" s="17"/>
      <c r="FF96" s="17"/>
      <c r="FG96" s="17"/>
      <c r="FH96" s="17"/>
      <c r="FI96" s="17"/>
      <c r="FJ96" s="17"/>
      <c r="FK96" s="17"/>
      <c r="FL96" s="17"/>
      <c r="FM96" s="17"/>
      <c r="FN96" s="17"/>
      <c r="FO96" s="17"/>
      <c r="FP96" s="17"/>
      <c r="FQ96" s="17"/>
      <c r="FR96" s="17"/>
      <c r="FS96" s="17"/>
      <c r="FT96" s="17"/>
      <c r="FU96" s="17"/>
      <c r="FV96" s="17"/>
      <c r="FW96" s="17"/>
      <c r="FX96" s="17"/>
      <c r="FY96" s="17"/>
      <c r="FZ96" s="17"/>
      <c r="GA96" s="17"/>
      <c r="GB96" s="17"/>
      <c r="GC96" s="17"/>
      <c r="GD96" s="17"/>
      <c r="GE96" s="17"/>
      <c r="GF96" s="17"/>
      <c r="GG96" s="17"/>
      <c r="GH96" s="17"/>
      <c r="GI96" s="17"/>
      <c r="GJ96" s="17"/>
      <c r="GK96" s="17"/>
      <c r="GL96" s="17"/>
      <c r="GM96" s="17"/>
      <c r="GN96" s="17"/>
      <c r="GO96" s="17"/>
      <c r="GP96" s="17"/>
      <c r="GQ96" s="17"/>
      <c r="GR96" s="17"/>
      <c r="GS96" s="17"/>
      <c r="GT96" s="17"/>
      <c r="GU96" s="17"/>
      <c r="GV96" s="17"/>
      <c r="GW96" s="17"/>
      <c r="GX96" s="17"/>
      <c r="GY96" s="17"/>
      <c r="GZ96" s="17"/>
      <c r="HA96" s="17"/>
      <c r="HB96" s="17"/>
      <c r="HC96" s="17"/>
      <c r="HD96" s="17"/>
      <c r="HE96" s="17"/>
      <c r="HF96" s="17"/>
      <c r="HG96" s="17"/>
      <c r="HH96" s="17"/>
    </row>
    <row r="97" spans="1:216" ht="7.5" customHeight="1" x14ac:dyDescent="0.25">
      <c r="A97" s="572" t="s">
        <v>551</v>
      </c>
      <c r="B97" s="573"/>
      <c r="C97" s="402"/>
      <c r="D97" s="422"/>
      <c r="E97" s="578" t="s">
        <v>551</v>
      </c>
      <c r="F97" s="579"/>
      <c r="G97" s="403"/>
      <c r="H97" s="402"/>
      <c r="I97" s="573" t="s">
        <v>551</v>
      </c>
      <c r="J97" s="573"/>
      <c r="K97" s="17"/>
      <c r="L97" s="17"/>
      <c r="M97" s="17"/>
      <c r="N97" s="17"/>
      <c r="O97" s="17"/>
      <c r="P97" s="17"/>
      <c r="Q97" s="17"/>
      <c r="R97" s="17"/>
      <c r="S97" s="17"/>
      <c r="T97" s="17"/>
      <c r="U97" s="17"/>
      <c r="V97" s="17"/>
      <c r="W97" s="17"/>
      <c r="X97" s="17"/>
      <c r="Y97" s="17"/>
      <c r="Z97" s="17"/>
      <c r="AA97" s="17"/>
      <c r="AB97" s="17"/>
      <c r="AC97" s="17"/>
      <c r="AD97" s="17"/>
      <c r="AE97" s="17"/>
      <c r="EK97" s="17"/>
      <c r="EL97" s="17"/>
      <c r="EM97" s="17"/>
      <c r="EN97" s="17"/>
      <c r="EO97" s="17"/>
      <c r="EP97" s="17"/>
      <c r="EQ97" s="17"/>
      <c r="ER97" s="17"/>
      <c r="ES97" s="17"/>
      <c r="ET97" s="17"/>
      <c r="EU97" s="17"/>
      <c r="EV97" s="17"/>
      <c r="EW97" s="17"/>
      <c r="EX97" s="17"/>
      <c r="EY97" s="17"/>
      <c r="EZ97" s="17"/>
      <c r="FA97" s="17"/>
      <c r="FB97" s="17"/>
      <c r="FC97" s="17"/>
      <c r="FD97" s="17"/>
      <c r="FE97" s="17"/>
      <c r="FF97" s="17"/>
      <c r="FG97" s="17"/>
      <c r="FH97" s="17"/>
      <c r="FI97" s="17"/>
      <c r="FJ97" s="17"/>
      <c r="FK97" s="17"/>
      <c r="FL97" s="17"/>
      <c r="FM97" s="17"/>
      <c r="FN97" s="17"/>
      <c r="FO97" s="17"/>
      <c r="FP97" s="17"/>
      <c r="FQ97" s="17"/>
      <c r="FR97" s="17"/>
      <c r="FS97" s="17"/>
      <c r="FT97" s="17"/>
      <c r="FU97" s="17"/>
      <c r="FV97" s="17"/>
      <c r="FW97" s="17"/>
      <c r="FX97" s="17"/>
      <c r="FY97" s="17"/>
      <c r="FZ97" s="17"/>
      <c r="GA97" s="17"/>
      <c r="GB97" s="17"/>
      <c r="GC97" s="17"/>
      <c r="GD97" s="17"/>
      <c r="GE97" s="17"/>
      <c r="GF97" s="17"/>
      <c r="GG97" s="17"/>
      <c r="GH97" s="17"/>
      <c r="GI97" s="17"/>
      <c r="GJ97" s="17"/>
      <c r="GK97" s="17"/>
      <c r="GL97" s="17"/>
      <c r="GM97" s="17"/>
      <c r="GN97" s="17"/>
      <c r="GO97" s="17"/>
      <c r="GP97" s="17"/>
      <c r="GQ97" s="17"/>
      <c r="GR97" s="17"/>
      <c r="GS97" s="17"/>
      <c r="GT97" s="17"/>
      <c r="GU97" s="17"/>
      <c r="GV97" s="17"/>
      <c r="GW97" s="17"/>
      <c r="GX97" s="17"/>
      <c r="GY97" s="17"/>
      <c r="GZ97" s="17"/>
      <c r="HA97" s="17"/>
      <c r="HB97" s="17"/>
      <c r="HC97" s="17"/>
      <c r="HD97" s="17"/>
      <c r="HE97" s="17"/>
      <c r="HF97" s="17"/>
      <c r="HG97" s="17"/>
      <c r="HH97" s="17"/>
    </row>
    <row r="98" spans="1:216" ht="7.5" customHeight="1" x14ac:dyDescent="0.25">
      <c r="A98" s="574"/>
      <c r="B98" s="575"/>
      <c r="C98" s="30"/>
      <c r="D98" s="423"/>
      <c r="E98" s="580"/>
      <c r="F98" s="581"/>
      <c r="G98" s="385"/>
      <c r="H98" s="30"/>
      <c r="I98" s="575"/>
      <c r="J98" s="575"/>
      <c r="K98" s="17"/>
      <c r="L98" s="17"/>
      <c r="M98" s="17"/>
      <c r="N98" s="17"/>
      <c r="O98" s="17"/>
      <c r="P98" s="17"/>
      <c r="Q98" s="17"/>
      <c r="R98" s="17"/>
      <c r="S98" s="17"/>
      <c r="T98" s="17"/>
      <c r="U98" s="17"/>
      <c r="V98" s="17"/>
      <c r="W98" s="17"/>
      <c r="X98" s="17"/>
      <c r="Y98" s="17"/>
      <c r="Z98" s="17"/>
      <c r="AA98" s="17"/>
      <c r="AB98" s="17"/>
      <c r="AC98" s="17"/>
      <c r="AD98" s="17"/>
      <c r="AE98" s="17"/>
      <c r="EK98" s="17"/>
      <c r="EL98" s="17"/>
      <c r="EM98" s="17"/>
      <c r="EN98" s="17"/>
      <c r="EO98" s="17"/>
      <c r="EP98" s="17"/>
      <c r="EQ98" s="17"/>
      <c r="ER98" s="17"/>
      <c r="ES98" s="17"/>
      <c r="ET98" s="17"/>
      <c r="EU98" s="17"/>
      <c r="EV98" s="17"/>
      <c r="EW98" s="17"/>
      <c r="EX98" s="17"/>
      <c r="EY98" s="17"/>
      <c r="EZ98" s="17"/>
      <c r="FA98" s="17"/>
      <c r="FB98" s="17"/>
      <c r="FC98" s="17"/>
      <c r="FD98" s="17"/>
      <c r="FE98" s="17"/>
      <c r="FF98" s="17"/>
      <c r="FG98" s="17"/>
      <c r="FH98" s="17"/>
      <c r="FI98" s="17"/>
      <c r="FJ98" s="17"/>
      <c r="FK98" s="17"/>
      <c r="FL98" s="17"/>
      <c r="FM98" s="17"/>
      <c r="FN98" s="17"/>
      <c r="FO98" s="17"/>
      <c r="FP98" s="17"/>
      <c r="FQ98" s="17"/>
      <c r="FR98" s="17"/>
      <c r="FS98" s="17"/>
      <c r="FT98" s="17"/>
      <c r="FU98" s="17"/>
      <c r="FV98" s="17"/>
      <c r="FW98" s="17"/>
      <c r="FX98" s="17"/>
      <c r="FY98" s="17"/>
      <c r="FZ98" s="17"/>
      <c r="GA98" s="17"/>
      <c r="GB98" s="17"/>
      <c r="GC98" s="17"/>
      <c r="GD98" s="17"/>
      <c r="GE98" s="17"/>
      <c r="GF98" s="17"/>
      <c r="GG98" s="17"/>
      <c r="GH98" s="17"/>
      <c r="GI98" s="17"/>
      <c r="GJ98" s="17"/>
      <c r="GK98" s="17"/>
      <c r="GL98" s="17"/>
      <c r="GM98" s="17"/>
      <c r="GN98" s="17"/>
      <c r="GO98" s="17"/>
      <c r="GP98" s="17"/>
      <c r="GQ98" s="17"/>
      <c r="GR98" s="17"/>
      <c r="GS98" s="17"/>
      <c r="GT98" s="17"/>
      <c r="GU98" s="17"/>
      <c r="GV98" s="17"/>
      <c r="GW98" s="17"/>
      <c r="GX98" s="17"/>
      <c r="GY98" s="17"/>
      <c r="GZ98" s="17"/>
      <c r="HA98" s="17"/>
      <c r="HB98" s="17"/>
      <c r="HC98" s="17"/>
      <c r="HD98" s="17"/>
      <c r="HE98" s="17"/>
      <c r="HF98" s="17"/>
      <c r="HG98" s="17"/>
      <c r="HH98" s="17"/>
    </row>
    <row r="99" spans="1:216" ht="7.5" customHeight="1" x14ac:dyDescent="0.25">
      <c r="A99" s="574"/>
      <c r="B99" s="575"/>
      <c r="C99" s="30"/>
      <c r="D99" s="153"/>
      <c r="E99" s="580"/>
      <c r="F99" s="581"/>
      <c r="G99" s="385"/>
      <c r="H99" s="30"/>
      <c r="I99" s="575"/>
      <c r="J99" s="575"/>
      <c r="L99" s="17"/>
      <c r="M99" s="17"/>
      <c r="N99" s="17"/>
      <c r="O99" s="17"/>
      <c r="P99" s="17"/>
      <c r="Q99" s="17"/>
      <c r="R99" s="17"/>
      <c r="S99" s="17"/>
      <c r="T99" s="17"/>
      <c r="U99" s="17"/>
      <c r="V99" s="17"/>
      <c r="W99" s="17"/>
      <c r="X99" s="17"/>
      <c r="Y99" s="17"/>
      <c r="Z99" s="17"/>
      <c r="AA99" s="17"/>
      <c r="AB99" s="17"/>
      <c r="AC99" s="17"/>
      <c r="AD99" s="17"/>
      <c r="AE99" s="17"/>
      <c r="EK99" s="17"/>
      <c r="EL99" s="17"/>
      <c r="EM99" s="17"/>
      <c r="EN99" s="17"/>
      <c r="EO99" s="17"/>
      <c r="EP99" s="17"/>
      <c r="EQ99" s="17"/>
      <c r="ER99" s="17"/>
      <c r="ES99" s="17"/>
      <c r="ET99" s="17"/>
      <c r="EU99" s="17"/>
      <c r="EV99" s="17"/>
      <c r="EW99" s="17"/>
      <c r="EX99" s="17"/>
      <c r="EY99" s="17"/>
      <c r="EZ99" s="17"/>
      <c r="FA99" s="17"/>
      <c r="FB99" s="17"/>
      <c r="FC99" s="17"/>
      <c r="FD99" s="17"/>
      <c r="FE99" s="17"/>
      <c r="FF99" s="17"/>
      <c r="FG99" s="17"/>
      <c r="FH99" s="17"/>
      <c r="FI99" s="17"/>
      <c r="FJ99" s="17"/>
      <c r="FK99" s="17"/>
      <c r="FL99" s="17"/>
      <c r="FM99" s="17"/>
      <c r="FN99" s="17"/>
      <c r="FO99" s="17"/>
      <c r="FP99" s="17"/>
      <c r="FQ99" s="17"/>
      <c r="FR99" s="17"/>
      <c r="FS99" s="17"/>
      <c r="FT99" s="17"/>
      <c r="FU99" s="17"/>
      <c r="FV99" s="17"/>
      <c r="FW99" s="17"/>
      <c r="FX99" s="17"/>
      <c r="FY99" s="17"/>
      <c r="FZ99" s="17"/>
      <c r="GA99" s="17"/>
      <c r="GB99" s="17"/>
      <c r="GC99" s="17"/>
      <c r="GD99" s="17"/>
      <c r="GE99" s="17"/>
      <c r="GF99" s="17"/>
      <c r="GG99" s="17"/>
      <c r="GH99" s="17"/>
      <c r="GI99" s="17"/>
      <c r="GJ99" s="17"/>
      <c r="GK99" s="17"/>
      <c r="GL99" s="17"/>
      <c r="GM99" s="17"/>
      <c r="GN99" s="17"/>
      <c r="GO99" s="17"/>
      <c r="GP99" s="17"/>
      <c r="GQ99" s="17"/>
      <c r="GR99" s="17"/>
      <c r="GS99" s="17"/>
      <c r="GT99" s="17"/>
      <c r="GU99" s="17"/>
      <c r="GV99" s="17"/>
      <c r="GW99" s="17"/>
      <c r="GX99" s="17"/>
      <c r="GY99" s="17"/>
      <c r="GZ99" s="17"/>
      <c r="HA99" s="17"/>
      <c r="HB99" s="17"/>
      <c r="HC99" s="17"/>
      <c r="HD99" s="17"/>
      <c r="HE99" s="17"/>
      <c r="HF99" s="17"/>
      <c r="HG99" s="17"/>
      <c r="HH99" s="17"/>
    </row>
    <row r="100" spans="1:216" ht="7.5" customHeight="1" x14ac:dyDescent="0.25">
      <c r="A100" s="576"/>
      <c r="B100" s="577"/>
      <c r="C100" s="397"/>
      <c r="D100" s="424"/>
      <c r="E100" s="582"/>
      <c r="F100" s="583"/>
      <c r="G100" s="405"/>
      <c r="H100" s="357"/>
      <c r="I100" s="577"/>
      <c r="J100" s="577"/>
      <c r="K100" s="384"/>
      <c r="EK100" s="17"/>
      <c r="EL100" s="17"/>
      <c r="EM100" s="17"/>
      <c r="EN100" s="17"/>
      <c r="EO100" s="17"/>
      <c r="EP100" s="17"/>
      <c r="EQ100" s="17"/>
      <c r="ER100" s="17"/>
      <c r="ES100" s="17"/>
      <c r="ET100" s="17"/>
      <c r="EU100" s="17"/>
      <c r="EV100" s="17"/>
      <c r="EW100" s="17"/>
      <c r="EX100" s="17"/>
      <c r="EY100" s="17"/>
      <c r="EZ100" s="17"/>
      <c r="FA100" s="17"/>
      <c r="FB100" s="17"/>
      <c r="FC100" s="17"/>
      <c r="FD100" s="17"/>
      <c r="FE100" s="17"/>
      <c r="FF100" s="17"/>
      <c r="FG100" s="17"/>
      <c r="FH100" s="17"/>
      <c r="FI100" s="17"/>
      <c r="FJ100" s="17"/>
      <c r="FK100" s="17"/>
      <c r="FL100" s="17"/>
      <c r="FM100" s="17"/>
      <c r="FN100" s="17"/>
      <c r="FO100" s="17"/>
      <c r="FP100" s="17"/>
      <c r="FQ100" s="17"/>
      <c r="FR100" s="17"/>
      <c r="FS100" s="17"/>
      <c r="FT100" s="17"/>
      <c r="FU100" s="17"/>
      <c r="FV100" s="17"/>
      <c r="FW100" s="17"/>
      <c r="FX100" s="17"/>
      <c r="FY100" s="17"/>
      <c r="FZ100" s="17"/>
      <c r="GA100" s="17"/>
      <c r="GB100" s="17"/>
      <c r="GC100" s="17"/>
      <c r="GD100" s="17"/>
      <c r="GE100" s="17"/>
      <c r="GF100" s="17"/>
      <c r="GG100" s="17"/>
      <c r="GH100" s="17"/>
      <c r="GI100" s="17"/>
      <c r="GJ100" s="17"/>
      <c r="GK100" s="17"/>
      <c r="GL100" s="17"/>
      <c r="GM100" s="17"/>
      <c r="GN100" s="17"/>
      <c r="GO100" s="17"/>
      <c r="GP100" s="17"/>
      <c r="GQ100" s="17"/>
      <c r="GR100" s="17"/>
      <c r="GS100" s="17"/>
      <c r="GT100" s="17"/>
      <c r="GU100" s="17"/>
      <c r="GV100" s="17"/>
      <c r="GW100" s="17"/>
      <c r="GX100" s="17"/>
      <c r="GY100" s="17"/>
      <c r="GZ100" s="17"/>
      <c r="HA100" s="17"/>
      <c r="HB100" s="17"/>
      <c r="HC100" s="17"/>
      <c r="HD100" s="17"/>
      <c r="HE100" s="17"/>
      <c r="HF100" s="17"/>
      <c r="HG100" s="17"/>
      <c r="HH100" s="17"/>
    </row>
    <row r="101" spans="1:216" ht="7.5" customHeight="1" x14ac:dyDescent="0.25">
      <c r="A101" s="17"/>
      <c r="B101" s="17"/>
      <c r="C101" s="17"/>
      <c r="D101" s="17"/>
      <c r="E101" s="17"/>
      <c r="F101" s="17"/>
      <c r="G101" s="17"/>
      <c r="H101" s="17"/>
      <c r="I101" s="17"/>
      <c r="J101" s="17"/>
      <c r="K101" s="404"/>
      <c r="EK101" s="17"/>
      <c r="EL101" s="17"/>
      <c r="EM101" s="17"/>
      <c r="EN101" s="17"/>
      <c r="EO101" s="17"/>
      <c r="EP101" s="17"/>
      <c r="EQ101" s="17"/>
      <c r="ER101" s="17"/>
      <c r="ES101" s="17"/>
      <c r="ET101" s="17"/>
      <c r="EU101" s="17"/>
      <c r="EV101" s="17"/>
      <c r="EW101" s="17"/>
      <c r="EX101" s="17"/>
      <c r="EY101" s="17"/>
      <c r="EZ101" s="17"/>
      <c r="FA101" s="17"/>
      <c r="FB101" s="17"/>
      <c r="FC101" s="17"/>
      <c r="FD101" s="17"/>
      <c r="FE101" s="17"/>
      <c r="FF101" s="17"/>
      <c r="FG101" s="17"/>
      <c r="FH101" s="17"/>
      <c r="FI101" s="17"/>
      <c r="FJ101" s="17"/>
      <c r="FK101" s="17"/>
      <c r="FL101" s="17"/>
      <c r="FM101" s="17"/>
      <c r="FN101" s="17"/>
      <c r="FO101" s="17"/>
      <c r="FP101" s="17"/>
      <c r="FQ101" s="17"/>
      <c r="FR101" s="17"/>
      <c r="FS101" s="17"/>
      <c r="FT101" s="17"/>
      <c r="FU101" s="17"/>
      <c r="FV101" s="17"/>
      <c r="FW101" s="17"/>
      <c r="FX101" s="17"/>
      <c r="FY101" s="17"/>
      <c r="FZ101" s="17"/>
      <c r="GA101" s="17"/>
      <c r="GB101" s="17"/>
      <c r="GC101" s="17"/>
      <c r="GD101" s="17"/>
      <c r="GE101" s="17"/>
      <c r="GF101" s="17"/>
      <c r="GG101" s="17"/>
      <c r="GH101" s="17"/>
      <c r="GI101" s="17"/>
      <c r="GJ101" s="17"/>
      <c r="GK101" s="17"/>
      <c r="GL101" s="17"/>
      <c r="GM101" s="17"/>
      <c r="GN101" s="17"/>
      <c r="GO101" s="17"/>
      <c r="GP101" s="17"/>
      <c r="GQ101" s="17"/>
      <c r="GR101" s="17"/>
      <c r="GS101" s="17"/>
      <c r="GT101" s="17"/>
      <c r="GU101" s="17"/>
      <c r="GV101" s="17"/>
      <c r="GW101" s="17"/>
      <c r="GX101" s="17"/>
      <c r="GY101" s="17"/>
      <c r="GZ101" s="17"/>
      <c r="HA101" s="17"/>
      <c r="HB101" s="17"/>
      <c r="HC101" s="17"/>
      <c r="HD101" s="17"/>
      <c r="HE101" s="17"/>
      <c r="HF101" s="17"/>
      <c r="HG101" s="17"/>
      <c r="HH101" s="17"/>
    </row>
    <row r="102" spans="1:216" ht="7.5" customHeight="1" x14ac:dyDescent="0.25">
      <c r="A102" s="17"/>
      <c r="B102" s="17"/>
      <c r="C102" s="17"/>
      <c r="D102" s="17"/>
      <c r="E102" s="17"/>
      <c r="F102" s="17"/>
      <c r="G102" s="17"/>
      <c r="H102" s="17"/>
      <c r="I102" s="17"/>
      <c r="J102" s="17"/>
      <c r="K102" s="377"/>
      <c r="EK102" s="17"/>
      <c r="EL102" s="17"/>
      <c r="EM102" s="17"/>
      <c r="EN102" s="17"/>
      <c r="EO102" s="17"/>
      <c r="EP102" s="17"/>
      <c r="EQ102" s="17"/>
      <c r="ER102" s="17"/>
      <c r="ES102" s="17"/>
      <c r="ET102" s="17"/>
      <c r="EU102" s="17"/>
      <c r="EV102" s="17"/>
      <c r="EW102" s="17"/>
      <c r="EX102" s="17"/>
      <c r="EY102" s="17"/>
      <c r="EZ102" s="17"/>
      <c r="FA102" s="17"/>
      <c r="FB102" s="17"/>
      <c r="FC102" s="17"/>
      <c r="FD102" s="17"/>
      <c r="FE102" s="17"/>
      <c r="FF102" s="17"/>
      <c r="FG102" s="17"/>
      <c r="FH102" s="17"/>
      <c r="FI102" s="17"/>
      <c r="FJ102" s="17"/>
      <c r="FK102" s="17"/>
      <c r="FL102" s="17"/>
      <c r="FM102" s="17"/>
      <c r="FN102" s="17"/>
      <c r="FO102" s="17"/>
      <c r="FP102" s="17"/>
      <c r="FQ102" s="17"/>
      <c r="FR102" s="17"/>
      <c r="FS102" s="17"/>
      <c r="FT102" s="17"/>
      <c r="FU102" s="17"/>
      <c r="FV102" s="17"/>
      <c r="FW102" s="17"/>
      <c r="FX102" s="17"/>
      <c r="FY102" s="17"/>
      <c r="FZ102" s="17"/>
      <c r="GA102" s="17"/>
      <c r="GB102" s="17"/>
      <c r="GC102" s="17"/>
      <c r="GD102" s="17"/>
      <c r="GE102" s="17"/>
      <c r="GF102" s="17"/>
      <c r="GG102" s="17"/>
      <c r="GH102" s="17"/>
      <c r="GI102" s="17"/>
      <c r="GJ102" s="17"/>
      <c r="GK102" s="17"/>
      <c r="GL102" s="17"/>
      <c r="GM102" s="17"/>
      <c r="GN102" s="17"/>
      <c r="GO102" s="17"/>
      <c r="GP102" s="17"/>
      <c r="GQ102" s="17"/>
      <c r="GR102" s="17"/>
      <c r="GS102" s="17"/>
      <c r="GT102" s="17"/>
      <c r="GU102" s="17"/>
      <c r="GV102" s="17"/>
      <c r="GW102" s="17"/>
      <c r="GX102" s="17"/>
      <c r="GY102" s="17"/>
      <c r="GZ102" s="17"/>
      <c r="HA102" s="17"/>
      <c r="HB102" s="17"/>
      <c r="HC102" s="17"/>
      <c r="HD102" s="17"/>
      <c r="HE102" s="17"/>
      <c r="HF102" s="17"/>
      <c r="HG102" s="17"/>
      <c r="HH102" s="17"/>
    </row>
    <row r="103" spans="1:216" ht="7.5" customHeight="1" x14ac:dyDescent="0.25">
      <c r="A103" s="17"/>
      <c r="B103" s="17"/>
      <c r="C103" s="17"/>
      <c r="D103" s="17"/>
      <c r="E103" s="17"/>
      <c r="F103" s="17"/>
      <c r="G103" s="17"/>
      <c r="H103" s="17"/>
      <c r="I103" s="17"/>
      <c r="J103" s="17"/>
      <c r="K103" s="377"/>
      <c r="EK103" s="17"/>
      <c r="EL103" s="17"/>
      <c r="EM103" s="17"/>
      <c r="EN103" s="17"/>
      <c r="EO103" s="17"/>
      <c r="EP103" s="17"/>
      <c r="EQ103" s="17"/>
      <c r="ER103" s="17"/>
      <c r="ES103" s="17"/>
      <c r="ET103" s="17"/>
      <c r="EU103" s="17"/>
      <c r="EV103" s="17"/>
      <c r="EW103" s="17"/>
      <c r="EX103" s="17"/>
      <c r="EY103" s="17"/>
      <c r="EZ103" s="17"/>
      <c r="FA103" s="17"/>
      <c r="FB103" s="17"/>
      <c r="FC103" s="17"/>
      <c r="FD103" s="17"/>
      <c r="FE103" s="17"/>
      <c r="FF103" s="17"/>
      <c r="FG103" s="17"/>
      <c r="FH103" s="17"/>
      <c r="FI103" s="17"/>
      <c r="FJ103" s="17"/>
      <c r="FK103" s="17"/>
      <c r="FL103" s="17"/>
      <c r="FM103" s="17"/>
      <c r="FN103" s="17"/>
      <c r="FO103" s="17"/>
      <c r="FP103" s="17"/>
      <c r="FQ103" s="17"/>
      <c r="FR103" s="17"/>
      <c r="FS103" s="17"/>
      <c r="FT103" s="17"/>
      <c r="FU103" s="17"/>
      <c r="FV103" s="17"/>
      <c r="FW103" s="17"/>
      <c r="FX103" s="17"/>
      <c r="FY103" s="17"/>
      <c r="FZ103" s="17"/>
      <c r="GA103" s="17"/>
      <c r="GB103" s="17"/>
      <c r="GC103" s="17"/>
      <c r="GD103" s="17"/>
      <c r="GE103" s="17"/>
      <c r="GF103" s="17"/>
      <c r="GG103" s="17"/>
      <c r="GH103" s="17"/>
      <c r="GI103" s="17"/>
      <c r="GJ103" s="17"/>
      <c r="GK103" s="17"/>
      <c r="GL103" s="17"/>
      <c r="GM103" s="17"/>
      <c r="GN103" s="17"/>
      <c r="GO103" s="17"/>
      <c r="GP103" s="17"/>
      <c r="GQ103" s="17"/>
      <c r="GR103" s="17"/>
      <c r="GS103" s="17"/>
      <c r="GT103" s="17"/>
      <c r="GU103" s="17"/>
      <c r="GV103" s="17"/>
      <c r="GW103" s="17"/>
      <c r="GX103" s="17"/>
      <c r="GY103" s="17"/>
      <c r="GZ103" s="17"/>
      <c r="HA103" s="17"/>
      <c r="HB103" s="17"/>
      <c r="HC103" s="17"/>
      <c r="HD103" s="17"/>
      <c r="HE103" s="17"/>
      <c r="HF103" s="17"/>
      <c r="HG103" s="17"/>
      <c r="HH103" s="17"/>
    </row>
    <row r="104" spans="1:216" ht="7.5" customHeight="1" x14ac:dyDescent="0.25">
      <c r="A104" s="17"/>
      <c r="B104" s="17"/>
      <c r="C104" s="17"/>
      <c r="D104" s="17"/>
      <c r="E104" s="17"/>
      <c r="F104" s="17"/>
      <c r="G104" s="17"/>
      <c r="H104" s="17"/>
      <c r="I104" s="17"/>
      <c r="J104" s="17"/>
      <c r="K104" s="377"/>
      <c r="EK104" s="17"/>
      <c r="EL104" s="17"/>
      <c r="EM104" s="17"/>
      <c r="EN104" s="17"/>
      <c r="EO104" s="17"/>
      <c r="EP104" s="17"/>
      <c r="EQ104" s="17"/>
      <c r="ER104" s="17"/>
      <c r="ES104" s="17"/>
      <c r="ET104" s="17"/>
      <c r="EU104" s="17"/>
      <c r="EV104" s="17"/>
      <c r="EW104" s="17"/>
      <c r="EX104" s="17"/>
      <c r="EY104" s="17"/>
      <c r="EZ104" s="17"/>
      <c r="FA104" s="17"/>
      <c r="FB104" s="17"/>
      <c r="FC104" s="17"/>
      <c r="FD104" s="17"/>
      <c r="FE104" s="17"/>
      <c r="FF104" s="17"/>
      <c r="FG104" s="17"/>
      <c r="FH104" s="17"/>
      <c r="FI104" s="17"/>
      <c r="FJ104" s="17"/>
      <c r="FK104" s="17"/>
      <c r="FL104" s="17"/>
      <c r="FM104" s="17"/>
      <c r="FN104" s="17"/>
      <c r="FO104" s="17"/>
      <c r="FP104" s="17"/>
      <c r="FQ104" s="17"/>
      <c r="FR104" s="17"/>
      <c r="FS104" s="17"/>
      <c r="FT104" s="17"/>
      <c r="FU104" s="17"/>
      <c r="FV104" s="17"/>
      <c r="FW104" s="17"/>
      <c r="FX104" s="17"/>
      <c r="FY104" s="17"/>
      <c r="FZ104" s="17"/>
      <c r="GA104" s="17"/>
      <c r="GB104" s="17"/>
      <c r="GC104" s="17"/>
      <c r="GD104" s="17"/>
      <c r="GE104" s="17"/>
      <c r="GF104" s="17"/>
      <c r="GG104" s="17"/>
      <c r="GH104" s="17"/>
      <c r="GI104" s="17"/>
      <c r="GJ104" s="17"/>
      <c r="GK104" s="17"/>
      <c r="GL104" s="17"/>
      <c r="GM104" s="17"/>
      <c r="GN104" s="17"/>
      <c r="GO104" s="17"/>
      <c r="GP104" s="17"/>
      <c r="GQ104" s="17"/>
      <c r="GR104" s="17"/>
      <c r="GS104" s="17"/>
      <c r="GT104" s="17"/>
      <c r="GU104" s="17"/>
      <c r="GV104" s="17"/>
      <c r="GW104" s="17"/>
      <c r="GX104" s="17"/>
      <c r="GY104" s="17"/>
      <c r="GZ104" s="17"/>
      <c r="HA104" s="17"/>
      <c r="HB104" s="17"/>
      <c r="HC104" s="17"/>
      <c r="HD104" s="17"/>
      <c r="HE104" s="17"/>
      <c r="HF104" s="17"/>
      <c r="HG104" s="17"/>
      <c r="HH104" s="17"/>
    </row>
    <row r="105" spans="1:216" ht="7.5" customHeight="1" x14ac:dyDescent="0.25">
      <c r="A105" s="17"/>
      <c r="B105" s="17"/>
      <c r="C105" s="17"/>
      <c r="D105" s="17"/>
      <c r="E105" s="17"/>
      <c r="F105" s="17"/>
      <c r="G105" s="17"/>
      <c r="H105" s="17"/>
      <c r="I105" s="17"/>
      <c r="J105" s="17"/>
      <c r="K105" s="406"/>
      <c r="EK105" s="17"/>
      <c r="EL105" s="17"/>
      <c r="EM105" s="17"/>
      <c r="EN105" s="17"/>
      <c r="EO105" s="17"/>
      <c r="EP105" s="17"/>
      <c r="EQ105" s="17"/>
      <c r="ER105" s="17"/>
      <c r="ES105" s="17"/>
      <c r="ET105" s="17"/>
      <c r="EU105" s="17"/>
      <c r="EV105" s="17"/>
      <c r="EW105" s="17"/>
      <c r="EX105" s="17"/>
      <c r="EY105" s="17"/>
      <c r="EZ105" s="17"/>
      <c r="FA105" s="17"/>
      <c r="FB105" s="17"/>
      <c r="FC105" s="17"/>
      <c r="FD105" s="17"/>
      <c r="FE105" s="17"/>
      <c r="FF105" s="17"/>
      <c r="FG105" s="17"/>
      <c r="FH105" s="17"/>
      <c r="FI105" s="17"/>
      <c r="FJ105" s="17"/>
      <c r="FK105" s="17"/>
      <c r="FL105" s="17"/>
      <c r="FM105" s="17"/>
      <c r="FN105" s="17"/>
      <c r="FO105" s="17"/>
      <c r="FP105" s="17"/>
      <c r="FQ105" s="17"/>
      <c r="FR105" s="17"/>
      <c r="FS105" s="17"/>
      <c r="FT105" s="17"/>
      <c r="FU105" s="17"/>
      <c r="FV105" s="17"/>
      <c r="FW105" s="17"/>
      <c r="FX105" s="17"/>
      <c r="FY105" s="17"/>
      <c r="FZ105" s="17"/>
      <c r="GA105" s="17"/>
      <c r="GB105" s="17"/>
      <c r="GC105" s="17"/>
      <c r="GD105" s="17"/>
      <c r="GE105" s="17"/>
      <c r="GF105" s="17"/>
      <c r="GG105" s="17"/>
      <c r="GH105" s="17"/>
      <c r="GI105" s="17"/>
      <c r="GJ105" s="17"/>
      <c r="GK105" s="17"/>
      <c r="GL105" s="17"/>
      <c r="GM105" s="17"/>
      <c r="GN105" s="17"/>
      <c r="GO105" s="17"/>
      <c r="GP105" s="17"/>
      <c r="GQ105" s="17"/>
      <c r="GR105" s="17"/>
      <c r="GS105" s="17"/>
      <c r="GT105" s="17"/>
      <c r="GU105" s="17"/>
      <c r="GV105" s="17"/>
      <c r="GW105" s="17"/>
      <c r="GX105" s="17"/>
      <c r="GY105" s="17"/>
      <c r="GZ105" s="17"/>
      <c r="HA105" s="17"/>
      <c r="HB105" s="17"/>
      <c r="HC105" s="17"/>
      <c r="HD105" s="17"/>
      <c r="HE105" s="17"/>
      <c r="HF105" s="17"/>
      <c r="HG105" s="17"/>
      <c r="HH105" s="17"/>
    </row>
    <row r="106" spans="1:216" ht="7.5" customHeight="1" x14ac:dyDescent="0.25">
      <c r="A106" s="17"/>
      <c r="B106" s="17"/>
      <c r="C106" s="17"/>
      <c r="D106" s="17"/>
      <c r="E106" s="17"/>
      <c r="F106" s="17"/>
      <c r="G106" s="17"/>
      <c r="H106" s="17"/>
      <c r="I106" s="17"/>
      <c r="J106" s="17"/>
      <c r="K106" s="17"/>
      <c r="EK106" s="17"/>
      <c r="EL106" s="17"/>
      <c r="EM106" s="17"/>
      <c r="EN106" s="17"/>
      <c r="EO106" s="17"/>
      <c r="EP106" s="17"/>
      <c r="EQ106" s="17"/>
      <c r="ER106" s="17"/>
      <c r="ES106" s="17"/>
      <c r="ET106" s="17"/>
      <c r="EU106" s="17"/>
      <c r="EV106" s="17"/>
      <c r="EW106" s="17"/>
      <c r="EX106" s="17"/>
      <c r="EY106" s="17"/>
      <c r="EZ106" s="17"/>
      <c r="FA106" s="17"/>
      <c r="FB106" s="17"/>
      <c r="FC106" s="17"/>
      <c r="FD106" s="17"/>
      <c r="FE106" s="17"/>
      <c r="FF106" s="17"/>
      <c r="FG106" s="17"/>
      <c r="FH106" s="17"/>
      <c r="FI106" s="17"/>
      <c r="FJ106" s="17"/>
      <c r="FK106" s="17"/>
      <c r="FL106" s="17"/>
      <c r="FM106" s="17"/>
      <c r="FN106" s="17"/>
      <c r="FO106" s="17"/>
      <c r="FP106" s="17"/>
      <c r="FQ106" s="17"/>
      <c r="FR106" s="17"/>
      <c r="FS106" s="17"/>
      <c r="FT106" s="17"/>
      <c r="FU106" s="17"/>
      <c r="FV106" s="17"/>
      <c r="FW106" s="17"/>
      <c r="FX106" s="17"/>
      <c r="FY106" s="17"/>
      <c r="FZ106" s="17"/>
      <c r="GA106" s="17"/>
      <c r="GB106" s="17"/>
      <c r="GC106" s="17"/>
      <c r="GD106" s="17"/>
      <c r="GE106" s="17"/>
      <c r="GF106" s="17"/>
      <c r="GG106" s="17"/>
      <c r="GH106" s="17"/>
      <c r="GI106" s="17"/>
      <c r="GJ106" s="17"/>
      <c r="GK106" s="17"/>
      <c r="GL106" s="17"/>
      <c r="GM106" s="17"/>
      <c r="GN106" s="17"/>
      <c r="GO106" s="17"/>
      <c r="GP106" s="17"/>
      <c r="GQ106" s="17"/>
      <c r="GR106" s="17"/>
      <c r="GS106" s="17"/>
      <c r="GT106" s="17"/>
      <c r="GU106" s="17"/>
      <c r="GV106" s="17"/>
      <c r="GW106" s="17"/>
      <c r="GX106" s="17"/>
      <c r="GY106" s="17"/>
      <c r="GZ106" s="17"/>
      <c r="HA106" s="17"/>
      <c r="HB106" s="17"/>
      <c r="HC106" s="17"/>
      <c r="HD106" s="17"/>
      <c r="HE106" s="17"/>
      <c r="HF106" s="17"/>
      <c r="HG106" s="17"/>
      <c r="HH106" s="17"/>
    </row>
    <row r="107" spans="1:216" ht="7.5" customHeight="1" x14ac:dyDescent="0.25">
      <c r="A107" s="17"/>
      <c r="B107" s="17"/>
      <c r="C107" s="17"/>
      <c r="D107" s="17"/>
      <c r="E107" s="17"/>
      <c r="F107" s="17"/>
      <c r="G107" s="17"/>
      <c r="H107" s="17"/>
      <c r="I107" s="17"/>
      <c r="J107" s="17"/>
      <c r="K107" s="17"/>
      <c r="EK107" s="17"/>
      <c r="EL107" s="17"/>
      <c r="EM107" s="17"/>
      <c r="EN107" s="17"/>
      <c r="EO107" s="17"/>
      <c r="EP107" s="17"/>
      <c r="EQ107" s="17"/>
      <c r="ER107" s="17"/>
      <c r="ES107" s="17"/>
      <c r="ET107" s="17"/>
      <c r="EU107" s="17"/>
      <c r="EV107" s="17"/>
      <c r="EW107" s="17"/>
      <c r="EX107" s="17"/>
    </row>
    <row r="108" spans="1:216" ht="7.5" customHeight="1" x14ac:dyDescent="0.25">
      <c r="A108" s="17"/>
      <c r="B108" s="17"/>
      <c r="C108" s="17"/>
      <c r="D108" s="17"/>
      <c r="E108" s="17"/>
      <c r="F108" s="17"/>
      <c r="G108" s="17"/>
      <c r="H108" s="17"/>
      <c r="I108" s="17"/>
      <c r="J108" s="17"/>
      <c r="EK108" s="17"/>
      <c r="EL108" s="17"/>
      <c r="EM108" s="17"/>
      <c r="EN108" s="17"/>
      <c r="EO108" s="17"/>
      <c r="EP108" s="17"/>
      <c r="EQ108" s="17"/>
      <c r="ER108" s="17"/>
      <c r="ES108" s="17"/>
      <c r="ET108" s="17"/>
      <c r="EU108" s="17"/>
      <c r="EV108" s="17"/>
      <c r="EW108" s="17"/>
      <c r="EX108" s="17"/>
    </row>
    <row r="109" spans="1:216" ht="7.5" customHeight="1" x14ac:dyDescent="0.25">
      <c r="A109" s="17"/>
      <c r="B109" s="17"/>
      <c r="C109" s="17"/>
      <c r="D109" s="17"/>
      <c r="E109" s="17"/>
      <c r="F109" s="17"/>
      <c r="G109" s="17"/>
      <c r="H109" s="17"/>
      <c r="I109" s="17"/>
      <c r="J109" s="17"/>
      <c r="EK109" s="17"/>
      <c r="EL109" s="17"/>
      <c r="EM109" s="17"/>
      <c r="EN109" s="17"/>
      <c r="EO109" s="17"/>
      <c r="EP109" s="17"/>
      <c r="EQ109" s="17"/>
      <c r="ER109" s="17"/>
      <c r="ES109" s="17"/>
      <c r="ET109" s="17"/>
      <c r="EU109" s="17"/>
      <c r="EV109" s="17"/>
      <c r="EW109" s="17"/>
      <c r="EX109" s="17"/>
    </row>
    <row r="110" spans="1:216" ht="7.5" customHeight="1" x14ac:dyDescent="0.25">
      <c r="A110" s="17"/>
      <c r="B110" s="17"/>
      <c r="C110" s="17"/>
      <c r="D110" s="17"/>
      <c r="E110" s="17"/>
      <c r="F110" s="17"/>
      <c r="G110" s="17"/>
      <c r="H110" s="17"/>
      <c r="I110" s="17"/>
      <c r="J110" s="17"/>
      <c r="EK110" s="17"/>
      <c r="EL110" s="17"/>
      <c r="EM110" s="17"/>
      <c r="EN110" s="17"/>
      <c r="EO110" s="17"/>
      <c r="EP110" s="17"/>
      <c r="EQ110" s="17"/>
      <c r="ER110" s="17"/>
      <c r="ES110" s="17"/>
      <c r="ET110" s="17"/>
      <c r="EU110" s="17"/>
      <c r="EV110" s="17"/>
      <c r="EW110" s="17"/>
      <c r="EX110" s="17"/>
    </row>
    <row r="111" spans="1:216" ht="7.5" customHeight="1" x14ac:dyDescent="0.25">
      <c r="A111" s="17"/>
      <c r="B111" s="17"/>
      <c r="C111" s="17"/>
      <c r="D111" s="17"/>
      <c r="E111" s="17"/>
      <c r="F111" s="17"/>
      <c r="G111" s="17"/>
      <c r="H111" s="17"/>
      <c r="I111" s="17"/>
      <c r="J111" s="17"/>
      <c r="K111" s="17"/>
      <c r="EK111" s="17"/>
      <c r="EL111" s="17"/>
      <c r="EM111" s="17"/>
      <c r="EN111" s="17"/>
      <c r="EO111" s="17"/>
      <c r="EP111" s="17"/>
      <c r="EQ111" s="17"/>
      <c r="ER111" s="17"/>
      <c r="ES111" s="17"/>
      <c r="ET111" s="17"/>
      <c r="EU111" s="17"/>
      <c r="EV111" s="17"/>
      <c r="EW111" s="17"/>
      <c r="EX111" s="17"/>
    </row>
    <row r="112" spans="1:216" ht="7.5" customHeight="1" x14ac:dyDescent="0.25">
      <c r="A112" s="17"/>
      <c r="B112" s="17"/>
      <c r="C112" s="17"/>
      <c r="D112" s="17"/>
      <c r="E112" s="17"/>
      <c r="F112" s="17"/>
      <c r="G112" s="17"/>
      <c r="H112" s="17"/>
      <c r="I112" s="17"/>
      <c r="J112" s="17"/>
      <c r="K112" s="17"/>
      <c r="EK112" s="17"/>
      <c r="EL112" s="17"/>
      <c r="EM112" s="17"/>
      <c r="EN112" s="17"/>
      <c r="EO112" s="17"/>
      <c r="EP112" s="17"/>
      <c r="EQ112" s="17"/>
      <c r="ER112" s="17"/>
      <c r="ES112" s="17"/>
      <c r="ET112" s="17"/>
      <c r="EU112" s="17"/>
      <c r="EV112" s="17"/>
      <c r="EW112" s="17"/>
      <c r="EX112" s="17"/>
    </row>
    <row r="113" spans="1:154" ht="7.5" customHeight="1" x14ac:dyDescent="0.25">
      <c r="A113" s="17"/>
      <c r="B113" s="17"/>
      <c r="C113" s="17"/>
      <c r="D113" s="17"/>
      <c r="E113" s="17"/>
      <c r="F113" s="17"/>
      <c r="G113" s="17"/>
      <c r="H113" s="17"/>
      <c r="I113" s="17"/>
      <c r="J113" s="17"/>
      <c r="K113" s="17"/>
      <c r="EK113" s="17"/>
      <c r="EL113" s="17"/>
      <c r="EM113" s="17"/>
      <c r="EN113" s="17"/>
      <c r="EO113" s="17"/>
      <c r="EP113" s="17"/>
      <c r="EQ113" s="17"/>
      <c r="ER113" s="17"/>
      <c r="ES113" s="17"/>
      <c r="ET113" s="17"/>
      <c r="EU113" s="17"/>
      <c r="EV113" s="17"/>
      <c r="EW113" s="17"/>
      <c r="EX113" s="17"/>
    </row>
    <row r="114" spans="1:154" ht="7.5" customHeight="1" x14ac:dyDescent="0.25">
      <c r="A114" s="17"/>
      <c r="B114" s="17"/>
      <c r="C114" s="17"/>
      <c r="D114" s="17"/>
      <c r="E114" s="17"/>
      <c r="F114" s="17"/>
      <c r="G114" s="17"/>
      <c r="H114" s="17"/>
      <c r="I114" s="17"/>
      <c r="J114" s="17"/>
      <c r="EK114" s="17"/>
      <c r="EL114" s="17"/>
      <c r="EM114" s="17"/>
    </row>
    <row r="115" spans="1:154" ht="7.5" customHeight="1" x14ac:dyDescent="0.25">
      <c r="A115" s="17"/>
      <c r="B115" s="17"/>
      <c r="C115" s="17"/>
      <c r="D115" s="17"/>
      <c r="E115" s="17"/>
      <c r="F115" s="17"/>
      <c r="G115" s="17"/>
      <c r="H115" s="17"/>
      <c r="I115" s="17"/>
      <c r="J115" s="17"/>
      <c r="K115" s="384"/>
      <c r="EK115" s="17"/>
      <c r="EL115" s="17"/>
      <c r="EM115" s="17"/>
    </row>
    <row r="116" spans="1:154" ht="7.5" customHeight="1" x14ac:dyDescent="0.25">
      <c r="A116" s="17"/>
      <c r="B116" s="17"/>
      <c r="C116" s="17"/>
      <c r="D116" s="17"/>
      <c r="E116" s="17"/>
      <c r="F116" s="17"/>
      <c r="G116" s="17"/>
      <c r="H116" s="17"/>
      <c r="I116" s="17"/>
      <c r="J116" s="17"/>
      <c r="K116" s="17"/>
      <c r="EK116" s="17"/>
      <c r="EL116" s="17"/>
      <c r="EM116" s="17"/>
    </row>
    <row r="117" spans="1:154" ht="7.5" customHeight="1" x14ac:dyDescent="0.25">
      <c r="A117" s="17"/>
      <c r="B117" s="17"/>
      <c r="C117" s="17"/>
      <c r="D117" s="17"/>
      <c r="E117" s="17"/>
      <c r="F117" s="17"/>
      <c r="G117" s="17"/>
      <c r="H117" s="17"/>
      <c r="I117" s="17"/>
      <c r="J117" s="17"/>
      <c r="K117" s="17"/>
      <c r="EK117" s="17"/>
      <c r="EL117" s="17"/>
      <c r="EM117" s="17"/>
    </row>
    <row r="118" spans="1:154" ht="7.5" customHeight="1" x14ac:dyDescent="0.25">
      <c r="A118" s="17"/>
      <c r="B118" s="17"/>
      <c r="C118" s="17"/>
      <c r="D118" s="17"/>
      <c r="E118" s="17"/>
      <c r="F118" s="17"/>
      <c r="G118" s="17"/>
      <c r="H118" s="17"/>
      <c r="I118" s="17"/>
      <c r="J118" s="17"/>
      <c r="K118" s="17"/>
      <c r="EK118" s="17"/>
      <c r="EL118" s="17"/>
      <c r="EM118" s="17"/>
    </row>
    <row r="119" spans="1:154" ht="7.5" customHeight="1" x14ac:dyDescent="0.25">
      <c r="A119" s="17"/>
      <c r="B119" s="17"/>
      <c r="C119" s="17"/>
      <c r="D119" s="17"/>
      <c r="E119" s="17"/>
      <c r="F119" s="17"/>
      <c r="G119" s="17"/>
      <c r="H119" s="17"/>
      <c r="I119" s="17"/>
      <c r="J119" s="17"/>
      <c r="K119" s="17"/>
    </row>
    <row r="120" spans="1:154" ht="7.5" customHeight="1" x14ac:dyDescent="0.25">
      <c r="A120" s="17"/>
      <c r="B120" s="17"/>
      <c r="C120" s="17"/>
      <c r="D120" s="17"/>
      <c r="E120" s="17"/>
      <c r="F120" s="17"/>
      <c r="G120" s="17"/>
      <c r="H120" s="17"/>
      <c r="I120" s="17"/>
      <c r="J120" s="17"/>
      <c r="K120" s="17"/>
    </row>
    <row r="121" spans="1:154" ht="7.5" customHeight="1" x14ac:dyDescent="0.25">
      <c r="F121" s="17"/>
      <c r="G121" s="17"/>
      <c r="H121" s="17"/>
      <c r="I121" s="17"/>
      <c r="J121" s="17"/>
      <c r="K121" s="17"/>
    </row>
    <row r="122" spans="1:154" ht="7.5" customHeight="1" x14ac:dyDescent="0.25">
      <c r="F122" s="17"/>
      <c r="G122" s="17"/>
      <c r="H122" s="17"/>
      <c r="I122" s="17"/>
      <c r="J122" s="17"/>
      <c r="K122" s="17"/>
    </row>
    <row r="123" spans="1:154" ht="7.5" customHeight="1" x14ac:dyDescent="0.25">
      <c r="F123" s="17"/>
      <c r="G123" s="17"/>
      <c r="H123" s="17"/>
      <c r="I123" s="17"/>
      <c r="J123" s="17"/>
      <c r="K123" s="17"/>
    </row>
    <row r="124" spans="1:154" ht="7.5" customHeight="1" x14ac:dyDescent="0.25">
      <c r="F124" s="17"/>
      <c r="G124" s="17"/>
      <c r="H124" s="17"/>
      <c r="I124" s="17"/>
      <c r="J124" s="17"/>
      <c r="K124" s="17"/>
    </row>
    <row r="125" spans="1:154" ht="7.5" customHeight="1" x14ac:dyDescent="0.25">
      <c r="F125" s="17"/>
      <c r="G125" s="17"/>
      <c r="H125" s="17"/>
      <c r="I125" s="17"/>
      <c r="J125" s="17"/>
      <c r="K125" s="17"/>
    </row>
    <row r="126" spans="1:154" ht="7.5" customHeight="1" x14ac:dyDescent="0.25">
      <c r="F126" s="17"/>
      <c r="G126" s="17"/>
      <c r="H126" s="17"/>
      <c r="I126" s="17"/>
      <c r="J126" s="17"/>
      <c r="K126" s="17"/>
    </row>
    <row r="127" spans="1:154" ht="7.5" customHeight="1" x14ac:dyDescent="0.25">
      <c r="F127" s="17"/>
      <c r="G127" s="17"/>
      <c r="H127" s="17"/>
      <c r="I127" s="17"/>
      <c r="J127" s="17"/>
      <c r="K127" s="17"/>
    </row>
    <row r="128" spans="1:154" ht="7.5" customHeight="1" x14ac:dyDescent="0.25">
      <c r="F128" s="17"/>
      <c r="G128" s="17"/>
      <c r="H128" s="17"/>
      <c r="I128" s="17"/>
      <c r="J128" s="17"/>
      <c r="K128" s="17"/>
    </row>
    <row r="129" spans="6:159" ht="7.5" customHeight="1" x14ac:dyDescent="0.25">
      <c r="F129" s="17"/>
      <c r="G129" s="17"/>
      <c r="H129" s="17"/>
      <c r="I129" s="17"/>
      <c r="J129" s="17"/>
      <c r="K129" s="17"/>
      <c r="EN129" s="17"/>
      <c r="EO129" s="17"/>
      <c r="EP129" s="17"/>
      <c r="EQ129" s="17"/>
      <c r="ER129" s="17"/>
      <c r="ES129" s="17"/>
      <c r="ET129" s="17"/>
      <c r="EU129" s="17"/>
      <c r="EV129" s="17"/>
      <c r="EW129" s="17"/>
      <c r="EX129" s="17"/>
      <c r="EY129" s="17"/>
      <c r="EZ129" s="17"/>
      <c r="FA129" s="17"/>
      <c r="FB129" s="17"/>
      <c r="FC129" s="17"/>
    </row>
    <row r="130" spans="6:159" ht="7.5" customHeight="1" x14ac:dyDescent="0.25">
      <c r="F130" s="17"/>
      <c r="G130" s="17"/>
      <c r="H130" s="17"/>
      <c r="I130" s="17"/>
      <c r="J130" s="17"/>
      <c r="K130" s="17"/>
      <c r="EN130" s="17"/>
      <c r="EO130" s="17"/>
      <c r="EP130" s="17"/>
      <c r="EQ130" s="17"/>
      <c r="ER130" s="17"/>
      <c r="ES130" s="17"/>
      <c r="ET130" s="17"/>
      <c r="EU130" s="17"/>
      <c r="EV130" s="17"/>
      <c r="EW130" s="17"/>
      <c r="EX130" s="17"/>
      <c r="EY130" s="17"/>
      <c r="EZ130" s="17"/>
      <c r="FA130" s="17"/>
      <c r="FB130" s="17"/>
      <c r="FC130" s="17"/>
    </row>
    <row r="131" spans="6:159" ht="7.5" customHeight="1" x14ac:dyDescent="0.25">
      <c r="F131" s="17"/>
      <c r="G131" s="17"/>
      <c r="H131" s="17"/>
      <c r="I131" s="17"/>
      <c r="J131" s="17"/>
      <c r="K131" s="17"/>
      <c r="EN131" s="17"/>
      <c r="EO131" s="17"/>
      <c r="EP131" s="17"/>
      <c r="EQ131" s="17"/>
      <c r="ER131" s="17"/>
      <c r="ES131" s="17"/>
      <c r="ET131" s="17"/>
      <c r="EU131" s="17"/>
      <c r="EV131" s="17"/>
      <c r="EW131" s="17"/>
      <c r="EX131" s="17"/>
      <c r="EY131" s="17"/>
      <c r="EZ131" s="17"/>
      <c r="FA131" s="17"/>
      <c r="FB131" s="17"/>
      <c r="FC131" s="17"/>
    </row>
    <row r="132" spans="6:159" ht="7.5" customHeight="1" x14ac:dyDescent="0.25">
      <c r="F132" s="17"/>
      <c r="G132" s="17"/>
      <c r="H132" s="17"/>
      <c r="I132" s="17"/>
      <c r="J132" s="17"/>
      <c r="K132" s="17"/>
      <c r="EN132" s="17"/>
      <c r="EO132" s="17"/>
      <c r="EP132" s="17"/>
      <c r="EQ132" s="17"/>
      <c r="ER132" s="17"/>
      <c r="ES132" s="17"/>
      <c r="ET132" s="17"/>
      <c r="EU132" s="17"/>
      <c r="EV132" s="17"/>
      <c r="EW132" s="17"/>
      <c r="EX132" s="17"/>
      <c r="EY132" s="17"/>
      <c r="EZ132" s="17"/>
      <c r="FA132" s="17"/>
      <c r="FB132" s="17"/>
      <c r="FC132" s="17"/>
    </row>
    <row r="133" spans="6:159" ht="7.5" customHeight="1" x14ac:dyDescent="0.25">
      <c r="F133" s="17"/>
      <c r="G133" s="17"/>
      <c r="H133" s="17"/>
      <c r="I133" s="17"/>
      <c r="J133" s="17"/>
      <c r="K133" s="17"/>
      <c r="EN133" s="17"/>
      <c r="EO133" s="17"/>
      <c r="EP133" s="17"/>
      <c r="EQ133" s="17"/>
      <c r="ER133" s="17"/>
      <c r="ES133" s="17"/>
      <c r="ET133" s="17"/>
      <c r="EU133" s="17"/>
      <c r="EV133" s="17"/>
      <c r="EW133" s="17"/>
      <c r="EX133" s="17"/>
      <c r="EY133" s="17"/>
      <c r="EZ133" s="17"/>
      <c r="FA133" s="17"/>
      <c r="FB133" s="17"/>
      <c r="FC133" s="17"/>
    </row>
    <row r="134" spans="6:159" ht="7.5" customHeight="1" x14ac:dyDescent="0.25">
      <c r="F134" s="17"/>
      <c r="G134" s="17"/>
      <c r="H134" s="17"/>
      <c r="I134" s="17"/>
      <c r="J134" s="17"/>
      <c r="K134" s="17"/>
      <c r="EN134" s="17"/>
      <c r="EO134" s="17"/>
      <c r="EP134" s="17"/>
      <c r="EQ134" s="17"/>
      <c r="ER134" s="17"/>
      <c r="ES134" s="17"/>
      <c r="ET134" s="17"/>
      <c r="EU134" s="17"/>
      <c r="EV134" s="17"/>
      <c r="EW134" s="17"/>
      <c r="EX134" s="17"/>
      <c r="EY134" s="17"/>
      <c r="EZ134" s="17"/>
      <c r="FA134" s="17"/>
      <c r="FB134" s="17"/>
      <c r="FC134" s="17"/>
    </row>
    <row r="135" spans="6:159" ht="7.5" customHeight="1" x14ac:dyDescent="0.25">
      <c r="F135" s="17"/>
      <c r="G135" s="17"/>
      <c r="H135" s="17"/>
      <c r="I135" s="17"/>
      <c r="J135" s="17"/>
      <c r="K135" s="17"/>
      <c r="EN135" s="17"/>
      <c r="EO135" s="17"/>
      <c r="EP135" s="17"/>
      <c r="EQ135" s="17"/>
      <c r="ER135" s="17"/>
      <c r="ES135" s="17"/>
      <c r="ET135" s="17"/>
      <c r="EU135" s="17"/>
      <c r="EV135" s="17"/>
      <c r="EW135" s="17"/>
      <c r="EX135" s="17"/>
      <c r="EY135" s="17"/>
      <c r="EZ135" s="17"/>
      <c r="FA135" s="17"/>
      <c r="FB135" s="17"/>
      <c r="FC135" s="17"/>
    </row>
    <row r="136" spans="6:159" ht="7.5" customHeight="1" x14ac:dyDescent="0.25">
      <c r="F136" s="17"/>
      <c r="G136" s="17"/>
      <c r="H136" s="17"/>
      <c r="I136" s="17"/>
      <c r="J136" s="17"/>
      <c r="K136" s="17"/>
      <c r="EN136" s="17"/>
      <c r="EO136" s="17"/>
      <c r="EP136" s="17"/>
      <c r="EQ136" s="17"/>
      <c r="ER136" s="17"/>
      <c r="ES136" s="17"/>
      <c r="ET136" s="17"/>
      <c r="EU136" s="17"/>
      <c r="EV136" s="17"/>
      <c r="EW136" s="17"/>
      <c r="EX136" s="17"/>
      <c r="EY136" s="17"/>
      <c r="EZ136" s="17"/>
      <c r="FA136" s="17"/>
      <c r="FB136" s="17"/>
      <c r="FC136" s="17"/>
    </row>
    <row r="137" spans="6:159" ht="7.5" customHeight="1" x14ac:dyDescent="0.25">
      <c r="F137" s="17"/>
      <c r="G137" s="17"/>
      <c r="H137" s="17"/>
      <c r="I137" s="17"/>
      <c r="J137" s="17"/>
      <c r="K137" s="17"/>
      <c r="EN137" s="17"/>
      <c r="EO137" s="17"/>
      <c r="EP137" s="17"/>
      <c r="EQ137" s="17"/>
      <c r="ER137" s="17"/>
      <c r="ES137" s="17"/>
      <c r="ET137" s="17"/>
      <c r="EU137" s="17"/>
      <c r="EV137" s="17"/>
      <c r="EW137" s="17"/>
      <c r="EX137" s="17"/>
      <c r="EY137" s="17"/>
      <c r="EZ137" s="17"/>
      <c r="FA137" s="17"/>
      <c r="FB137" s="17"/>
      <c r="FC137" s="17"/>
    </row>
    <row r="138" spans="6:159" ht="7.5" customHeight="1" x14ac:dyDescent="0.25">
      <c r="F138" s="17"/>
      <c r="G138" s="17"/>
      <c r="H138" s="17"/>
      <c r="I138" s="17"/>
      <c r="J138" s="17"/>
      <c r="K138" s="17"/>
      <c r="EN138" s="17"/>
      <c r="EO138" s="17"/>
      <c r="EP138" s="17"/>
      <c r="EQ138" s="17"/>
      <c r="ER138" s="17"/>
      <c r="ES138" s="17"/>
      <c r="ET138" s="17"/>
      <c r="EU138" s="17"/>
      <c r="EV138" s="17"/>
      <c r="EW138" s="17"/>
      <c r="EX138" s="17"/>
      <c r="EY138" s="17"/>
      <c r="EZ138" s="17"/>
      <c r="FA138" s="17"/>
      <c r="FB138" s="17"/>
      <c r="FC138" s="17"/>
    </row>
    <row r="139" spans="6:159" ht="7.5" customHeight="1" x14ac:dyDescent="0.25">
      <c r="F139" s="17"/>
      <c r="G139" s="17"/>
      <c r="H139" s="17"/>
      <c r="I139" s="17"/>
      <c r="J139" s="17"/>
      <c r="K139" s="17"/>
      <c r="EN139" s="17"/>
      <c r="EO139" s="17"/>
      <c r="EP139" s="17"/>
      <c r="EQ139" s="17"/>
      <c r="ER139" s="17"/>
      <c r="ES139" s="17"/>
      <c r="ET139" s="17"/>
      <c r="EU139" s="17"/>
      <c r="EV139" s="17"/>
      <c r="EW139" s="17"/>
      <c r="EX139" s="17"/>
      <c r="EY139" s="17"/>
      <c r="EZ139" s="17"/>
      <c r="FA139" s="17"/>
      <c r="FB139" s="17"/>
      <c r="FC139" s="17"/>
    </row>
    <row r="140" spans="6:159" ht="7.5" customHeight="1" x14ac:dyDescent="0.25">
      <c r="F140" s="17"/>
      <c r="G140" s="17"/>
      <c r="H140" s="17"/>
      <c r="I140" s="17"/>
      <c r="J140" s="17"/>
      <c r="K140" s="17"/>
      <c r="EN140" s="17"/>
      <c r="EO140" s="17"/>
      <c r="EP140" s="17"/>
      <c r="EQ140" s="17"/>
      <c r="ER140" s="17"/>
      <c r="ES140" s="17"/>
      <c r="ET140" s="17"/>
      <c r="EU140" s="17"/>
      <c r="EV140" s="17"/>
      <c r="EW140" s="17"/>
      <c r="EX140" s="17"/>
      <c r="EY140" s="17"/>
      <c r="EZ140" s="17"/>
      <c r="FA140" s="17"/>
      <c r="FB140" s="17"/>
      <c r="FC140" s="17"/>
    </row>
    <row r="141" spans="6:159" ht="33" customHeight="1" x14ac:dyDescent="0.25">
      <c r="F141" s="17"/>
      <c r="G141" s="17"/>
      <c r="H141" s="17"/>
      <c r="I141" s="17"/>
      <c r="J141" s="17"/>
      <c r="K141" s="17"/>
      <c r="EN141" s="17"/>
      <c r="EO141" s="17"/>
      <c r="EP141" s="17"/>
      <c r="EQ141" s="17"/>
      <c r="ER141" s="17"/>
      <c r="ES141" s="17"/>
      <c r="ET141" s="17"/>
      <c r="EU141" s="17"/>
      <c r="EV141" s="17"/>
      <c r="EW141" s="17"/>
      <c r="EX141" s="17"/>
      <c r="EY141" s="17"/>
      <c r="EZ141" s="17"/>
      <c r="FA141" s="17"/>
      <c r="FB141" s="17"/>
      <c r="FC141" s="17"/>
    </row>
    <row r="142" spans="6:159" ht="7.5" customHeight="1" x14ac:dyDescent="0.25">
      <c r="F142" s="17"/>
      <c r="G142" s="17"/>
      <c r="H142" s="17"/>
      <c r="I142" s="17"/>
      <c r="J142" s="17"/>
      <c r="K142" s="17"/>
      <c r="EN142" s="17"/>
      <c r="EO142" s="17"/>
      <c r="EP142" s="17"/>
      <c r="EQ142" s="17"/>
      <c r="ER142" s="17"/>
      <c r="ES142" s="17"/>
      <c r="ET142" s="17"/>
      <c r="EU142" s="17"/>
      <c r="EV142" s="17"/>
      <c r="EW142" s="17"/>
      <c r="EX142" s="17"/>
      <c r="EY142" s="17"/>
      <c r="EZ142" s="17"/>
      <c r="FA142" s="17"/>
      <c r="FB142" s="17"/>
      <c r="FC142" s="17"/>
    </row>
    <row r="143" spans="6:159" ht="7.5" customHeight="1" x14ac:dyDescent="0.25">
      <c r="F143" s="17"/>
      <c r="G143" s="17"/>
      <c r="H143" s="17"/>
      <c r="I143" s="17"/>
      <c r="J143" s="17"/>
      <c r="K143" s="17"/>
      <c r="EN143" s="17"/>
      <c r="EO143" s="17"/>
      <c r="EP143" s="17"/>
      <c r="EQ143" s="17"/>
      <c r="ER143" s="17"/>
      <c r="ES143" s="17"/>
      <c r="ET143" s="17"/>
      <c r="EU143" s="17"/>
      <c r="EV143" s="17"/>
      <c r="EW143" s="17"/>
      <c r="EX143" s="17"/>
      <c r="EY143" s="17"/>
      <c r="EZ143" s="17"/>
      <c r="FA143" s="17"/>
      <c r="FB143" s="17"/>
      <c r="FC143" s="17"/>
    </row>
    <row r="144" spans="6:159" ht="7.5" customHeight="1" x14ac:dyDescent="0.25">
      <c r="F144" s="17"/>
      <c r="G144" s="17"/>
      <c r="H144" s="17"/>
      <c r="I144" s="17"/>
      <c r="J144" s="17"/>
      <c r="K144" s="17"/>
      <c r="EN144" s="17"/>
      <c r="EO144" s="17"/>
      <c r="EP144" s="17"/>
      <c r="EQ144" s="17"/>
      <c r="ER144" s="17"/>
      <c r="ES144" s="17"/>
      <c r="ET144" s="17"/>
      <c r="EU144" s="17"/>
      <c r="EV144" s="17"/>
      <c r="EW144" s="17"/>
      <c r="EX144" s="17"/>
      <c r="EY144" s="17"/>
      <c r="EZ144" s="17"/>
      <c r="FA144" s="17"/>
      <c r="FB144" s="17"/>
      <c r="FC144" s="17"/>
    </row>
    <row r="145" spans="6:159" ht="7.5" customHeight="1" x14ac:dyDescent="0.25">
      <c r="F145" s="17"/>
      <c r="G145" s="17"/>
      <c r="H145" s="17"/>
      <c r="I145" s="17"/>
      <c r="J145" s="17"/>
      <c r="K145" s="17"/>
      <c r="EN145" s="17"/>
      <c r="EO145" s="17"/>
      <c r="EP145" s="17"/>
      <c r="EQ145" s="17"/>
      <c r="ER145" s="17"/>
      <c r="ES145" s="17"/>
      <c r="ET145" s="17"/>
      <c r="EU145" s="17"/>
      <c r="EV145" s="17"/>
      <c r="EW145" s="17"/>
      <c r="EX145" s="17"/>
      <c r="EY145" s="17"/>
      <c r="EZ145" s="17"/>
      <c r="FA145" s="17"/>
      <c r="FB145" s="17"/>
      <c r="FC145" s="17"/>
    </row>
    <row r="146" spans="6:159" ht="7.5" customHeight="1" x14ac:dyDescent="0.25">
      <c r="F146" s="17"/>
      <c r="G146" s="17"/>
      <c r="H146" s="17"/>
      <c r="I146" s="17"/>
      <c r="J146" s="17"/>
      <c r="K146" s="17"/>
      <c r="EN146" s="17"/>
      <c r="EO146" s="17"/>
      <c r="EP146" s="17"/>
      <c r="EQ146" s="17"/>
      <c r="ER146" s="17"/>
      <c r="ES146" s="17"/>
      <c r="ET146" s="17"/>
      <c r="EU146" s="17"/>
      <c r="EV146" s="17"/>
      <c r="EW146" s="17"/>
      <c r="EX146" s="17"/>
      <c r="EY146" s="17"/>
      <c r="EZ146" s="17"/>
      <c r="FA146" s="17"/>
      <c r="FB146" s="17"/>
      <c r="FC146" s="17"/>
    </row>
    <row r="147" spans="6:159" ht="7.5" customHeight="1" x14ac:dyDescent="0.25">
      <c r="F147" s="17"/>
      <c r="G147" s="17"/>
      <c r="H147" s="17"/>
      <c r="I147" s="17"/>
      <c r="J147" s="17"/>
      <c r="K147" s="17"/>
      <c r="EN147" s="17"/>
      <c r="EO147" s="17"/>
      <c r="EP147" s="17"/>
      <c r="EQ147" s="17"/>
      <c r="ER147" s="17"/>
      <c r="ES147" s="17"/>
      <c r="ET147" s="17"/>
      <c r="EU147" s="17"/>
      <c r="EV147" s="17"/>
      <c r="EW147" s="17"/>
      <c r="EX147" s="17"/>
      <c r="EY147" s="17"/>
      <c r="EZ147" s="17"/>
      <c r="FA147" s="17"/>
      <c r="FB147" s="17"/>
      <c r="FC147" s="17"/>
    </row>
    <row r="148" spans="6:159" ht="7.5" customHeight="1" x14ac:dyDescent="0.25">
      <c r="EN148" s="17"/>
      <c r="EO148" s="17"/>
      <c r="EP148" s="17"/>
      <c r="EQ148" s="17"/>
      <c r="ER148" s="17"/>
      <c r="ES148" s="17"/>
      <c r="ET148" s="17"/>
      <c r="EU148" s="17"/>
      <c r="EV148" s="17"/>
      <c r="EW148" s="17"/>
      <c r="EX148" s="17"/>
      <c r="EY148" s="17"/>
      <c r="EZ148" s="17"/>
      <c r="FA148" s="17"/>
      <c r="FB148" s="17"/>
      <c r="FC148" s="17"/>
    </row>
    <row r="149" spans="6:159" ht="7.5" customHeight="1" x14ac:dyDescent="0.25">
      <c r="EN149" s="17"/>
      <c r="EO149" s="17"/>
      <c r="EP149" s="17"/>
      <c r="EQ149" s="17"/>
      <c r="ER149" s="17"/>
      <c r="ES149" s="17"/>
      <c r="ET149" s="17"/>
      <c r="EU149" s="17"/>
      <c r="EV149" s="17"/>
      <c r="EW149" s="17"/>
      <c r="EX149" s="17"/>
      <c r="EY149" s="17"/>
      <c r="EZ149" s="17"/>
      <c r="FA149" s="17"/>
      <c r="FB149" s="17"/>
      <c r="FC149" s="17"/>
    </row>
    <row r="150" spans="6:159" ht="7.5" customHeight="1" x14ac:dyDescent="0.25">
      <c r="EN150" s="17"/>
      <c r="EO150" s="17"/>
      <c r="EP150" s="17"/>
      <c r="EQ150" s="17"/>
      <c r="ER150" s="17"/>
      <c r="ES150" s="17"/>
      <c r="ET150" s="17"/>
      <c r="EU150" s="17"/>
      <c r="EV150" s="17"/>
      <c r="EW150" s="17"/>
      <c r="EX150" s="17"/>
      <c r="EY150" s="17"/>
      <c r="EZ150" s="17"/>
      <c r="FA150" s="17"/>
      <c r="FB150" s="17"/>
      <c r="FC150" s="17"/>
    </row>
    <row r="151" spans="6:159" ht="7.5" customHeight="1" x14ac:dyDescent="0.25">
      <c r="EN151" s="17"/>
      <c r="EO151" s="17"/>
      <c r="EP151" s="17"/>
      <c r="EQ151" s="17"/>
      <c r="ER151" s="17"/>
      <c r="ES151" s="17"/>
      <c r="ET151" s="17"/>
      <c r="EU151" s="17"/>
      <c r="EV151" s="17"/>
      <c r="EW151" s="17"/>
      <c r="EX151" s="17"/>
      <c r="EY151" s="17"/>
      <c r="EZ151" s="17"/>
      <c r="FA151" s="17"/>
      <c r="FB151" s="17"/>
      <c r="FC151" s="17"/>
    </row>
    <row r="152" spans="6:159" ht="7.5" customHeight="1" x14ac:dyDescent="0.25">
      <c r="EN152" s="17"/>
      <c r="EO152" s="17"/>
      <c r="EP152" s="17"/>
      <c r="EQ152" s="17"/>
      <c r="ER152" s="17"/>
      <c r="ES152" s="17"/>
      <c r="ET152" s="17"/>
      <c r="EU152" s="17"/>
      <c r="EV152" s="17"/>
      <c r="EW152" s="17"/>
      <c r="EX152" s="17"/>
      <c r="EY152" s="17"/>
      <c r="EZ152" s="17"/>
      <c r="FA152" s="17"/>
      <c r="FB152" s="17"/>
      <c r="FC152" s="17"/>
    </row>
    <row r="153" spans="6:159" ht="7.5" customHeight="1" x14ac:dyDescent="0.25">
      <c r="EN153" s="17"/>
      <c r="EO153" s="17"/>
      <c r="EP153" s="17"/>
      <c r="EQ153" s="17"/>
      <c r="ER153" s="17"/>
      <c r="ES153" s="17"/>
      <c r="ET153" s="17"/>
      <c r="EU153" s="17"/>
      <c r="EV153" s="17"/>
      <c r="EW153" s="17"/>
      <c r="EX153" s="17"/>
      <c r="EY153" s="17"/>
      <c r="EZ153" s="17"/>
      <c r="FA153" s="17"/>
      <c r="FB153" s="17"/>
      <c r="FC153" s="17"/>
    </row>
    <row r="154" spans="6:159" ht="7.5" customHeight="1" x14ac:dyDescent="0.25">
      <c r="EN154" s="17"/>
      <c r="EO154" s="17"/>
      <c r="EP154" s="17"/>
      <c r="EQ154" s="17"/>
      <c r="ER154" s="17"/>
      <c r="ES154" s="17"/>
      <c r="ET154" s="17"/>
      <c r="EU154" s="17"/>
      <c r="EV154" s="17"/>
      <c r="EW154" s="17"/>
      <c r="EX154" s="17"/>
      <c r="EY154" s="17"/>
      <c r="EZ154" s="17"/>
      <c r="FA154" s="17"/>
      <c r="FB154" s="17"/>
      <c r="FC154" s="17"/>
    </row>
    <row r="155" spans="6:159" ht="7.5" customHeight="1" x14ac:dyDescent="0.25">
      <c r="EN155" s="17"/>
      <c r="EO155" s="17"/>
      <c r="EP155" s="17"/>
      <c r="EQ155" s="17"/>
      <c r="ER155" s="17"/>
      <c r="ES155" s="17"/>
      <c r="ET155" s="17"/>
      <c r="EU155" s="17"/>
      <c r="EV155" s="17"/>
      <c r="EW155" s="17"/>
      <c r="EX155" s="17"/>
      <c r="EY155" s="17"/>
      <c r="EZ155" s="17"/>
      <c r="FA155" s="17"/>
      <c r="FB155" s="17"/>
      <c r="FC155" s="17"/>
    </row>
    <row r="156" spans="6:159" ht="7.5" customHeight="1" x14ac:dyDescent="0.25">
      <c r="EN156" s="17"/>
      <c r="EO156" s="17"/>
      <c r="EP156" s="17"/>
      <c r="EQ156" s="17"/>
      <c r="ER156" s="17"/>
      <c r="ES156" s="17"/>
      <c r="ET156" s="17"/>
      <c r="EU156" s="17"/>
      <c r="EV156" s="17"/>
      <c r="EW156" s="17"/>
      <c r="EX156" s="17"/>
      <c r="EY156" s="17"/>
      <c r="EZ156" s="17"/>
      <c r="FA156" s="17"/>
      <c r="FB156" s="17"/>
      <c r="FC156" s="17"/>
    </row>
    <row r="157" spans="6:159" ht="7.5" customHeight="1" x14ac:dyDescent="0.25">
      <c r="EN157" s="17"/>
      <c r="EO157" s="17"/>
      <c r="EP157" s="17"/>
      <c r="EQ157" s="17"/>
      <c r="ER157" s="17"/>
      <c r="ES157" s="17"/>
      <c r="ET157" s="17"/>
      <c r="EU157" s="17"/>
      <c r="EV157" s="17"/>
      <c r="EW157" s="17"/>
      <c r="EX157" s="17"/>
      <c r="EY157" s="17"/>
      <c r="EZ157" s="17"/>
      <c r="FA157" s="17"/>
      <c r="FB157" s="17"/>
      <c r="FC157" s="17"/>
    </row>
    <row r="158" spans="6:159" ht="7.5" customHeight="1" x14ac:dyDescent="0.25">
      <c r="EN158" s="17"/>
      <c r="EO158" s="17"/>
      <c r="EP158" s="17"/>
      <c r="EQ158" s="17"/>
      <c r="ER158" s="17"/>
      <c r="ES158" s="17"/>
      <c r="ET158" s="17"/>
      <c r="EU158" s="17"/>
      <c r="EV158" s="17"/>
      <c r="EW158" s="17"/>
      <c r="EX158" s="17"/>
      <c r="EY158" s="17"/>
      <c r="EZ158" s="17"/>
      <c r="FA158" s="17"/>
      <c r="FB158" s="17"/>
      <c r="FC158" s="17"/>
    </row>
    <row r="159" spans="6:159" ht="7.5" customHeight="1" x14ac:dyDescent="0.25">
      <c r="EN159" s="17"/>
      <c r="EO159" s="17"/>
      <c r="EP159" s="17"/>
      <c r="EQ159" s="17"/>
      <c r="ER159" s="17"/>
      <c r="ES159" s="17"/>
      <c r="ET159" s="17"/>
      <c r="EU159" s="17"/>
      <c r="EV159" s="17"/>
      <c r="EW159" s="17"/>
      <c r="EX159" s="17"/>
      <c r="EY159" s="17"/>
      <c r="EZ159" s="17"/>
      <c r="FA159" s="17"/>
      <c r="FB159" s="17"/>
      <c r="FC159" s="17"/>
    </row>
    <row r="160" spans="6:159" ht="7.5" customHeight="1" x14ac:dyDescent="0.25">
      <c r="EN160" s="17"/>
      <c r="EO160" s="17"/>
      <c r="EP160" s="17"/>
      <c r="EQ160" s="17"/>
      <c r="ER160" s="17"/>
      <c r="ES160" s="17"/>
      <c r="ET160" s="17"/>
      <c r="EU160" s="17"/>
      <c r="EV160" s="17"/>
      <c r="EW160" s="17"/>
      <c r="EX160" s="17"/>
      <c r="EY160" s="17"/>
      <c r="EZ160" s="17"/>
      <c r="FA160" s="17"/>
      <c r="FB160" s="17"/>
      <c r="FC160" s="17"/>
    </row>
    <row r="161" spans="144:159" ht="7.5" customHeight="1" x14ac:dyDescent="0.25">
      <c r="EN161" s="17"/>
      <c r="EO161" s="17"/>
      <c r="EP161" s="17"/>
      <c r="EQ161" s="17"/>
      <c r="ER161" s="17"/>
      <c r="ES161" s="17"/>
      <c r="ET161" s="17"/>
      <c r="EU161" s="17"/>
      <c r="EV161" s="17"/>
      <c r="EW161" s="17"/>
      <c r="EX161" s="17"/>
      <c r="EY161" s="17"/>
      <c r="EZ161" s="17"/>
      <c r="FA161" s="17"/>
      <c r="FB161" s="17"/>
      <c r="FC161" s="17"/>
    </row>
    <row r="162" spans="144:159" ht="7.5" customHeight="1" x14ac:dyDescent="0.25">
      <c r="EN162" s="17"/>
      <c r="EO162" s="17"/>
      <c r="EP162" s="17"/>
      <c r="EQ162" s="17"/>
      <c r="ER162" s="17"/>
      <c r="ES162" s="17"/>
      <c r="ET162" s="17"/>
      <c r="EU162" s="17"/>
      <c r="EV162" s="17"/>
      <c r="EW162" s="17"/>
      <c r="EX162" s="17"/>
      <c r="EY162" s="17"/>
      <c r="EZ162" s="17"/>
      <c r="FA162" s="17"/>
      <c r="FB162" s="17"/>
      <c r="FC162" s="17"/>
    </row>
    <row r="163" spans="144:159" ht="7.5" customHeight="1" x14ac:dyDescent="0.25">
      <c r="EN163" s="17"/>
      <c r="EO163" s="17"/>
      <c r="EP163" s="17"/>
      <c r="EQ163" s="17"/>
      <c r="ER163" s="17"/>
      <c r="ES163" s="17"/>
      <c r="ET163" s="17"/>
      <c r="EU163" s="17"/>
      <c r="EV163" s="17"/>
      <c r="EW163" s="17"/>
      <c r="EX163" s="17"/>
      <c r="EY163" s="17"/>
      <c r="EZ163" s="17"/>
      <c r="FA163" s="17"/>
      <c r="FB163" s="17"/>
      <c r="FC163" s="17"/>
    </row>
    <row r="164" spans="144:159" ht="7.5" customHeight="1" x14ac:dyDescent="0.25">
      <c r="EN164" s="17"/>
      <c r="EO164" s="17"/>
      <c r="EP164" s="17"/>
      <c r="EQ164" s="17"/>
      <c r="ER164" s="17"/>
      <c r="ES164" s="17"/>
      <c r="ET164" s="17"/>
      <c r="EU164" s="17"/>
      <c r="EV164" s="17"/>
      <c r="EW164" s="17"/>
      <c r="EX164" s="17"/>
      <c r="EY164" s="17"/>
      <c r="EZ164" s="17"/>
      <c r="FA164" s="17"/>
      <c r="FB164" s="17"/>
      <c r="FC164" s="17"/>
    </row>
    <row r="165" spans="144:159" ht="7.5" customHeight="1" x14ac:dyDescent="0.25">
      <c r="EN165" s="17"/>
      <c r="EO165" s="17"/>
      <c r="EP165" s="17"/>
      <c r="EQ165" s="17"/>
      <c r="ER165" s="17"/>
      <c r="ES165" s="17"/>
      <c r="ET165" s="17"/>
      <c r="EU165" s="17"/>
      <c r="EV165" s="17"/>
      <c r="EW165" s="17"/>
      <c r="EX165" s="17"/>
      <c r="EY165" s="17"/>
      <c r="EZ165" s="17"/>
      <c r="FA165" s="17"/>
      <c r="FB165" s="17"/>
      <c r="FC165" s="17"/>
    </row>
  </sheetData>
  <mergeCells count="141">
    <mergeCell ref="A69:B72"/>
    <mergeCell ref="E69:F72"/>
    <mergeCell ref="I69:J72"/>
    <mergeCell ref="B73:C74"/>
    <mergeCell ref="I73:J74"/>
    <mergeCell ref="B75:B82"/>
    <mergeCell ref="D76:E78"/>
    <mergeCell ref="G80:H82"/>
    <mergeCell ref="A97:B100"/>
    <mergeCell ref="E97:F100"/>
    <mergeCell ref="I97:J100"/>
    <mergeCell ref="I83:J86"/>
    <mergeCell ref="B87:C88"/>
    <mergeCell ref="I87:J88"/>
    <mergeCell ref="B89:B96"/>
    <mergeCell ref="D90:E92"/>
    <mergeCell ref="G94:H96"/>
    <mergeCell ref="A83:B86"/>
    <mergeCell ref="E83:F86"/>
    <mergeCell ref="I41:J44"/>
    <mergeCell ref="B45:C46"/>
    <mergeCell ref="I45:J46"/>
    <mergeCell ref="B47:B54"/>
    <mergeCell ref="D48:E50"/>
    <mergeCell ref="G52:H54"/>
    <mergeCell ref="I55:J58"/>
    <mergeCell ref="B61:B68"/>
    <mergeCell ref="D62:E64"/>
    <mergeCell ref="G66:H68"/>
    <mergeCell ref="B59:C60"/>
    <mergeCell ref="I59:J60"/>
    <mergeCell ref="A55:B58"/>
    <mergeCell ref="E55:F58"/>
    <mergeCell ref="A41:B44"/>
    <mergeCell ref="E41:F44"/>
    <mergeCell ref="BN40:BO40"/>
    <mergeCell ref="BP40:BQ40"/>
    <mergeCell ref="CN40:CO40"/>
    <mergeCell ref="DF35:DG35"/>
    <mergeCell ref="A27:B30"/>
    <mergeCell ref="E27:F30"/>
    <mergeCell ref="I27:J30"/>
    <mergeCell ref="CR40:CS40"/>
    <mergeCell ref="CT40:CU40"/>
    <mergeCell ref="BB33:BC33"/>
    <mergeCell ref="CC34:CH35"/>
    <mergeCell ref="N35:O35"/>
    <mergeCell ref="AV35:AW35"/>
    <mergeCell ref="BZ35:CA35"/>
    <mergeCell ref="CN34:CQ35"/>
    <mergeCell ref="CR34:CU35"/>
    <mergeCell ref="DX36:EA37"/>
    <mergeCell ref="EB36:EE37"/>
    <mergeCell ref="G38:H40"/>
    <mergeCell ref="N38:AA40"/>
    <mergeCell ref="AV38:BI40"/>
    <mergeCell ref="BZ38:CM40"/>
    <mergeCell ref="CN38:CQ39"/>
    <mergeCell ref="CB36:CE37"/>
    <mergeCell ref="CF36:CI37"/>
    <mergeCell ref="CJ36:CM37"/>
    <mergeCell ref="CN36:CQ37"/>
    <mergeCell ref="CR36:CU37"/>
    <mergeCell ref="DH36:DK37"/>
    <mergeCell ref="DT40:DU40"/>
    <mergeCell ref="DX40:DY40"/>
    <mergeCell ref="DZ40:EA40"/>
    <mergeCell ref="CR38:CU39"/>
    <mergeCell ref="DF38:DS40"/>
    <mergeCell ref="DT38:DW39"/>
    <mergeCell ref="DX38:EA39"/>
    <mergeCell ref="EB38:EE39"/>
    <mergeCell ref="CP40:CQ40"/>
    <mergeCell ref="BJ40:BK40"/>
    <mergeCell ref="BL40:BM40"/>
    <mergeCell ref="DI34:DN35"/>
    <mergeCell ref="DO34:DR35"/>
    <mergeCell ref="DT34:DW35"/>
    <mergeCell ref="BZ33:CA34"/>
    <mergeCell ref="CF33:CG33"/>
    <mergeCell ref="DF33:DG34"/>
    <mergeCell ref="DL33:DM33"/>
    <mergeCell ref="D34:E36"/>
    <mergeCell ref="P36:S37"/>
    <mergeCell ref="AX36:BA37"/>
    <mergeCell ref="BB36:BE37"/>
    <mergeCell ref="BF36:BI37"/>
    <mergeCell ref="BJ36:BM37"/>
    <mergeCell ref="BN36:BQ37"/>
    <mergeCell ref="BR36:BR37"/>
    <mergeCell ref="CI34:CL35"/>
    <mergeCell ref="Q34:V35"/>
    <mergeCell ref="W34:Z35"/>
    <mergeCell ref="AY34:BD35"/>
    <mergeCell ref="BE34:BH35"/>
    <mergeCell ref="DL36:DO37"/>
    <mergeCell ref="DP36:DS37"/>
    <mergeCell ref="DT36:DW37"/>
    <mergeCell ref="DH31:DU32"/>
    <mergeCell ref="DV31:DW32"/>
    <mergeCell ref="BN32:BR32"/>
    <mergeCell ref="CR32:CV32"/>
    <mergeCell ref="DX32:EF32"/>
    <mergeCell ref="B33:B40"/>
    <mergeCell ref="N33:O34"/>
    <mergeCell ref="T33:U33"/>
    <mergeCell ref="AA33:AE33"/>
    <mergeCell ref="AV33:AW34"/>
    <mergeCell ref="AX31:BK32"/>
    <mergeCell ref="BL31:BM32"/>
    <mergeCell ref="BZ31:CA32"/>
    <mergeCell ref="CB31:CO32"/>
    <mergeCell ref="CP31:CQ32"/>
    <mergeCell ref="DF31:DG32"/>
    <mergeCell ref="B31:C32"/>
    <mergeCell ref="I31:J32"/>
    <mergeCell ref="N31:O32"/>
    <mergeCell ref="P31:AC32"/>
    <mergeCell ref="AD31:AE32"/>
    <mergeCell ref="AV31:AW32"/>
    <mergeCell ref="DX34:EA35"/>
    <mergeCell ref="EB34:EE35"/>
    <mergeCell ref="B19:B26"/>
    <mergeCell ref="G24:H26"/>
    <mergeCell ref="D20:E22"/>
    <mergeCell ref="B8:D9"/>
    <mergeCell ref="F8:H9"/>
    <mergeCell ref="D10:D13"/>
    <mergeCell ref="G10:G13"/>
    <mergeCell ref="B17:C18"/>
    <mergeCell ref="I17:J18"/>
    <mergeCell ref="L2:AL6"/>
    <mergeCell ref="AN2:AZ3"/>
    <mergeCell ref="BI2:BQ3"/>
    <mergeCell ref="BT2:DT5"/>
    <mergeCell ref="A3:K4"/>
    <mergeCell ref="AN4:AR5"/>
    <mergeCell ref="AS4:AU5"/>
    <mergeCell ref="AV4:AZ5"/>
    <mergeCell ref="BB4:BF5"/>
    <mergeCell ref="BK4:BO5"/>
  </mergeCells>
  <conditionalFormatting sqref="AN4:AR5">
    <cfRule type="cellIs" dxfId="1087" priority="57" operator="equal">
      <formula>0</formula>
    </cfRule>
    <cfRule type="cellIs" dxfId="1086" priority="58" operator="lessThan">
      <formula>0</formula>
    </cfRule>
  </conditionalFormatting>
  <conditionalFormatting sqref="BK4:BO5">
    <cfRule type="cellIs" dxfId="1085" priority="54" operator="equal">
      <formula>0</formula>
    </cfRule>
    <cfRule type="cellIs" dxfId="1084" priority="55" operator="lessThan">
      <formula>0</formula>
    </cfRule>
  </conditionalFormatting>
  <conditionalFormatting sqref="BT2:DT5">
    <cfRule type="expression" dxfId="1083" priority="59">
      <formula>NOT(ISERROR(FIND("ERR",#REF!,1)))</formula>
    </cfRule>
  </conditionalFormatting>
  <conditionalFormatting sqref="BJ36:BM37">
    <cfRule type="expression" dxfId="1082" priority="53">
      <formula>AV35&gt;3</formula>
    </cfRule>
  </conditionalFormatting>
  <conditionalFormatting sqref="BN36:BQ37">
    <cfRule type="expression" dxfId="1081" priority="52">
      <formula>AV35&gt;4</formula>
    </cfRule>
  </conditionalFormatting>
  <conditionalFormatting sqref="DP36:DS37">
    <cfRule type="expression" dxfId="1080" priority="48">
      <formula>DH36&gt;=3</formula>
    </cfRule>
  </conditionalFormatting>
  <conditionalFormatting sqref="DH36:DK37">
    <cfRule type="expression" dxfId="1079" priority="49">
      <formula>DH36&gt;=1</formula>
    </cfRule>
  </conditionalFormatting>
  <conditionalFormatting sqref="DT38">
    <cfRule type="expression" dxfId="1078" priority="50">
      <formula>AND(DH36=3,DT38=4)</formula>
    </cfRule>
  </conditionalFormatting>
  <conditionalFormatting sqref="DL36:DO37">
    <cfRule type="expression" dxfId="1077" priority="47">
      <formula>DH36&gt;=2</formula>
    </cfRule>
  </conditionalFormatting>
  <conditionalFormatting sqref="DX38">
    <cfRule type="expression" dxfId="1076" priority="51">
      <formula>AND(DH36=3,DT38&lt;&gt;5,DX38=4)</formula>
    </cfRule>
  </conditionalFormatting>
  <conditionalFormatting sqref="DT34">
    <cfRule type="expression" dxfId="1075" priority="45">
      <formula>AND(DH36=3,DT38=6)</formula>
    </cfRule>
  </conditionalFormatting>
  <conditionalFormatting sqref="DX34">
    <cfRule type="expression" dxfId="1074" priority="46">
      <formula>AND(DH36=3,DT38&lt;&gt;5,DX38=6)</formula>
    </cfRule>
  </conditionalFormatting>
  <conditionalFormatting sqref="EB34">
    <cfRule type="expression" dxfId="1073" priority="42">
      <formula>AND(DH36=3,DT34&lt;&gt;5,DX38&lt;&gt;5,EB38=6)</formula>
    </cfRule>
  </conditionalFormatting>
  <conditionalFormatting sqref="EB38">
    <cfRule type="expression" dxfId="1072" priority="41">
      <formula>AND(DH36=3,DT38&lt;&gt;5,DT36&lt;&gt;5,DX38&lt;&gt;5,EB38=4)</formula>
    </cfRule>
  </conditionalFormatting>
  <conditionalFormatting sqref="CJ36:CM37">
    <cfRule type="expression" dxfId="1071" priority="37">
      <formula>CB36&gt;=3</formula>
    </cfRule>
  </conditionalFormatting>
  <conditionalFormatting sqref="CB36:CE37">
    <cfRule type="expression" dxfId="1070" priority="38">
      <formula>CB36&gt;=1</formula>
    </cfRule>
  </conditionalFormatting>
  <conditionalFormatting sqref="CN38">
    <cfRule type="expression" dxfId="1069" priority="39">
      <formula>AND(CB36=3,CN38=4)</formula>
    </cfRule>
  </conditionalFormatting>
  <conditionalFormatting sqref="CF36:CI37">
    <cfRule type="expression" dxfId="1068" priority="36">
      <formula>CB36&gt;=2</formula>
    </cfRule>
  </conditionalFormatting>
  <conditionalFormatting sqref="CR38">
    <cfRule type="expression" dxfId="1067" priority="40">
      <formula>AND(CB36=3,CN38&lt;&gt;5,CR38=4)</formula>
    </cfRule>
  </conditionalFormatting>
  <conditionalFormatting sqref="CN34">
    <cfRule type="expression" dxfId="1066" priority="34">
      <formula>AND(CB36=3,CN38=6)</formula>
    </cfRule>
  </conditionalFormatting>
  <conditionalFormatting sqref="CR34">
    <cfRule type="expression" dxfId="1065" priority="35">
      <formula>AND(CB36=3,CN38&lt;&gt;5,CR38=6)</formula>
    </cfRule>
  </conditionalFormatting>
  <conditionalFormatting sqref="BF36:BI37">
    <cfRule type="expression" dxfId="1064" priority="32">
      <formula>AV35&gt;=3</formula>
    </cfRule>
  </conditionalFormatting>
  <conditionalFormatting sqref="AX36:BA37">
    <cfRule type="expression" dxfId="1063" priority="33">
      <formula>AV35&gt;=1</formula>
    </cfRule>
  </conditionalFormatting>
  <conditionalFormatting sqref="BB36:BE37">
    <cfRule type="expression" dxfId="1062" priority="31">
      <formula>AV35&gt;=2</formula>
    </cfRule>
  </conditionalFormatting>
  <conditionalFormatting sqref="P31:AC32">
    <cfRule type="expression" dxfId="1061" priority="22">
      <formula>AC40&gt;0</formula>
    </cfRule>
    <cfRule type="expression" dxfId="1060" priority="23">
      <formula>AC40&lt;0</formula>
    </cfRule>
  </conditionalFormatting>
  <conditionalFormatting sqref="P36:S37">
    <cfRule type="expression" dxfId="1059" priority="17">
      <formula>N35&gt;0</formula>
    </cfRule>
  </conditionalFormatting>
  <conditionalFormatting sqref="AX31:BB32 BC32:BK32">
    <cfRule type="expression" dxfId="1058" priority="13">
      <formula>BK40&gt;0</formula>
    </cfRule>
    <cfRule type="expression" dxfId="1057" priority="14">
      <formula>BL40&lt;0</formula>
    </cfRule>
  </conditionalFormatting>
  <conditionalFormatting sqref="CB31:CF32 CG32:CO32">
    <cfRule type="expression" dxfId="1056" priority="11">
      <formula>CO40&gt;0</formula>
    </cfRule>
    <cfRule type="expression" dxfId="1055" priority="12">
      <formula>CP40&lt;0</formula>
    </cfRule>
  </conditionalFormatting>
  <conditionalFormatting sqref="DH31:DL32 DM32:DU32">
    <cfRule type="expression" dxfId="1054" priority="9">
      <formula>DU40&gt;0</formula>
    </cfRule>
    <cfRule type="expression" dxfId="1053" priority="10">
      <formula>DV40&lt;0</formula>
    </cfRule>
  </conditionalFormatting>
  <conditionalFormatting sqref="W34:Z35">
    <cfRule type="expression" dxfId="1052" priority="7">
      <formula>AC40&gt;0</formula>
    </cfRule>
    <cfRule type="expression" dxfId="1051" priority="8">
      <formula>AC40&lt;0</formula>
    </cfRule>
  </conditionalFormatting>
  <conditionalFormatting sqref="BE34:BH35">
    <cfRule type="expression" dxfId="1050" priority="5">
      <formula>BE34="✓"</formula>
    </cfRule>
    <cfRule type="expression" dxfId="1049" priority="6">
      <formula>BE34="✗"</formula>
    </cfRule>
  </conditionalFormatting>
  <conditionalFormatting sqref="CI34:CL35">
    <cfRule type="expression" dxfId="1048" priority="3">
      <formula>CI34="✓"</formula>
    </cfRule>
    <cfRule type="expression" dxfId="1047" priority="4">
      <formula>CI34="✗"</formula>
    </cfRule>
  </conditionalFormatting>
  <conditionalFormatting sqref="DO34:DR35">
    <cfRule type="expression" dxfId="1046" priority="1">
      <formula>DO34="✓"</formula>
    </cfRule>
    <cfRule type="expression" dxfId="1045" priority="2">
      <formula>DO34="✗"</formula>
    </cfRule>
  </conditionalFormatting>
  <dataValidations disablePrompts="1" count="7">
    <dataValidation allowBlank="1" showInputMessage="1" showErrorMessage="1" promptTitle="Helper Cell: exp flag" prompt="Tells the other cells for this skill if ranks can be purchased._x000a__x000a_-1: Ranks cannot be purchased due to missing prerequisite_x000a_ 0: Ranks can be purchased_x000a_ 1: Ranks cannot be purchased as all ranks have been purchased." sqref="DV40:DW40 CP40:CQ40 BL40:BM40 AC40"/>
    <dataValidation allowBlank="1" showInputMessage="1" showErrorMessage="1" promptTitle="Helper Cell: Points Spent" prompt="How much exp has been spent in this skill." sqref="CN40:CO40 DT40:DU40 BJ40:BK40 AB40"/>
    <dataValidation allowBlank="1" showInputMessage="1" showErrorMessage="1" promptTitle="Helper: Summation Corrector" prompt="The helper cell to the far left sums this row to get the total number of XP spent this tier. This cell negates the reference in this skill (bottom right)." sqref="CR40 DX40 BN40 AD40"/>
    <dataValidation allowBlank="1" showInputMessage="1" showErrorMessage="1" promptTitle="Helper Cells: Skill ranks" prompt="This cell determines if the rank at this level counts towards exp spent and total ranks in this tier.  The value is 1 if the skill selection is valid.  That is, if all previous skill ranks are purchased" sqref="DT36:EE37 CN36:CU37"/>
    <dataValidation allowBlank="1" showInputMessage="1" showErrorMessage="1" promptTitle="Ref: Prequisite Flag" prompt="If this value is not blank, it means this skill has a prerequisite. Check the &quot;Description&quot; cell below and ensure the two referenced cells are this one and the HEADER of the prerequisite skill." sqref="BZ33 N33 DF33 AV33"/>
    <dataValidation allowBlank="1" showInputMessage="1" showErrorMessage="1" promptTitle="Ref: Summation Fixer" prompt="Added as a cleanup agent. A cell in the far left column sums this row to determine  how many skills are used in this tier, but the cost to increase is in this tier as well. This cell removes that value." sqref="CF33:CG33 T33:U33 DL33:DM33 BB33:BC33"/>
    <dataValidation allowBlank="1" showInputMessage="1" showErrorMessage="1" promptTitle="Helper: Current Ranks" prompt="Determines how many ranks have been purchased in this skill. Considers if rank purchase is valid, unlike the cell the spinner affects" sqref="AV35:AW35 DF35:DG35 BZ35:CA35 N35:O35"/>
  </dataValidations>
  <pageMargins left="0.25" right="0.25" top="0.75" bottom="0.75" header="0.3" footer="0.3"/>
  <pageSetup orientation="landscape" horizontalDpi="4294967293"/>
  <drawing r:id="rId1"/>
  <legacyDrawing r:id="rId2"/>
  <mc:AlternateContent xmlns:mc="http://schemas.openxmlformats.org/markup-compatibility/2006">
    <mc:Choice Requires="x14">
      <controls>
        <mc:AlternateContent xmlns:mc="http://schemas.openxmlformats.org/markup-compatibility/2006">
          <mc:Choice Requires="x14">
            <control shapeId="64513" r:id="rId3" name="Spinner 1">
              <controlPr defaultSize="0" autoPict="0">
                <anchor moveWithCells="1" sizeWithCells="1">
                  <from>
                    <xdr:col>110</xdr:col>
                    <xdr:colOff>0</xdr:colOff>
                    <xdr:row>35</xdr:row>
                    <xdr:rowOff>0</xdr:rowOff>
                  </from>
                  <to>
                    <xdr:col>111</xdr:col>
                    <xdr:colOff>0</xdr:colOff>
                    <xdr:row>37</xdr:row>
                    <xdr:rowOff>0</xdr:rowOff>
                  </to>
                </anchor>
              </controlPr>
            </control>
          </mc:Choice>
        </mc:AlternateContent>
        <mc:AlternateContent xmlns:mc="http://schemas.openxmlformats.org/markup-compatibility/2006">
          <mc:Choice Requires="x14">
            <control shapeId="64514" r:id="rId4" name="Spinner 2">
              <controlPr defaultSize="0" autoPict="0">
                <anchor moveWithCells="1" sizeWithCells="1">
                  <from>
                    <xdr:col>131</xdr:col>
                    <xdr:colOff>9525</xdr:colOff>
                    <xdr:row>35</xdr:row>
                    <xdr:rowOff>0</xdr:rowOff>
                  </from>
                  <to>
                    <xdr:col>134</xdr:col>
                    <xdr:colOff>104775</xdr:colOff>
                    <xdr:row>37</xdr:row>
                    <xdr:rowOff>0</xdr:rowOff>
                  </to>
                </anchor>
              </controlPr>
            </control>
          </mc:Choice>
        </mc:AlternateContent>
        <mc:AlternateContent xmlns:mc="http://schemas.openxmlformats.org/markup-compatibility/2006">
          <mc:Choice Requires="x14">
            <control shapeId="64515" r:id="rId5" name="Spinner 3">
              <controlPr defaultSize="0" autoPict="0">
                <anchor moveWithCells="1" sizeWithCells="1">
                  <from>
                    <xdr:col>110</xdr:col>
                    <xdr:colOff>0</xdr:colOff>
                    <xdr:row>35</xdr:row>
                    <xdr:rowOff>0</xdr:rowOff>
                  </from>
                  <to>
                    <xdr:col>111</xdr:col>
                    <xdr:colOff>0</xdr:colOff>
                    <xdr:row>37</xdr:row>
                    <xdr:rowOff>0</xdr:rowOff>
                  </to>
                </anchor>
              </controlPr>
            </control>
          </mc:Choice>
        </mc:AlternateContent>
        <mc:AlternateContent xmlns:mc="http://schemas.openxmlformats.org/markup-compatibility/2006">
          <mc:Choice Requires="x14">
            <control shapeId="64516" r:id="rId6" name="Spinner 4">
              <controlPr defaultSize="0" autoPict="0">
                <anchor moveWithCells="1" sizeWithCells="1">
                  <from>
                    <xdr:col>14</xdr:col>
                    <xdr:colOff>0</xdr:colOff>
                    <xdr:row>35</xdr:row>
                    <xdr:rowOff>0</xdr:rowOff>
                  </from>
                  <to>
                    <xdr:col>15</xdr:col>
                    <xdr:colOff>0</xdr:colOff>
                    <xdr:row>37</xdr:row>
                    <xdr:rowOff>0</xdr:rowOff>
                  </to>
                </anchor>
              </controlPr>
            </control>
          </mc:Choice>
        </mc:AlternateContent>
        <mc:AlternateContent xmlns:mc="http://schemas.openxmlformats.org/markup-compatibility/2006">
          <mc:Choice Requires="x14">
            <control shapeId="64517" r:id="rId7" name="Spinner 5">
              <controlPr defaultSize="0" autoPict="0">
                <anchor moveWithCells="1" sizeWithCells="1">
                  <from>
                    <xdr:col>78</xdr:col>
                    <xdr:colOff>0</xdr:colOff>
                    <xdr:row>35</xdr:row>
                    <xdr:rowOff>0</xdr:rowOff>
                  </from>
                  <to>
                    <xdr:col>79</xdr:col>
                    <xdr:colOff>0</xdr:colOff>
                    <xdr:row>37</xdr:row>
                    <xdr:rowOff>0</xdr:rowOff>
                  </to>
                </anchor>
              </controlPr>
            </control>
          </mc:Choice>
        </mc:AlternateContent>
        <mc:AlternateContent xmlns:mc="http://schemas.openxmlformats.org/markup-compatibility/2006">
          <mc:Choice Requires="x14">
            <control shapeId="64518" r:id="rId8" name="Spinner 6">
              <controlPr defaultSize="0" autoPict="0">
                <anchor moveWithCells="1" sizeWithCells="1">
                  <from>
                    <xdr:col>48</xdr:col>
                    <xdr:colOff>0</xdr:colOff>
                    <xdr:row>35</xdr:row>
                    <xdr:rowOff>0</xdr:rowOff>
                  </from>
                  <to>
                    <xdr:col>49</xdr:col>
                    <xdr:colOff>0</xdr:colOff>
                    <xdr:row>37</xdr:row>
                    <xdr:rowOff>0</xdr:rowOff>
                  </to>
                </anchor>
              </controlPr>
            </control>
          </mc:Choice>
        </mc:AlternateContent>
        <mc:AlternateContent xmlns:mc="http://schemas.openxmlformats.org/markup-compatibility/2006">
          <mc:Choice Requires="x14">
            <control shapeId="64519" r:id="rId9" name="Spinner 7">
              <controlPr defaultSize="0" autoPict="0">
                <anchor moveWithCells="1" sizeWithCells="1">
                  <from>
                    <xdr:col>78</xdr:col>
                    <xdr:colOff>0</xdr:colOff>
                    <xdr:row>35</xdr:row>
                    <xdr:rowOff>0</xdr:rowOff>
                  </from>
                  <to>
                    <xdr:col>79</xdr:col>
                    <xdr:colOff>0</xdr:colOff>
                    <xdr:row>37</xdr:row>
                    <xdr:rowOff>0</xdr:rowOff>
                  </to>
                </anchor>
              </controlPr>
            </control>
          </mc:Choice>
        </mc:AlternateContent>
        <mc:AlternateContent xmlns:mc="http://schemas.openxmlformats.org/markup-compatibility/2006">
          <mc:Choice Requires="x14">
            <control shapeId="64520" r:id="rId10" name="Spinner 8">
              <controlPr defaultSize="0" autoPict="0">
                <anchor moveWithCells="1" sizeWithCells="1">
                  <from>
                    <xdr:col>78</xdr:col>
                    <xdr:colOff>0</xdr:colOff>
                    <xdr:row>35</xdr:row>
                    <xdr:rowOff>0</xdr:rowOff>
                  </from>
                  <to>
                    <xdr:col>79</xdr:col>
                    <xdr:colOff>0</xdr:colOff>
                    <xdr:row>37</xdr:row>
                    <xdr:rowOff>0</xdr:rowOff>
                  </to>
                </anchor>
              </controlPr>
            </control>
          </mc:Choice>
        </mc:AlternateContent>
        <mc:AlternateContent xmlns:mc="http://schemas.openxmlformats.org/markup-compatibility/2006">
          <mc:Choice Requires="x14">
            <control shapeId="64521" r:id="rId11" name="Spinner 9">
              <controlPr defaultSize="0" autoPict="0">
                <anchor moveWithCells="1" sizeWithCells="1">
                  <from>
                    <xdr:col>123</xdr:col>
                    <xdr:colOff>9525</xdr:colOff>
                    <xdr:row>35</xdr:row>
                    <xdr:rowOff>0</xdr:rowOff>
                  </from>
                  <to>
                    <xdr:col>126</xdr:col>
                    <xdr:colOff>104775</xdr:colOff>
                    <xdr:row>37</xdr:row>
                    <xdr:rowOff>0</xdr:rowOff>
                  </to>
                </anchor>
              </controlPr>
            </control>
          </mc:Choice>
        </mc:AlternateContent>
        <mc:AlternateContent xmlns:mc="http://schemas.openxmlformats.org/markup-compatibility/2006">
          <mc:Choice Requires="x14">
            <control shapeId="64522" r:id="rId12" name="Spinner 10">
              <controlPr defaultSize="0" autoPict="0">
                <anchor moveWithCells="1" sizeWithCells="1">
                  <from>
                    <xdr:col>127</xdr:col>
                    <xdr:colOff>9525</xdr:colOff>
                    <xdr:row>34</xdr:row>
                    <xdr:rowOff>104775</xdr:rowOff>
                  </from>
                  <to>
                    <xdr:col>130</xdr:col>
                    <xdr:colOff>104775</xdr:colOff>
                    <xdr:row>37</xdr:row>
                    <xdr:rowOff>0</xdr:rowOff>
                  </to>
                </anchor>
              </controlPr>
            </control>
          </mc:Choice>
        </mc:AlternateContent>
        <mc:AlternateContent xmlns:mc="http://schemas.openxmlformats.org/markup-compatibility/2006">
          <mc:Choice Requires="x14">
            <control shapeId="64523" r:id="rId13" name="Spinner 11">
              <controlPr defaultSize="0" autoPict="0">
                <anchor moveWithCells="1" sizeWithCells="1">
                  <from>
                    <xdr:col>78</xdr:col>
                    <xdr:colOff>0</xdr:colOff>
                    <xdr:row>35</xdr:row>
                    <xdr:rowOff>0</xdr:rowOff>
                  </from>
                  <to>
                    <xdr:col>79</xdr:col>
                    <xdr:colOff>0</xdr:colOff>
                    <xdr:row>37</xdr:row>
                    <xdr:rowOff>0</xdr:rowOff>
                  </to>
                </anchor>
              </controlPr>
            </control>
          </mc:Choice>
        </mc:AlternateContent>
        <mc:AlternateContent xmlns:mc="http://schemas.openxmlformats.org/markup-compatibility/2006">
          <mc:Choice Requires="x14">
            <control shapeId="64524" r:id="rId14" name="Spinner 12">
              <controlPr defaultSize="0" autoPict="0">
                <anchor moveWithCells="1" sizeWithCells="1">
                  <from>
                    <xdr:col>78</xdr:col>
                    <xdr:colOff>0</xdr:colOff>
                    <xdr:row>35</xdr:row>
                    <xdr:rowOff>0</xdr:rowOff>
                  </from>
                  <to>
                    <xdr:col>79</xdr:col>
                    <xdr:colOff>0</xdr:colOff>
                    <xdr:row>37</xdr:row>
                    <xdr:rowOff>0</xdr:rowOff>
                  </to>
                </anchor>
              </controlPr>
            </control>
          </mc:Choice>
        </mc:AlternateContent>
        <mc:AlternateContent xmlns:mc="http://schemas.openxmlformats.org/markup-compatibility/2006">
          <mc:Choice Requires="x14">
            <control shapeId="64525" r:id="rId15" name="Spinner 13">
              <controlPr defaultSize="0" autoPict="0">
                <anchor moveWithCells="1" sizeWithCells="1">
                  <from>
                    <xdr:col>91</xdr:col>
                    <xdr:colOff>9525</xdr:colOff>
                    <xdr:row>34</xdr:row>
                    <xdr:rowOff>104775</xdr:rowOff>
                  </from>
                  <to>
                    <xdr:col>94</xdr:col>
                    <xdr:colOff>104775</xdr:colOff>
                    <xdr:row>37</xdr:row>
                    <xdr:rowOff>0</xdr:rowOff>
                  </to>
                </anchor>
              </controlPr>
            </control>
          </mc:Choice>
        </mc:AlternateContent>
        <mc:AlternateContent xmlns:mc="http://schemas.openxmlformats.org/markup-compatibility/2006">
          <mc:Choice Requires="x14">
            <control shapeId="64526" r:id="rId16" name="Spinner 14">
              <controlPr defaultSize="0" autoPict="0">
                <anchor moveWithCells="1" sizeWithCells="1">
                  <from>
                    <xdr:col>95</xdr:col>
                    <xdr:colOff>9525</xdr:colOff>
                    <xdr:row>34</xdr:row>
                    <xdr:rowOff>104775</xdr:rowOff>
                  </from>
                  <to>
                    <xdr:col>98</xdr:col>
                    <xdr:colOff>104775</xdr:colOff>
                    <xdr:row>37</xdr:row>
                    <xdr:rowOff>0</xdr:rowOff>
                  </to>
                </anchor>
              </controlPr>
            </control>
          </mc:Choice>
        </mc:AlternateContent>
        <mc:AlternateContent xmlns:mc="http://schemas.openxmlformats.org/markup-compatibility/2006">
          <mc:Choice Requires="x14">
            <control shapeId="64527" r:id="rId17" name="Spinner 15">
              <controlPr defaultSize="0" autoPict="0">
                <anchor moveWithCells="1" sizeWithCells="1">
                  <from>
                    <xdr:col>48</xdr:col>
                    <xdr:colOff>0</xdr:colOff>
                    <xdr:row>35</xdr:row>
                    <xdr:rowOff>0</xdr:rowOff>
                  </from>
                  <to>
                    <xdr:col>49</xdr:col>
                    <xdr:colOff>0</xdr:colOff>
                    <xdr:row>37</xdr:row>
                    <xdr:rowOff>0</xdr:rowOff>
                  </to>
                </anchor>
              </controlPr>
            </control>
          </mc:Choice>
        </mc:AlternateContent>
        <mc:AlternateContent xmlns:mc="http://schemas.openxmlformats.org/markup-compatibility/2006">
          <mc:Choice Requires="x14">
            <control shapeId="64528" r:id="rId18" name="Spinner 16">
              <controlPr defaultSize="0" autoPict="0">
                <anchor moveWithCells="1" sizeWithCells="1">
                  <from>
                    <xdr:col>48</xdr:col>
                    <xdr:colOff>0</xdr:colOff>
                    <xdr:row>35</xdr:row>
                    <xdr:rowOff>0</xdr:rowOff>
                  </from>
                  <to>
                    <xdr:col>49</xdr:col>
                    <xdr:colOff>0</xdr:colOff>
                    <xdr:row>37</xdr:row>
                    <xdr:rowOff>0</xdr:rowOff>
                  </to>
                </anchor>
              </controlPr>
            </control>
          </mc:Choice>
        </mc:AlternateContent>
        <mc:AlternateContent xmlns:mc="http://schemas.openxmlformats.org/markup-compatibility/2006">
          <mc:Choice Requires="x14">
            <control shapeId="64529" r:id="rId19" name="Spinner 17">
              <controlPr defaultSize="0" autoPict="0">
                <anchor moveWithCells="1" sizeWithCells="1">
                  <from>
                    <xdr:col>48</xdr:col>
                    <xdr:colOff>0</xdr:colOff>
                    <xdr:row>35</xdr:row>
                    <xdr:rowOff>0</xdr:rowOff>
                  </from>
                  <to>
                    <xdr:col>49</xdr:col>
                    <xdr:colOff>0</xdr:colOff>
                    <xdr:row>37</xdr:row>
                    <xdr:rowOff>0</xdr:rowOff>
                  </to>
                </anchor>
              </controlPr>
            </control>
          </mc:Choice>
        </mc:AlternateContent>
        <mc:AlternateContent xmlns:mc="http://schemas.openxmlformats.org/markup-compatibility/2006">
          <mc:Choice Requires="x14">
            <control shapeId="64530" r:id="rId20" name="Spinner 18">
              <controlPr defaultSize="0" autoPict="0">
                <anchor moveWithCells="1" sizeWithCells="1">
                  <from>
                    <xdr:col>48</xdr:col>
                    <xdr:colOff>0</xdr:colOff>
                    <xdr:row>35</xdr:row>
                    <xdr:rowOff>0</xdr:rowOff>
                  </from>
                  <to>
                    <xdr:col>49</xdr:col>
                    <xdr:colOff>0</xdr:colOff>
                    <xdr:row>37</xdr:row>
                    <xdr:rowOff>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0B0F0"/>
  </sheetPr>
  <dimension ref="A1:Q207"/>
  <sheetViews>
    <sheetView topLeftCell="A57" workbookViewId="0">
      <selection activeCell="M18" sqref="M18"/>
    </sheetView>
  </sheetViews>
  <sheetFormatPr defaultColWidth="8.85546875" defaultRowHeight="15" x14ac:dyDescent="0.25"/>
  <cols>
    <col min="1" max="1" width="22.42578125" bestFit="1" customWidth="1"/>
    <col min="3" max="3" width="8.85546875" style="17"/>
  </cols>
  <sheetData>
    <row r="1" spans="1:17" x14ac:dyDescent="0.25">
      <c r="A1" s="62" t="s">
        <v>220</v>
      </c>
      <c r="C1" s="17" t="s">
        <v>251</v>
      </c>
      <c r="D1" t="s">
        <v>191</v>
      </c>
    </row>
    <row r="2" spans="1:17" x14ac:dyDescent="0.25">
      <c r="A2" s="59" t="s">
        <v>109</v>
      </c>
      <c r="C2" s="17" t="s">
        <v>241</v>
      </c>
      <c r="D2" t="s">
        <v>221</v>
      </c>
    </row>
    <row r="3" spans="1:17" x14ac:dyDescent="0.25">
      <c r="A3" s="58" t="s">
        <v>110</v>
      </c>
      <c r="B3" s="17"/>
      <c r="C3" s="17" t="s">
        <v>110</v>
      </c>
    </row>
    <row r="4" spans="1:17" x14ac:dyDescent="0.25">
      <c r="A4" s="59" t="s">
        <v>111</v>
      </c>
      <c r="B4" s="17"/>
      <c r="C4" s="17" t="s">
        <v>242</v>
      </c>
      <c r="D4" t="s">
        <v>222</v>
      </c>
    </row>
    <row r="5" spans="1:17" x14ac:dyDescent="0.25">
      <c r="A5" s="58" t="s">
        <v>112</v>
      </c>
      <c r="B5" s="17"/>
      <c r="C5" s="17" t="s">
        <v>243</v>
      </c>
    </row>
    <row r="6" spans="1:17" x14ac:dyDescent="0.25">
      <c r="A6" s="59" t="s">
        <v>113</v>
      </c>
      <c r="B6" s="17"/>
      <c r="C6" s="17" t="s">
        <v>244</v>
      </c>
      <c r="D6" t="s">
        <v>223</v>
      </c>
    </row>
    <row r="7" spans="1:17" x14ac:dyDescent="0.25">
      <c r="A7" s="59" t="s">
        <v>114</v>
      </c>
      <c r="C7" s="17" t="s">
        <v>114</v>
      </c>
      <c r="D7" t="s">
        <v>224</v>
      </c>
    </row>
    <row r="8" spans="1:17" x14ac:dyDescent="0.25">
      <c r="A8" s="59" t="s">
        <v>115</v>
      </c>
      <c r="C8" s="17" t="s">
        <v>115</v>
      </c>
      <c r="D8" t="s">
        <v>225</v>
      </c>
    </row>
    <row r="9" spans="1:17" x14ac:dyDescent="0.25">
      <c r="A9" s="59" t="s">
        <v>116</v>
      </c>
      <c r="C9" s="17" t="s">
        <v>245</v>
      </c>
      <c r="D9" t="s">
        <v>226</v>
      </c>
      <c r="E9" s="17"/>
    </row>
    <row r="10" spans="1:17" x14ac:dyDescent="0.25">
      <c r="A10" s="59" t="s">
        <v>117</v>
      </c>
      <c r="B10" s="17"/>
      <c r="C10" s="17" t="s">
        <v>117</v>
      </c>
      <c r="D10" s="17" t="s">
        <v>227</v>
      </c>
      <c r="E10" s="17"/>
    </row>
    <row r="11" spans="1:17" x14ac:dyDescent="0.25">
      <c r="A11" s="59" t="s">
        <v>118</v>
      </c>
      <c r="B11" s="17"/>
      <c r="C11" s="17" t="s">
        <v>246</v>
      </c>
      <c r="D11" s="17" t="s">
        <v>228</v>
      </c>
      <c r="E11" s="17"/>
    </row>
    <row r="12" spans="1:17" x14ac:dyDescent="0.25">
      <c r="A12" s="59" t="s">
        <v>119</v>
      </c>
      <c r="B12" s="17"/>
      <c r="C12" s="17" t="s">
        <v>247</v>
      </c>
      <c r="D12" s="17" t="s">
        <v>230</v>
      </c>
      <c r="E12" s="17"/>
    </row>
    <row r="13" spans="1:17" x14ac:dyDescent="0.25">
      <c r="A13" s="59" t="s">
        <v>101</v>
      </c>
      <c r="B13" s="17"/>
      <c r="C13" s="17" t="s">
        <v>248</v>
      </c>
      <c r="D13" s="17" t="s">
        <v>229</v>
      </c>
      <c r="E13" s="17"/>
    </row>
    <row r="14" spans="1:17" x14ac:dyDescent="0.25">
      <c r="A14" s="59" t="s">
        <v>120</v>
      </c>
      <c r="B14" s="17"/>
      <c r="C14" s="17" t="s">
        <v>120</v>
      </c>
      <c r="D14" s="17" t="s">
        <v>231</v>
      </c>
      <c r="E14" s="17"/>
    </row>
    <row r="15" spans="1:17" x14ac:dyDescent="0.25">
      <c r="A15" s="59" t="s">
        <v>121</v>
      </c>
      <c r="B15" s="17"/>
      <c r="C15" s="17" t="s">
        <v>249</v>
      </c>
      <c r="D15" s="17" t="s">
        <v>232</v>
      </c>
      <c r="E15" s="17"/>
      <c r="Q15">
        <v>15</v>
      </c>
    </row>
    <row r="16" spans="1:17" x14ac:dyDescent="0.25">
      <c r="A16" s="59" t="s">
        <v>122</v>
      </c>
      <c r="B16" s="17"/>
      <c r="C16" s="17" t="s">
        <v>122</v>
      </c>
      <c r="D16" s="17" t="s">
        <v>233</v>
      </c>
      <c r="E16" s="17"/>
    </row>
    <row r="17" spans="1:14" x14ac:dyDescent="0.25">
      <c r="A17" s="59" t="s">
        <v>123</v>
      </c>
      <c r="B17" s="17"/>
      <c r="C17" s="17" t="s">
        <v>250</v>
      </c>
      <c r="D17" s="17" t="s">
        <v>234</v>
      </c>
      <c r="E17" s="17"/>
      <c r="M17" t="s">
        <v>272</v>
      </c>
      <c r="N17" t="s">
        <v>273</v>
      </c>
    </row>
    <row r="18" spans="1:14" x14ac:dyDescent="0.25">
      <c r="A18" s="60" t="s">
        <v>192</v>
      </c>
      <c r="M18">
        <v>1</v>
      </c>
      <c r="N18">
        <v>1</v>
      </c>
    </row>
    <row r="19" spans="1:14" x14ac:dyDescent="0.25">
      <c r="A19" s="60" t="s">
        <v>193</v>
      </c>
      <c r="M19">
        <v>2</v>
      </c>
      <c r="N19" s="17">
        <f>N18+IF(M18/5&lt;$Q$15/5,1,FLOOR(M18/5,1)-1)</f>
        <v>2</v>
      </c>
    </row>
    <row r="20" spans="1:14" x14ac:dyDescent="0.25">
      <c r="A20" s="49" t="s">
        <v>1</v>
      </c>
      <c r="M20">
        <v>3</v>
      </c>
      <c r="N20" s="17">
        <f t="shared" ref="N20:N51" si="0">N19+IF(M19/5&lt;$Q$15/5,1,FLOOR(M19/5,1)-1)</f>
        <v>3</v>
      </c>
    </row>
    <row r="21" spans="1:14" x14ac:dyDescent="0.25">
      <c r="A21" s="49" t="s">
        <v>2</v>
      </c>
      <c r="M21" s="17">
        <v>4</v>
      </c>
      <c r="N21" s="17">
        <f t="shared" si="0"/>
        <v>4</v>
      </c>
    </row>
    <row r="22" spans="1:14" x14ac:dyDescent="0.25">
      <c r="A22" s="49" t="s">
        <v>3</v>
      </c>
      <c r="M22" s="17">
        <v>5</v>
      </c>
      <c r="N22" s="17">
        <f t="shared" si="0"/>
        <v>5</v>
      </c>
    </row>
    <row r="23" spans="1:14" x14ac:dyDescent="0.25">
      <c r="A23" s="49" t="s">
        <v>4</v>
      </c>
      <c r="M23" s="17">
        <v>6</v>
      </c>
      <c r="N23" s="17">
        <f t="shared" si="0"/>
        <v>6</v>
      </c>
    </row>
    <row r="24" spans="1:14" x14ac:dyDescent="0.25">
      <c r="A24" s="49" t="s">
        <v>5</v>
      </c>
      <c r="M24" s="17">
        <v>7</v>
      </c>
      <c r="N24" s="17">
        <f t="shared" si="0"/>
        <v>7</v>
      </c>
    </row>
    <row r="25" spans="1:14" x14ac:dyDescent="0.25">
      <c r="A25" s="49" t="s">
        <v>6</v>
      </c>
      <c r="M25" s="17">
        <v>8</v>
      </c>
      <c r="N25" s="17">
        <f t="shared" si="0"/>
        <v>8</v>
      </c>
    </row>
    <row r="26" spans="1:14" x14ac:dyDescent="0.25">
      <c r="A26" s="49" t="s">
        <v>7</v>
      </c>
      <c r="M26" s="17">
        <v>9</v>
      </c>
      <c r="N26" s="17">
        <f t="shared" si="0"/>
        <v>9</v>
      </c>
    </row>
    <row r="27" spans="1:14" x14ac:dyDescent="0.25">
      <c r="A27" s="49" t="s">
        <v>8</v>
      </c>
      <c r="M27" s="17">
        <v>10</v>
      </c>
      <c r="N27" s="17">
        <f t="shared" si="0"/>
        <v>10</v>
      </c>
    </row>
    <row r="28" spans="1:14" x14ac:dyDescent="0.25">
      <c r="A28" s="52" t="s">
        <v>9</v>
      </c>
      <c r="M28" s="17">
        <v>11</v>
      </c>
      <c r="N28" s="17">
        <f t="shared" si="0"/>
        <v>11</v>
      </c>
    </row>
    <row r="29" spans="1:14" x14ac:dyDescent="0.25">
      <c r="A29" s="61" t="s">
        <v>129</v>
      </c>
      <c r="M29" s="17">
        <v>12</v>
      </c>
      <c r="N29" s="17">
        <f t="shared" si="0"/>
        <v>12</v>
      </c>
    </row>
    <row r="30" spans="1:14" x14ac:dyDescent="0.25">
      <c r="A30" s="50" t="s">
        <v>57</v>
      </c>
      <c r="M30" s="17">
        <v>13</v>
      </c>
      <c r="N30" s="17">
        <f t="shared" si="0"/>
        <v>13</v>
      </c>
    </row>
    <row r="31" spans="1:14" x14ac:dyDescent="0.25">
      <c r="A31" s="50" t="s">
        <v>58</v>
      </c>
      <c r="M31" s="17">
        <v>14</v>
      </c>
      <c r="N31" s="17">
        <f t="shared" si="0"/>
        <v>14</v>
      </c>
    </row>
    <row r="32" spans="1:14" x14ac:dyDescent="0.25">
      <c r="A32" s="50" t="s">
        <v>71</v>
      </c>
      <c r="M32" s="17">
        <v>15</v>
      </c>
      <c r="N32" s="17">
        <f t="shared" si="0"/>
        <v>15</v>
      </c>
    </row>
    <row r="33" spans="1:14" x14ac:dyDescent="0.25">
      <c r="A33" s="50" t="s">
        <v>60</v>
      </c>
      <c r="M33" s="17">
        <v>16</v>
      </c>
      <c r="N33" s="17">
        <f t="shared" si="0"/>
        <v>17</v>
      </c>
    </row>
    <row r="34" spans="1:14" x14ac:dyDescent="0.25">
      <c r="A34" s="53" t="s">
        <v>194</v>
      </c>
      <c r="M34" s="17">
        <v>17</v>
      </c>
      <c r="N34" s="17">
        <f t="shared" si="0"/>
        <v>19</v>
      </c>
    </row>
    <row r="35" spans="1:14" x14ac:dyDescent="0.25">
      <c r="A35" s="64" t="s">
        <v>130</v>
      </c>
      <c r="M35" s="17">
        <v>18</v>
      </c>
      <c r="N35" s="17">
        <f t="shared" si="0"/>
        <v>21</v>
      </c>
    </row>
    <row r="36" spans="1:14" x14ac:dyDescent="0.25">
      <c r="A36" s="50" t="s">
        <v>131</v>
      </c>
      <c r="M36" s="17">
        <v>19</v>
      </c>
      <c r="N36" s="17">
        <f t="shared" si="0"/>
        <v>23</v>
      </c>
    </row>
    <row r="37" spans="1:14" x14ac:dyDescent="0.25">
      <c r="A37" s="50" t="s">
        <v>132</v>
      </c>
      <c r="M37" s="17">
        <v>20</v>
      </c>
      <c r="N37" s="17">
        <f t="shared" si="0"/>
        <v>25</v>
      </c>
    </row>
    <row r="38" spans="1:14" x14ac:dyDescent="0.25">
      <c r="A38" s="50" t="s">
        <v>125</v>
      </c>
      <c r="M38" s="17">
        <v>21</v>
      </c>
      <c r="N38" s="17">
        <f t="shared" si="0"/>
        <v>28</v>
      </c>
    </row>
    <row r="39" spans="1:14" x14ac:dyDescent="0.25">
      <c r="A39" s="50" t="s">
        <v>133</v>
      </c>
      <c r="M39" s="17">
        <v>22</v>
      </c>
      <c r="N39" s="17">
        <f t="shared" si="0"/>
        <v>31</v>
      </c>
    </row>
    <row r="40" spans="1:14" x14ac:dyDescent="0.25">
      <c r="A40" s="50" t="s">
        <v>134</v>
      </c>
      <c r="M40" s="17">
        <v>23</v>
      </c>
      <c r="N40" s="17">
        <f t="shared" si="0"/>
        <v>34</v>
      </c>
    </row>
    <row r="41" spans="1:14" x14ac:dyDescent="0.25">
      <c r="A41" s="50" t="s">
        <v>135</v>
      </c>
      <c r="M41" s="17">
        <v>24</v>
      </c>
      <c r="N41" s="17">
        <f t="shared" si="0"/>
        <v>37</v>
      </c>
    </row>
    <row r="42" spans="1:14" x14ac:dyDescent="0.25">
      <c r="A42" s="50" t="s">
        <v>136</v>
      </c>
      <c r="M42" s="17">
        <v>25</v>
      </c>
      <c r="N42" s="17">
        <f t="shared" si="0"/>
        <v>40</v>
      </c>
    </row>
    <row r="43" spans="1:14" x14ac:dyDescent="0.25">
      <c r="A43" s="50" t="s">
        <v>137</v>
      </c>
      <c r="M43" s="17">
        <v>26</v>
      </c>
      <c r="N43" s="17">
        <f t="shared" si="0"/>
        <v>44</v>
      </c>
    </row>
    <row r="44" spans="1:14" x14ac:dyDescent="0.25">
      <c r="A44" s="49" t="s">
        <v>123</v>
      </c>
      <c r="M44" s="17">
        <v>27</v>
      </c>
      <c r="N44" s="17">
        <f t="shared" si="0"/>
        <v>48</v>
      </c>
    </row>
    <row r="45" spans="1:14" x14ac:dyDescent="0.25">
      <c r="A45" s="49" t="s">
        <v>138</v>
      </c>
      <c r="M45" s="17">
        <v>28</v>
      </c>
      <c r="N45" s="17">
        <f t="shared" si="0"/>
        <v>52</v>
      </c>
    </row>
    <row r="46" spans="1:14" x14ac:dyDescent="0.25">
      <c r="A46" s="49" t="s">
        <v>104</v>
      </c>
      <c r="M46" s="17">
        <v>29</v>
      </c>
      <c r="N46" s="17">
        <f t="shared" si="0"/>
        <v>56</v>
      </c>
    </row>
    <row r="47" spans="1:14" x14ac:dyDescent="0.25">
      <c r="A47" s="49" t="s">
        <v>139</v>
      </c>
      <c r="M47" s="17">
        <v>30</v>
      </c>
      <c r="N47" s="17">
        <f t="shared" si="0"/>
        <v>60</v>
      </c>
    </row>
    <row r="48" spans="1:14" x14ac:dyDescent="0.25">
      <c r="A48" s="49" t="s">
        <v>103</v>
      </c>
      <c r="M48" s="17">
        <v>31</v>
      </c>
      <c r="N48" s="17">
        <f t="shared" si="0"/>
        <v>65</v>
      </c>
    </row>
    <row r="49" spans="1:14" x14ac:dyDescent="0.25">
      <c r="A49" s="49" t="s">
        <v>140</v>
      </c>
      <c r="M49" s="17">
        <v>32</v>
      </c>
      <c r="N49" s="17">
        <f t="shared" si="0"/>
        <v>70</v>
      </c>
    </row>
    <row r="50" spans="1:14" x14ac:dyDescent="0.25">
      <c r="A50" s="49" t="s">
        <v>141</v>
      </c>
      <c r="M50" s="17">
        <v>33</v>
      </c>
      <c r="N50" s="17">
        <f t="shared" si="0"/>
        <v>75</v>
      </c>
    </row>
    <row r="51" spans="1:14" x14ac:dyDescent="0.25">
      <c r="A51" s="49" t="s">
        <v>142</v>
      </c>
      <c r="M51" s="17">
        <v>34</v>
      </c>
      <c r="N51" s="17">
        <f t="shared" si="0"/>
        <v>80</v>
      </c>
    </row>
    <row r="52" spans="1:14" x14ac:dyDescent="0.25">
      <c r="A52" s="50" t="s">
        <v>143</v>
      </c>
    </row>
    <row r="53" spans="1:14" x14ac:dyDescent="0.25">
      <c r="A53" s="49" t="s">
        <v>127</v>
      </c>
    </row>
    <row r="54" spans="1:14" x14ac:dyDescent="0.25">
      <c r="A54" s="50" t="s">
        <v>144</v>
      </c>
    </row>
    <row r="55" spans="1:14" x14ac:dyDescent="0.25">
      <c r="A55" s="52" t="s">
        <v>145</v>
      </c>
    </row>
    <row r="56" spans="1:14" x14ac:dyDescent="0.25">
      <c r="A56" s="61" t="s">
        <v>146</v>
      </c>
    </row>
    <row r="57" spans="1:14" s="17" customFormat="1" x14ac:dyDescent="0.25">
      <c r="A57" s="63" t="s">
        <v>326</v>
      </c>
      <c r="D57" s="17" t="s">
        <v>340</v>
      </c>
    </row>
    <row r="58" spans="1:14" s="17" customFormat="1" x14ac:dyDescent="0.25">
      <c r="A58" s="63" t="b">
        <f>FALSE()</f>
        <v>0</v>
      </c>
      <c r="D58" s="17" t="s">
        <v>341</v>
      </c>
    </row>
    <row r="59" spans="1:14" s="17" customFormat="1" x14ac:dyDescent="0.25">
      <c r="A59" s="63" t="s">
        <v>327</v>
      </c>
      <c r="D59" s="17" t="s">
        <v>340</v>
      </c>
    </row>
    <row r="60" spans="1:14" s="17" customFormat="1" x14ac:dyDescent="0.25">
      <c r="A60" s="63" t="b">
        <f>FALSE()</f>
        <v>0</v>
      </c>
      <c r="D60" s="17" t="s">
        <v>341</v>
      </c>
    </row>
    <row r="61" spans="1:14" s="17" customFormat="1" x14ac:dyDescent="0.25">
      <c r="A61" s="63" t="s">
        <v>328</v>
      </c>
      <c r="D61" s="17" t="s">
        <v>342</v>
      </c>
    </row>
    <row r="62" spans="1:14" s="17" customFormat="1" x14ac:dyDescent="0.25">
      <c r="A62" s="63" t="s">
        <v>329</v>
      </c>
      <c r="D62" s="17" t="s">
        <v>343</v>
      </c>
    </row>
    <row r="63" spans="1:14" s="17" customFormat="1" x14ac:dyDescent="0.25">
      <c r="A63" s="63" t="s">
        <v>330</v>
      </c>
      <c r="D63" s="17" t="s">
        <v>344</v>
      </c>
    </row>
    <row r="64" spans="1:14" s="17" customFormat="1" x14ac:dyDescent="0.25">
      <c r="A64" s="63" t="s">
        <v>331</v>
      </c>
      <c r="D64" s="17" t="s">
        <v>345</v>
      </c>
    </row>
    <row r="65" spans="1:4" s="17" customFormat="1" x14ac:dyDescent="0.25">
      <c r="A65" s="63" t="s">
        <v>332</v>
      </c>
      <c r="D65" s="17" t="s">
        <v>346</v>
      </c>
    </row>
    <row r="66" spans="1:4" s="17" customFormat="1" x14ac:dyDescent="0.25">
      <c r="A66" s="63" t="s">
        <v>333</v>
      </c>
      <c r="D66" s="17" t="s">
        <v>347</v>
      </c>
    </row>
    <row r="67" spans="1:4" s="17" customFormat="1" x14ac:dyDescent="0.25">
      <c r="A67" s="63" t="s">
        <v>334</v>
      </c>
      <c r="D67" s="17" t="s">
        <v>348</v>
      </c>
    </row>
    <row r="68" spans="1:4" s="17" customFormat="1" x14ac:dyDescent="0.25">
      <c r="A68" s="63" t="s">
        <v>339</v>
      </c>
      <c r="D68" s="17" t="s">
        <v>349</v>
      </c>
    </row>
    <row r="69" spans="1:4" s="17" customFormat="1" x14ac:dyDescent="0.25">
      <c r="A69" s="63" t="s">
        <v>335</v>
      </c>
      <c r="D69" s="17" t="s">
        <v>350</v>
      </c>
    </row>
    <row r="70" spans="1:4" s="17" customFormat="1" x14ac:dyDescent="0.25">
      <c r="A70" s="63" t="s">
        <v>336</v>
      </c>
      <c r="D70" s="17" t="s">
        <v>351</v>
      </c>
    </row>
    <row r="71" spans="1:4" s="17" customFormat="1" x14ac:dyDescent="0.25">
      <c r="A71" s="63" t="s">
        <v>337</v>
      </c>
      <c r="D71" s="17" t="s">
        <v>352</v>
      </c>
    </row>
    <row r="72" spans="1:4" x14ac:dyDescent="0.25">
      <c r="A72" s="63" t="s">
        <v>338</v>
      </c>
      <c r="D72" s="17" t="s">
        <v>353</v>
      </c>
    </row>
    <row r="73" spans="1:4" x14ac:dyDescent="0.25">
      <c r="A73" s="65" t="s">
        <v>147</v>
      </c>
      <c r="D73" s="17" t="str">
        <f>"You gain a +1 bonus to attack rolls with "&amp;A73&amp;"."</f>
        <v>You gain a +1 bonus to attack rolls with Weapon Proficiency.</v>
      </c>
    </row>
    <row r="74" spans="1:4" x14ac:dyDescent="0.25">
      <c r="A74" s="63" t="s">
        <v>158</v>
      </c>
      <c r="D74" s="17" t="str">
        <f t="shared" ref="D74:D91" si="1">"You gain a +1 bonus to attack rolls with "&amp;A74&amp;"."</f>
        <v>You gain a +1 bonus to attack rolls with Light Armor.</v>
      </c>
    </row>
    <row r="75" spans="1:4" x14ac:dyDescent="0.25">
      <c r="A75" s="63" t="s">
        <v>156</v>
      </c>
      <c r="D75" s="17" t="str">
        <f t="shared" si="1"/>
        <v>You gain a +1 bonus to attack rolls with Heavy Armor.</v>
      </c>
    </row>
    <row r="76" spans="1:4" x14ac:dyDescent="0.25">
      <c r="A76" s="63" t="s">
        <v>160</v>
      </c>
      <c r="D76" s="17" t="str">
        <f t="shared" si="1"/>
        <v>You gain a +1 bonus to attack rolls with Shields.</v>
      </c>
    </row>
    <row r="77" spans="1:4" x14ac:dyDescent="0.25">
      <c r="A77" s="63" t="s">
        <v>155</v>
      </c>
      <c r="D77" s="17" t="str">
        <f t="shared" si="1"/>
        <v>You gain a +1 bonus to attack rolls with Exotic Weapons.</v>
      </c>
    </row>
    <row r="78" spans="1:4" x14ac:dyDescent="0.25">
      <c r="A78" s="63" t="s">
        <v>151</v>
      </c>
      <c r="D78" s="17" t="str">
        <f>"You gain a +1 bonus to attack rolls with "&amp;A78&amp;" weapons."</f>
        <v>You gain a +1 bonus to attack rolls with Archery weapons.</v>
      </c>
    </row>
    <row r="79" spans="1:4" x14ac:dyDescent="0.25">
      <c r="A79" s="63" t="s">
        <v>152</v>
      </c>
      <c r="D79" s="17" t="str">
        <f t="shared" si="1"/>
        <v>You gain a +1 bonus to attack rolls with Crossbows.</v>
      </c>
    </row>
    <row r="80" spans="1:4" x14ac:dyDescent="0.25">
      <c r="A80" s="63" t="s">
        <v>154</v>
      </c>
      <c r="D80" s="17" t="str">
        <f t="shared" si="1"/>
        <v>You gain a +1 bonus to attack rolls with Hand-to-Hand Weapons.</v>
      </c>
    </row>
    <row r="81" spans="1:4" x14ac:dyDescent="0.25">
      <c r="A81" s="63" t="s">
        <v>157</v>
      </c>
      <c r="D81" s="17" t="str">
        <f t="shared" si="1"/>
        <v>You gain a +1 bonus to attack rolls with Improvised Weaponry.</v>
      </c>
    </row>
    <row r="82" spans="1:4" x14ac:dyDescent="0.25">
      <c r="A82" s="63" t="s">
        <v>159</v>
      </c>
      <c r="D82" s="17" t="str">
        <f t="shared" si="1"/>
        <v>You gain a +1 bonus to attack rolls with Magicka.</v>
      </c>
    </row>
    <row r="83" spans="1:4" x14ac:dyDescent="0.25">
      <c r="A83" s="63" t="s">
        <v>502</v>
      </c>
      <c r="D83" s="17" t="str">
        <f t="shared" si="1"/>
        <v>You gain a +1 bonus to attack rolls with Axes.</v>
      </c>
    </row>
    <row r="84" spans="1:4" x14ac:dyDescent="0.25">
      <c r="A84" s="63" t="s">
        <v>503</v>
      </c>
      <c r="D84" s="17" t="str">
        <f t="shared" si="1"/>
        <v>You gain a +1 bonus to attack rolls with Maces.</v>
      </c>
    </row>
    <row r="85" spans="1:4" x14ac:dyDescent="0.25">
      <c r="A85" s="63" t="s">
        <v>504</v>
      </c>
      <c r="D85" s="17" t="str">
        <f t="shared" si="1"/>
        <v>You gain a +1 bonus to attack rolls with Swords.</v>
      </c>
    </row>
    <row r="86" spans="1:4" x14ac:dyDescent="0.25">
      <c r="A86" s="63" t="s">
        <v>149</v>
      </c>
      <c r="D86" s="17" t="str">
        <f t="shared" si="1"/>
        <v>You gain a +1 bonus to attack rolls with Polearms.</v>
      </c>
    </row>
    <row r="87" spans="1:4" x14ac:dyDescent="0.25">
      <c r="A87" s="63" t="s">
        <v>161</v>
      </c>
      <c r="D87" s="17" t="str">
        <f t="shared" si="1"/>
        <v>You gain a +1 bonus to attack rolls with Staves.</v>
      </c>
    </row>
    <row r="88" spans="1:4" s="428" customFormat="1" x14ac:dyDescent="0.25">
      <c r="A88" s="429" t="s">
        <v>162</v>
      </c>
      <c r="D88" s="428" t="str">
        <f t="shared" si="1"/>
        <v>You gain a +1 bonus to attack rolls with Two-Handed Axes.</v>
      </c>
    </row>
    <row r="89" spans="1:4" s="428" customFormat="1" x14ac:dyDescent="0.25">
      <c r="A89" s="429" t="s">
        <v>163</v>
      </c>
      <c r="D89" s="428" t="str">
        <f t="shared" si="1"/>
        <v>You gain a +1 bonus to attack rolls with Two-Handed Maces.</v>
      </c>
    </row>
    <row r="90" spans="1:4" s="428" customFormat="1" x14ac:dyDescent="0.25">
      <c r="A90" s="429" t="s">
        <v>164</v>
      </c>
      <c r="D90" s="428" t="str">
        <f t="shared" si="1"/>
        <v>You gain a +1 bonus to attack rolls with Two-Handed Swords.</v>
      </c>
    </row>
    <row r="91" spans="1:4" x14ac:dyDescent="0.25">
      <c r="A91" s="49" t="s">
        <v>148</v>
      </c>
      <c r="D91" s="17" t="str">
        <f t="shared" si="1"/>
        <v>You gain a +1 bonus to attack rolls with Daggers.</v>
      </c>
    </row>
    <row r="92" spans="1:4" x14ac:dyDescent="0.25">
      <c r="A92" s="49" t="s">
        <v>153</v>
      </c>
      <c r="D92" s="17" t="str">
        <f>"You gain a +1 bonus to attack rolls with "&amp;A92&amp;" weapons."</f>
        <v>You gain a +1 bonus to attack rolls with Throwing weapons.</v>
      </c>
    </row>
    <row r="93" spans="1:4" x14ac:dyDescent="0.25">
      <c r="A93" s="63" t="s">
        <v>165</v>
      </c>
      <c r="D93" t="s">
        <v>553</v>
      </c>
    </row>
    <row r="94" spans="1:4" x14ac:dyDescent="0.25">
      <c r="A94" s="63" t="s">
        <v>166</v>
      </c>
      <c r="D94" t="s">
        <v>258</v>
      </c>
    </row>
    <row r="95" spans="1:4" x14ac:dyDescent="0.25">
      <c r="A95" s="52" t="s">
        <v>150</v>
      </c>
      <c r="D95" t="s">
        <v>257</v>
      </c>
    </row>
    <row r="96" spans="1:4" x14ac:dyDescent="0.25">
      <c r="A96" s="54" t="s">
        <v>100</v>
      </c>
    </row>
    <row r="97" spans="1:4" x14ac:dyDescent="0.25">
      <c r="A97" s="63" t="s">
        <v>196</v>
      </c>
      <c r="D97" t="s">
        <v>218</v>
      </c>
    </row>
    <row r="98" spans="1:4" x14ac:dyDescent="0.25">
      <c r="A98" s="63" t="s">
        <v>197</v>
      </c>
      <c r="D98" t="s">
        <v>219</v>
      </c>
    </row>
    <row r="99" spans="1:4" x14ac:dyDescent="0.25">
      <c r="A99" s="63" t="s">
        <v>198</v>
      </c>
      <c r="D99" t="s">
        <v>213</v>
      </c>
    </row>
    <row r="100" spans="1:4" x14ac:dyDescent="0.25">
      <c r="A100" s="63" t="s">
        <v>199</v>
      </c>
      <c r="D100" t="s">
        <v>214</v>
      </c>
    </row>
    <row r="101" spans="1:4" x14ac:dyDescent="0.25">
      <c r="A101" s="63" t="s">
        <v>200</v>
      </c>
      <c r="D101" t="s">
        <v>215</v>
      </c>
    </row>
    <row r="102" spans="1:4" x14ac:dyDescent="0.25">
      <c r="A102" s="52" t="s">
        <v>201</v>
      </c>
      <c r="D102" t="s">
        <v>216</v>
      </c>
    </row>
    <row r="103" spans="1:4" x14ac:dyDescent="0.25">
      <c r="A103" s="54" t="s">
        <v>167</v>
      </c>
    </row>
    <row r="104" spans="1:4" x14ac:dyDescent="0.25">
      <c r="A104" s="63" t="s">
        <v>169</v>
      </c>
      <c r="D104" s="66" t="s">
        <v>202</v>
      </c>
    </row>
    <row r="105" spans="1:4" x14ac:dyDescent="0.25">
      <c r="A105" s="63" t="s">
        <v>178</v>
      </c>
      <c r="D105" s="66" t="s">
        <v>204</v>
      </c>
    </row>
    <row r="106" spans="1:4" x14ac:dyDescent="0.25">
      <c r="A106" s="63" t="s">
        <v>170</v>
      </c>
      <c r="D106" s="66" t="s">
        <v>203</v>
      </c>
    </row>
    <row r="107" spans="1:4" x14ac:dyDescent="0.25">
      <c r="A107" s="63" t="s">
        <v>171</v>
      </c>
      <c r="D107" s="66" t="s">
        <v>205</v>
      </c>
    </row>
    <row r="108" spans="1:4" x14ac:dyDescent="0.25">
      <c r="A108" s="63" t="s">
        <v>177</v>
      </c>
      <c r="D108" s="66" t="s">
        <v>206</v>
      </c>
    </row>
    <row r="109" spans="1:4" x14ac:dyDescent="0.25">
      <c r="A109" s="63" t="s">
        <v>172</v>
      </c>
      <c r="D109" s="66" t="s">
        <v>207</v>
      </c>
    </row>
    <row r="110" spans="1:4" x14ac:dyDescent="0.25">
      <c r="A110" s="63" t="s">
        <v>173</v>
      </c>
      <c r="D110" s="66" t="s">
        <v>208</v>
      </c>
    </row>
    <row r="111" spans="1:4" x14ac:dyDescent="0.25">
      <c r="A111" s="63" t="s">
        <v>174</v>
      </c>
      <c r="D111" s="66" t="s">
        <v>209</v>
      </c>
    </row>
    <row r="112" spans="1:4" x14ac:dyDescent="0.25">
      <c r="A112" s="63" t="s">
        <v>175</v>
      </c>
      <c r="D112" s="66" t="s">
        <v>210</v>
      </c>
    </row>
    <row r="113" spans="1:4" x14ac:dyDescent="0.25">
      <c r="A113" s="63" t="s">
        <v>176</v>
      </c>
      <c r="D113" s="66" t="s">
        <v>212</v>
      </c>
    </row>
    <row r="114" spans="1:4" x14ac:dyDescent="0.25">
      <c r="A114" s="52" t="s">
        <v>168</v>
      </c>
      <c r="D114" s="66" t="s">
        <v>211</v>
      </c>
    </row>
    <row r="115" spans="1:4" x14ac:dyDescent="0.25">
      <c r="A115" s="54" t="s">
        <v>82</v>
      </c>
    </row>
    <row r="116" spans="1:4" x14ac:dyDescent="0.25">
      <c r="A116" s="63" t="s">
        <v>179</v>
      </c>
    </row>
    <row r="117" spans="1:4" x14ac:dyDescent="0.25">
      <c r="A117" s="63" t="s">
        <v>102</v>
      </c>
      <c r="D117" t="s">
        <v>285</v>
      </c>
    </row>
    <row r="118" spans="1:4" x14ac:dyDescent="0.25">
      <c r="A118" s="63" t="s">
        <v>180</v>
      </c>
      <c r="D118" t="s">
        <v>240</v>
      </c>
    </row>
    <row r="119" spans="1:4" x14ac:dyDescent="0.25">
      <c r="A119" s="63" t="s">
        <v>181</v>
      </c>
    </row>
    <row r="120" spans="1:4" x14ac:dyDescent="0.25">
      <c r="A120" s="55" t="s">
        <v>182</v>
      </c>
    </row>
    <row r="121" spans="1:4" x14ac:dyDescent="0.25">
      <c r="A121" s="63" t="s">
        <v>126</v>
      </c>
    </row>
    <row r="122" spans="1:4" x14ac:dyDescent="0.25">
      <c r="A122" s="63" t="s">
        <v>183</v>
      </c>
    </row>
    <row r="123" spans="1:4" x14ac:dyDescent="0.25">
      <c r="A123" s="63" t="s">
        <v>184</v>
      </c>
    </row>
    <row r="124" spans="1:4" x14ac:dyDescent="0.25">
      <c r="A124" s="63" t="s">
        <v>185</v>
      </c>
    </row>
    <row r="125" spans="1:4" x14ac:dyDescent="0.25">
      <c r="A125" s="63" t="s">
        <v>186</v>
      </c>
    </row>
    <row r="126" spans="1:4" x14ac:dyDescent="0.25">
      <c r="A126" s="55" t="s">
        <v>187</v>
      </c>
    </row>
    <row r="127" spans="1:4" x14ac:dyDescent="0.25">
      <c r="A127" s="57" t="s">
        <v>191</v>
      </c>
    </row>
    <row r="128" spans="1:4" x14ac:dyDescent="0.25">
      <c r="A128" s="51" t="s">
        <v>188</v>
      </c>
    </row>
    <row r="129" spans="1:5" x14ac:dyDescent="0.25">
      <c r="A129" s="63" t="s">
        <v>24</v>
      </c>
    </row>
    <row r="130" spans="1:5" x14ac:dyDescent="0.25">
      <c r="A130" s="63" t="s">
        <v>189</v>
      </c>
    </row>
    <row r="131" spans="1:5" x14ac:dyDescent="0.25">
      <c r="A131" s="63" t="s">
        <v>190</v>
      </c>
    </row>
    <row r="132" spans="1:5" x14ac:dyDescent="0.25">
      <c r="A132" s="56" t="s">
        <v>191</v>
      </c>
    </row>
    <row r="134" spans="1:5" x14ac:dyDescent="0.25">
      <c r="A134" s="67" t="s">
        <v>130</v>
      </c>
    </row>
    <row r="135" spans="1:5" x14ac:dyDescent="0.25">
      <c r="A135" s="68">
        <v>1</v>
      </c>
      <c r="D135" t="s">
        <v>236</v>
      </c>
    </row>
    <row r="136" spans="1:5" x14ac:dyDescent="0.25">
      <c r="A136" s="68">
        <v>0.8</v>
      </c>
      <c r="D136" t="s">
        <v>235</v>
      </c>
    </row>
    <row r="137" spans="1:5" x14ac:dyDescent="0.25">
      <c r="A137" s="68">
        <v>0.6</v>
      </c>
      <c r="D137" t="s">
        <v>237</v>
      </c>
    </row>
    <row r="138" spans="1:5" x14ac:dyDescent="0.25">
      <c r="A138" s="68">
        <v>0.4</v>
      </c>
      <c r="D138" t="s">
        <v>238</v>
      </c>
    </row>
    <row r="139" spans="1:5" x14ac:dyDescent="0.25">
      <c r="A139" s="68">
        <v>0.2</v>
      </c>
      <c r="D139" t="s">
        <v>239</v>
      </c>
    </row>
    <row r="140" spans="1:5" x14ac:dyDescent="0.25">
      <c r="A140" s="68">
        <f>A139-0.2</f>
        <v>0</v>
      </c>
      <c r="B140" s="67"/>
      <c r="D140" t="s">
        <v>298</v>
      </c>
    </row>
    <row r="141" spans="1:5" x14ac:dyDescent="0.25">
      <c r="A141" s="76" t="s">
        <v>299</v>
      </c>
      <c r="D141" s="17"/>
      <c r="E141" s="17"/>
    </row>
    <row r="142" spans="1:5" x14ac:dyDescent="0.25">
      <c r="A142" s="73" t="s">
        <v>302</v>
      </c>
      <c r="D142" t="s">
        <v>305</v>
      </c>
    </row>
    <row r="143" spans="1:5" x14ac:dyDescent="0.25">
      <c r="A143" s="73" t="s">
        <v>304</v>
      </c>
      <c r="D143" t="s">
        <v>323</v>
      </c>
    </row>
    <row r="144" spans="1:5" x14ac:dyDescent="0.25">
      <c r="A144" s="72" t="s">
        <v>306</v>
      </c>
      <c r="D144" t="s">
        <v>320</v>
      </c>
    </row>
    <row r="145" spans="1:4" x14ac:dyDescent="0.25">
      <c r="A145" s="73" t="s">
        <v>307</v>
      </c>
      <c r="D145" t="s">
        <v>303</v>
      </c>
    </row>
    <row r="146" spans="1:4" x14ac:dyDescent="0.25">
      <c r="A146" s="72" t="s">
        <v>308</v>
      </c>
      <c r="D146" t="s">
        <v>315</v>
      </c>
    </row>
    <row r="147" spans="1:4" x14ac:dyDescent="0.25">
      <c r="A147" s="73" t="s">
        <v>309</v>
      </c>
      <c r="D147" t="s">
        <v>318</v>
      </c>
    </row>
    <row r="148" spans="1:4" x14ac:dyDescent="0.25">
      <c r="A148" s="73" t="s">
        <v>310</v>
      </c>
      <c r="D148" t="s">
        <v>322</v>
      </c>
    </row>
    <row r="149" spans="1:4" x14ac:dyDescent="0.25">
      <c r="A149" s="72" t="s">
        <v>311</v>
      </c>
      <c r="D149" t="s">
        <v>321</v>
      </c>
    </row>
    <row r="150" spans="1:4" x14ac:dyDescent="0.25">
      <c r="A150" s="73" t="s">
        <v>312</v>
      </c>
      <c r="D150" t="s">
        <v>316</v>
      </c>
    </row>
    <row r="151" spans="1:4" x14ac:dyDescent="0.25">
      <c r="A151" s="72" t="s">
        <v>313</v>
      </c>
      <c r="D151" t="s">
        <v>317</v>
      </c>
    </row>
    <row r="152" spans="1:4" x14ac:dyDescent="0.25">
      <c r="A152" s="73" t="s">
        <v>314</v>
      </c>
      <c r="D152" s="17" t="s">
        <v>319</v>
      </c>
    </row>
    <row r="153" spans="1:4" x14ac:dyDescent="0.25">
      <c r="A153" s="72" t="s">
        <v>300</v>
      </c>
      <c r="D153" s="17" t="s">
        <v>301</v>
      </c>
    </row>
    <row r="154" spans="1:4" x14ac:dyDescent="0.25">
      <c r="A154" s="72" t="s">
        <v>324</v>
      </c>
      <c r="D154" s="17" t="s">
        <v>325</v>
      </c>
    </row>
    <row r="155" spans="1:4" x14ac:dyDescent="0.25">
      <c r="A155" s="76" t="s">
        <v>373</v>
      </c>
    </row>
    <row r="156" spans="1:4" x14ac:dyDescent="0.25">
      <c r="A156" s="72" t="s">
        <v>374</v>
      </c>
      <c r="D156" t="s">
        <v>381</v>
      </c>
    </row>
    <row r="157" spans="1:4" x14ac:dyDescent="0.25">
      <c r="A157" s="72" t="s">
        <v>375</v>
      </c>
      <c r="D157" t="s">
        <v>382</v>
      </c>
    </row>
    <row r="158" spans="1:4" x14ac:dyDescent="0.25">
      <c r="A158" s="72" t="s">
        <v>376</v>
      </c>
      <c r="D158" t="s">
        <v>383</v>
      </c>
    </row>
    <row r="159" spans="1:4" x14ac:dyDescent="0.25">
      <c r="A159" s="72" t="s">
        <v>377</v>
      </c>
      <c r="D159" t="s">
        <v>384</v>
      </c>
    </row>
    <row r="160" spans="1:4" x14ac:dyDescent="0.25">
      <c r="A160" s="72" t="s">
        <v>378</v>
      </c>
      <c r="D160" t="s">
        <v>385</v>
      </c>
    </row>
    <row r="161" spans="1:15" x14ac:dyDescent="0.25">
      <c r="A161" s="72" t="s">
        <v>379</v>
      </c>
      <c r="D161" t="s">
        <v>386</v>
      </c>
    </row>
    <row r="162" spans="1:15" x14ac:dyDescent="0.25">
      <c r="A162" s="72" t="s">
        <v>380</v>
      </c>
      <c r="D162" t="s">
        <v>387</v>
      </c>
    </row>
    <row r="163" spans="1:15" x14ac:dyDescent="0.25">
      <c r="A163" s="72" t="s">
        <v>388</v>
      </c>
      <c r="D163" t="s">
        <v>387</v>
      </c>
    </row>
    <row r="165" spans="1:15" s="17" customFormat="1" x14ac:dyDescent="0.25"/>
    <row r="166" spans="1:15" x14ac:dyDescent="0.25">
      <c r="I166" s="17"/>
      <c r="K166" s="17"/>
      <c r="M166" s="17"/>
      <c r="O166" s="17"/>
    </row>
    <row r="167" spans="1:15" x14ac:dyDescent="0.25">
      <c r="I167" s="17"/>
      <c r="K167" s="17"/>
      <c r="M167" s="17"/>
      <c r="O167" s="17"/>
    </row>
    <row r="168" spans="1:15" x14ac:dyDescent="0.25">
      <c r="I168" s="17"/>
      <c r="K168" s="17"/>
      <c r="M168" s="17"/>
      <c r="O168" s="17"/>
    </row>
    <row r="169" spans="1:15" x14ac:dyDescent="0.25">
      <c r="I169" s="17"/>
      <c r="K169" s="17"/>
      <c r="M169" s="17"/>
      <c r="O169" s="17"/>
    </row>
    <row r="170" spans="1:15" x14ac:dyDescent="0.25">
      <c r="I170" s="17"/>
      <c r="K170" s="17"/>
      <c r="M170" s="17"/>
      <c r="O170" s="17"/>
    </row>
    <row r="171" spans="1:15" x14ac:dyDescent="0.25">
      <c r="I171" s="17"/>
      <c r="K171" s="17"/>
      <c r="M171" s="17"/>
      <c r="O171" s="17"/>
    </row>
    <row r="172" spans="1:15" x14ac:dyDescent="0.25">
      <c r="I172" s="17"/>
      <c r="K172" s="17"/>
      <c r="M172" s="17"/>
      <c r="O172" s="17"/>
    </row>
    <row r="173" spans="1:15" x14ac:dyDescent="0.25">
      <c r="I173" s="17"/>
      <c r="K173" s="17"/>
      <c r="M173" s="17"/>
      <c r="O173" s="17"/>
    </row>
    <row r="174" spans="1:15" x14ac:dyDescent="0.25">
      <c r="I174" s="17"/>
      <c r="K174" s="17"/>
      <c r="M174" s="17"/>
      <c r="O174" s="17"/>
    </row>
    <row r="175" spans="1:15" x14ac:dyDescent="0.25">
      <c r="I175" s="17"/>
      <c r="K175" s="17"/>
      <c r="M175" s="17"/>
      <c r="O175" s="17"/>
    </row>
    <row r="176" spans="1:15" x14ac:dyDescent="0.25">
      <c r="I176" s="17"/>
      <c r="K176" s="17"/>
      <c r="O176" s="17"/>
    </row>
    <row r="177" spans="9:15" x14ac:dyDescent="0.25">
      <c r="I177" s="17"/>
      <c r="K177" s="17"/>
      <c r="O177" s="17"/>
    </row>
    <row r="178" spans="9:15" x14ac:dyDescent="0.25">
      <c r="I178" s="17"/>
      <c r="K178" s="17"/>
      <c r="O178" s="17"/>
    </row>
    <row r="179" spans="9:15" x14ac:dyDescent="0.25">
      <c r="I179" s="17"/>
      <c r="K179" s="17"/>
      <c r="O179" s="17"/>
    </row>
    <row r="180" spans="9:15" x14ac:dyDescent="0.25">
      <c r="I180" s="17"/>
      <c r="K180" s="17"/>
      <c r="O180" s="17"/>
    </row>
    <row r="181" spans="9:15" x14ac:dyDescent="0.25">
      <c r="I181" s="17"/>
      <c r="K181" s="17"/>
      <c r="O181" s="17"/>
    </row>
    <row r="182" spans="9:15" x14ac:dyDescent="0.25">
      <c r="I182" s="17"/>
      <c r="K182" s="17"/>
      <c r="O182" s="17"/>
    </row>
    <row r="183" spans="9:15" x14ac:dyDescent="0.25">
      <c r="I183" s="17"/>
      <c r="K183" s="17"/>
      <c r="O183" s="17"/>
    </row>
    <row r="184" spans="9:15" x14ac:dyDescent="0.25">
      <c r="I184" s="17"/>
      <c r="K184" s="17"/>
      <c r="O184" s="17"/>
    </row>
    <row r="185" spans="9:15" x14ac:dyDescent="0.25">
      <c r="K185" s="17"/>
      <c r="O185" s="17"/>
    </row>
    <row r="196" spans="1:1" x14ac:dyDescent="0.25">
      <c r="A196" s="17"/>
    </row>
    <row r="207" spans="1:1" x14ac:dyDescent="0.25">
      <c r="A207" s="17"/>
    </row>
  </sheetData>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tabColor rgb="FFFFFF00"/>
  </sheetPr>
  <dimension ref="A1:EQ403"/>
  <sheetViews>
    <sheetView showGridLines="0" zoomScale="130" zoomScaleNormal="130" zoomScalePageLayoutView="130" workbookViewId="0">
      <pane ySplit="9" topLeftCell="A218" activePane="bottomLeft" state="frozen"/>
      <selection pane="bottomLeft" activeCell="AH312" sqref="AH312:AW315"/>
    </sheetView>
  </sheetViews>
  <sheetFormatPr defaultColWidth="1.28515625" defaultRowHeight="7.5" customHeight="1" x14ac:dyDescent="0.25"/>
  <cols>
    <col min="1" max="5" width="1.28515625" style="129"/>
    <col min="6" max="6" width="1.28515625" style="141"/>
    <col min="7" max="7" width="1.42578125" style="119" customWidth="1"/>
    <col min="8" max="121" width="1.28515625" style="119"/>
    <col min="122" max="122" width="6.42578125" style="119" customWidth="1"/>
    <col min="123" max="123" width="10" style="132" customWidth="1"/>
    <col min="124" max="174" width="10" style="119" customWidth="1"/>
    <col min="175" max="213" width="1.42578125" style="119" customWidth="1"/>
    <col min="214" max="16384" width="1.28515625" style="119"/>
  </cols>
  <sheetData>
    <row r="1" spans="1:147" ht="7.5" customHeight="1" x14ac:dyDescent="0.25">
      <c r="B1" s="469" t="s">
        <v>371</v>
      </c>
      <c r="C1" s="469"/>
      <c r="D1" s="469"/>
      <c r="E1" s="469"/>
      <c r="F1" s="469"/>
      <c r="G1" s="469"/>
      <c r="H1" s="469"/>
      <c r="I1" s="469"/>
      <c r="J1" s="469"/>
      <c r="K1" s="469"/>
      <c r="L1" s="469"/>
      <c r="M1" s="469"/>
      <c r="N1" s="469"/>
      <c r="O1" s="469"/>
      <c r="P1" s="469"/>
      <c r="Q1" s="469"/>
      <c r="R1" s="469"/>
      <c r="S1" s="469"/>
      <c r="T1" s="469"/>
      <c r="U1" s="469"/>
      <c r="V1" s="469"/>
      <c r="W1" s="469"/>
      <c r="X1" s="469"/>
      <c r="Y1" s="469"/>
      <c r="Z1" s="469"/>
      <c r="AA1" s="469"/>
      <c r="AB1" s="469"/>
      <c r="AC1" s="469"/>
      <c r="AD1" s="469"/>
      <c r="AE1" s="469"/>
      <c r="AF1" s="469"/>
      <c r="AG1" s="469"/>
      <c r="AH1" s="469"/>
      <c r="AI1" s="469"/>
      <c r="AJ1" s="469"/>
      <c r="DS1" s="119"/>
    </row>
    <row r="2" spans="1:147" ht="7.5" customHeight="1" x14ac:dyDescent="0.25">
      <c r="A2" s="119"/>
      <c r="B2" s="469"/>
      <c r="C2" s="469"/>
      <c r="D2" s="469"/>
      <c r="E2" s="469"/>
      <c r="F2" s="469"/>
      <c r="G2" s="469"/>
      <c r="H2" s="469"/>
      <c r="I2" s="469"/>
      <c r="J2" s="469"/>
      <c r="K2" s="469"/>
      <c r="L2" s="469"/>
      <c r="M2" s="469"/>
      <c r="N2" s="469"/>
      <c r="O2" s="469"/>
      <c r="P2" s="469"/>
      <c r="Q2" s="469"/>
      <c r="R2" s="469"/>
      <c r="S2" s="469"/>
      <c r="T2" s="469"/>
      <c r="U2" s="469"/>
      <c r="V2" s="469"/>
      <c r="W2" s="469"/>
      <c r="X2" s="469"/>
      <c r="Y2" s="469"/>
      <c r="Z2" s="469"/>
      <c r="AA2" s="469"/>
      <c r="AB2" s="469"/>
      <c r="AC2" s="469"/>
      <c r="AD2" s="469"/>
      <c r="AE2" s="469"/>
      <c r="AF2" s="469"/>
      <c r="AG2" s="469"/>
      <c r="AH2" s="469"/>
      <c r="AI2" s="469"/>
      <c r="AJ2" s="469"/>
      <c r="AK2" s="133"/>
      <c r="AW2" s="662"/>
      <c r="AX2" s="663"/>
      <c r="AY2" s="663"/>
      <c r="AZ2" s="663"/>
      <c r="BA2" s="663"/>
      <c r="BB2" s="663"/>
      <c r="BC2" s="663"/>
      <c r="BD2" s="663"/>
      <c r="BE2" s="663"/>
      <c r="BF2" s="663"/>
      <c r="BG2" s="663"/>
      <c r="BH2" s="663"/>
      <c r="BI2" s="663"/>
      <c r="BJ2" s="663"/>
      <c r="BK2" s="663"/>
      <c r="BL2" s="663"/>
      <c r="BM2" s="663"/>
      <c r="BN2" s="663"/>
      <c r="BO2" s="663"/>
      <c r="BP2" s="663"/>
      <c r="BQ2" s="663"/>
      <c r="BR2" s="663"/>
      <c r="BS2" s="663"/>
      <c r="BT2" s="663"/>
      <c r="BU2" s="663"/>
      <c r="BV2" s="663"/>
      <c r="BW2" s="663"/>
      <c r="BX2" s="663"/>
      <c r="BY2" s="663"/>
      <c r="BZ2" s="663"/>
      <c r="CA2" s="663"/>
      <c r="CB2" s="663"/>
      <c r="CC2" s="663"/>
      <c r="CD2" s="663"/>
      <c r="CE2" s="663"/>
      <c r="CF2" s="663"/>
      <c r="CG2" s="663"/>
      <c r="CH2" s="663"/>
      <c r="CI2" s="663"/>
      <c r="CJ2" s="663"/>
      <c r="CK2" s="663"/>
      <c r="CL2" s="663"/>
      <c r="CM2" s="663"/>
      <c r="CN2" s="663"/>
      <c r="CO2" s="663"/>
      <c r="CP2" s="663"/>
      <c r="CQ2" s="663"/>
      <c r="CR2" s="663"/>
      <c r="CS2" s="663"/>
      <c r="CT2" s="663"/>
      <c r="CU2" s="663"/>
      <c r="CV2" s="663"/>
      <c r="CW2" s="664"/>
      <c r="DS2" s="119"/>
    </row>
    <row r="3" spans="1:147" ht="7.5" customHeight="1" x14ac:dyDescent="0.25">
      <c r="A3" s="119"/>
      <c r="B3" s="450" t="s">
        <v>367</v>
      </c>
      <c r="C3" s="450"/>
      <c r="D3" s="450"/>
      <c r="E3" s="450"/>
      <c r="F3" s="450"/>
      <c r="G3" s="450"/>
      <c r="H3" s="450"/>
      <c r="I3" s="450"/>
      <c r="K3" s="450" t="s">
        <v>368</v>
      </c>
      <c r="L3" s="450"/>
      <c r="M3" s="450"/>
      <c r="N3" s="450"/>
      <c r="O3" s="450"/>
      <c r="P3" s="450"/>
      <c r="Q3" s="450"/>
      <c r="R3" s="450"/>
      <c r="T3" s="450" t="s">
        <v>369</v>
      </c>
      <c r="U3" s="450"/>
      <c r="V3" s="450"/>
      <c r="W3" s="450"/>
      <c r="X3" s="450"/>
      <c r="Y3" s="450"/>
      <c r="Z3" s="450"/>
      <c r="AA3" s="450"/>
      <c r="AC3" s="450" t="s">
        <v>370</v>
      </c>
      <c r="AD3" s="450"/>
      <c r="AE3" s="450"/>
      <c r="AF3" s="450"/>
      <c r="AG3" s="450"/>
      <c r="AH3" s="450"/>
      <c r="AI3" s="450"/>
      <c r="AJ3" s="450"/>
      <c r="AK3" s="133"/>
      <c r="AL3" s="654" t="e">
        <f>IF(Race="Human","Human: +10% exp bonus included.","")</f>
        <v>#REF!</v>
      </c>
      <c r="AM3" s="655"/>
      <c r="AN3" s="655"/>
      <c r="AO3" s="655"/>
      <c r="AP3" s="655"/>
      <c r="AQ3" s="655"/>
      <c r="AR3" s="655"/>
      <c r="AS3" s="655"/>
      <c r="AT3" s="655"/>
      <c r="AU3" s="656"/>
      <c r="AW3" s="665"/>
      <c r="AX3" s="666"/>
      <c r="AY3" s="666"/>
      <c r="AZ3" s="666"/>
      <c r="BA3" s="666"/>
      <c r="BB3" s="666"/>
      <c r="BC3" s="666"/>
      <c r="BD3" s="666"/>
      <c r="BE3" s="666"/>
      <c r="BF3" s="666"/>
      <c r="BG3" s="666"/>
      <c r="BH3" s="666"/>
      <c r="BI3" s="666"/>
      <c r="BJ3" s="666"/>
      <c r="BK3" s="666"/>
      <c r="BL3" s="666"/>
      <c r="BM3" s="666"/>
      <c r="BN3" s="666"/>
      <c r="BO3" s="666"/>
      <c r="BP3" s="666"/>
      <c r="BQ3" s="666"/>
      <c r="BR3" s="666"/>
      <c r="BS3" s="666"/>
      <c r="BT3" s="666"/>
      <c r="BU3" s="666"/>
      <c r="BV3" s="666"/>
      <c r="BW3" s="666"/>
      <c r="BX3" s="666"/>
      <c r="BY3" s="666"/>
      <c r="BZ3" s="666"/>
      <c r="CA3" s="666"/>
      <c r="CB3" s="666"/>
      <c r="CC3" s="666"/>
      <c r="CD3" s="666"/>
      <c r="CE3" s="666"/>
      <c r="CF3" s="666"/>
      <c r="CG3" s="666"/>
      <c r="CH3" s="666"/>
      <c r="CI3" s="666"/>
      <c r="CJ3" s="666"/>
      <c r="CK3" s="666"/>
      <c r="CL3" s="666"/>
      <c r="CM3" s="666"/>
      <c r="CN3" s="666"/>
      <c r="CO3" s="666"/>
      <c r="CP3" s="666"/>
      <c r="CQ3" s="666"/>
      <c r="CR3" s="666"/>
      <c r="CS3" s="666"/>
      <c r="CT3" s="666"/>
      <c r="CU3" s="666"/>
      <c r="CV3" s="666"/>
      <c r="CW3" s="667"/>
      <c r="DS3" s="119"/>
    </row>
    <row r="4" spans="1:147" ht="7.5" customHeight="1" x14ac:dyDescent="0.25">
      <c r="A4" s="119"/>
      <c r="B4" s="584"/>
      <c r="C4" s="584"/>
      <c r="D4" s="584"/>
      <c r="E4" s="584"/>
      <c r="F4" s="584"/>
      <c r="G4" s="584"/>
      <c r="H4" s="584"/>
      <c r="I4" s="584"/>
      <c r="K4" s="584"/>
      <c r="L4" s="584"/>
      <c r="M4" s="584"/>
      <c r="N4" s="584"/>
      <c r="O4" s="584"/>
      <c r="P4" s="584"/>
      <c r="Q4" s="584"/>
      <c r="R4" s="584"/>
      <c r="T4" s="584"/>
      <c r="U4" s="584"/>
      <c r="V4" s="584"/>
      <c r="W4" s="584"/>
      <c r="X4" s="584"/>
      <c r="Y4" s="584"/>
      <c r="Z4" s="584"/>
      <c r="AA4" s="584"/>
      <c r="AC4" s="584"/>
      <c r="AD4" s="584"/>
      <c r="AE4" s="584"/>
      <c r="AF4" s="584"/>
      <c r="AG4" s="584"/>
      <c r="AH4" s="584"/>
      <c r="AI4" s="584"/>
      <c r="AJ4" s="584"/>
      <c r="AK4" s="129"/>
      <c r="AL4" s="657"/>
      <c r="AM4" s="460"/>
      <c r="AN4" s="460"/>
      <c r="AO4" s="460"/>
      <c r="AP4" s="460"/>
      <c r="AQ4" s="460"/>
      <c r="AR4" s="460"/>
      <c r="AS4" s="460"/>
      <c r="AT4" s="460"/>
      <c r="AU4" s="658"/>
      <c r="AW4" s="665"/>
      <c r="AX4" s="666"/>
      <c r="AY4" s="666"/>
      <c r="AZ4" s="666"/>
      <c r="BA4" s="666"/>
      <c r="BB4" s="666"/>
      <c r="BC4" s="666"/>
      <c r="BD4" s="666"/>
      <c r="BE4" s="666"/>
      <c r="BF4" s="666"/>
      <c r="BG4" s="666"/>
      <c r="BH4" s="666"/>
      <c r="BI4" s="666"/>
      <c r="BJ4" s="666"/>
      <c r="BK4" s="666"/>
      <c r="BL4" s="666"/>
      <c r="BM4" s="666"/>
      <c r="BN4" s="666"/>
      <c r="BO4" s="666"/>
      <c r="BP4" s="666"/>
      <c r="BQ4" s="666"/>
      <c r="BR4" s="666"/>
      <c r="BS4" s="666"/>
      <c r="BT4" s="666"/>
      <c r="BU4" s="666"/>
      <c r="BV4" s="666"/>
      <c r="BW4" s="666"/>
      <c r="BX4" s="666"/>
      <c r="BY4" s="666"/>
      <c r="BZ4" s="666"/>
      <c r="CA4" s="666"/>
      <c r="CB4" s="666"/>
      <c r="CC4" s="666"/>
      <c r="CD4" s="666"/>
      <c r="CE4" s="666"/>
      <c r="CF4" s="666"/>
      <c r="CG4" s="666"/>
      <c r="CH4" s="666"/>
      <c r="CI4" s="666"/>
      <c r="CJ4" s="666"/>
      <c r="CK4" s="666"/>
      <c r="CL4" s="666"/>
      <c r="CM4" s="666"/>
      <c r="CN4" s="666"/>
      <c r="CO4" s="666"/>
      <c r="CP4" s="666"/>
      <c r="CQ4" s="666"/>
      <c r="CR4" s="666"/>
      <c r="CS4" s="666"/>
      <c r="CT4" s="666"/>
      <c r="CU4" s="666"/>
      <c r="CV4" s="666"/>
      <c r="CW4" s="667"/>
      <c r="DS4" s="119"/>
    </row>
    <row r="5" spans="1:147" ht="7.5" customHeight="1" x14ac:dyDescent="0.25">
      <c r="A5" s="119"/>
      <c r="B5" s="688">
        <v>1000</v>
      </c>
      <c r="C5" s="689"/>
      <c r="D5" s="689"/>
      <c r="E5" s="689"/>
      <c r="F5" s="689"/>
      <c r="G5" s="689"/>
      <c r="H5" s="689"/>
      <c r="I5" s="690"/>
      <c r="K5" s="688">
        <v>0</v>
      </c>
      <c r="L5" s="689"/>
      <c r="M5" s="689"/>
      <c r="N5" s="689"/>
      <c r="O5" s="689"/>
      <c r="P5" s="689"/>
      <c r="Q5" s="689"/>
      <c r="R5" s="690"/>
      <c r="T5" s="485" t="e">
        <f>SUM(K:M)</f>
        <v>#REF!</v>
      </c>
      <c r="U5" s="486"/>
      <c r="V5" s="486"/>
      <c r="W5" s="486"/>
      <c r="X5" s="486"/>
      <c r="Y5" s="486"/>
      <c r="Z5" s="486"/>
      <c r="AA5" s="487"/>
      <c r="AC5" s="680" t="e">
        <f>SUM(B5,K5,'OLD Pro Sheet'!A70:I71)*IF(Race="Human",1.1,1)-T5</f>
        <v>#REF!</v>
      </c>
      <c r="AD5" s="681"/>
      <c r="AE5" s="681"/>
      <c r="AF5" s="681"/>
      <c r="AG5" s="681"/>
      <c r="AH5" s="681"/>
      <c r="AI5" s="681"/>
      <c r="AJ5" s="682"/>
      <c r="AK5" s="129"/>
      <c r="AL5" s="659"/>
      <c r="AM5" s="660"/>
      <c r="AN5" s="660"/>
      <c r="AO5" s="660"/>
      <c r="AP5" s="660"/>
      <c r="AQ5" s="660"/>
      <c r="AR5" s="660"/>
      <c r="AS5" s="660"/>
      <c r="AT5" s="660"/>
      <c r="AU5" s="661"/>
      <c r="AW5" s="665"/>
      <c r="AX5" s="666"/>
      <c r="AY5" s="666"/>
      <c r="AZ5" s="666"/>
      <c r="BA5" s="666"/>
      <c r="BB5" s="666"/>
      <c r="BC5" s="666"/>
      <c r="BD5" s="666"/>
      <c r="BE5" s="666"/>
      <c r="BF5" s="666"/>
      <c r="BG5" s="666"/>
      <c r="BH5" s="666"/>
      <c r="BI5" s="666"/>
      <c r="BJ5" s="666"/>
      <c r="BK5" s="666"/>
      <c r="BL5" s="666"/>
      <c r="BM5" s="666"/>
      <c r="BN5" s="666"/>
      <c r="BO5" s="666"/>
      <c r="BP5" s="666"/>
      <c r="BQ5" s="666"/>
      <c r="BR5" s="666"/>
      <c r="BS5" s="666"/>
      <c r="BT5" s="666"/>
      <c r="BU5" s="666"/>
      <c r="BV5" s="666"/>
      <c r="BW5" s="666"/>
      <c r="BX5" s="666"/>
      <c r="BY5" s="666"/>
      <c r="BZ5" s="666"/>
      <c r="CA5" s="666"/>
      <c r="CB5" s="666"/>
      <c r="CC5" s="666"/>
      <c r="CD5" s="666"/>
      <c r="CE5" s="666"/>
      <c r="CF5" s="666"/>
      <c r="CG5" s="666"/>
      <c r="CH5" s="666"/>
      <c r="CI5" s="666"/>
      <c r="CJ5" s="666"/>
      <c r="CK5" s="666"/>
      <c r="CL5" s="666"/>
      <c r="CM5" s="666"/>
      <c r="CN5" s="666"/>
      <c r="CO5" s="666"/>
      <c r="CP5" s="666"/>
      <c r="CQ5" s="666"/>
      <c r="CR5" s="666"/>
      <c r="CS5" s="666"/>
      <c r="CT5" s="666"/>
      <c r="CU5" s="666"/>
      <c r="CV5" s="666"/>
      <c r="CW5" s="667"/>
      <c r="DS5" s="119"/>
    </row>
    <row r="6" spans="1:147" ht="7.5" customHeight="1" x14ac:dyDescent="0.25">
      <c r="A6" s="119"/>
      <c r="B6" s="691"/>
      <c r="C6" s="692"/>
      <c r="D6" s="692"/>
      <c r="E6" s="692"/>
      <c r="F6" s="692"/>
      <c r="G6" s="692"/>
      <c r="H6" s="692"/>
      <c r="I6" s="693"/>
      <c r="K6" s="691"/>
      <c r="L6" s="692"/>
      <c r="M6" s="692"/>
      <c r="N6" s="692"/>
      <c r="O6" s="692"/>
      <c r="P6" s="692"/>
      <c r="Q6" s="692"/>
      <c r="R6" s="693"/>
      <c r="T6" s="488"/>
      <c r="U6" s="489"/>
      <c r="V6" s="489"/>
      <c r="W6" s="489"/>
      <c r="X6" s="489"/>
      <c r="Y6" s="489"/>
      <c r="Z6" s="489"/>
      <c r="AA6" s="585"/>
      <c r="AC6" s="683"/>
      <c r="AD6" s="684"/>
      <c r="AE6" s="684"/>
      <c r="AF6" s="684"/>
      <c r="AG6" s="684"/>
      <c r="AH6" s="684"/>
      <c r="AI6" s="684"/>
      <c r="AJ6" s="685"/>
      <c r="AK6" s="129"/>
      <c r="AL6" s="134"/>
      <c r="AM6" s="134"/>
      <c r="AN6" s="678"/>
      <c r="AO6" s="678"/>
      <c r="AP6" s="678"/>
      <c r="AQ6" s="678"/>
      <c r="AR6" s="678"/>
      <c r="AS6" s="134"/>
      <c r="AT6" s="134"/>
      <c r="AU6" s="134"/>
      <c r="AW6" s="668"/>
      <c r="AX6" s="669"/>
      <c r="AY6" s="669"/>
      <c r="AZ6" s="669"/>
      <c r="BA6" s="669"/>
      <c r="BB6" s="669"/>
      <c r="BC6" s="669"/>
      <c r="BD6" s="669"/>
      <c r="BE6" s="669"/>
      <c r="BF6" s="669"/>
      <c r="BG6" s="669"/>
      <c r="BH6" s="669"/>
      <c r="BI6" s="669"/>
      <c r="BJ6" s="669"/>
      <c r="BK6" s="669"/>
      <c r="BL6" s="669"/>
      <c r="BM6" s="669"/>
      <c r="BN6" s="669"/>
      <c r="BO6" s="669"/>
      <c r="BP6" s="669"/>
      <c r="BQ6" s="669"/>
      <c r="BR6" s="669"/>
      <c r="BS6" s="669"/>
      <c r="BT6" s="669"/>
      <c r="BU6" s="669"/>
      <c r="BV6" s="669"/>
      <c r="BW6" s="669"/>
      <c r="BX6" s="669"/>
      <c r="BY6" s="669"/>
      <c r="BZ6" s="669"/>
      <c r="CA6" s="669"/>
      <c r="CB6" s="669"/>
      <c r="CC6" s="669"/>
      <c r="CD6" s="669"/>
      <c r="CE6" s="669"/>
      <c r="CF6" s="669"/>
      <c r="CG6" s="669"/>
      <c r="CH6" s="669"/>
      <c r="CI6" s="669"/>
      <c r="CJ6" s="669"/>
      <c r="CK6" s="669"/>
      <c r="CL6" s="669"/>
      <c r="CM6" s="669"/>
      <c r="CN6" s="669"/>
      <c r="CO6" s="669"/>
      <c r="CP6" s="669"/>
      <c r="CQ6" s="669"/>
      <c r="CR6" s="669"/>
      <c r="CS6" s="669"/>
      <c r="CT6" s="669"/>
      <c r="CU6" s="669"/>
      <c r="CV6" s="669"/>
      <c r="CW6" s="670"/>
      <c r="DS6" s="119"/>
    </row>
    <row r="7" spans="1:147" ht="7.5" customHeight="1" x14ac:dyDescent="0.25">
      <c r="A7" s="119"/>
      <c r="B7" s="119"/>
      <c r="C7" s="119"/>
      <c r="D7" s="119"/>
      <c r="E7" s="119"/>
      <c r="F7" s="119"/>
      <c r="AN7" s="679"/>
      <c r="AO7" s="679"/>
      <c r="AP7" s="679"/>
      <c r="AQ7" s="679"/>
      <c r="AR7" s="679"/>
      <c r="DS7" s="119"/>
    </row>
    <row r="8" spans="1:147" ht="7.5" customHeight="1" x14ac:dyDescent="0.25">
      <c r="A8" s="449" t="s">
        <v>354</v>
      </c>
      <c r="B8" s="449"/>
      <c r="C8" s="449"/>
      <c r="D8" s="449"/>
      <c r="E8" s="449"/>
      <c r="F8" s="676"/>
      <c r="G8" s="646" t="s">
        <v>355</v>
      </c>
      <c r="H8" s="449"/>
      <c r="I8" s="449"/>
      <c r="J8" s="449"/>
      <c r="K8" s="449"/>
      <c r="L8" s="449"/>
      <c r="M8" s="449"/>
      <c r="N8" s="449"/>
      <c r="O8" s="449"/>
      <c r="P8" s="449"/>
      <c r="Q8" s="449"/>
      <c r="R8" s="449"/>
      <c r="S8" s="449"/>
      <c r="T8" s="449"/>
      <c r="U8" s="449"/>
      <c r="V8" s="449"/>
      <c r="W8" s="449"/>
      <c r="X8" s="449"/>
      <c r="Y8" s="676"/>
      <c r="Z8" s="646" t="s">
        <v>357</v>
      </c>
      <c r="AA8" s="450"/>
      <c r="AB8" s="450"/>
      <c r="AC8" s="450"/>
      <c r="AD8" s="450"/>
      <c r="AE8" s="450"/>
      <c r="AF8" s="450"/>
      <c r="AG8" s="449"/>
      <c r="AH8" s="646" t="s">
        <v>399</v>
      </c>
      <c r="AI8" s="449"/>
      <c r="AJ8" s="449"/>
      <c r="AK8" s="449"/>
      <c r="AL8" s="449"/>
      <c r="AM8" s="449"/>
      <c r="AN8" s="449"/>
      <c r="AO8" s="449"/>
      <c r="AP8" s="449"/>
      <c r="AQ8" s="449"/>
      <c r="AR8" s="449"/>
      <c r="AS8" s="449"/>
      <c r="AT8" s="449"/>
      <c r="AU8" s="449"/>
      <c r="AV8" s="449"/>
      <c r="AW8" s="648"/>
      <c r="AX8" s="671" t="s">
        <v>191</v>
      </c>
      <c r="AY8" s="672"/>
      <c r="AZ8" s="672"/>
      <c r="BA8" s="672"/>
      <c r="BB8" s="672"/>
      <c r="BC8" s="672"/>
      <c r="BD8" s="672"/>
      <c r="BE8" s="672"/>
      <c r="BF8" s="672"/>
      <c r="BG8" s="672"/>
      <c r="BH8" s="672"/>
      <c r="BI8" s="672"/>
      <c r="BJ8" s="672"/>
      <c r="BK8" s="672"/>
      <c r="BL8" s="672"/>
      <c r="BM8" s="672"/>
      <c r="BN8" s="672"/>
      <c r="BO8" s="672"/>
      <c r="BP8" s="672"/>
      <c r="BQ8" s="672"/>
      <c r="BR8" s="672"/>
      <c r="BS8" s="672"/>
      <c r="BT8" s="672"/>
      <c r="BU8" s="672"/>
      <c r="BV8" s="672"/>
      <c r="BW8" s="672"/>
      <c r="BX8" s="672"/>
      <c r="BY8" s="672"/>
      <c r="BZ8" s="672"/>
      <c r="CA8" s="672"/>
      <c r="CB8" s="672"/>
      <c r="CC8" s="672"/>
      <c r="CD8" s="672"/>
      <c r="CE8" s="672"/>
      <c r="CF8" s="672"/>
      <c r="CG8" s="672"/>
      <c r="CH8" s="672"/>
      <c r="CI8" s="672"/>
      <c r="CJ8" s="672"/>
      <c r="CK8" s="672"/>
      <c r="CL8" s="672"/>
      <c r="CM8" s="672"/>
      <c r="CN8" s="672"/>
      <c r="CO8" s="672"/>
      <c r="CP8" s="672"/>
      <c r="CQ8" s="672"/>
      <c r="CR8" s="672"/>
      <c r="CS8" s="672"/>
      <c r="CT8" s="672"/>
      <c r="CU8" s="672"/>
      <c r="CV8" s="672"/>
      <c r="CW8" s="672"/>
      <c r="CX8" s="672"/>
      <c r="CY8" s="672"/>
      <c r="CZ8" s="672"/>
      <c r="DA8" s="672"/>
      <c r="DB8" s="672"/>
      <c r="DC8" s="672"/>
      <c r="DD8" s="672"/>
      <c r="DE8" s="672"/>
      <c r="DF8" s="672"/>
      <c r="DG8" s="672"/>
      <c r="DH8" s="672"/>
      <c r="DI8" s="672"/>
      <c r="DJ8" s="672"/>
      <c r="DK8" s="672"/>
      <c r="DL8" s="672"/>
      <c r="DM8" s="672"/>
      <c r="DN8" s="672"/>
      <c r="DO8" s="672"/>
      <c r="DP8" s="672"/>
      <c r="DQ8" s="672"/>
      <c r="DR8" s="230"/>
      <c r="DS8" s="629" t="s">
        <v>358</v>
      </c>
      <c r="DT8" s="629" t="s">
        <v>359</v>
      </c>
      <c r="DU8" s="629" t="s">
        <v>360</v>
      </c>
      <c r="DV8" s="629" t="s">
        <v>361</v>
      </c>
      <c r="DW8" s="629" t="s">
        <v>362</v>
      </c>
      <c r="DX8" s="629" t="s">
        <v>363</v>
      </c>
      <c r="DY8" s="629" t="s">
        <v>396</v>
      </c>
      <c r="DZ8" s="629" t="s">
        <v>365</v>
      </c>
      <c r="EA8" s="629" t="s">
        <v>366</v>
      </c>
      <c r="EB8" s="629" t="s">
        <v>151</v>
      </c>
      <c r="EC8" s="629" t="s">
        <v>152</v>
      </c>
      <c r="ED8" s="629" t="s">
        <v>148</v>
      </c>
      <c r="EE8" s="629" t="s">
        <v>397</v>
      </c>
      <c r="EF8" s="629" t="s">
        <v>156</v>
      </c>
      <c r="EG8" s="629" t="s">
        <v>398</v>
      </c>
      <c r="EH8" s="629" t="s">
        <v>158</v>
      </c>
      <c r="EI8" s="629" t="s">
        <v>158</v>
      </c>
      <c r="EJ8" s="629" t="s">
        <v>158</v>
      </c>
      <c r="EK8" s="629" t="s">
        <v>158</v>
      </c>
      <c r="EL8" s="629" t="s">
        <v>158</v>
      </c>
      <c r="EM8" s="629" t="s">
        <v>158</v>
      </c>
      <c r="EN8" s="629" t="s">
        <v>158</v>
      </c>
      <c r="EO8" s="629" t="s">
        <v>158</v>
      </c>
      <c r="EP8" s="629" t="s">
        <v>158</v>
      </c>
      <c r="EQ8" s="629" t="s">
        <v>158</v>
      </c>
    </row>
    <row r="9" spans="1:147" s="131" customFormat="1" ht="7.5" customHeight="1" x14ac:dyDescent="0.25">
      <c r="A9" s="650"/>
      <c r="B9" s="650"/>
      <c r="C9" s="650"/>
      <c r="D9" s="650"/>
      <c r="E9" s="650"/>
      <c r="F9" s="652"/>
      <c r="G9" s="649"/>
      <c r="H9" s="650"/>
      <c r="I9" s="650"/>
      <c r="J9" s="650"/>
      <c r="K9" s="650"/>
      <c r="L9" s="650"/>
      <c r="M9" s="650"/>
      <c r="N9" s="650"/>
      <c r="O9" s="650"/>
      <c r="P9" s="650"/>
      <c r="Q9" s="650"/>
      <c r="R9" s="650"/>
      <c r="S9" s="650"/>
      <c r="T9" s="650"/>
      <c r="U9" s="650"/>
      <c r="V9" s="650"/>
      <c r="W9" s="650"/>
      <c r="X9" s="650"/>
      <c r="Y9" s="652"/>
      <c r="Z9" s="649"/>
      <c r="AA9" s="650"/>
      <c r="AB9" s="650"/>
      <c r="AC9" s="650"/>
      <c r="AD9" s="650"/>
      <c r="AE9" s="650"/>
      <c r="AF9" s="650"/>
      <c r="AG9" s="650"/>
      <c r="AH9" s="649"/>
      <c r="AI9" s="650"/>
      <c r="AJ9" s="650"/>
      <c r="AK9" s="651"/>
      <c r="AL9" s="651"/>
      <c r="AM9" s="651"/>
      <c r="AN9" s="651"/>
      <c r="AO9" s="651"/>
      <c r="AP9" s="651"/>
      <c r="AQ9" s="651"/>
      <c r="AR9" s="651"/>
      <c r="AS9" s="650"/>
      <c r="AT9" s="650"/>
      <c r="AU9" s="650"/>
      <c r="AV9" s="650"/>
      <c r="AW9" s="652"/>
      <c r="AX9" s="673"/>
      <c r="AY9" s="674"/>
      <c r="AZ9" s="674"/>
      <c r="BA9" s="674"/>
      <c r="BB9" s="674"/>
      <c r="BC9" s="674"/>
      <c r="BD9" s="674"/>
      <c r="BE9" s="674"/>
      <c r="BF9" s="674"/>
      <c r="BG9" s="674"/>
      <c r="BH9" s="674"/>
      <c r="BI9" s="674"/>
      <c r="BJ9" s="674"/>
      <c r="BK9" s="674"/>
      <c r="BL9" s="674"/>
      <c r="BM9" s="674"/>
      <c r="BN9" s="674"/>
      <c r="BO9" s="674"/>
      <c r="BP9" s="674"/>
      <c r="BQ9" s="674"/>
      <c r="BR9" s="674"/>
      <c r="BS9" s="674"/>
      <c r="BT9" s="674"/>
      <c r="BU9" s="674"/>
      <c r="BV9" s="674"/>
      <c r="BW9" s="674"/>
      <c r="BX9" s="674"/>
      <c r="BY9" s="674"/>
      <c r="BZ9" s="674"/>
      <c r="CA9" s="674"/>
      <c r="CB9" s="674"/>
      <c r="CC9" s="674"/>
      <c r="CD9" s="674"/>
      <c r="CE9" s="674"/>
      <c r="CF9" s="674"/>
      <c r="CG9" s="674"/>
      <c r="CH9" s="674"/>
      <c r="CI9" s="674"/>
      <c r="CJ9" s="674"/>
      <c r="CK9" s="674"/>
      <c r="CL9" s="674"/>
      <c r="CM9" s="674"/>
      <c r="CN9" s="674"/>
      <c r="CO9" s="674"/>
      <c r="CP9" s="674"/>
      <c r="CQ9" s="674"/>
      <c r="CR9" s="674"/>
      <c r="CS9" s="674"/>
      <c r="CT9" s="674"/>
      <c r="CU9" s="674"/>
      <c r="CV9" s="674"/>
      <c r="CW9" s="674"/>
      <c r="CX9" s="674"/>
      <c r="CY9" s="674"/>
      <c r="CZ9" s="674"/>
      <c r="DA9" s="674"/>
      <c r="DB9" s="674"/>
      <c r="DC9" s="674"/>
      <c r="DD9" s="674"/>
      <c r="DE9" s="674"/>
      <c r="DF9" s="674"/>
      <c r="DG9" s="674"/>
      <c r="DH9" s="674"/>
      <c r="DI9" s="674"/>
      <c r="DJ9" s="674"/>
      <c r="DK9" s="674"/>
      <c r="DL9" s="674"/>
      <c r="DM9" s="674"/>
      <c r="DN9" s="674"/>
      <c r="DO9" s="674"/>
      <c r="DP9" s="674"/>
      <c r="DQ9" s="674"/>
      <c r="DR9" s="232"/>
      <c r="DS9" s="630"/>
      <c r="DT9" s="630"/>
      <c r="DU9" s="630"/>
      <c r="DV9" s="630"/>
      <c r="DW9" s="630"/>
      <c r="DX9" s="630"/>
      <c r="DY9" s="630"/>
      <c r="DZ9" s="630"/>
      <c r="EA9" s="630"/>
      <c r="EB9" s="630"/>
      <c r="EC9" s="630"/>
      <c r="ED9" s="630"/>
      <c r="EE9" s="630"/>
      <c r="EF9" s="630"/>
      <c r="EG9" s="630"/>
      <c r="EH9" s="630"/>
      <c r="EI9" s="630"/>
      <c r="EJ9" s="630"/>
      <c r="EK9" s="630"/>
      <c r="EL9" s="630"/>
      <c r="EM9" s="630"/>
      <c r="EN9" s="630"/>
      <c r="EO9" s="630"/>
      <c r="EP9" s="630"/>
      <c r="EQ9" s="630"/>
    </row>
    <row r="10" spans="1:147" s="129" customFormat="1" ht="7.5" customHeight="1" x14ac:dyDescent="0.25">
      <c r="B10" s="686" t="s">
        <v>372</v>
      </c>
      <c r="C10" s="686"/>
      <c r="D10" s="686"/>
      <c r="E10" s="686"/>
      <c r="F10" s="686"/>
      <c r="G10" s="686"/>
      <c r="H10" s="686"/>
      <c r="I10" s="686"/>
      <c r="J10" s="686"/>
      <c r="K10" s="686"/>
      <c r="L10" s="686"/>
      <c r="M10" s="686"/>
      <c r="N10" s="686"/>
      <c r="O10" s="686"/>
      <c r="P10" s="686"/>
      <c r="Q10" s="686"/>
      <c r="R10" s="686"/>
      <c r="S10" s="686"/>
      <c r="T10" s="686"/>
      <c r="U10" s="686"/>
      <c r="V10" s="686"/>
      <c r="W10" s="686"/>
      <c r="X10" s="686"/>
      <c r="Y10" s="686"/>
      <c r="Z10" s="686"/>
      <c r="AA10" s="686"/>
      <c r="AB10" s="686"/>
      <c r="AC10" s="686"/>
      <c r="AD10" s="686"/>
      <c r="AE10" s="686"/>
      <c r="AF10" s="686"/>
      <c r="AG10" s="686"/>
      <c r="AH10" s="135"/>
      <c r="AI10" s="135"/>
      <c r="AJ10" s="135"/>
      <c r="AK10" s="135"/>
      <c r="AL10" s="135"/>
      <c r="AM10" s="135"/>
      <c r="AN10" s="135"/>
      <c r="AO10" s="135"/>
      <c r="AP10" s="135"/>
      <c r="AQ10" s="135"/>
      <c r="AR10" s="135"/>
      <c r="AS10" s="135"/>
      <c r="AT10" s="135"/>
      <c r="AU10" s="135"/>
      <c r="AV10" s="135"/>
      <c r="AW10" s="135"/>
      <c r="AX10" s="136"/>
      <c r="AY10" s="136"/>
      <c r="AZ10" s="136"/>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c r="BW10" s="136"/>
      <c r="BX10" s="136"/>
      <c r="BY10" s="136"/>
      <c r="BZ10" s="136"/>
      <c r="CA10" s="136"/>
      <c r="CB10" s="136"/>
      <c r="CC10" s="136"/>
      <c r="CD10" s="136"/>
      <c r="CE10" s="136"/>
      <c r="CF10" s="136"/>
      <c r="CG10" s="136"/>
      <c r="CH10" s="136"/>
      <c r="CI10" s="136"/>
      <c r="CJ10" s="136"/>
      <c r="CK10" s="136"/>
      <c r="CL10" s="136"/>
      <c r="CM10" s="136"/>
      <c r="CN10" s="136"/>
      <c r="CO10" s="136"/>
      <c r="CP10" s="136"/>
      <c r="CQ10" s="136"/>
      <c r="CR10" s="136"/>
      <c r="CS10" s="136"/>
      <c r="CT10" s="136"/>
      <c r="CU10" s="136"/>
      <c r="CV10" s="136"/>
      <c r="CW10" s="136"/>
      <c r="CX10" s="136"/>
      <c r="CY10" s="136"/>
      <c r="CZ10" s="136"/>
      <c r="DA10" s="136"/>
      <c r="DB10" s="136"/>
      <c r="DC10" s="136"/>
      <c r="DD10" s="136"/>
      <c r="DE10" s="136"/>
      <c r="DF10" s="136"/>
      <c r="DG10" s="136"/>
      <c r="DH10" s="136"/>
      <c r="DI10" s="136"/>
      <c r="DJ10" s="136"/>
      <c r="DK10" s="136"/>
      <c r="DL10" s="136"/>
      <c r="DM10" s="136"/>
      <c r="DN10" s="136"/>
      <c r="DO10" s="136"/>
      <c r="DP10" s="136"/>
      <c r="DQ10" s="136"/>
      <c r="DR10" s="228"/>
      <c r="DS10" s="132"/>
    </row>
    <row r="11" spans="1:147" s="129" customFormat="1" ht="7.5" customHeight="1" x14ac:dyDescent="0.25">
      <c r="A11" s="137"/>
      <c r="B11" s="687"/>
      <c r="C11" s="687"/>
      <c r="D11" s="687"/>
      <c r="E11" s="687"/>
      <c r="F11" s="687"/>
      <c r="G11" s="687"/>
      <c r="H11" s="687"/>
      <c r="I11" s="687"/>
      <c r="J11" s="687"/>
      <c r="K11" s="687"/>
      <c r="L11" s="687"/>
      <c r="M11" s="687"/>
      <c r="N11" s="687"/>
      <c r="O11" s="687"/>
      <c r="P11" s="687"/>
      <c r="Q11" s="687"/>
      <c r="R11" s="687"/>
      <c r="S11" s="687"/>
      <c r="T11" s="687"/>
      <c r="U11" s="687"/>
      <c r="V11" s="687"/>
      <c r="W11" s="687"/>
      <c r="X11" s="687"/>
      <c r="Y11" s="687"/>
      <c r="Z11" s="687"/>
      <c r="AA11" s="687"/>
      <c r="AB11" s="687"/>
      <c r="AC11" s="687"/>
      <c r="AD11" s="687"/>
      <c r="AE11" s="687"/>
      <c r="AF11" s="687"/>
      <c r="AG11" s="687"/>
      <c r="AH11" s="138"/>
      <c r="AI11" s="138"/>
      <c r="AJ11" s="138"/>
      <c r="AK11" s="138"/>
      <c r="AL11" s="138"/>
      <c r="AM11" s="138"/>
      <c r="AN11" s="138"/>
      <c r="AO11" s="138"/>
      <c r="AP11" s="138"/>
      <c r="AQ11" s="138"/>
      <c r="AR11" s="138"/>
      <c r="AS11" s="138"/>
      <c r="AT11" s="138"/>
      <c r="AU11" s="138"/>
      <c r="AV11" s="138"/>
      <c r="AW11" s="138"/>
      <c r="AX11" s="136"/>
      <c r="AY11" s="136"/>
      <c r="AZ11" s="136"/>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c r="BW11" s="136"/>
      <c r="BX11" s="136"/>
      <c r="BY11" s="136"/>
      <c r="BZ11" s="136"/>
      <c r="CA11" s="136"/>
      <c r="CB11" s="136"/>
      <c r="CC11" s="136"/>
      <c r="CD11" s="136"/>
      <c r="CE11" s="136"/>
      <c r="CF11" s="136"/>
      <c r="CG11" s="136"/>
      <c r="CH11" s="136"/>
      <c r="CI11" s="136"/>
      <c r="CJ11" s="136"/>
      <c r="CK11" s="136"/>
      <c r="CL11" s="136"/>
      <c r="CM11" s="136"/>
      <c r="CN11" s="136"/>
      <c r="CO11" s="136"/>
      <c r="CP11" s="136"/>
      <c r="CQ11" s="136"/>
      <c r="CR11" s="136"/>
      <c r="CS11" s="136"/>
      <c r="CT11" s="136"/>
      <c r="CU11" s="136"/>
      <c r="CV11" s="136"/>
      <c r="CW11" s="136"/>
      <c r="CX11" s="136"/>
      <c r="CY11" s="136"/>
      <c r="CZ11" s="136"/>
      <c r="DA11" s="136"/>
      <c r="DB11" s="136"/>
      <c r="DC11" s="136"/>
      <c r="DD11" s="136"/>
      <c r="DE11" s="136"/>
      <c r="DF11" s="136"/>
      <c r="DG11" s="136"/>
      <c r="DH11" s="136"/>
      <c r="DI11" s="136"/>
      <c r="DJ11" s="136"/>
      <c r="DK11" s="136"/>
      <c r="DL11" s="136"/>
      <c r="DM11" s="136"/>
      <c r="DN11" s="136"/>
      <c r="DO11" s="136"/>
      <c r="DP11" s="136"/>
      <c r="DQ11" s="136"/>
      <c r="DR11" s="228"/>
      <c r="DS11" s="132"/>
    </row>
    <row r="12" spans="1:147" s="129" customFormat="1" ht="7.5" customHeight="1" x14ac:dyDescent="0.25">
      <c r="A12" s="137"/>
      <c r="B12" s="687"/>
      <c r="C12" s="687"/>
      <c r="D12" s="687"/>
      <c r="E12" s="687"/>
      <c r="F12" s="687"/>
      <c r="G12" s="687"/>
      <c r="H12" s="687"/>
      <c r="I12" s="687"/>
      <c r="J12" s="687"/>
      <c r="K12" s="687"/>
      <c r="L12" s="687"/>
      <c r="M12" s="687"/>
      <c r="N12" s="687"/>
      <c r="O12" s="687"/>
      <c r="P12" s="687"/>
      <c r="Q12" s="687"/>
      <c r="R12" s="687"/>
      <c r="S12" s="687"/>
      <c r="T12" s="687"/>
      <c r="U12" s="687"/>
      <c r="V12" s="687"/>
      <c r="W12" s="687"/>
      <c r="X12" s="687"/>
      <c r="Y12" s="687"/>
      <c r="Z12" s="687"/>
      <c r="AA12" s="687"/>
      <c r="AB12" s="687"/>
      <c r="AC12" s="687"/>
      <c r="AD12" s="687"/>
      <c r="AE12" s="687"/>
      <c r="AF12" s="687"/>
      <c r="AG12" s="687"/>
      <c r="AH12" s="139"/>
      <c r="AI12" s="139"/>
      <c r="AJ12" s="139"/>
      <c r="AK12" s="139"/>
      <c r="AL12" s="139"/>
      <c r="AM12" s="139"/>
      <c r="AN12" s="139"/>
      <c r="AO12" s="139"/>
      <c r="AP12" s="139"/>
      <c r="AQ12" s="139"/>
      <c r="AR12" s="139"/>
      <c r="AS12" s="139"/>
      <c r="AT12" s="139"/>
      <c r="AU12" s="139"/>
      <c r="AV12" s="139"/>
      <c r="AW12" s="139"/>
      <c r="AX12" s="136"/>
      <c r="AY12" s="136"/>
      <c r="AZ12" s="136"/>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c r="BW12" s="136"/>
      <c r="BX12" s="136"/>
      <c r="BY12" s="136"/>
      <c r="BZ12" s="136"/>
      <c r="CA12" s="136"/>
      <c r="CB12" s="136"/>
      <c r="CC12" s="136"/>
      <c r="CD12" s="136"/>
      <c r="CE12" s="136"/>
      <c r="CF12" s="136"/>
      <c r="CG12" s="136"/>
      <c r="CH12" s="136"/>
      <c r="CI12" s="136"/>
      <c r="CJ12" s="136"/>
      <c r="CK12" s="136"/>
      <c r="CL12" s="136"/>
      <c r="CM12" s="136"/>
      <c r="CN12" s="136"/>
      <c r="CO12" s="136"/>
      <c r="CP12" s="136"/>
      <c r="CQ12" s="136"/>
      <c r="CR12" s="136"/>
      <c r="CS12" s="136"/>
      <c r="CT12" s="136"/>
      <c r="CU12" s="136"/>
      <c r="CV12" s="136"/>
      <c r="CW12" s="136"/>
      <c r="CX12" s="136"/>
      <c r="CY12" s="136"/>
      <c r="CZ12" s="136"/>
      <c r="DA12" s="136"/>
      <c r="DB12" s="136"/>
      <c r="DC12" s="136"/>
      <c r="DD12" s="136"/>
      <c r="DE12" s="136"/>
      <c r="DF12" s="136"/>
      <c r="DG12" s="136"/>
      <c r="DH12" s="136"/>
      <c r="DI12" s="136"/>
      <c r="DJ12" s="136"/>
      <c r="DK12" s="136"/>
      <c r="DL12" s="136"/>
      <c r="DM12" s="136"/>
      <c r="DN12" s="136"/>
      <c r="DO12" s="136"/>
      <c r="DP12" s="136"/>
      <c r="DQ12" s="136"/>
      <c r="DR12" s="228"/>
      <c r="DS12" s="132"/>
    </row>
    <row r="13" spans="1:147" ht="7.5" customHeight="1" x14ac:dyDescent="0.25">
      <c r="A13" s="588">
        <v>0</v>
      </c>
      <c r="B13" s="589"/>
      <c r="C13" s="589"/>
      <c r="D13" s="589"/>
      <c r="E13" s="590"/>
      <c r="F13" s="129"/>
      <c r="G13" s="597" t="s">
        <v>358</v>
      </c>
      <c r="H13" s="597"/>
      <c r="I13" s="597"/>
      <c r="J13" s="597"/>
      <c r="K13" s="597"/>
      <c r="L13" s="597"/>
      <c r="M13" s="597"/>
      <c r="N13" s="597"/>
      <c r="O13" s="597"/>
      <c r="P13" s="597"/>
      <c r="Q13" s="597"/>
      <c r="R13" s="597"/>
      <c r="S13" s="597"/>
      <c r="T13" s="597"/>
      <c r="U13" s="597"/>
      <c r="V13" s="597"/>
      <c r="W13" s="597"/>
      <c r="X13" s="597"/>
      <c r="Y13" s="597"/>
      <c r="Z13" s="600" t="e">
        <f>STR*5</f>
        <v>#REF!</v>
      </c>
      <c r="AA13" s="600"/>
      <c r="AB13" s="600"/>
      <c r="AC13" s="600"/>
      <c r="AD13" s="600"/>
      <c r="AE13" s="600"/>
      <c r="AF13" s="600"/>
      <c r="AG13" s="601"/>
      <c r="AH13" s="643"/>
      <c r="AI13" s="644"/>
      <c r="AJ13" s="644"/>
      <c r="AK13" s="644"/>
      <c r="AL13" s="644"/>
      <c r="AM13" s="644"/>
      <c r="AN13" s="644"/>
      <c r="AO13" s="644"/>
      <c r="AP13" s="644"/>
      <c r="AQ13" s="644"/>
      <c r="AR13" s="644"/>
      <c r="AS13" s="644"/>
      <c r="AT13" s="644"/>
      <c r="AU13" s="644"/>
      <c r="AV13" s="644"/>
      <c r="AW13" s="645"/>
      <c r="AX13" s="616" t="e">
        <f>"Further increases your Strength score from "&amp;STR&amp;" to "&amp;STR+1</f>
        <v>#REF!</v>
      </c>
      <c r="AY13" s="616"/>
      <c r="AZ13" s="616"/>
      <c r="BA13" s="616"/>
      <c r="BB13" s="616"/>
      <c r="BC13" s="616"/>
      <c r="BD13" s="616"/>
      <c r="BE13" s="616"/>
      <c r="BF13" s="616"/>
      <c r="BG13" s="616"/>
      <c r="BH13" s="616"/>
      <c r="BI13" s="616"/>
      <c r="BJ13" s="616"/>
      <c r="BK13" s="616"/>
      <c r="BL13" s="616"/>
      <c r="BM13" s="616"/>
      <c r="BN13" s="616"/>
      <c r="BO13" s="616"/>
      <c r="BP13" s="616"/>
      <c r="BQ13" s="616"/>
      <c r="BR13" s="616"/>
      <c r="BS13" s="616"/>
      <c r="BT13" s="616"/>
      <c r="BU13" s="616"/>
      <c r="BV13" s="616"/>
      <c r="BW13" s="616"/>
      <c r="BX13" s="616"/>
      <c r="BY13" s="616"/>
      <c r="BZ13" s="616"/>
      <c r="CA13" s="616"/>
      <c r="CB13" s="616"/>
      <c r="CC13" s="616"/>
      <c r="CD13" s="616"/>
      <c r="CE13" s="616"/>
      <c r="CF13" s="616"/>
      <c r="CG13" s="616"/>
      <c r="CH13" s="616"/>
      <c r="CI13" s="616"/>
      <c r="CJ13" s="616"/>
      <c r="CK13" s="616"/>
      <c r="CL13" s="616"/>
      <c r="CM13" s="616"/>
      <c r="CN13" s="616"/>
      <c r="CO13" s="616"/>
      <c r="CP13" s="616"/>
      <c r="CQ13" s="616"/>
      <c r="CR13" s="616"/>
      <c r="CS13" s="616"/>
      <c r="CT13" s="616"/>
      <c r="CU13" s="616"/>
      <c r="CV13" s="616"/>
      <c r="CW13" s="616"/>
      <c r="CX13" s="616"/>
      <c r="CY13" s="616"/>
      <c r="CZ13" s="616"/>
      <c r="DA13" s="616"/>
      <c r="DB13" s="616"/>
      <c r="DC13" s="616"/>
      <c r="DD13" s="616"/>
      <c r="DE13" s="616"/>
      <c r="DF13" s="616"/>
      <c r="DG13" s="616"/>
      <c r="DH13" s="616"/>
      <c r="DI13" s="616"/>
      <c r="DJ13" s="616"/>
      <c r="DK13" s="616"/>
      <c r="DL13" s="616"/>
      <c r="DM13" s="616"/>
      <c r="DN13" s="616"/>
      <c r="DO13" s="616"/>
      <c r="DP13" s="616"/>
      <c r="DQ13" s="617"/>
      <c r="DR13" s="229"/>
    </row>
    <row r="14" spans="1:147" ht="7.5" customHeight="1" x14ac:dyDescent="0.25">
      <c r="A14" s="591"/>
      <c r="B14" s="592"/>
      <c r="C14" s="592"/>
      <c r="D14" s="592"/>
      <c r="E14" s="593"/>
      <c r="F14" s="129"/>
      <c r="G14" s="598"/>
      <c r="H14" s="598"/>
      <c r="I14" s="598"/>
      <c r="J14" s="598"/>
      <c r="K14" s="598"/>
      <c r="L14" s="598"/>
      <c r="M14" s="598"/>
      <c r="N14" s="598"/>
      <c r="O14" s="598"/>
      <c r="P14" s="598"/>
      <c r="Q14" s="598"/>
      <c r="R14" s="598"/>
      <c r="S14" s="598"/>
      <c r="T14" s="598"/>
      <c r="U14" s="598"/>
      <c r="V14" s="598"/>
      <c r="W14" s="598"/>
      <c r="X14" s="598"/>
      <c r="Y14" s="598"/>
      <c r="Z14" s="602"/>
      <c r="AA14" s="602"/>
      <c r="AB14" s="602"/>
      <c r="AC14" s="602"/>
      <c r="AD14" s="602"/>
      <c r="AE14" s="602"/>
      <c r="AF14" s="602"/>
      <c r="AG14" s="635"/>
      <c r="AH14" s="646"/>
      <c r="AI14" s="449"/>
      <c r="AJ14" s="449"/>
      <c r="AK14" s="449"/>
      <c r="AL14" s="449"/>
      <c r="AM14" s="449"/>
      <c r="AN14" s="449"/>
      <c r="AO14" s="449"/>
      <c r="AP14" s="449"/>
      <c r="AQ14" s="449"/>
      <c r="AR14" s="449"/>
      <c r="AS14" s="449"/>
      <c r="AT14" s="449"/>
      <c r="AU14" s="449"/>
      <c r="AV14" s="449"/>
      <c r="AW14" s="647"/>
      <c r="AX14" s="619"/>
      <c r="AY14" s="619"/>
      <c r="AZ14" s="619"/>
      <c r="BA14" s="619"/>
      <c r="BB14" s="619"/>
      <c r="BC14" s="619"/>
      <c r="BD14" s="619"/>
      <c r="BE14" s="619"/>
      <c r="BF14" s="619"/>
      <c r="BG14" s="619"/>
      <c r="BH14" s="619"/>
      <c r="BI14" s="619"/>
      <c r="BJ14" s="619"/>
      <c r="BK14" s="619"/>
      <c r="BL14" s="619"/>
      <c r="BM14" s="619"/>
      <c r="BN14" s="619"/>
      <c r="BO14" s="619"/>
      <c r="BP14" s="619"/>
      <c r="BQ14" s="619"/>
      <c r="BR14" s="619"/>
      <c r="BS14" s="619"/>
      <c r="BT14" s="619"/>
      <c r="BU14" s="619"/>
      <c r="BV14" s="619"/>
      <c r="BW14" s="619"/>
      <c r="BX14" s="619"/>
      <c r="BY14" s="619"/>
      <c r="BZ14" s="619"/>
      <c r="CA14" s="619"/>
      <c r="CB14" s="619"/>
      <c r="CC14" s="619"/>
      <c r="CD14" s="619"/>
      <c r="CE14" s="619"/>
      <c r="CF14" s="619"/>
      <c r="CG14" s="619"/>
      <c r="CH14" s="619"/>
      <c r="CI14" s="619"/>
      <c r="CJ14" s="619"/>
      <c r="CK14" s="619"/>
      <c r="CL14" s="619"/>
      <c r="CM14" s="619"/>
      <c r="CN14" s="619"/>
      <c r="CO14" s="619"/>
      <c r="CP14" s="619"/>
      <c r="CQ14" s="619"/>
      <c r="CR14" s="619"/>
      <c r="CS14" s="619"/>
      <c r="CT14" s="619"/>
      <c r="CU14" s="619"/>
      <c r="CV14" s="619"/>
      <c r="CW14" s="619"/>
      <c r="CX14" s="619"/>
      <c r="CY14" s="619"/>
      <c r="CZ14" s="619"/>
      <c r="DA14" s="619"/>
      <c r="DB14" s="619"/>
      <c r="DC14" s="619"/>
      <c r="DD14" s="619"/>
      <c r="DE14" s="619"/>
      <c r="DF14" s="619"/>
      <c r="DG14" s="619"/>
      <c r="DH14" s="619"/>
      <c r="DI14" s="619"/>
      <c r="DJ14" s="619"/>
      <c r="DK14" s="619"/>
      <c r="DL14" s="619"/>
      <c r="DM14" s="619"/>
      <c r="DN14" s="619"/>
      <c r="DO14" s="619"/>
      <c r="DP14" s="619"/>
      <c r="DQ14" s="639"/>
      <c r="DR14" s="229"/>
    </row>
    <row r="15" spans="1:147" ht="7.5" customHeight="1" x14ac:dyDescent="0.25">
      <c r="A15" s="594"/>
      <c r="B15" s="595"/>
      <c r="C15" s="595"/>
      <c r="D15" s="595"/>
      <c r="E15" s="596"/>
      <c r="F15" s="129"/>
      <c r="G15" s="599"/>
      <c r="H15" s="599"/>
      <c r="I15" s="599"/>
      <c r="J15" s="599"/>
      <c r="K15" s="599"/>
      <c r="L15" s="599"/>
      <c r="M15" s="599"/>
      <c r="N15" s="599"/>
      <c r="O15" s="599"/>
      <c r="P15" s="599"/>
      <c r="Q15" s="599"/>
      <c r="R15" s="599"/>
      <c r="S15" s="599"/>
      <c r="T15" s="599"/>
      <c r="U15" s="599"/>
      <c r="V15" s="599"/>
      <c r="W15" s="599"/>
      <c r="X15" s="599"/>
      <c r="Y15" s="599"/>
      <c r="Z15" s="602"/>
      <c r="AA15" s="602"/>
      <c r="AB15" s="602"/>
      <c r="AC15" s="602"/>
      <c r="AD15" s="602"/>
      <c r="AE15" s="602"/>
      <c r="AF15" s="602"/>
      <c r="AG15" s="636"/>
      <c r="AH15" s="646"/>
      <c r="AI15" s="449"/>
      <c r="AJ15" s="449"/>
      <c r="AK15" s="449"/>
      <c r="AL15" s="449"/>
      <c r="AM15" s="449"/>
      <c r="AN15" s="449"/>
      <c r="AO15" s="449"/>
      <c r="AP15" s="449"/>
      <c r="AQ15" s="449"/>
      <c r="AR15" s="449"/>
      <c r="AS15" s="449"/>
      <c r="AT15" s="449"/>
      <c r="AU15" s="449"/>
      <c r="AV15" s="449"/>
      <c r="AW15" s="648"/>
      <c r="AX15" s="619"/>
      <c r="AY15" s="619"/>
      <c r="AZ15" s="619"/>
      <c r="BA15" s="619"/>
      <c r="BB15" s="619"/>
      <c r="BC15" s="619"/>
      <c r="BD15" s="619"/>
      <c r="BE15" s="619"/>
      <c r="BF15" s="619"/>
      <c r="BG15" s="619"/>
      <c r="BH15" s="619"/>
      <c r="BI15" s="619"/>
      <c r="BJ15" s="619"/>
      <c r="BK15" s="619"/>
      <c r="BL15" s="619"/>
      <c r="BM15" s="619"/>
      <c r="BN15" s="619"/>
      <c r="BO15" s="619"/>
      <c r="BP15" s="619"/>
      <c r="BQ15" s="619"/>
      <c r="BR15" s="619"/>
      <c r="BS15" s="619"/>
      <c r="BT15" s="619"/>
      <c r="BU15" s="619"/>
      <c r="BV15" s="619"/>
      <c r="BW15" s="619"/>
      <c r="BX15" s="619"/>
      <c r="BY15" s="619"/>
      <c r="BZ15" s="619"/>
      <c r="CA15" s="619"/>
      <c r="CB15" s="619"/>
      <c r="CC15" s="619"/>
      <c r="CD15" s="619"/>
      <c r="CE15" s="619"/>
      <c r="CF15" s="619"/>
      <c r="CG15" s="619"/>
      <c r="CH15" s="619"/>
      <c r="CI15" s="619"/>
      <c r="CJ15" s="619"/>
      <c r="CK15" s="619"/>
      <c r="CL15" s="619"/>
      <c r="CM15" s="619"/>
      <c r="CN15" s="619"/>
      <c r="CO15" s="619"/>
      <c r="CP15" s="619"/>
      <c r="CQ15" s="619"/>
      <c r="CR15" s="619"/>
      <c r="CS15" s="619"/>
      <c r="CT15" s="619"/>
      <c r="CU15" s="619"/>
      <c r="CV15" s="619"/>
      <c r="CW15" s="619"/>
      <c r="CX15" s="619"/>
      <c r="CY15" s="619"/>
      <c r="CZ15" s="619"/>
      <c r="DA15" s="619"/>
      <c r="DB15" s="619"/>
      <c r="DC15" s="619"/>
      <c r="DD15" s="619"/>
      <c r="DE15" s="619"/>
      <c r="DF15" s="619"/>
      <c r="DG15" s="619"/>
      <c r="DH15" s="619"/>
      <c r="DI15" s="619"/>
      <c r="DJ15" s="619"/>
      <c r="DK15" s="619"/>
      <c r="DL15" s="619"/>
      <c r="DM15" s="619"/>
      <c r="DN15" s="619"/>
      <c r="DO15" s="619"/>
      <c r="DP15" s="619"/>
      <c r="DQ15" s="640"/>
      <c r="DR15" s="229"/>
    </row>
    <row r="16" spans="1:147" ht="7.5" customHeight="1" x14ac:dyDescent="0.25">
      <c r="A16" s="30"/>
      <c r="B16" s="30"/>
      <c r="C16" s="30"/>
      <c r="D16" s="30"/>
      <c r="E16" s="30"/>
      <c r="F16" s="697" t="str">
        <f>G13</f>
        <v>Strength</v>
      </c>
      <c r="G16" s="697"/>
      <c r="H16" s="697"/>
      <c r="I16" s="697"/>
      <c r="J16" s="697"/>
      <c r="K16" s="694" t="e">
        <f>(STR*(STR-1)/2-(BaseSTR*(BaseSTR-1))/2)*5</f>
        <v>#REF!</v>
      </c>
      <c r="L16" s="694"/>
      <c r="M16" s="694"/>
      <c r="N16" s="626" t="b">
        <f>IF(AH9&lt;&gt;"",VLOOKUP($G13,'Merit Data'!A:BW,MATCH('Merit Data'!$B$3,'Merit Data'!$3:$3,0),0),TRUE)</f>
        <v>1</v>
      </c>
      <c r="O16" s="626"/>
      <c r="P16" s="626"/>
      <c r="Q16" s="156"/>
      <c r="R16" s="156"/>
      <c r="S16" s="156"/>
      <c r="T16" s="156"/>
      <c r="U16" s="156"/>
      <c r="V16" s="238"/>
      <c r="W16" s="238"/>
      <c r="X16" s="627" t="str">
        <f>IF(F16&gt;0,HYPERLINK("http://wiki.project-saros.com/w/"&amp;F16,"Info"),"")</f>
        <v>Info</v>
      </c>
      <c r="Y16" s="628"/>
      <c r="Z16" s="637"/>
      <c r="AA16" s="637"/>
      <c r="AB16" s="637"/>
      <c r="AC16" s="637"/>
      <c r="AD16" s="637"/>
      <c r="AE16" s="637"/>
      <c r="AF16" s="637"/>
      <c r="AG16" s="638"/>
      <c r="AH16" s="649"/>
      <c r="AI16" s="650"/>
      <c r="AJ16" s="650"/>
      <c r="AK16" s="651"/>
      <c r="AL16" s="651"/>
      <c r="AM16" s="651"/>
      <c r="AN16" s="651"/>
      <c r="AO16" s="651"/>
      <c r="AP16" s="651"/>
      <c r="AQ16" s="651"/>
      <c r="AR16" s="651"/>
      <c r="AS16" s="650"/>
      <c r="AT16" s="650"/>
      <c r="AU16" s="650"/>
      <c r="AV16" s="650"/>
      <c r="AW16" s="652"/>
      <c r="AX16" s="641"/>
      <c r="AY16" s="641"/>
      <c r="AZ16" s="641"/>
      <c r="BA16" s="641"/>
      <c r="BB16" s="641"/>
      <c r="BC16" s="641"/>
      <c r="BD16" s="641"/>
      <c r="BE16" s="641"/>
      <c r="BF16" s="641"/>
      <c r="BG16" s="641"/>
      <c r="BH16" s="641"/>
      <c r="BI16" s="641"/>
      <c r="BJ16" s="641"/>
      <c r="BK16" s="641"/>
      <c r="BL16" s="641"/>
      <c r="BM16" s="641"/>
      <c r="BN16" s="641"/>
      <c r="BO16" s="641"/>
      <c r="BP16" s="641"/>
      <c r="BQ16" s="641"/>
      <c r="BR16" s="641"/>
      <c r="BS16" s="641"/>
      <c r="BT16" s="641"/>
      <c r="BU16" s="641"/>
      <c r="BV16" s="641"/>
      <c r="BW16" s="641"/>
      <c r="BX16" s="641"/>
      <c r="BY16" s="641"/>
      <c r="BZ16" s="641"/>
      <c r="CA16" s="641"/>
      <c r="CB16" s="641"/>
      <c r="CC16" s="641"/>
      <c r="CD16" s="641"/>
      <c r="CE16" s="641"/>
      <c r="CF16" s="641"/>
      <c r="CG16" s="641"/>
      <c r="CH16" s="641"/>
      <c r="CI16" s="641"/>
      <c r="CJ16" s="641"/>
      <c r="CK16" s="641"/>
      <c r="CL16" s="641"/>
      <c r="CM16" s="641"/>
      <c r="CN16" s="641"/>
      <c r="CO16" s="641"/>
      <c r="CP16" s="641"/>
      <c r="CQ16" s="641"/>
      <c r="CR16" s="641"/>
      <c r="CS16" s="641"/>
      <c r="CT16" s="641"/>
      <c r="CU16" s="641"/>
      <c r="CV16" s="641"/>
      <c r="CW16" s="641"/>
      <c r="CX16" s="641"/>
      <c r="CY16" s="641"/>
      <c r="CZ16" s="641"/>
      <c r="DA16" s="641"/>
      <c r="DB16" s="641"/>
      <c r="DC16" s="641"/>
      <c r="DD16" s="641"/>
      <c r="DE16" s="641"/>
      <c r="DF16" s="641"/>
      <c r="DG16" s="641"/>
      <c r="DH16" s="641"/>
      <c r="DI16" s="641"/>
      <c r="DJ16" s="641"/>
      <c r="DK16" s="641"/>
      <c r="DL16" s="641"/>
      <c r="DM16" s="641"/>
      <c r="DN16" s="641"/>
      <c r="DO16" s="641"/>
      <c r="DP16" s="641"/>
      <c r="DQ16" s="642"/>
      <c r="DR16" s="229"/>
    </row>
    <row r="17" spans="1:123" ht="7.5" customHeight="1" x14ac:dyDescent="0.25">
      <c r="A17" s="588">
        <v>0</v>
      </c>
      <c r="B17" s="589"/>
      <c r="C17" s="589"/>
      <c r="D17" s="589"/>
      <c r="E17" s="590"/>
      <c r="G17" s="597" t="s">
        <v>359</v>
      </c>
      <c r="H17" s="597"/>
      <c r="I17" s="597"/>
      <c r="J17" s="597"/>
      <c r="K17" s="597"/>
      <c r="L17" s="597"/>
      <c r="M17" s="597"/>
      <c r="N17" s="597"/>
      <c r="O17" s="597"/>
      <c r="P17" s="597"/>
      <c r="Q17" s="597"/>
      <c r="R17" s="597"/>
      <c r="S17" s="597"/>
      <c r="T17" s="597"/>
      <c r="U17" s="597"/>
      <c r="V17" s="597"/>
      <c r="W17" s="597"/>
      <c r="X17" s="597"/>
      <c r="Y17" s="597"/>
      <c r="Z17" s="600" t="e">
        <f>AGI*5</f>
        <v>#REF!</v>
      </c>
      <c r="AA17" s="600"/>
      <c r="AB17" s="600"/>
      <c r="AC17" s="600"/>
      <c r="AD17" s="600"/>
      <c r="AE17" s="600"/>
      <c r="AF17" s="600"/>
      <c r="AG17" s="601"/>
      <c r="AH17" s="142"/>
      <c r="AI17" s="143"/>
      <c r="AJ17" s="143"/>
      <c r="AK17" s="143"/>
      <c r="AL17" s="143"/>
      <c r="AM17" s="143"/>
      <c r="AN17" s="143"/>
      <c r="AO17" s="143"/>
      <c r="AP17" s="143"/>
      <c r="AQ17" s="143"/>
      <c r="AR17" s="143"/>
      <c r="AS17" s="143"/>
      <c r="AT17" s="143"/>
      <c r="AU17" s="143"/>
      <c r="AV17" s="143"/>
      <c r="AW17" s="144"/>
      <c r="AX17" s="615" t="e">
        <f>"Further increases your Agility score from "&amp;AGI&amp;" to "&amp;AGI+1</f>
        <v>#REF!</v>
      </c>
      <c r="AY17" s="616"/>
      <c r="AZ17" s="616"/>
      <c r="BA17" s="616"/>
      <c r="BB17" s="616"/>
      <c r="BC17" s="616"/>
      <c r="BD17" s="616"/>
      <c r="BE17" s="616"/>
      <c r="BF17" s="616"/>
      <c r="BG17" s="616"/>
      <c r="BH17" s="616"/>
      <c r="BI17" s="616"/>
      <c r="BJ17" s="616"/>
      <c r="BK17" s="616"/>
      <c r="BL17" s="616"/>
      <c r="BM17" s="616"/>
      <c r="BN17" s="616"/>
      <c r="BO17" s="616"/>
      <c r="BP17" s="616"/>
      <c r="BQ17" s="616"/>
      <c r="BR17" s="616"/>
      <c r="BS17" s="616"/>
      <c r="BT17" s="616"/>
      <c r="BU17" s="616"/>
      <c r="BV17" s="616"/>
      <c r="BW17" s="616"/>
      <c r="BX17" s="616"/>
      <c r="BY17" s="616"/>
      <c r="BZ17" s="616"/>
      <c r="CA17" s="616"/>
      <c r="CB17" s="616"/>
      <c r="CC17" s="616"/>
      <c r="CD17" s="616"/>
      <c r="CE17" s="616"/>
      <c r="CF17" s="616"/>
      <c r="CG17" s="616"/>
      <c r="CH17" s="616"/>
      <c r="CI17" s="616"/>
      <c r="CJ17" s="616"/>
      <c r="CK17" s="616"/>
      <c r="CL17" s="616"/>
      <c r="CM17" s="616"/>
      <c r="CN17" s="616"/>
      <c r="CO17" s="616"/>
      <c r="CP17" s="616"/>
      <c r="CQ17" s="616"/>
      <c r="CR17" s="616"/>
      <c r="CS17" s="616"/>
      <c r="CT17" s="616"/>
      <c r="CU17" s="616"/>
      <c r="CV17" s="616"/>
      <c r="CW17" s="616"/>
      <c r="CX17" s="616"/>
      <c r="CY17" s="616"/>
      <c r="CZ17" s="616"/>
      <c r="DA17" s="616"/>
      <c r="DB17" s="616"/>
      <c r="DC17" s="616"/>
      <c r="DD17" s="616"/>
      <c r="DE17" s="616"/>
      <c r="DF17" s="616"/>
      <c r="DG17" s="616"/>
      <c r="DH17" s="616"/>
      <c r="DI17" s="616"/>
      <c r="DJ17" s="616"/>
      <c r="DK17" s="616"/>
      <c r="DL17" s="616"/>
      <c r="DM17" s="616"/>
      <c r="DN17" s="616"/>
      <c r="DO17" s="616"/>
      <c r="DP17" s="616"/>
      <c r="DQ17" s="617"/>
      <c r="DR17" s="229"/>
    </row>
    <row r="18" spans="1:123" ht="7.5" customHeight="1" x14ac:dyDescent="0.25">
      <c r="A18" s="591"/>
      <c r="B18" s="592"/>
      <c r="C18" s="592"/>
      <c r="D18" s="592"/>
      <c r="E18" s="593"/>
      <c r="F18" s="145"/>
      <c r="G18" s="598"/>
      <c r="H18" s="598"/>
      <c r="I18" s="598"/>
      <c r="J18" s="598"/>
      <c r="K18" s="598"/>
      <c r="L18" s="598"/>
      <c r="M18" s="598"/>
      <c r="N18" s="598"/>
      <c r="O18" s="598"/>
      <c r="P18" s="598"/>
      <c r="Q18" s="598"/>
      <c r="R18" s="598"/>
      <c r="S18" s="598"/>
      <c r="T18" s="598"/>
      <c r="U18" s="598"/>
      <c r="V18" s="598"/>
      <c r="W18" s="598"/>
      <c r="X18" s="598"/>
      <c r="Y18" s="598"/>
      <c r="Z18" s="602"/>
      <c r="AA18" s="602"/>
      <c r="AB18" s="602"/>
      <c r="AC18" s="602"/>
      <c r="AD18" s="602"/>
      <c r="AE18" s="602"/>
      <c r="AF18" s="602"/>
      <c r="AG18" s="635"/>
      <c r="AH18" s="132"/>
      <c r="AI18" s="129"/>
      <c r="AJ18" s="129"/>
      <c r="AK18" s="129"/>
      <c r="AL18" s="129"/>
      <c r="AM18" s="129"/>
      <c r="AN18" s="129"/>
      <c r="AO18" s="129"/>
      <c r="AP18" s="129"/>
      <c r="AQ18" s="129"/>
      <c r="AR18" s="129"/>
      <c r="AS18" s="129"/>
      <c r="AT18" s="129"/>
      <c r="AU18" s="129"/>
      <c r="AV18" s="129"/>
      <c r="AW18" s="145"/>
      <c r="AX18" s="618"/>
      <c r="AY18" s="619"/>
      <c r="AZ18" s="619"/>
      <c r="BA18" s="619"/>
      <c r="BB18" s="619"/>
      <c r="BC18" s="619"/>
      <c r="BD18" s="619"/>
      <c r="BE18" s="619"/>
      <c r="BF18" s="619"/>
      <c r="BG18" s="619"/>
      <c r="BH18" s="619"/>
      <c r="BI18" s="619"/>
      <c r="BJ18" s="619"/>
      <c r="BK18" s="619"/>
      <c r="BL18" s="619"/>
      <c r="BM18" s="619"/>
      <c r="BN18" s="619"/>
      <c r="BO18" s="619"/>
      <c r="BP18" s="619"/>
      <c r="BQ18" s="619"/>
      <c r="BR18" s="619"/>
      <c r="BS18" s="619"/>
      <c r="BT18" s="619"/>
      <c r="BU18" s="619"/>
      <c r="BV18" s="619"/>
      <c r="BW18" s="619"/>
      <c r="BX18" s="619"/>
      <c r="BY18" s="619"/>
      <c r="BZ18" s="619"/>
      <c r="CA18" s="619"/>
      <c r="CB18" s="619"/>
      <c r="CC18" s="619"/>
      <c r="CD18" s="619"/>
      <c r="CE18" s="619"/>
      <c r="CF18" s="619"/>
      <c r="CG18" s="619"/>
      <c r="CH18" s="619"/>
      <c r="CI18" s="619"/>
      <c r="CJ18" s="619"/>
      <c r="CK18" s="619"/>
      <c r="CL18" s="619"/>
      <c r="CM18" s="619"/>
      <c r="CN18" s="619"/>
      <c r="CO18" s="619"/>
      <c r="CP18" s="619"/>
      <c r="CQ18" s="619"/>
      <c r="CR18" s="619"/>
      <c r="CS18" s="619"/>
      <c r="CT18" s="619"/>
      <c r="CU18" s="619"/>
      <c r="CV18" s="619"/>
      <c r="CW18" s="619"/>
      <c r="CX18" s="619"/>
      <c r="CY18" s="619"/>
      <c r="CZ18" s="619"/>
      <c r="DA18" s="619"/>
      <c r="DB18" s="619"/>
      <c r="DC18" s="619"/>
      <c r="DD18" s="619"/>
      <c r="DE18" s="619"/>
      <c r="DF18" s="619"/>
      <c r="DG18" s="619"/>
      <c r="DH18" s="619"/>
      <c r="DI18" s="619"/>
      <c r="DJ18" s="619"/>
      <c r="DK18" s="619"/>
      <c r="DL18" s="619"/>
      <c r="DM18" s="619"/>
      <c r="DN18" s="619"/>
      <c r="DO18" s="619"/>
      <c r="DP18" s="619"/>
      <c r="DQ18" s="639"/>
      <c r="DR18" s="229"/>
    </row>
    <row r="19" spans="1:123" ht="7.5" customHeight="1" x14ac:dyDescent="0.25">
      <c r="A19" s="594"/>
      <c r="B19" s="595"/>
      <c r="C19" s="595"/>
      <c r="D19" s="595"/>
      <c r="E19" s="596"/>
      <c r="G19" s="599"/>
      <c r="H19" s="599"/>
      <c r="I19" s="599"/>
      <c r="J19" s="599"/>
      <c r="K19" s="599"/>
      <c r="L19" s="599"/>
      <c r="M19" s="599"/>
      <c r="N19" s="599"/>
      <c r="O19" s="599"/>
      <c r="P19" s="599"/>
      <c r="Q19" s="599"/>
      <c r="R19" s="599"/>
      <c r="S19" s="599"/>
      <c r="T19" s="599"/>
      <c r="U19" s="599"/>
      <c r="V19" s="599"/>
      <c r="W19" s="599"/>
      <c r="X19" s="599"/>
      <c r="Y19" s="599"/>
      <c r="Z19" s="602"/>
      <c r="AA19" s="602"/>
      <c r="AB19" s="602"/>
      <c r="AC19" s="602"/>
      <c r="AD19" s="602"/>
      <c r="AE19" s="602"/>
      <c r="AF19" s="602"/>
      <c r="AG19" s="636"/>
      <c r="AH19" s="132"/>
      <c r="AI19" s="129"/>
      <c r="AJ19" s="129"/>
      <c r="AK19" s="129"/>
      <c r="AL19" s="129"/>
      <c r="AM19" s="129"/>
      <c r="AN19" s="129"/>
      <c r="AO19" s="129"/>
      <c r="AP19" s="129"/>
      <c r="AQ19" s="129"/>
      <c r="AR19" s="129"/>
      <c r="AS19" s="129"/>
      <c r="AT19" s="129"/>
      <c r="AU19" s="129"/>
      <c r="AV19" s="129"/>
      <c r="AW19" s="146"/>
      <c r="AX19" s="618"/>
      <c r="AY19" s="619"/>
      <c r="AZ19" s="619"/>
      <c r="BA19" s="619"/>
      <c r="BB19" s="619"/>
      <c r="BC19" s="619"/>
      <c r="BD19" s="619"/>
      <c r="BE19" s="619"/>
      <c r="BF19" s="619"/>
      <c r="BG19" s="619"/>
      <c r="BH19" s="619"/>
      <c r="BI19" s="619"/>
      <c r="BJ19" s="619"/>
      <c r="BK19" s="619"/>
      <c r="BL19" s="619"/>
      <c r="BM19" s="619"/>
      <c r="BN19" s="619"/>
      <c r="BO19" s="619"/>
      <c r="BP19" s="619"/>
      <c r="BQ19" s="619"/>
      <c r="BR19" s="619"/>
      <c r="BS19" s="619"/>
      <c r="BT19" s="619"/>
      <c r="BU19" s="619"/>
      <c r="BV19" s="619"/>
      <c r="BW19" s="619"/>
      <c r="BX19" s="619"/>
      <c r="BY19" s="619"/>
      <c r="BZ19" s="619"/>
      <c r="CA19" s="619"/>
      <c r="CB19" s="619"/>
      <c r="CC19" s="619"/>
      <c r="CD19" s="619"/>
      <c r="CE19" s="619"/>
      <c r="CF19" s="619"/>
      <c r="CG19" s="619"/>
      <c r="CH19" s="619"/>
      <c r="CI19" s="619"/>
      <c r="CJ19" s="619"/>
      <c r="CK19" s="619"/>
      <c r="CL19" s="619"/>
      <c r="CM19" s="619"/>
      <c r="CN19" s="619"/>
      <c r="CO19" s="619"/>
      <c r="CP19" s="619"/>
      <c r="CQ19" s="619"/>
      <c r="CR19" s="619"/>
      <c r="CS19" s="619"/>
      <c r="CT19" s="619"/>
      <c r="CU19" s="619"/>
      <c r="CV19" s="619"/>
      <c r="CW19" s="619"/>
      <c r="CX19" s="619"/>
      <c r="CY19" s="619"/>
      <c r="CZ19" s="619"/>
      <c r="DA19" s="619"/>
      <c r="DB19" s="619"/>
      <c r="DC19" s="619"/>
      <c r="DD19" s="619"/>
      <c r="DE19" s="619"/>
      <c r="DF19" s="619"/>
      <c r="DG19" s="619"/>
      <c r="DH19" s="619"/>
      <c r="DI19" s="619"/>
      <c r="DJ19" s="619"/>
      <c r="DK19" s="619"/>
      <c r="DL19" s="619"/>
      <c r="DM19" s="619"/>
      <c r="DN19" s="619"/>
      <c r="DO19" s="619"/>
      <c r="DP19" s="619"/>
      <c r="DQ19" s="639"/>
      <c r="DR19" s="229"/>
    </row>
    <row r="20" spans="1:123" s="147" customFormat="1" ht="7.5" customHeight="1" x14ac:dyDescent="0.25">
      <c r="A20" s="71"/>
      <c r="B20" s="71"/>
      <c r="C20" s="71"/>
      <c r="D20" s="71"/>
      <c r="E20" s="71"/>
      <c r="F20" s="653" t="str">
        <f>G17</f>
        <v>Agility</v>
      </c>
      <c r="G20" s="653"/>
      <c r="H20" s="653"/>
      <c r="I20" s="653"/>
      <c r="J20" s="653"/>
      <c r="K20" s="677" t="e">
        <f>(AGI*(AGI-1)/2-(BaseAGI*(BaseAGI-1))/2)*5</f>
        <v>#REF!</v>
      </c>
      <c r="L20" s="677"/>
      <c r="M20" s="677"/>
      <c r="N20" s="626" t="b">
        <f>IF(AH13&lt;&gt;"",VLOOKUP($G17,'Merit Data'!A:BW,MATCH('Merit Data'!$B$3,'Merit Data'!$3:$3,0),0),TRUE)</f>
        <v>1</v>
      </c>
      <c r="O20" s="626"/>
      <c r="P20" s="626"/>
      <c r="Q20" s="156"/>
      <c r="R20" s="156"/>
      <c r="S20" s="156"/>
      <c r="T20" s="156"/>
      <c r="U20" s="156"/>
      <c r="V20" s="238"/>
      <c r="W20" s="238"/>
      <c r="X20" s="627" t="str">
        <f>IF(F20&gt;0,HYPERLINK("http://wiki.project-saros.com/w/"&amp;F20,"Info"),"")</f>
        <v>Info</v>
      </c>
      <c r="Y20" s="628"/>
      <c r="Z20" s="637"/>
      <c r="AA20" s="637"/>
      <c r="AB20" s="637"/>
      <c r="AC20" s="637"/>
      <c r="AD20" s="637"/>
      <c r="AE20" s="637"/>
      <c r="AF20" s="637"/>
      <c r="AG20" s="638"/>
      <c r="AH20" s="148"/>
      <c r="AI20" s="131"/>
      <c r="AJ20" s="131"/>
      <c r="AK20" s="149"/>
      <c r="AL20" s="149"/>
      <c r="AM20" s="149"/>
      <c r="AN20" s="149"/>
      <c r="AO20" s="149"/>
      <c r="AP20" s="149"/>
      <c r="AQ20" s="149"/>
      <c r="AR20" s="149"/>
      <c r="AS20" s="131"/>
      <c r="AT20" s="131"/>
      <c r="AU20" s="131"/>
      <c r="AV20" s="131"/>
      <c r="AW20" s="150"/>
      <c r="AX20" s="621"/>
      <c r="AY20" s="622"/>
      <c r="AZ20" s="622"/>
      <c r="BA20" s="622"/>
      <c r="BB20" s="622"/>
      <c r="BC20" s="622"/>
      <c r="BD20" s="622"/>
      <c r="BE20" s="622"/>
      <c r="BF20" s="622"/>
      <c r="BG20" s="622"/>
      <c r="BH20" s="622"/>
      <c r="BI20" s="622"/>
      <c r="BJ20" s="622"/>
      <c r="BK20" s="622"/>
      <c r="BL20" s="622"/>
      <c r="BM20" s="622"/>
      <c r="BN20" s="622"/>
      <c r="BO20" s="622"/>
      <c r="BP20" s="622"/>
      <c r="BQ20" s="622"/>
      <c r="BR20" s="622"/>
      <c r="BS20" s="622"/>
      <c r="BT20" s="622"/>
      <c r="BU20" s="622"/>
      <c r="BV20" s="622"/>
      <c r="BW20" s="622"/>
      <c r="BX20" s="622"/>
      <c r="BY20" s="622"/>
      <c r="BZ20" s="622"/>
      <c r="CA20" s="622"/>
      <c r="CB20" s="622"/>
      <c r="CC20" s="622"/>
      <c r="CD20" s="622"/>
      <c r="CE20" s="622"/>
      <c r="CF20" s="622"/>
      <c r="CG20" s="622"/>
      <c r="CH20" s="622"/>
      <c r="CI20" s="622"/>
      <c r="CJ20" s="622"/>
      <c r="CK20" s="622"/>
      <c r="CL20" s="622"/>
      <c r="CM20" s="622"/>
      <c r="CN20" s="622"/>
      <c r="CO20" s="622"/>
      <c r="CP20" s="622"/>
      <c r="CQ20" s="622"/>
      <c r="CR20" s="622"/>
      <c r="CS20" s="622"/>
      <c r="CT20" s="622"/>
      <c r="CU20" s="622"/>
      <c r="CV20" s="622"/>
      <c r="CW20" s="622"/>
      <c r="CX20" s="622"/>
      <c r="CY20" s="622"/>
      <c r="CZ20" s="622"/>
      <c r="DA20" s="622"/>
      <c r="DB20" s="622"/>
      <c r="DC20" s="622"/>
      <c r="DD20" s="622"/>
      <c r="DE20" s="622"/>
      <c r="DF20" s="622"/>
      <c r="DG20" s="622"/>
      <c r="DH20" s="622"/>
      <c r="DI20" s="622"/>
      <c r="DJ20" s="622"/>
      <c r="DK20" s="622"/>
      <c r="DL20" s="622"/>
      <c r="DM20" s="622"/>
      <c r="DN20" s="622"/>
      <c r="DO20" s="622"/>
      <c r="DP20" s="622"/>
      <c r="DQ20" s="623"/>
      <c r="DR20" s="229"/>
      <c r="DS20" s="151"/>
    </row>
    <row r="21" spans="1:123" ht="7.5" customHeight="1" x14ac:dyDescent="0.25">
      <c r="A21" s="588">
        <v>0</v>
      </c>
      <c r="B21" s="589"/>
      <c r="C21" s="589"/>
      <c r="D21" s="589"/>
      <c r="E21" s="590"/>
      <c r="G21" s="597" t="s">
        <v>360</v>
      </c>
      <c r="H21" s="597"/>
      <c r="I21" s="597"/>
      <c r="J21" s="597"/>
      <c r="K21" s="597"/>
      <c r="L21" s="597"/>
      <c r="M21" s="597"/>
      <c r="N21" s="597"/>
      <c r="O21" s="597"/>
      <c r="P21" s="597"/>
      <c r="Q21" s="597"/>
      <c r="R21" s="597"/>
      <c r="S21" s="597"/>
      <c r="T21" s="597"/>
      <c r="U21" s="597"/>
      <c r="V21" s="597"/>
      <c r="W21" s="597"/>
      <c r="X21" s="597"/>
      <c r="Y21" s="597"/>
      <c r="Z21" s="600" t="e">
        <f>CON*5</f>
        <v>#REF!</v>
      </c>
      <c r="AA21" s="600"/>
      <c r="AB21" s="600"/>
      <c r="AC21" s="600"/>
      <c r="AD21" s="600"/>
      <c r="AE21" s="600"/>
      <c r="AF21" s="600"/>
      <c r="AG21" s="601"/>
      <c r="AH21" s="142"/>
      <c r="AI21" s="143"/>
      <c r="AJ21" s="143"/>
      <c r="AK21" s="143"/>
      <c r="AL21" s="143"/>
      <c r="AM21" s="143"/>
      <c r="AN21" s="143"/>
      <c r="AO21" s="143"/>
      <c r="AP21" s="143"/>
      <c r="AQ21" s="143"/>
      <c r="AR21" s="143"/>
      <c r="AS21" s="143"/>
      <c r="AT21" s="143"/>
      <c r="AU21" s="143"/>
      <c r="AV21" s="143"/>
      <c r="AW21" s="144"/>
      <c r="AX21" s="615" t="e">
        <f>"Further increases your Constitution score from "&amp;CON&amp;" to "&amp;CON+1</f>
        <v>#REF!</v>
      </c>
      <c r="AY21" s="616"/>
      <c r="AZ21" s="616"/>
      <c r="BA21" s="616"/>
      <c r="BB21" s="616"/>
      <c r="BC21" s="616"/>
      <c r="BD21" s="616"/>
      <c r="BE21" s="616"/>
      <c r="BF21" s="616"/>
      <c r="BG21" s="616"/>
      <c r="BH21" s="616"/>
      <c r="BI21" s="616"/>
      <c r="BJ21" s="616"/>
      <c r="BK21" s="616"/>
      <c r="BL21" s="616"/>
      <c r="BM21" s="616"/>
      <c r="BN21" s="616"/>
      <c r="BO21" s="616"/>
      <c r="BP21" s="616"/>
      <c r="BQ21" s="616"/>
      <c r="BR21" s="616"/>
      <c r="BS21" s="616"/>
      <c r="BT21" s="616"/>
      <c r="BU21" s="616"/>
      <c r="BV21" s="616"/>
      <c r="BW21" s="616"/>
      <c r="BX21" s="616"/>
      <c r="BY21" s="616"/>
      <c r="BZ21" s="616"/>
      <c r="CA21" s="616"/>
      <c r="CB21" s="616"/>
      <c r="CC21" s="616"/>
      <c r="CD21" s="616"/>
      <c r="CE21" s="616"/>
      <c r="CF21" s="616"/>
      <c r="CG21" s="616"/>
      <c r="CH21" s="616"/>
      <c r="CI21" s="616"/>
      <c r="CJ21" s="616"/>
      <c r="CK21" s="616"/>
      <c r="CL21" s="616"/>
      <c r="CM21" s="616"/>
      <c r="CN21" s="616"/>
      <c r="CO21" s="616"/>
      <c r="CP21" s="616"/>
      <c r="CQ21" s="616"/>
      <c r="CR21" s="616"/>
      <c r="CS21" s="616"/>
      <c r="CT21" s="616"/>
      <c r="CU21" s="616"/>
      <c r="CV21" s="616"/>
      <c r="CW21" s="616"/>
      <c r="CX21" s="616"/>
      <c r="CY21" s="616"/>
      <c r="CZ21" s="616"/>
      <c r="DA21" s="616"/>
      <c r="DB21" s="616"/>
      <c r="DC21" s="616"/>
      <c r="DD21" s="616"/>
      <c r="DE21" s="616"/>
      <c r="DF21" s="616"/>
      <c r="DG21" s="616"/>
      <c r="DH21" s="616"/>
      <c r="DI21" s="616"/>
      <c r="DJ21" s="616"/>
      <c r="DK21" s="616"/>
      <c r="DL21" s="616"/>
      <c r="DM21" s="616"/>
      <c r="DN21" s="616"/>
      <c r="DO21" s="616"/>
      <c r="DP21" s="616"/>
      <c r="DQ21" s="617"/>
      <c r="DR21" s="229"/>
    </row>
    <row r="22" spans="1:123" ht="7.5" customHeight="1" x14ac:dyDescent="0.25">
      <c r="A22" s="591"/>
      <c r="B22" s="592"/>
      <c r="C22" s="592"/>
      <c r="D22" s="592"/>
      <c r="E22" s="593"/>
      <c r="F22" s="145"/>
      <c r="G22" s="598"/>
      <c r="H22" s="598"/>
      <c r="I22" s="598"/>
      <c r="J22" s="598"/>
      <c r="K22" s="598"/>
      <c r="L22" s="598"/>
      <c r="M22" s="598"/>
      <c r="N22" s="598"/>
      <c r="O22" s="598"/>
      <c r="P22" s="598"/>
      <c r="Q22" s="598"/>
      <c r="R22" s="598"/>
      <c r="S22" s="598"/>
      <c r="T22" s="598"/>
      <c r="U22" s="598"/>
      <c r="V22" s="598"/>
      <c r="W22" s="598"/>
      <c r="X22" s="598"/>
      <c r="Y22" s="598"/>
      <c r="Z22" s="602"/>
      <c r="AA22" s="602"/>
      <c r="AB22" s="602"/>
      <c r="AC22" s="602"/>
      <c r="AD22" s="602"/>
      <c r="AE22" s="602"/>
      <c r="AF22" s="602"/>
      <c r="AG22" s="635"/>
      <c r="AH22" s="132"/>
      <c r="AI22" s="129"/>
      <c r="AJ22" s="129"/>
      <c r="AK22" s="129"/>
      <c r="AL22" s="129"/>
      <c r="AM22" s="129"/>
      <c r="AN22" s="129"/>
      <c r="AO22" s="129"/>
      <c r="AP22" s="129"/>
      <c r="AQ22" s="129"/>
      <c r="AR22" s="129"/>
      <c r="AS22" s="129"/>
      <c r="AT22" s="129"/>
      <c r="AU22" s="129"/>
      <c r="AV22" s="129"/>
      <c r="AW22" s="145"/>
      <c r="AX22" s="618"/>
      <c r="AY22" s="619"/>
      <c r="AZ22" s="619"/>
      <c r="BA22" s="619"/>
      <c r="BB22" s="619"/>
      <c r="BC22" s="619"/>
      <c r="BD22" s="619"/>
      <c r="BE22" s="619"/>
      <c r="BF22" s="619"/>
      <c r="BG22" s="619"/>
      <c r="BH22" s="619"/>
      <c r="BI22" s="619"/>
      <c r="BJ22" s="619"/>
      <c r="BK22" s="619"/>
      <c r="BL22" s="619"/>
      <c r="BM22" s="619"/>
      <c r="BN22" s="619"/>
      <c r="BO22" s="619"/>
      <c r="BP22" s="619"/>
      <c r="BQ22" s="619"/>
      <c r="BR22" s="619"/>
      <c r="BS22" s="619"/>
      <c r="BT22" s="619"/>
      <c r="BU22" s="619"/>
      <c r="BV22" s="619"/>
      <c r="BW22" s="619"/>
      <c r="BX22" s="619"/>
      <c r="BY22" s="619"/>
      <c r="BZ22" s="619"/>
      <c r="CA22" s="619"/>
      <c r="CB22" s="619"/>
      <c r="CC22" s="619"/>
      <c r="CD22" s="619"/>
      <c r="CE22" s="619"/>
      <c r="CF22" s="619"/>
      <c r="CG22" s="619"/>
      <c r="CH22" s="619"/>
      <c r="CI22" s="619"/>
      <c r="CJ22" s="619"/>
      <c r="CK22" s="619"/>
      <c r="CL22" s="619"/>
      <c r="CM22" s="619"/>
      <c r="CN22" s="619"/>
      <c r="CO22" s="619"/>
      <c r="CP22" s="619"/>
      <c r="CQ22" s="619"/>
      <c r="CR22" s="619"/>
      <c r="CS22" s="619"/>
      <c r="CT22" s="619"/>
      <c r="CU22" s="619"/>
      <c r="CV22" s="619"/>
      <c r="CW22" s="619"/>
      <c r="CX22" s="619"/>
      <c r="CY22" s="619"/>
      <c r="CZ22" s="619"/>
      <c r="DA22" s="619"/>
      <c r="DB22" s="619"/>
      <c r="DC22" s="619"/>
      <c r="DD22" s="619"/>
      <c r="DE22" s="619"/>
      <c r="DF22" s="619"/>
      <c r="DG22" s="619"/>
      <c r="DH22" s="619"/>
      <c r="DI22" s="619"/>
      <c r="DJ22" s="619"/>
      <c r="DK22" s="619"/>
      <c r="DL22" s="619"/>
      <c r="DM22" s="619"/>
      <c r="DN22" s="619"/>
      <c r="DO22" s="619"/>
      <c r="DP22" s="619"/>
      <c r="DQ22" s="639"/>
      <c r="DR22" s="229"/>
    </row>
    <row r="23" spans="1:123" ht="7.5" customHeight="1" x14ac:dyDescent="0.25">
      <c r="A23" s="594"/>
      <c r="B23" s="595"/>
      <c r="C23" s="595"/>
      <c r="D23" s="595"/>
      <c r="E23" s="596"/>
      <c r="G23" s="599"/>
      <c r="H23" s="599"/>
      <c r="I23" s="599"/>
      <c r="J23" s="599"/>
      <c r="K23" s="599"/>
      <c r="L23" s="599"/>
      <c r="M23" s="599"/>
      <c r="N23" s="599"/>
      <c r="O23" s="599"/>
      <c r="P23" s="599"/>
      <c r="Q23" s="599"/>
      <c r="R23" s="599"/>
      <c r="S23" s="599"/>
      <c r="T23" s="599"/>
      <c r="U23" s="599"/>
      <c r="V23" s="599"/>
      <c r="W23" s="599"/>
      <c r="X23" s="599"/>
      <c r="Y23" s="599"/>
      <c r="Z23" s="602"/>
      <c r="AA23" s="602"/>
      <c r="AB23" s="602"/>
      <c r="AC23" s="602"/>
      <c r="AD23" s="602"/>
      <c r="AE23" s="602"/>
      <c r="AF23" s="602"/>
      <c r="AG23" s="636"/>
      <c r="AH23" s="132"/>
      <c r="AI23" s="129"/>
      <c r="AJ23" s="129"/>
      <c r="AK23" s="129"/>
      <c r="AL23" s="129"/>
      <c r="AM23" s="129"/>
      <c r="AN23" s="129"/>
      <c r="AO23" s="129"/>
      <c r="AP23" s="129"/>
      <c r="AQ23" s="129"/>
      <c r="AR23" s="129"/>
      <c r="AS23" s="129"/>
      <c r="AT23" s="129"/>
      <c r="AU23" s="129"/>
      <c r="AV23" s="129"/>
      <c r="AW23" s="146"/>
      <c r="AX23" s="618"/>
      <c r="AY23" s="619"/>
      <c r="AZ23" s="619"/>
      <c r="BA23" s="619"/>
      <c r="BB23" s="619"/>
      <c r="BC23" s="619"/>
      <c r="BD23" s="619"/>
      <c r="BE23" s="619"/>
      <c r="BF23" s="619"/>
      <c r="BG23" s="619"/>
      <c r="BH23" s="619"/>
      <c r="BI23" s="619"/>
      <c r="BJ23" s="619"/>
      <c r="BK23" s="619"/>
      <c r="BL23" s="619"/>
      <c r="BM23" s="619"/>
      <c r="BN23" s="619"/>
      <c r="BO23" s="619"/>
      <c r="BP23" s="619"/>
      <c r="BQ23" s="619"/>
      <c r="BR23" s="619"/>
      <c r="BS23" s="619"/>
      <c r="BT23" s="619"/>
      <c r="BU23" s="619"/>
      <c r="BV23" s="619"/>
      <c r="BW23" s="619"/>
      <c r="BX23" s="619"/>
      <c r="BY23" s="619"/>
      <c r="BZ23" s="619"/>
      <c r="CA23" s="619"/>
      <c r="CB23" s="619"/>
      <c r="CC23" s="619"/>
      <c r="CD23" s="619"/>
      <c r="CE23" s="619"/>
      <c r="CF23" s="619"/>
      <c r="CG23" s="619"/>
      <c r="CH23" s="619"/>
      <c r="CI23" s="619"/>
      <c r="CJ23" s="619"/>
      <c r="CK23" s="619"/>
      <c r="CL23" s="619"/>
      <c r="CM23" s="619"/>
      <c r="CN23" s="619"/>
      <c r="CO23" s="619"/>
      <c r="CP23" s="619"/>
      <c r="CQ23" s="619"/>
      <c r="CR23" s="619"/>
      <c r="CS23" s="619"/>
      <c r="CT23" s="619"/>
      <c r="CU23" s="619"/>
      <c r="CV23" s="619"/>
      <c r="CW23" s="619"/>
      <c r="CX23" s="619"/>
      <c r="CY23" s="619"/>
      <c r="CZ23" s="619"/>
      <c r="DA23" s="619"/>
      <c r="DB23" s="619"/>
      <c r="DC23" s="619"/>
      <c r="DD23" s="619"/>
      <c r="DE23" s="619"/>
      <c r="DF23" s="619"/>
      <c r="DG23" s="619"/>
      <c r="DH23" s="619"/>
      <c r="DI23" s="619"/>
      <c r="DJ23" s="619"/>
      <c r="DK23" s="619"/>
      <c r="DL23" s="619"/>
      <c r="DM23" s="619"/>
      <c r="DN23" s="619"/>
      <c r="DO23" s="619"/>
      <c r="DP23" s="619"/>
      <c r="DQ23" s="639"/>
      <c r="DR23" s="229"/>
    </row>
    <row r="24" spans="1:123" s="147" customFormat="1" ht="7.5" customHeight="1" x14ac:dyDescent="0.25">
      <c r="A24" s="74"/>
      <c r="B24" s="74"/>
      <c r="C24" s="74"/>
      <c r="D24" s="74"/>
      <c r="E24" s="74"/>
      <c r="F24" s="653" t="str">
        <f>G21</f>
        <v>Constitution</v>
      </c>
      <c r="G24" s="653"/>
      <c r="H24" s="653"/>
      <c r="I24" s="653"/>
      <c r="J24" s="653"/>
      <c r="K24" s="677" t="e">
        <f>(CON*(CON-1)/2-(BaseCON*(BaseCON-1))/2)*5</f>
        <v>#REF!</v>
      </c>
      <c r="L24" s="677"/>
      <c r="M24" s="677"/>
      <c r="N24" s="626" t="b">
        <f>IF(AH17&lt;&gt;"",VLOOKUP($G21,'Merit Data'!A:BW,MATCH('Merit Data'!$B$3,'Merit Data'!$3:$3,0),0),TRUE)</f>
        <v>1</v>
      </c>
      <c r="O24" s="626"/>
      <c r="P24" s="626"/>
      <c r="Q24" s="156"/>
      <c r="R24" s="156"/>
      <c r="S24" s="156"/>
      <c r="T24" s="156"/>
      <c r="U24" s="156"/>
      <c r="V24" s="238"/>
      <c r="W24" s="238"/>
      <c r="X24" s="627" t="str">
        <f>IF(F24&gt;0,HYPERLINK("http://wiki.project-saros.com/w/"&amp;F24,"Info"),"")</f>
        <v>Info</v>
      </c>
      <c r="Y24" s="628"/>
      <c r="Z24" s="637"/>
      <c r="AA24" s="637"/>
      <c r="AB24" s="637"/>
      <c r="AC24" s="637"/>
      <c r="AD24" s="637"/>
      <c r="AE24" s="637"/>
      <c r="AF24" s="637"/>
      <c r="AG24" s="638"/>
      <c r="AH24" s="148"/>
      <c r="AI24" s="131"/>
      <c r="AJ24" s="131"/>
      <c r="AK24" s="149"/>
      <c r="AL24" s="149"/>
      <c r="AM24" s="149"/>
      <c r="AN24" s="149"/>
      <c r="AO24" s="149"/>
      <c r="AP24" s="149"/>
      <c r="AQ24" s="149"/>
      <c r="AR24" s="149"/>
      <c r="AS24" s="131"/>
      <c r="AT24" s="131"/>
      <c r="AU24" s="131"/>
      <c r="AV24" s="131"/>
      <c r="AW24" s="150"/>
      <c r="AX24" s="621"/>
      <c r="AY24" s="622"/>
      <c r="AZ24" s="622"/>
      <c r="BA24" s="622"/>
      <c r="BB24" s="622"/>
      <c r="BC24" s="622"/>
      <c r="BD24" s="622"/>
      <c r="BE24" s="622"/>
      <c r="BF24" s="622"/>
      <c r="BG24" s="622"/>
      <c r="BH24" s="622"/>
      <c r="BI24" s="622"/>
      <c r="BJ24" s="622"/>
      <c r="BK24" s="622"/>
      <c r="BL24" s="622"/>
      <c r="BM24" s="622"/>
      <c r="BN24" s="622"/>
      <c r="BO24" s="622"/>
      <c r="BP24" s="622"/>
      <c r="BQ24" s="622"/>
      <c r="BR24" s="622"/>
      <c r="BS24" s="622"/>
      <c r="BT24" s="622"/>
      <c r="BU24" s="622"/>
      <c r="BV24" s="622"/>
      <c r="BW24" s="622"/>
      <c r="BX24" s="622"/>
      <c r="BY24" s="622"/>
      <c r="BZ24" s="622"/>
      <c r="CA24" s="622"/>
      <c r="CB24" s="622"/>
      <c r="CC24" s="622"/>
      <c r="CD24" s="622"/>
      <c r="CE24" s="622"/>
      <c r="CF24" s="622"/>
      <c r="CG24" s="622"/>
      <c r="CH24" s="622"/>
      <c r="CI24" s="622"/>
      <c r="CJ24" s="622"/>
      <c r="CK24" s="622"/>
      <c r="CL24" s="622"/>
      <c r="CM24" s="622"/>
      <c r="CN24" s="622"/>
      <c r="CO24" s="622"/>
      <c r="CP24" s="622"/>
      <c r="CQ24" s="622"/>
      <c r="CR24" s="622"/>
      <c r="CS24" s="622"/>
      <c r="CT24" s="622"/>
      <c r="CU24" s="622"/>
      <c r="CV24" s="622"/>
      <c r="CW24" s="622"/>
      <c r="CX24" s="622"/>
      <c r="CY24" s="622"/>
      <c r="CZ24" s="622"/>
      <c r="DA24" s="622"/>
      <c r="DB24" s="622"/>
      <c r="DC24" s="622"/>
      <c r="DD24" s="622"/>
      <c r="DE24" s="622"/>
      <c r="DF24" s="622"/>
      <c r="DG24" s="622"/>
      <c r="DH24" s="622"/>
      <c r="DI24" s="622"/>
      <c r="DJ24" s="622"/>
      <c r="DK24" s="622"/>
      <c r="DL24" s="622"/>
      <c r="DM24" s="622"/>
      <c r="DN24" s="622"/>
      <c r="DO24" s="622"/>
      <c r="DP24" s="622"/>
      <c r="DQ24" s="623"/>
      <c r="DR24" s="229"/>
      <c r="DS24" s="151"/>
    </row>
    <row r="25" spans="1:123" ht="7.5" customHeight="1" x14ac:dyDescent="0.25">
      <c r="A25" s="588">
        <v>0</v>
      </c>
      <c r="B25" s="589"/>
      <c r="C25" s="589"/>
      <c r="D25" s="589"/>
      <c r="E25" s="590"/>
      <c r="G25" s="597" t="s">
        <v>361</v>
      </c>
      <c r="H25" s="597"/>
      <c r="I25" s="597"/>
      <c r="J25" s="597"/>
      <c r="K25" s="597"/>
      <c r="L25" s="597"/>
      <c r="M25" s="597"/>
      <c r="N25" s="597"/>
      <c r="O25" s="597"/>
      <c r="P25" s="597"/>
      <c r="Q25" s="597"/>
      <c r="R25" s="597"/>
      <c r="S25" s="597"/>
      <c r="T25" s="597"/>
      <c r="U25" s="597"/>
      <c r="V25" s="597"/>
      <c r="W25" s="597"/>
      <c r="X25" s="597"/>
      <c r="Y25" s="597"/>
      <c r="Z25" s="600" t="e">
        <f>INT*5</f>
        <v>#REF!</v>
      </c>
      <c r="AA25" s="600"/>
      <c r="AB25" s="600"/>
      <c r="AC25" s="600"/>
      <c r="AD25" s="600"/>
      <c r="AE25" s="600"/>
      <c r="AF25" s="600"/>
      <c r="AG25" s="601"/>
      <c r="AH25" s="142"/>
      <c r="AI25" s="143"/>
      <c r="AJ25" s="143"/>
      <c r="AK25" s="143"/>
      <c r="AL25" s="143"/>
      <c r="AM25" s="143"/>
      <c r="AN25" s="143"/>
      <c r="AO25" s="143"/>
      <c r="AP25" s="143"/>
      <c r="AQ25" s="143"/>
      <c r="AR25" s="143"/>
      <c r="AS25" s="143"/>
      <c r="AT25" s="143"/>
      <c r="AU25" s="143"/>
      <c r="AV25" s="143"/>
      <c r="AW25" s="144"/>
      <c r="AX25" s="615" t="e">
        <f>"Further increases your Intelligence score from "&amp;INT&amp;" to "&amp;INT+1</f>
        <v>#REF!</v>
      </c>
      <c r="AY25" s="616"/>
      <c r="AZ25" s="616"/>
      <c r="BA25" s="616"/>
      <c r="BB25" s="616"/>
      <c r="BC25" s="616"/>
      <c r="BD25" s="616"/>
      <c r="BE25" s="616"/>
      <c r="BF25" s="616"/>
      <c r="BG25" s="616"/>
      <c r="BH25" s="616"/>
      <c r="BI25" s="616"/>
      <c r="BJ25" s="616"/>
      <c r="BK25" s="616"/>
      <c r="BL25" s="616"/>
      <c r="BM25" s="616"/>
      <c r="BN25" s="616"/>
      <c r="BO25" s="616"/>
      <c r="BP25" s="616"/>
      <c r="BQ25" s="616"/>
      <c r="BR25" s="616"/>
      <c r="BS25" s="616"/>
      <c r="BT25" s="616"/>
      <c r="BU25" s="616"/>
      <c r="BV25" s="616"/>
      <c r="BW25" s="616"/>
      <c r="BX25" s="616"/>
      <c r="BY25" s="616"/>
      <c r="BZ25" s="616"/>
      <c r="CA25" s="616"/>
      <c r="CB25" s="616"/>
      <c r="CC25" s="616"/>
      <c r="CD25" s="616"/>
      <c r="CE25" s="616"/>
      <c r="CF25" s="616"/>
      <c r="CG25" s="616"/>
      <c r="CH25" s="616"/>
      <c r="CI25" s="616"/>
      <c r="CJ25" s="616"/>
      <c r="CK25" s="616"/>
      <c r="CL25" s="616"/>
      <c r="CM25" s="616"/>
      <c r="CN25" s="616"/>
      <c r="CO25" s="616"/>
      <c r="CP25" s="616"/>
      <c r="CQ25" s="616"/>
      <c r="CR25" s="616"/>
      <c r="CS25" s="616"/>
      <c r="CT25" s="616"/>
      <c r="CU25" s="616"/>
      <c r="CV25" s="616"/>
      <c r="CW25" s="616"/>
      <c r="CX25" s="616"/>
      <c r="CY25" s="616"/>
      <c r="CZ25" s="616"/>
      <c r="DA25" s="616"/>
      <c r="DB25" s="616"/>
      <c r="DC25" s="616"/>
      <c r="DD25" s="616"/>
      <c r="DE25" s="616"/>
      <c r="DF25" s="616"/>
      <c r="DG25" s="616"/>
      <c r="DH25" s="616"/>
      <c r="DI25" s="616"/>
      <c r="DJ25" s="616"/>
      <c r="DK25" s="616"/>
      <c r="DL25" s="616"/>
      <c r="DM25" s="616"/>
      <c r="DN25" s="616"/>
      <c r="DO25" s="616"/>
      <c r="DP25" s="616"/>
      <c r="DQ25" s="617"/>
      <c r="DR25" s="229"/>
    </row>
    <row r="26" spans="1:123" ht="7.5" customHeight="1" x14ac:dyDescent="0.25">
      <c r="A26" s="591"/>
      <c r="B26" s="592"/>
      <c r="C26" s="592"/>
      <c r="D26" s="592"/>
      <c r="E26" s="593"/>
      <c r="F26" s="145"/>
      <c r="G26" s="598"/>
      <c r="H26" s="598"/>
      <c r="I26" s="598"/>
      <c r="J26" s="598"/>
      <c r="K26" s="598"/>
      <c r="L26" s="598"/>
      <c r="M26" s="598"/>
      <c r="N26" s="598"/>
      <c r="O26" s="598"/>
      <c r="P26" s="598"/>
      <c r="Q26" s="598"/>
      <c r="R26" s="598"/>
      <c r="S26" s="598"/>
      <c r="T26" s="598"/>
      <c r="U26" s="598"/>
      <c r="V26" s="598"/>
      <c r="W26" s="598"/>
      <c r="X26" s="598"/>
      <c r="Y26" s="598"/>
      <c r="Z26" s="602"/>
      <c r="AA26" s="602"/>
      <c r="AB26" s="602"/>
      <c r="AC26" s="602"/>
      <c r="AD26" s="602"/>
      <c r="AE26" s="602"/>
      <c r="AF26" s="602"/>
      <c r="AG26" s="635"/>
      <c r="AH26" s="132"/>
      <c r="AI26" s="129"/>
      <c r="AJ26" s="129"/>
      <c r="AK26" s="129"/>
      <c r="AL26" s="129"/>
      <c r="AM26" s="129"/>
      <c r="AN26" s="129"/>
      <c r="AO26" s="129"/>
      <c r="AP26" s="129"/>
      <c r="AQ26" s="129"/>
      <c r="AR26" s="129"/>
      <c r="AS26" s="129"/>
      <c r="AT26" s="129"/>
      <c r="AU26" s="129"/>
      <c r="AV26" s="129"/>
      <c r="AW26" s="145"/>
      <c r="AX26" s="618"/>
      <c r="AY26" s="619"/>
      <c r="AZ26" s="619"/>
      <c r="BA26" s="619"/>
      <c r="BB26" s="619"/>
      <c r="BC26" s="619"/>
      <c r="BD26" s="619"/>
      <c r="BE26" s="619"/>
      <c r="BF26" s="619"/>
      <c r="BG26" s="619"/>
      <c r="BH26" s="619"/>
      <c r="BI26" s="619"/>
      <c r="BJ26" s="619"/>
      <c r="BK26" s="619"/>
      <c r="BL26" s="619"/>
      <c r="BM26" s="619"/>
      <c r="BN26" s="619"/>
      <c r="BO26" s="619"/>
      <c r="BP26" s="619"/>
      <c r="BQ26" s="619"/>
      <c r="BR26" s="619"/>
      <c r="BS26" s="619"/>
      <c r="BT26" s="619"/>
      <c r="BU26" s="619"/>
      <c r="BV26" s="619"/>
      <c r="BW26" s="619"/>
      <c r="BX26" s="619"/>
      <c r="BY26" s="619"/>
      <c r="BZ26" s="619"/>
      <c r="CA26" s="619"/>
      <c r="CB26" s="619"/>
      <c r="CC26" s="619"/>
      <c r="CD26" s="619"/>
      <c r="CE26" s="619"/>
      <c r="CF26" s="619"/>
      <c r="CG26" s="619"/>
      <c r="CH26" s="619"/>
      <c r="CI26" s="619"/>
      <c r="CJ26" s="619"/>
      <c r="CK26" s="619"/>
      <c r="CL26" s="619"/>
      <c r="CM26" s="619"/>
      <c r="CN26" s="619"/>
      <c r="CO26" s="619"/>
      <c r="CP26" s="619"/>
      <c r="CQ26" s="619"/>
      <c r="CR26" s="619"/>
      <c r="CS26" s="619"/>
      <c r="CT26" s="619"/>
      <c r="CU26" s="619"/>
      <c r="CV26" s="619"/>
      <c r="CW26" s="619"/>
      <c r="CX26" s="619"/>
      <c r="CY26" s="619"/>
      <c r="CZ26" s="619"/>
      <c r="DA26" s="619"/>
      <c r="DB26" s="619"/>
      <c r="DC26" s="619"/>
      <c r="DD26" s="619"/>
      <c r="DE26" s="619"/>
      <c r="DF26" s="619"/>
      <c r="DG26" s="619"/>
      <c r="DH26" s="619"/>
      <c r="DI26" s="619"/>
      <c r="DJ26" s="619"/>
      <c r="DK26" s="619"/>
      <c r="DL26" s="619"/>
      <c r="DM26" s="619"/>
      <c r="DN26" s="619"/>
      <c r="DO26" s="619"/>
      <c r="DP26" s="619"/>
      <c r="DQ26" s="639"/>
      <c r="DR26" s="229"/>
    </row>
    <row r="27" spans="1:123" ht="7.5" customHeight="1" x14ac:dyDescent="0.25">
      <c r="A27" s="594"/>
      <c r="B27" s="595"/>
      <c r="C27" s="595"/>
      <c r="D27" s="595"/>
      <c r="E27" s="596"/>
      <c r="G27" s="599"/>
      <c r="H27" s="599"/>
      <c r="I27" s="599"/>
      <c r="J27" s="599"/>
      <c r="K27" s="599"/>
      <c r="L27" s="599"/>
      <c r="M27" s="599"/>
      <c r="N27" s="599"/>
      <c r="O27" s="599"/>
      <c r="P27" s="599"/>
      <c r="Q27" s="599"/>
      <c r="R27" s="599"/>
      <c r="S27" s="599"/>
      <c r="T27" s="599"/>
      <c r="U27" s="599"/>
      <c r="V27" s="599"/>
      <c r="W27" s="599"/>
      <c r="X27" s="599"/>
      <c r="Y27" s="599"/>
      <c r="Z27" s="602"/>
      <c r="AA27" s="602"/>
      <c r="AB27" s="602"/>
      <c r="AC27" s="602"/>
      <c r="AD27" s="602"/>
      <c r="AE27" s="602"/>
      <c r="AF27" s="602"/>
      <c r="AG27" s="636"/>
      <c r="AH27" s="132"/>
      <c r="AI27" s="129"/>
      <c r="AJ27" s="129"/>
      <c r="AK27" s="129"/>
      <c r="AL27" s="129"/>
      <c r="AM27" s="129"/>
      <c r="AN27" s="129"/>
      <c r="AO27" s="129"/>
      <c r="AP27" s="129"/>
      <c r="AQ27" s="129"/>
      <c r="AR27" s="129"/>
      <c r="AS27" s="129"/>
      <c r="AT27" s="129"/>
      <c r="AU27" s="129"/>
      <c r="AV27" s="129"/>
      <c r="AW27" s="146"/>
      <c r="AX27" s="618"/>
      <c r="AY27" s="619"/>
      <c r="AZ27" s="619"/>
      <c r="BA27" s="619"/>
      <c r="BB27" s="619"/>
      <c r="BC27" s="619"/>
      <c r="BD27" s="619"/>
      <c r="BE27" s="619"/>
      <c r="BF27" s="619"/>
      <c r="BG27" s="619"/>
      <c r="BH27" s="619"/>
      <c r="BI27" s="619"/>
      <c r="BJ27" s="619"/>
      <c r="BK27" s="619"/>
      <c r="BL27" s="619"/>
      <c r="BM27" s="619"/>
      <c r="BN27" s="619"/>
      <c r="BO27" s="619"/>
      <c r="BP27" s="619"/>
      <c r="BQ27" s="619"/>
      <c r="BR27" s="619"/>
      <c r="BS27" s="619"/>
      <c r="BT27" s="619"/>
      <c r="BU27" s="619"/>
      <c r="BV27" s="619"/>
      <c r="BW27" s="619"/>
      <c r="BX27" s="619"/>
      <c r="BY27" s="619"/>
      <c r="BZ27" s="619"/>
      <c r="CA27" s="619"/>
      <c r="CB27" s="619"/>
      <c r="CC27" s="619"/>
      <c r="CD27" s="619"/>
      <c r="CE27" s="619"/>
      <c r="CF27" s="619"/>
      <c r="CG27" s="619"/>
      <c r="CH27" s="619"/>
      <c r="CI27" s="619"/>
      <c r="CJ27" s="619"/>
      <c r="CK27" s="619"/>
      <c r="CL27" s="619"/>
      <c r="CM27" s="619"/>
      <c r="CN27" s="619"/>
      <c r="CO27" s="619"/>
      <c r="CP27" s="619"/>
      <c r="CQ27" s="619"/>
      <c r="CR27" s="619"/>
      <c r="CS27" s="619"/>
      <c r="CT27" s="619"/>
      <c r="CU27" s="619"/>
      <c r="CV27" s="619"/>
      <c r="CW27" s="619"/>
      <c r="CX27" s="619"/>
      <c r="CY27" s="619"/>
      <c r="CZ27" s="619"/>
      <c r="DA27" s="619"/>
      <c r="DB27" s="619"/>
      <c r="DC27" s="619"/>
      <c r="DD27" s="619"/>
      <c r="DE27" s="619"/>
      <c r="DF27" s="619"/>
      <c r="DG27" s="619"/>
      <c r="DH27" s="619"/>
      <c r="DI27" s="619"/>
      <c r="DJ27" s="619"/>
      <c r="DK27" s="619"/>
      <c r="DL27" s="619"/>
      <c r="DM27" s="619"/>
      <c r="DN27" s="619"/>
      <c r="DO27" s="619"/>
      <c r="DP27" s="619"/>
      <c r="DQ27" s="639"/>
      <c r="DR27" s="229"/>
    </row>
    <row r="28" spans="1:123" s="147" customFormat="1" ht="7.5" customHeight="1" x14ac:dyDescent="0.25">
      <c r="A28" s="74"/>
      <c r="B28" s="74"/>
      <c r="C28" s="74"/>
      <c r="D28" s="74"/>
      <c r="E28" s="74"/>
      <c r="F28" s="653" t="str">
        <f>G25</f>
        <v>Intelligence</v>
      </c>
      <c r="G28" s="653"/>
      <c r="H28" s="653"/>
      <c r="I28" s="653"/>
      <c r="J28" s="653"/>
      <c r="K28" s="677" t="e">
        <f>(INT*(INT-1)/2-(BaseINT*(BaseINT-1))/2)*5</f>
        <v>#REF!</v>
      </c>
      <c r="L28" s="677"/>
      <c r="M28" s="677"/>
      <c r="N28" s="626" t="b">
        <f>IF(AH21&lt;&gt;"",VLOOKUP($G25,'Merit Data'!A:BW,MATCH('Merit Data'!$B$3,'Merit Data'!$3:$3,0),0),TRUE)</f>
        <v>1</v>
      </c>
      <c r="O28" s="626"/>
      <c r="P28" s="626"/>
      <c r="Q28" s="156"/>
      <c r="R28" s="156"/>
      <c r="S28" s="156"/>
      <c r="T28" s="156"/>
      <c r="U28" s="156"/>
      <c r="V28" s="238"/>
      <c r="W28" s="238"/>
      <c r="X28" s="627" t="str">
        <f>IF(F28&gt;0,HYPERLINK("http://wiki.project-saros.com/w/"&amp;F28,"Info"),"")</f>
        <v>Info</v>
      </c>
      <c r="Y28" s="628"/>
      <c r="Z28" s="637"/>
      <c r="AA28" s="637"/>
      <c r="AB28" s="637"/>
      <c r="AC28" s="637"/>
      <c r="AD28" s="637"/>
      <c r="AE28" s="637"/>
      <c r="AF28" s="637"/>
      <c r="AG28" s="638"/>
      <c r="AH28" s="148"/>
      <c r="AI28" s="131"/>
      <c r="AJ28" s="131"/>
      <c r="AK28" s="149"/>
      <c r="AL28" s="149"/>
      <c r="AM28" s="149"/>
      <c r="AN28" s="149"/>
      <c r="AO28" s="149"/>
      <c r="AP28" s="149"/>
      <c r="AQ28" s="149"/>
      <c r="AR28" s="149"/>
      <c r="AS28" s="131"/>
      <c r="AT28" s="131"/>
      <c r="AU28" s="131"/>
      <c r="AV28" s="131"/>
      <c r="AW28" s="150"/>
      <c r="AX28" s="675"/>
      <c r="AY28" s="622"/>
      <c r="AZ28" s="622"/>
      <c r="BA28" s="622"/>
      <c r="BB28" s="622"/>
      <c r="BC28" s="622"/>
      <c r="BD28" s="622"/>
      <c r="BE28" s="622"/>
      <c r="BF28" s="622"/>
      <c r="BG28" s="622"/>
      <c r="BH28" s="622"/>
      <c r="BI28" s="622"/>
      <c r="BJ28" s="622"/>
      <c r="BK28" s="622"/>
      <c r="BL28" s="622"/>
      <c r="BM28" s="622"/>
      <c r="BN28" s="622"/>
      <c r="BO28" s="622"/>
      <c r="BP28" s="622"/>
      <c r="BQ28" s="622"/>
      <c r="BR28" s="622"/>
      <c r="BS28" s="622"/>
      <c r="BT28" s="622"/>
      <c r="BU28" s="622"/>
      <c r="BV28" s="622"/>
      <c r="BW28" s="622"/>
      <c r="BX28" s="622"/>
      <c r="BY28" s="622"/>
      <c r="BZ28" s="622"/>
      <c r="CA28" s="622"/>
      <c r="CB28" s="622"/>
      <c r="CC28" s="622"/>
      <c r="CD28" s="622"/>
      <c r="CE28" s="622"/>
      <c r="CF28" s="622"/>
      <c r="CG28" s="622"/>
      <c r="CH28" s="622"/>
      <c r="CI28" s="622"/>
      <c r="CJ28" s="622"/>
      <c r="CK28" s="622"/>
      <c r="CL28" s="622"/>
      <c r="CM28" s="622"/>
      <c r="CN28" s="622"/>
      <c r="CO28" s="622"/>
      <c r="CP28" s="622"/>
      <c r="CQ28" s="622"/>
      <c r="CR28" s="622"/>
      <c r="CS28" s="622"/>
      <c r="CT28" s="622"/>
      <c r="CU28" s="622"/>
      <c r="CV28" s="622"/>
      <c r="CW28" s="622"/>
      <c r="CX28" s="622"/>
      <c r="CY28" s="622"/>
      <c r="CZ28" s="622"/>
      <c r="DA28" s="622"/>
      <c r="DB28" s="622"/>
      <c r="DC28" s="622"/>
      <c r="DD28" s="622"/>
      <c r="DE28" s="622"/>
      <c r="DF28" s="622"/>
      <c r="DG28" s="622"/>
      <c r="DH28" s="622"/>
      <c r="DI28" s="622"/>
      <c r="DJ28" s="622"/>
      <c r="DK28" s="622"/>
      <c r="DL28" s="622"/>
      <c r="DM28" s="622"/>
      <c r="DN28" s="622"/>
      <c r="DO28" s="622"/>
      <c r="DP28" s="622"/>
      <c r="DQ28" s="623"/>
      <c r="DR28" s="229"/>
      <c r="DS28" s="151"/>
    </row>
    <row r="29" spans="1:123" ht="7.5" customHeight="1" x14ac:dyDescent="0.25">
      <c r="A29" s="588">
        <v>0</v>
      </c>
      <c r="B29" s="589"/>
      <c r="C29" s="589"/>
      <c r="D29" s="589"/>
      <c r="E29" s="590"/>
      <c r="G29" s="597" t="s">
        <v>362</v>
      </c>
      <c r="H29" s="597"/>
      <c r="I29" s="597"/>
      <c r="J29" s="597"/>
      <c r="K29" s="597"/>
      <c r="L29" s="597"/>
      <c r="M29" s="597"/>
      <c r="N29" s="597"/>
      <c r="O29" s="597"/>
      <c r="P29" s="597"/>
      <c r="Q29" s="597"/>
      <c r="R29" s="597"/>
      <c r="S29" s="597"/>
      <c r="T29" s="597"/>
      <c r="U29" s="597"/>
      <c r="V29" s="597"/>
      <c r="W29" s="597"/>
      <c r="X29" s="597"/>
      <c r="Y29" s="597"/>
      <c r="Z29" s="600" t="e">
        <f>WIS*5</f>
        <v>#REF!</v>
      </c>
      <c r="AA29" s="600"/>
      <c r="AB29" s="600"/>
      <c r="AC29" s="600"/>
      <c r="AD29" s="600"/>
      <c r="AE29" s="600"/>
      <c r="AF29" s="600"/>
      <c r="AG29" s="601"/>
      <c r="AH29" s="142"/>
      <c r="AI29" s="143"/>
      <c r="AJ29" s="143"/>
      <c r="AK29" s="143"/>
      <c r="AL29" s="143"/>
      <c r="AM29" s="143"/>
      <c r="AN29" s="143"/>
      <c r="AO29" s="143"/>
      <c r="AP29" s="143"/>
      <c r="AQ29" s="143"/>
      <c r="AR29" s="143"/>
      <c r="AS29" s="143"/>
      <c r="AT29" s="143"/>
      <c r="AU29" s="143"/>
      <c r="AV29" s="143"/>
      <c r="AW29" s="144"/>
      <c r="AX29" s="616" t="e">
        <f>"Further increases your Wisdom score from "&amp;WIS&amp;" to "&amp;WIS+1</f>
        <v>#REF!</v>
      </c>
      <c r="AY29" s="616"/>
      <c r="AZ29" s="616"/>
      <c r="BA29" s="616"/>
      <c r="BB29" s="616"/>
      <c r="BC29" s="616"/>
      <c r="BD29" s="616"/>
      <c r="BE29" s="616"/>
      <c r="BF29" s="616"/>
      <c r="BG29" s="616"/>
      <c r="BH29" s="616"/>
      <c r="BI29" s="616"/>
      <c r="BJ29" s="616"/>
      <c r="BK29" s="616"/>
      <c r="BL29" s="616"/>
      <c r="BM29" s="616"/>
      <c r="BN29" s="616"/>
      <c r="BO29" s="616"/>
      <c r="BP29" s="616"/>
      <c r="BQ29" s="616"/>
      <c r="BR29" s="616"/>
      <c r="BS29" s="616"/>
      <c r="BT29" s="616"/>
      <c r="BU29" s="616"/>
      <c r="BV29" s="616"/>
      <c r="BW29" s="616"/>
      <c r="BX29" s="616"/>
      <c r="BY29" s="616"/>
      <c r="BZ29" s="616"/>
      <c r="CA29" s="616"/>
      <c r="CB29" s="616"/>
      <c r="CC29" s="616"/>
      <c r="CD29" s="616"/>
      <c r="CE29" s="616"/>
      <c r="CF29" s="616"/>
      <c r="CG29" s="616"/>
      <c r="CH29" s="616"/>
      <c r="CI29" s="616"/>
      <c r="CJ29" s="616"/>
      <c r="CK29" s="616"/>
      <c r="CL29" s="616"/>
      <c r="CM29" s="616"/>
      <c r="CN29" s="616"/>
      <c r="CO29" s="616"/>
      <c r="CP29" s="616"/>
      <c r="CQ29" s="616"/>
      <c r="CR29" s="616"/>
      <c r="CS29" s="616"/>
      <c r="CT29" s="616"/>
      <c r="CU29" s="616"/>
      <c r="CV29" s="616"/>
      <c r="CW29" s="616"/>
      <c r="CX29" s="616"/>
      <c r="CY29" s="616"/>
      <c r="CZ29" s="616"/>
      <c r="DA29" s="616"/>
      <c r="DB29" s="616"/>
      <c r="DC29" s="616"/>
      <c r="DD29" s="616"/>
      <c r="DE29" s="616"/>
      <c r="DF29" s="616"/>
      <c r="DG29" s="616"/>
      <c r="DH29" s="616"/>
      <c r="DI29" s="616"/>
      <c r="DJ29" s="616"/>
      <c r="DK29" s="616"/>
      <c r="DL29" s="616"/>
      <c r="DM29" s="616"/>
      <c r="DN29" s="616"/>
      <c r="DO29" s="616"/>
      <c r="DP29" s="616"/>
      <c r="DQ29" s="617"/>
      <c r="DR29" s="229"/>
    </row>
    <row r="30" spans="1:123" ht="7.5" customHeight="1" x14ac:dyDescent="0.25">
      <c r="A30" s="591"/>
      <c r="B30" s="592"/>
      <c r="C30" s="592"/>
      <c r="D30" s="592"/>
      <c r="E30" s="593"/>
      <c r="F30" s="145"/>
      <c r="G30" s="598"/>
      <c r="H30" s="598"/>
      <c r="I30" s="598"/>
      <c r="J30" s="598"/>
      <c r="K30" s="598"/>
      <c r="L30" s="598"/>
      <c r="M30" s="598"/>
      <c r="N30" s="598"/>
      <c r="O30" s="598"/>
      <c r="P30" s="598"/>
      <c r="Q30" s="598"/>
      <c r="R30" s="598"/>
      <c r="S30" s="598"/>
      <c r="T30" s="598"/>
      <c r="U30" s="598"/>
      <c r="V30" s="598"/>
      <c r="W30" s="598"/>
      <c r="X30" s="598"/>
      <c r="Y30" s="598"/>
      <c r="Z30" s="602"/>
      <c r="AA30" s="602"/>
      <c r="AB30" s="602"/>
      <c r="AC30" s="602"/>
      <c r="AD30" s="602"/>
      <c r="AE30" s="602"/>
      <c r="AF30" s="602"/>
      <c r="AG30" s="635"/>
      <c r="AH30" s="132"/>
      <c r="AI30" s="129"/>
      <c r="AJ30" s="129"/>
      <c r="AK30" s="129"/>
      <c r="AL30" s="129"/>
      <c r="AM30" s="129"/>
      <c r="AN30" s="129"/>
      <c r="AO30" s="129"/>
      <c r="AP30" s="129"/>
      <c r="AQ30" s="129"/>
      <c r="AR30" s="129"/>
      <c r="AS30" s="129"/>
      <c r="AT30" s="129"/>
      <c r="AU30" s="129"/>
      <c r="AV30" s="129"/>
      <c r="AW30" s="145"/>
      <c r="AX30" s="619"/>
      <c r="AY30" s="619"/>
      <c r="AZ30" s="619"/>
      <c r="BA30" s="619"/>
      <c r="BB30" s="619"/>
      <c r="BC30" s="619"/>
      <c r="BD30" s="619"/>
      <c r="BE30" s="619"/>
      <c r="BF30" s="619"/>
      <c r="BG30" s="619"/>
      <c r="BH30" s="619"/>
      <c r="BI30" s="619"/>
      <c r="BJ30" s="619"/>
      <c r="BK30" s="619"/>
      <c r="BL30" s="619"/>
      <c r="BM30" s="619"/>
      <c r="BN30" s="619"/>
      <c r="BO30" s="619"/>
      <c r="BP30" s="619"/>
      <c r="BQ30" s="619"/>
      <c r="BR30" s="619"/>
      <c r="BS30" s="619"/>
      <c r="BT30" s="619"/>
      <c r="BU30" s="619"/>
      <c r="BV30" s="619"/>
      <c r="BW30" s="619"/>
      <c r="BX30" s="619"/>
      <c r="BY30" s="619"/>
      <c r="BZ30" s="619"/>
      <c r="CA30" s="619"/>
      <c r="CB30" s="619"/>
      <c r="CC30" s="619"/>
      <c r="CD30" s="619"/>
      <c r="CE30" s="619"/>
      <c r="CF30" s="619"/>
      <c r="CG30" s="619"/>
      <c r="CH30" s="619"/>
      <c r="CI30" s="619"/>
      <c r="CJ30" s="619"/>
      <c r="CK30" s="619"/>
      <c r="CL30" s="619"/>
      <c r="CM30" s="619"/>
      <c r="CN30" s="619"/>
      <c r="CO30" s="619"/>
      <c r="CP30" s="619"/>
      <c r="CQ30" s="619"/>
      <c r="CR30" s="619"/>
      <c r="CS30" s="619"/>
      <c r="CT30" s="619"/>
      <c r="CU30" s="619"/>
      <c r="CV30" s="619"/>
      <c r="CW30" s="619"/>
      <c r="CX30" s="619"/>
      <c r="CY30" s="619"/>
      <c r="CZ30" s="619"/>
      <c r="DA30" s="619"/>
      <c r="DB30" s="619"/>
      <c r="DC30" s="619"/>
      <c r="DD30" s="619"/>
      <c r="DE30" s="619"/>
      <c r="DF30" s="619"/>
      <c r="DG30" s="619"/>
      <c r="DH30" s="619"/>
      <c r="DI30" s="619"/>
      <c r="DJ30" s="619"/>
      <c r="DK30" s="619"/>
      <c r="DL30" s="619"/>
      <c r="DM30" s="619"/>
      <c r="DN30" s="619"/>
      <c r="DO30" s="619"/>
      <c r="DP30" s="619"/>
      <c r="DQ30" s="639"/>
      <c r="DR30" s="229"/>
    </row>
    <row r="31" spans="1:123" ht="7.5" customHeight="1" x14ac:dyDescent="0.25">
      <c r="A31" s="594"/>
      <c r="B31" s="595"/>
      <c r="C31" s="595"/>
      <c r="D31" s="595"/>
      <c r="E31" s="596"/>
      <c r="G31" s="599"/>
      <c r="H31" s="599"/>
      <c r="I31" s="599"/>
      <c r="J31" s="599"/>
      <c r="K31" s="599"/>
      <c r="L31" s="599"/>
      <c r="M31" s="599"/>
      <c r="N31" s="599"/>
      <c r="O31" s="599"/>
      <c r="P31" s="599"/>
      <c r="Q31" s="599"/>
      <c r="R31" s="599"/>
      <c r="S31" s="599"/>
      <c r="T31" s="599"/>
      <c r="U31" s="599"/>
      <c r="V31" s="599"/>
      <c r="W31" s="599"/>
      <c r="X31" s="599"/>
      <c r="Y31" s="599"/>
      <c r="Z31" s="602"/>
      <c r="AA31" s="602"/>
      <c r="AB31" s="602"/>
      <c r="AC31" s="602"/>
      <c r="AD31" s="602"/>
      <c r="AE31" s="602"/>
      <c r="AF31" s="602"/>
      <c r="AG31" s="636"/>
      <c r="AH31" s="132"/>
      <c r="AI31" s="129"/>
      <c r="AJ31" s="129"/>
      <c r="AK31" s="129"/>
      <c r="AL31" s="129"/>
      <c r="AM31" s="129"/>
      <c r="AN31" s="129"/>
      <c r="AO31" s="129"/>
      <c r="AP31" s="129"/>
      <c r="AQ31" s="129"/>
      <c r="AR31" s="129"/>
      <c r="AS31" s="129"/>
      <c r="AT31" s="129"/>
      <c r="AU31" s="129"/>
      <c r="AV31" s="129"/>
      <c r="AW31" s="146"/>
      <c r="AX31" s="619"/>
      <c r="AY31" s="619"/>
      <c r="AZ31" s="619"/>
      <c r="BA31" s="619"/>
      <c r="BB31" s="619"/>
      <c r="BC31" s="619"/>
      <c r="BD31" s="619"/>
      <c r="BE31" s="619"/>
      <c r="BF31" s="619"/>
      <c r="BG31" s="619"/>
      <c r="BH31" s="619"/>
      <c r="BI31" s="619"/>
      <c r="BJ31" s="619"/>
      <c r="BK31" s="619"/>
      <c r="BL31" s="619"/>
      <c r="BM31" s="619"/>
      <c r="BN31" s="619"/>
      <c r="BO31" s="619"/>
      <c r="BP31" s="619"/>
      <c r="BQ31" s="619"/>
      <c r="BR31" s="619"/>
      <c r="BS31" s="619"/>
      <c r="BT31" s="619"/>
      <c r="BU31" s="619"/>
      <c r="BV31" s="619"/>
      <c r="BW31" s="619"/>
      <c r="BX31" s="619"/>
      <c r="BY31" s="619"/>
      <c r="BZ31" s="619"/>
      <c r="CA31" s="619"/>
      <c r="CB31" s="619"/>
      <c r="CC31" s="619"/>
      <c r="CD31" s="619"/>
      <c r="CE31" s="619"/>
      <c r="CF31" s="619"/>
      <c r="CG31" s="619"/>
      <c r="CH31" s="619"/>
      <c r="CI31" s="619"/>
      <c r="CJ31" s="619"/>
      <c r="CK31" s="619"/>
      <c r="CL31" s="619"/>
      <c r="CM31" s="619"/>
      <c r="CN31" s="619"/>
      <c r="CO31" s="619"/>
      <c r="CP31" s="619"/>
      <c r="CQ31" s="619"/>
      <c r="CR31" s="619"/>
      <c r="CS31" s="619"/>
      <c r="CT31" s="619"/>
      <c r="CU31" s="619"/>
      <c r="CV31" s="619"/>
      <c r="CW31" s="619"/>
      <c r="CX31" s="619"/>
      <c r="CY31" s="619"/>
      <c r="CZ31" s="619"/>
      <c r="DA31" s="619"/>
      <c r="DB31" s="619"/>
      <c r="DC31" s="619"/>
      <c r="DD31" s="619"/>
      <c r="DE31" s="619"/>
      <c r="DF31" s="619"/>
      <c r="DG31" s="619"/>
      <c r="DH31" s="619"/>
      <c r="DI31" s="619"/>
      <c r="DJ31" s="619"/>
      <c r="DK31" s="619"/>
      <c r="DL31" s="619"/>
      <c r="DM31" s="619"/>
      <c r="DN31" s="619"/>
      <c r="DO31" s="619"/>
      <c r="DP31" s="619"/>
      <c r="DQ31" s="640"/>
      <c r="DR31" s="229"/>
    </row>
    <row r="32" spans="1:123" s="147" customFormat="1" ht="7.5" customHeight="1" x14ac:dyDescent="0.25">
      <c r="A32" s="74"/>
      <c r="B32" s="74"/>
      <c r="C32" s="74"/>
      <c r="D32" s="74"/>
      <c r="E32" s="74"/>
      <c r="F32" s="653" t="str">
        <f>G29</f>
        <v>Wisdom</v>
      </c>
      <c r="G32" s="653"/>
      <c r="H32" s="653"/>
      <c r="I32" s="653"/>
      <c r="J32" s="653"/>
      <c r="K32" s="677" t="e">
        <f>(WIS*(WIS-1)/2-(BaseWIS*(BaseWIS-1))/2)*5</f>
        <v>#REF!</v>
      </c>
      <c r="L32" s="677"/>
      <c r="M32" s="677"/>
      <c r="N32" s="626" t="b">
        <f>IF(AH25&lt;&gt;"",VLOOKUP($G29,'Merit Data'!A:BW,MATCH('Merit Data'!$B$3,'Merit Data'!$3:$3,0),0),TRUE)</f>
        <v>1</v>
      </c>
      <c r="O32" s="626"/>
      <c r="P32" s="626"/>
      <c r="Q32" s="156"/>
      <c r="R32" s="156"/>
      <c r="S32" s="156"/>
      <c r="T32" s="156"/>
      <c r="U32" s="156"/>
      <c r="V32" s="238"/>
      <c r="W32" s="238"/>
      <c r="X32" s="627" t="str">
        <f>IF(F32&gt;0,HYPERLINK("http://wiki.project-saros.com/w/"&amp;F32,"Info"),"")</f>
        <v>Info</v>
      </c>
      <c r="Y32" s="628"/>
      <c r="Z32" s="637"/>
      <c r="AA32" s="637"/>
      <c r="AB32" s="637"/>
      <c r="AC32" s="637"/>
      <c r="AD32" s="637"/>
      <c r="AE32" s="637"/>
      <c r="AF32" s="637"/>
      <c r="AG32" s="638"/>
      <c r="AH32" s="148"/>
      <c r="AI32" s="131"/>
      <c r="AJ32" s="131"/>
      <c r="AK32" s="149"/>
      <c r="AL32" s="149"/>
      <c r="AM32" s="149"/>
      <c r="AN32" s="149"/>
      <c r="AO32" s="149"/>
      <c r="AP32" s="149"/>
      <c r="AQ32" s="149"/>
      <c r="AR32" s="149"/>
      <c r="AS32" s="131"/>
      <c r="AT32" s="131"/>
      <c r="AU32" s="131"/>
      <c r="AV32" s="131"/>
      <c r="AW32" s="150"/>
      <c r="AX32" s="641"/>
      <c r="AY32" s="641"/>
      <c r="AZ32" s="641"/>
      <c r="BA32" s="641"/>
      <c r="BB32" s="641"/>
      <c r="BC32" s="641"/>
      <c r="BD32" s="641"/>
      <c r="BE32" s="641"/>
      <c r="BF32" s="641"/>
      <c r="BG32" s="641"/>
      <c r="BH32" s="641"/>
      <c r="BI32" s="641"/>
      <c r="BJ32" s="641"/>
      <c r="BK32" s="641"/>
      <c r="BL32" s="641"/>
      <c r="BM32" s="641"/>
      <c r="BN32" s="641"/>
      <c r="BO32" s="641"/>
      <c r="BP32" s="641"/>
      <c r="BQ32" s="641"/>
      <c r="BR32" s="641"/>
      <c r="BS32" s="641"/>
      <c r="BT32" s="641"/>
      <c r="BU32" s="641"/>
      <c r="BV32" s="641"/>
      <c r="BW32" s="641"/>
      <c r="BX32" s="641"/>
      <c r="BY32" s="641"/>
      <c r="BZ32" s="641"/>
      <c r="CA32" s="641"/>
      <c r="CB32" s="641"/>
      <c r="CC32" s="641"/>
      <c r="CD32" s="641"/>
      <c r="CE32" s="641"/>
      <c r="CF32" s="641"/>
      <c r="CG32" s="641"/>
      <c r="CH32" s="641"/>
      <c r="CI32" s="641"/>
      <c r="CJ32" s="641"/>
      <c r="CK32" s="641"/>
      <c r="CL32" s="641"/>
      <c r="CM32" s="641"/>
      <c r="CN32" s="641"/>
      <c r="CO32" s="641"/>
      <c r="CP32" s="641"/>
      <c r="CQ32" s="641"/>
      <c r="CR32" s="641"/>
      <c r="CS32" s="641"/>
      <c r="CT32" s="641"/>
      <c r="CU32" s="641"/>
      <c r="CV32" s="641"/>
      <c r="CW32" s="641"/>
      <c r="CX32" s="641"/>
      <c r="CY32" s="641"/>
      <c r="CZ32" s="641"/>
      <c r="DA32" s="641"/>
      <c r="DB32" s="641"/>
      <c r="DC32" s="641"/>
      <c r="DD32" s="641"/>
      <c r="DE32" s="641"/>
      <c r="DF32" s="641"/>
      <c r="DG32" s="641"/>
      <c r="DH32" s="641"/>
      <c r="DI32" s="641"/>
      <c r="DJ32" s="641"/>
      <c r="DK32" s="641"/>
      <c r="DL32" s="641"/>
      <c r="DM32" s="641"/>
      <c r="DN32" s="641"/>
      <c r="DO32" s="641"/>
      <c r="DP32" s="641"/>
      <c r="DQ32" s="642"/>
      <c r="DR32" s="229"/>
      <c r="DS32" s="151"/>
    </row>
    <row r="33" spans="1:123" ht="7.5" customHeight="1" x14ac:dyDescent="0.25">
      <c r="A33" s="588">
        <v>0</v>
      </c>
      <c r="B33" s="589"/>
      <c r="C33" s="589"/>
      <c r="D33" s="589"/>
      <c r="E33" s="590"/>
      <c r="G33" s="597" t="s">
        <v>363</v>
      </c>
      <c r="H33" s="597"/>
      <c r="I33" s="597"/>
      <c r="J33" s="597"/>
      <c r="K33" s="597"/>
      <c r="L33" s="597"/>
      <c r="M33" s="597"/>
      <c r="N33" s="597"/>
      <c r="O33" s="597"/>
      <c r="P33" s="597"/>
      <c r="Q33" s="597"/>
      <c r="R33" s="597"/>
      <c r="S33" s="597"/>
      <c r="T33" s="597"/>
      <c r="U33" s="597"/>
      <c r="V33" s="597"/>
      <c r="W33" s="597"/>
      <c r="X33" s="597"/>
      <c r="Y33" s="597"/>
      <c r="Z33" s="600" t="e">
        <f>FOC*5</f>
        <v>#REF!</v>
      </c>
      <c r="AA33" s="600"/>
      <c r="AB33" s="600"/>
      <c r="AC33" s="600"/>
      <c r="AD33" s="600"/>
      <c r="AE33" s="600"/>
      <c r="AF33" s="600"/>
      <c r="AG33" s="601"/>
      <c r="AH33" s="142"/>
      <c r="AI33" s="143"/>
      <c r="AJ33" s="143"/>
      <c r="AK33" s="143"/>
      <c r="AL33" s="143"/>
      <c r="AM33" s="143"/>
      <c r="AN33" s="143"/>
      <c r="AO33" s="143"/>
      <c r="AP33" s="143"/>
      <c r="AQ33" s="143"/>
      <c r="AR33" s="143"/>
      <c r="AS33" s="143"/>
      <c r="AT33" s="143"/>
      <c r="AU33" s="143"/>
      <c r="AV33" s="143"/>
      <c r="AW33" s="144"/>
      <c r="AX33" s="616" t="e">
        <f>"Further increases your Focus score from "&amp;FOC&amp;" to "&amp;FOC+1</f>
        <v>#REF!</v>
      </c>
      <c r="AY33" s="616"/>
      <c r="AZ33" s="616"/>
      <c r="BA33" s="616"/>
      <c r="BB33" s="616"/>
      <c r="BC33" s="616"/>
      <c r="BD33" s="616"/>
      <c r="BE33" s="616"/>
      <c r="BF33" s="616"/>
      <c r="BG33" s="616"/>
      <c r="BH33" s="616"/>
      <c r="BI33" s="616"/>
      <c r="BJ33" s="616"/>
      <c r="BK33" s="616"/>
      <c r="BL33" s="616"/>
      <c r="BM33" s="616"/>
      <c r="BN33" s="616"/>
      <c r="BO33" s="616"/>
      <c r="BP33" s="616"/>
      <c r="BQ33" s="616"/>
      <c r="BR33" s="616"/>
      <c r="BS33" s="616"/>
      <c r="BT33" s="616"/>
      <c r="BU33" s="616"/>
      <c r="BV33" s="616"/>
      <c r="BW33" s="616"/>
      <c r="BX33" s="616"/>
      <c r="BY33" s="616"/>
      <c r="BZ33" s="616"/>
      <c r="CA33" s="616"/>
      <c r="CB33" s="616"/>
      <c r="CC33" s="616"/>
      <c r="CD33" s="616"/>
      <c r="CE33" s="616"/>
      <c r="CF33" s="616"/>
      <c r="CG33" s="616"/>
      <c r="CH33" s="616"/>
      <c r="CI33" s="616"/>
      <c r="CJ33" s="616"/>
      <c r="CK33" s="616"/>
      <c r="CL33" s="616"/>
      <c r="CM33" s="616"/>
      <c r="CN33" s="616"/>
      <c r="CO33" s="616"/>
      <c r="CP33" s="616"/>
      <c r="CQ33" s="616"/>
      <c r="CR33" s="616"/>
      <c r="CS33" s="616"/>
      <c r="CT33" s="616"/>
      <c r="CU33" s="616"/>
      <c r="CV33" s="616"/>
      <c r="CW33" s="616"/>
      <c r="CX33" s="616"/>
      <c r="CY33" s="616"/>
      <c r="CZ33" s="616"/>
      <c r="DA33" s="616"/>
      <c r="DB33" s="616"/>
      <c r="DC33" s="616"/>
      <c r="DD33" s="616"/>
      <c r="DE33" s="616"/>
      <c r="DF33" s="616"/>
      <c r="DG33" s="616"/>
      <c r="DH33" s="616"/>
      <c r="DI33" s="616"/>
      <c r="DJ33" s="616"/>
      <c r="DK33" s="616"/>
      <c r="DL33" s="616"/>
      <c r="DM33" s="616"/>
      <c r="DN33" s="616"/>
      <c r="DO33" s="616"/>
      <c r="DP33" s="616"/>
      <c r="DQ33" s="617"/>
      <c r="DR33" s="229"/>
    </row>
    <row r="34" spans="1:123" ht="7.5" customHeight="1" x14ac:dyDescent="0.25">
      <c r="A34" s="591"/>
      <c r="B34" s="592"/>
      <c r="C34" s="592"/>
      <c r="D34" s="592"/>
      <c r="E34" s="593"/>
      <c r="F34" s="145"/>
      <c r="G34" s="598"/>
      <c r="H34" s="598"/>
      <c r="I34" s="598"/>
      <c r="J34" s="598"/>
      <c r="K34" s="598"/>
      <c r="L34" s="598"/>
      <c r="M34" s="598"/>
      <c r="N34" s="598"/>
      <c r="O34" s="598"/>
      <c r="P34" s="598"/>
      <c r="Q34" s="598"/>
      <c r="R34" s="598"/>
      <c r="S34" s="598"/>
      <c r="T34" s="598"/>
      <c r="U34" s="598"/>
      <c r="V34" s="598"/>
      <c r="W34" s="598"/>
      <c r="X34" s="598"/>
      <c r="Y34" s="598"/>
      <c r="Z34" s="602"/>
      <c r="AA34" s="602"/>
      <c r="AB34" s="602"/>
      <c r="AC34" s="602"/>
      <c r="AD34" s="602"/>
      <c r="AE34" s="602"/>
      <c r="AF34" s="602"/>
      <c r="AG34" s="635"/>
      <c r="AH34" s="132"/>
      <c r="AI34" s="129"/>
      <c r="AJ34" s="129"/>
      <c r="AK34" s="129"/>
      <c r="AL34" s="129"/>
      <c r="AM34" s="129"/>
      <c r="AN34" s="129"/>
      <c r="AO34" s="129"/>
      <c r="AP34" s="129"/>
      <c r="AQ34" s="129"/>
      <c r="AR34" s="129"/>
      <c r="AS34" s="129"/>
      <c r="AT34" s="129"/>
      <c r="AU34" s="129"/>
      <c r="AV34" s="129"/>
      <c r="AW34" s="145"/>
      <c r="AX34" s="619"/>
      <c r="AY34" s="619"/>
      <c r="AZ34" s="619"/>
      <c r="BA34" s="619"/>
      <c r="BB34" s="619"/>
      <c r="BC34" s="619"/>
      <c r="BD34" s="619"/>
      <c r="BE34" s="619"/>
      <c r="BF34" s="619"/>
      <c r="BG34" s="619"/>
      <c r="BH34" s="619"/>
      <c r="BI34" s="619"/>
      <c r="BJ34" s="619"/>
      <c r="BK34" s="619"/>
      <c r="BL34" s="619"/>
      <c r="BM34" s="619"/>
      <c r="BN34" s="619"/>
      <c r="BO34" s="619"/>
      <c r="BP34" s="619"/>
      <c r="BQ34" s="619"/>
      <c r="BR34" s="619"/>
      <c r="BS34" s="619"/>
      <c r="BT34" s="619"/>
      <c r="BU34" s="619"/>
      <c r="BV34" s="619"/>
      <c r="BW34" s="619"/>
      <c r="BX34" s="619"/>
      <c r="BY34" s="619"/>
      <c r="BZ34" s="619"/>
      <c r="CA34" s="619"/>
      <c r="CB34" s="619"/>
      <c r="CC34" s="619"/>
      <c r="CD34" s="619"/>
      <c r="CE34" s="619"/>
      <c r="CF34" s="619"/>
      <c r="CG34" s="619"/>
      <c r="CH34" s="619"/>
      <c r="CI34" s="619"/>
      <c r="CJ34" s="619"/>
      <c r="CK34" s="619"/>
      <c r="CL34" s="619"/>
      <c r="CM34" s="619"/>
      <c r="CN34" s="619"/>
      <c r="CO34" s="619"/>
      <c r="CP34" s="619"/>
      <c r="CQ34" s="619"/>
      <c r="CR34" s="619"/>
      <c r="CS34" s="619"/>
      <c r="CT34" s="619"/>
      <c r="CU34" s="619"/>
      <c r="CV34" s="619"/>
      <c r="CW34" s="619"/>
      <c r="CX34" s="619"/>
      <c r="CY34" s="619"/>
      <c r="CZ34" s="619"/>
      <c r="DA34" s="619"/>
      <c r="DB34" s="619"/>
      <c r="DC34" s="619"/>
      <c r="DD34" s="619"/>
      <c r="DE34" s="619"/>
      <c r="DF34" s="619"/>
      <c r="DG34" s="619"/>
      <c r="DH34" s="619"/>
      <c r="DI34" s="619"/>
      <c r="DJ34" s="619"/>
      <c r="DK34" s="619"/>
      <c r="DL34" s="619"/>
      <c r="DM34" s="619"/>
      <c r="DN34" s="619"/>
      <c r="DO34" s="619"/>
      <c r="DP34" s="619"/>
      <c r="DQ34" s="639"/>
      <c r="DR34" s="229"/>
    </row>
    <row r="35" spans="1:123" ht="7.5" customHeight="1" x14ac:dyDescent="0.25">
      <c r="A35" s="594"/>
      <c r="B35" s="595"/>
      <c r="C35" s="595"/>
      <c r="D35" s="595"/>
      <c r="E35" s="596"/>
      <c r="G35" s="599"/>
      <c r="H35" s="599"/>
      <c r="I35" s="599"/>
      <c r="J35" s="599"/>
      <c r="K35" s="599"/>
      <c r="L35" s="599"/>
      <c r="M35" s="599"/>
      <c r="N35" s="599"/>
      <c r="O35" s="599"/>
      <c r="P35" s="599"/>
      <c r="Q35" s="599"/>
      <c r="R35" s="599"/>
      <c r="S35" s="599"/>
      <c r="T35" s="599"/>
      <c r="U35" s="599"/>
      <c r="V35" s="599"/>
      <c r="W35" s="599"/>
      <c r="X35" s="599"/>
      <c r="Y35" s="599"/>
      <c r="Z35" s="602"/>
      <c r="AA35" s="602"/>
      <c r="AB35" s="602"/>
      <c r="AC35" s="602"/>
      <c r="AD35" s="602"/>
      <c r="AE35" s="602"/>
      <c r="AF35" s="602"/>
      <c r="AG35" s="636"/>
      <c r="AH35" s="132"/>
      <c r="AI35" s="129"/>
      <c r="AJ35" s="129"/>
      <c r="AK35" s="129"/>
      <c r="AL35" s="129"/>
      <c r="AM35" s="129"/>
      <c r="AN35" s="129"/>
      <c r="AO35" s="129"/>
      <c r="AP35" s="129"/>
      <c r="AQ35" s="129"/>
      <c r="AR35" s="129"/>
      <c r="AS35" s="129"/>
      <c r="AT35" s="129"/>
      <c r="AU35" s="129"/>
      <c r="AV35" s="129"/>
      <c r="AW35" s="146"/>
      <c r="AX35" s="619"/>
      <c r="AY35" s="619"/>
      <c r="AZ35" s="619"/>
      <c r="BA35" s="619"/>
      <c r="BB35" s="619"/>
      <c r="BC35" s="619"/>
      <c r="BD35" s="619"/>
      <c r="BE35" s="619"/>
      <c r="BF35" s="619"/>
      <c r="BG35" s="619"/>
      <c r="BH35" s="619"/>
      <c r="BI35" s="619"/>
      <c r="BJ35" s="619"/>
      <c r="BK35" s="619"/>
      <c r="BL35" s="619"/>
      <c r="BM35" s="619"/>
      <c r="BN35" s="619"/>
      <c r="BO35" s="619"/>
      <c r="BP35" s="619"/>
      <c r="BQ35" s="619"/>
      <c r="BR35" s="619"/>
      <c r="BS35" s="619"/>
      <c r="BT35" s="619"/>
      <c r="BU35" s="619"/>
      <c r="BV35" s="619"/>
      <c r="BW35" s="619"/>
      <c r="BX35" s="619"/>
      <c r="BY35" s="619"/>
      <c r="BZ35" s="619"/>
      <c r="CA35" s="619"/>
      <c r="CB35" s="619"/>
      <c r="CC35" s="619"/>
      <c r="CD35" s="619"/>
      <c r="CE35" s="619"/>
      <c r="CF35" s="619"/>
      <c r="CG35" s="619"/>
      <c r="CH35" s="619"/>
      <c r="CI35" s="619"/>
      <c r="CJ35" s="619"/>
      <c r="CK35" s="619"/>
      <c r="CL35" s="619"/>
      <c r="CM35" s="619"/>
      <c r="CN35" s="619"/>
      <c r="CO35" s="619"/>
      <c r="CP35" s="619"/>
      <c r="CQ35" s="619"/>
      <c r="CR35" s="619"/>
      <c r="CS35" s="619"/>
      <c r="CT35" s="619"/>
      <c r="CU35" s="619"/>
      <c r="CV35" s="619"/>
      <c r="CW35" s="619"/>
      <c r="CX35" s="619"/>
      <c r="CY35" s="619"/>
      <c r="CZ35" s="619"/>
      <c r="DA35" s="619"/>
      <c r="DB35" s="619"/>
      <c r="DC35" s="619"/>
      <c r="DD35" s="619"/>
      <c r="DE35" s="619"/>
      <c r="DF35" s="619"/>
      <c r="DG35" s="619"/>
      <c r="DH35" s="619"/>
      <c r="DI35" s="619"/>
      <c r="DJ35" s="619"/>
      <c r="DK35" s="619"/>
      <c r="DL35" s="619"/>
      <c r="DM35" s="619"/>
      <c r="DN35" s="619"/>
      <c r="DO35" s="619"/>
      <c r="DP35" s="619"/>
      <c r="DQ35" s="640"/>
      <c r="DR35" s="229"/>
    </row>
    <row r="36" spans="1:123" s="147" customFormat="1" ht="7.5" customHeight="1" x14ac:dyDescent="0.25">
      <c r="A36" s="74"/>
      <c r="B36" s="74"/>
      <c r="C36" s="74"/>
      <c r="D36" s="74"/>
      <c r="E36" s="74"/>
      <c r="F36" s="653" t="str">
        <f>G33</f>
        <v>Focus</v>
      </c>
      <c r="G36" s="653"/>
      <c r="H36" s="653"/>
      <c r="I36" s="653"/>
      <c r="J36" s="653"/>
      <c r="K36" s="677" t="e">
        <f>(FOC*(FOC-1)/2-(BaseFOC*(BaseFOC-1))/2)*5</f>
        <v>#REF!</v>
      </c>
      <c r="L36" s="677"/>
      <c r="M36" s="677"/>
      <c r="N36" s="626" t="b">
        <f>IF(AH29&lt;&gt;"",VLOOKUP($G33,'Merit Data'!A:BW,MATCH('Merit Data'!$B$3,'Merit Data'!$3:$3,0),0),TRUE)</f>
        <v>1</v>
      </c>
      <c r="O36" s="626"/>
      <c r="P36" s="626"/>
      <c r="Q36" s="156"/>
      <c r="R36" s="156"/>
      <c r="S36" s="156"/>
      <c r="T36" s="156"/>
      <c r="U36" s="156"/>
      <c r="V36" s="238"/>
      <c r="W36" s="238"/>
      <c r="X36" s="627" t="str">
        <f>IF(F36&gt;0,HYPERLINK("http://wiki.project-saros.com/w/"&amp;F36,"Info"),"")</f>
        <v>Info</v>
      </c>
      <c r="Y36" s="628"/>
      <c r="Z36" s="637"/>
      <c r="AA36" s="637"/>
      <c r="AB36" s="637"/>
      <c r="AC36" s="637"/>
      <c r="AD36" s="637"/>
      <c r="AE36" s="637"/>
      <c r="AF36" s="637"/>
      <c r="AG36" s="638"/>
      <c r="AH36" s="148"/>
      <c r="AI36" s="131"/>
      <c r="AJ36" s="131"/>
      <c r="AK36" s="149"/>
      <c r="AL36" s="149"/>
      <c r="AM36" s="149"/>
      <c r="AN36" s="149"/>
      <c r="AO36" s="149"/>
      <c r="AP36" s="149"/>
      <c r="AQ36" s="149"/>
      <c r="AR36" s="149"/>
      <c r="AS36" s="131"/>
      <c r="AT36" s="131"/>
      <c r="AU36" s="131"/>
      <c r="AV36" s="131"/>
      <c r="AW36" s="150"/>
      <c r="AX36" s="641"/>
      <c r="AY36" s="641"/>
      <c r="AZ36" s="641"/>
      <c r="BA36" s="641"/>
      <c r="BB36" s="641"/>
      <c r="BC36" s="641"/>
      <c r="BD36" s="641"/>
      <c r="BE36" s="641"/>
      <c r="BF36" s="641"/>
      <c r="BG36" s="641"/>
      <c r="BH36" s="641"/>
      <c r="BI36" s="641"/>
      <c r="BJ36" s="641"/>
      <c r="BK36" s="641"/>
      <c r="BL36" s="641"/>
      <c r="BM36" s="641"/>
      <c r="BN36" s="641"/>
      <c r="BO36" s="641"/>
      <c r="BP36" s="641"/>
      <c r="BQ36" s="641"/>
      <c r="BR36" s="641"/>
      <c r="BS36" s="641"/>
      <c r="BT36" s="641"/>
      <c r="BU36" s="641"/>
      <c r="BV36" s="641"/>
      <c r="BW36" s="641"/>
      <c r="BX36" s="641"/>
      <c r="BY36" s="641"/>
      <c r="BZ36" s="641"/>
      <c r="CA36" s="641"/>
      <c r="CB36" s="641"/>
      <c r="CC36" s="641"/>
      <c r="CD36" s="641"/>
      <c r="CE36" s="641"/>
      <c r="CF36" s="641"/>
      <c r="CG36" s="641"/>
      <c r="CH36" s="641"/>
      <c r="CI36" s="641"/>
      <c r="CJ36" s="641"/>
      <c r="CK36" s="641"/>
      <c r="CL36" s="641"/>
      <c r="CM36" s="641"/>
      <c r="CN36" s="641"/>
      <c r="CO36" s="641"/>
      <c r="CP36" s="641"/>
      <c r="CQ36" s="641"/>
      <c r="CR36" s="641"/>
      <c r="CS36" s="641"/>
      <c r="CT36" s="641"/>
      <c r="CU36" s="641"/>
      <c r="CV36" s="641"/>
      <c r="CW36" s="641"/>
      <c r="CX36" s="641"/>
      <c r="CY36" s="641"/>
      <c r="CZ36" s="641"/>
      <c r="DA36" s="641"/>
      <c r="DB36" s="641"/>
      <c r="DC36" s="641"/>
      <c r="DD36" s="641"/>
      <c r="DE36" s="641"/>
      <c r="DF36" s="641"/>
      <c r="DG36" s="641"/>
      <c r="DH36" s="641"/>
      <c r="DI36" s="641"/>
      <c r="DJ36" s="641"/>
      <c r="DK36" s="641"/>
      <c r="DL36" s="641"/>
      <c r="DM36" s="641"/>
      <c r="DN36" s="641"/>
      <c r="DO36" s="641"/>
      <c r="DP36" s="641"/>
      <c r="DQ36" s="642"/>
      <c r="DR36" s="229"/>
      <c r="DS36" s="151"/>
    </row>
    <row r="37" spans="1:123" ht="7.5" customHeight="1" x14ac:dyDescent="0.25">
      <c r="A37" s="588">
        <v>0</v>
      </c>
      <c r="B37" s="589"/>
      <c r="C37" s="589"/>
      <c r="D37" s="589"/>
      <c r="E37" s="590"/>
      <c r="G37" s="597" t="s">
        <v>364</v>
      </c>
      <c r="H37" s="597"/>
      <c r="I37" s="597"/>
      <c r="J37" s="597"/>
      <c r="K37" s="597"/>
      <c r="L37" s="597"/>
      <c r="M37" s="597"/>
      <c r="N37" s="597"/>
      <c r="O37" s="597"/>
      <c r="P37" s="597"/>
      <c r="Q37" s="597"/>
      <c r="R37" s="597"/>
      <c r="S37" s="597"/>
      <c r="T37" s="597"/>
      <c r="U37" s="597"/>
      <c r="V37" s="597"/>
      <c r="W37" s="597"/>
      <c r="X37" s="597"/>
      <c r="Y37" s="597"/>
      <c r="Z37" s="600" t="e">
        <f>CHA*5</f>
        <v>#REF!</v>
      </c>
      <c r="AA37" s="600"/>
      <c r="AB37" s="600"/>
      <c r="AC37" s="600"/>
      <c r="AD37" s="600"/>
      <c r="AE37" s="600"/>
      <c r="AF37" s="600"/>
      <c r="AG37" s="601"/>
      <c r="AH37" s="142"/>
      <c r="AI37" s="143"/>
      <c r="AJ37" s="143"/>
      <c r="AK37" s="143"/>
      <c r="AL37" s="143"/>
      <c r="AM37" s="143"/>
      <c r="AN37" s="143"/>
      <c r="AO37" s="143"/>
      <c r="AP37" s="143"/>
      <c r="AQ37" s="143"/>
      <c r="AR37" s="143"/>
      <c r="AS37" s="143"/>
      <c r="AT37" s="143"/>
      <c r="AU37" s="143"/>
      <c r="AV37" s="143"/>
      <c r="AW37" s="144"/>
      <c r="AX37" s="616" t="e">
        <f>"Further increases your Charisma score from "&amp;CHA&amp;" to "&amp;CHA+1</f>
        <v>#REF!</v>
      </c>
      <c r="AY37" s="616"/>
      <c r="AZ37" s="616"/>
      <c r="BA37" s="616"/>
      <c r="BB37" s="616"/>
      <c r="BC37" s="616"/>
      <c r="BD37" s="616"/>
      <c r="BE37" s="616"/>
      <c r="BF37" s="616"/>
      <c r="BG37" s="616"/>
      <c r="BH37" s="616"/>
      <c r="BI37" s="616"/>
      <c r="BJ37" s="616"/>
      <c r="BK37" s="616"/>
      <c r="BL37" s="616"/>
      <c r="BM37" s="616"/>
      <c r="BN37" s="616"/>
      <c r="BO37" s="616"/>
      <c r="BP37" s="616"/>
      <c r="BQ37" s="616"/>
      <c r="BR37" s="616"/>
      <c r="BS37" s="616"/>
      <c r="BT37" s="616"/>
      <c r="BU37" s="616"/>
      <c r="BV37" s="616"/>
      <c r="BW37" s="616"/>
      <c r="BX37" s="616"/>
      <c r="BY37" s="616"/>
      <c r="BZ37" s="616"/>
      <c r="CA37" s="616"/>
      <c r="CB37" s="616"/>
      <c r="CC37" s="616"/>
      <c r="CD37" s="616"/>
      <c r="CE37" s="616"/>
      <c r="CF37" s="616"/>
      <c r="CG37" s="616"/>
      <c r="CH37" s="616"/>
      <c r="CI37" s="616"/>
      <c r="CJ37" s="616"/>
      <c r="CK37" s="616"/>
      <c r="CL37" s="616"/>
      <c r="CM37" s="616"/>
      <c r="CN37" s="616"/>
      <c r="CO37" s="616"/>
      <c r="CP37" s="616"/>
      <c r="CQ37" s="616"/>
      <c r="CR37" s="616"/>
      <c r="CS37" s="616"/>
      <c r="CT37" s="616"/>
      <c r="CU37" s="616"/>
      <c r="CV37" s="616"/>
      <c r="CW37" s="616"/>
      <c r="CX37" s="616"/>
      <c r="CY37" s="616"/>
      <c r="CZ37" s="616"/>
      <c r="DA37" s="616"/>
      <c r="DB37" s="616"/>
      <c r="DC37" s="616"/>
      <c r="DD37" s="616"/>
      <c r="DE37" s="616"/>
      <c r="DF37" s="616"/>
      <c r="DG37" s="616"/>
      <c r="DH37" s="616"/>
      <c r="DI37" s="616"/>
      <c r="DJ37" s="616"/>
      <c r="DK37" s="616"/>
      <c r="DL37" s="616"/>
      <c r="DM37" s="616"/>
      <c r="DN37" s="616"/>
      <c r="DO37" s="616"/>
      <c r="DP37" s="616"/>
      <c r="DQ37" s="617"/>
      <c r="DR37" s="229"/>
    </row>
    <row r="38" spans="1:123" ht="7.5" customHeight="1" x14ac:dyDescent="0.25">
      <c r="A38" s="591"/>
      <c r="B38" s="592"/>
      <c r="C38" s="592"/>
      <c r="D38" s="592"/>
      <c r="E38" s="593"/>
      <c r="F38" s="145"/>
      <c r="G38" s="598"/>
      <c r="H38" s="598"/>
      <c r="I38" s="598"/>
      <c r="J38" s="598"/>
      <c r="K38" s="598"/>
      <c r="L38" s="598"/>
      <c r="M38" s="598"/>
      <c r="N38" s="598"/>
      <c r="O38" s="598"/>
      <c r="P38" s="598"/>
      <c r="Q38" s="598"/>
      <c r="R38" s="598"/>
      <c r="S38" s="598"/>
      <c r="T38" s="598"/>
      <c r="U38" s="598"/>
      <c r="V38" s="598"/>
      <c r="W38" s="598"/>
      <c r="X38" s="598"/>
      <c r="Y38" s="598"/>
      <c r="Z38" s="602"/>
      <c r="AA38" s="602"/>
      <c r="AB38" s="602"/>
      <c r="AC38" s="602"/>
      <c r="AD38" s="602"/>
      <c r="AE38" s="602"/>
      <c r="AF38" s="602"/>
      <c r="AG38" s="635"/>
      <c r="AH38" s="132"/>
      <c r="AI38" s="129"/>
      <c r="AJ38" s="129"/>
      <c r="AK38" s="129"/>
      <c r="AL38" s="129"/>
      <c r="AM38" s="129"/>
      <c r="AN38" s="129"/>
      <c r="AO38" s="129"/>
      <c r="AP38" s="129"/>
      <c r="AQ38" s="129"/>
      <c r="AR38" s="129"/>
      <c r="AS38" s="129"/>
      <c r="AT38" s="129"/>
      <c r="AU38" s="129"/>
      <c r="AV38" s="129"/>
      <c r="AW38" s="145"/>
      <c r="AX38" s="619"/>
      <c r="AY38" s="619"/>
      <c r="AZ38" s="619"/>
      <c r="BA38" s="619"/>
      <c r="BB38" s="619"/>
      <c r="BC38" s="619"/>
      <c r="BD38" s="619"/>
      <c r="BE38" s="619"/>
      <c r="BF38" s="619"/>
      <c r="BG38" s="619"/>
      <c r="BH38" s="619"/>
      <c r="BI38" s="619"/>
      <c r="BJ38" s="619"/>
      <c r="BK38" s="619"/>
      <c r="BL38" s="619"/>
      <c r="BM38" s="619"/>
      <c r="BN38" s="619"/>
      <c r="BO38" s="619"/>
      <c r="BP38" s="619"/>
      <c r="BQ38" s="619"/>
      <c r="BR38" s="619"/>
      <c r="BS38" s="619"/>
      <c r="BT38" s="619"/>
      <c r="BU38" s="619"/>
      <c r="BV38" s="619"/>
      <c r="BW38" s="619"/>
      <c r="BX38" s="619"/>
      <c r="BY38" s="619"/>
      <c r="BZ38" s="619"/>
      <c r="CA38" s="619"/>
      <c r="CB38" s="619"/>
      <c r="CC38" s="619"/>
      <c r="CD38" s="619"/>
      <c r="CE38" s="619"/>
      <c r="CF38" s="619"/>
      <c r="CG38" s="619"/>
      <c r="CH38" s="619"/>
      <c r="CI38" s="619"/>
      <c r="CJ38" s="619"/>
      <c r="CK38" s="619"/>
      <c r="CL38" s="619"/>
      <c r="CM38" s="619"/>
      <c r="CN38" s="619"/>
      <c r="CO38" s="619"/>
      <c r="CP38" s="619"/>
      <c r="CQ38" s="619"/>
      <c r="CR38" s="619"/>
      <c r="CS38" s="619"/>
      <c r="CT38" s="619"/>
      <c r="CU38" s="619"/>
      <c r="CV38" s="619"/>
      <c r="CW38" s="619"/>
      <c r="CX38" s="619"/>
      <c r="CY38" s="619"/>
      <c r="CZ38" s="619"/>
      <c r="DA38" s="619"/>
      <c r="DB38" s="619"/>
      <c r="DC38" s="619"/>
      <c r="DD38" s="619"/>
      <c r="DE38" s="619"/>
      <c r="DF38" s="619"/>
      <c r="DG38" s="619"/>
      <c r="DH38" s="619"/>
      <c r="DI38" s="619"/>
      <c r="DJ38" s="619"/>
      <c r="DK38" s="619"/>
      <c r="DL38" s="619"/>
      <c r="DM38" s="619"/>
      <c r="DN38" s="619"/>
      <c r="DO38" s="619"/>
      <c r="DP38" s="619"/>
      <c r="DQ38" s="639"/>
      <c r="DR38" s="229"/>
    </row>
    <row r="39" spans="1:123" ht="7.5" customHeight="1" x14ac:dyDescent="0.25">
      <c r="A39" s="594"/>
      <c r="B39" s="595"/>
      <c r="C39" s="595"/>
      <c r="D39" s="595"/>
      <c r="E39" s="596"/>
      <c r="G39" s="599"/>
      <c r="H39" s="599"/>
      <c r="I39" s="599"/>
      <c r="J39" s="599"/>
      <c r="K39" s="599"/>
      <c r="L39" s="599"/>
      <c r="M39" s="599"/>
      <c r="N39" s="599"/>
      <c r="O39" s="599"/>
      <c r="P39" s="599"/>
      <c r="Q39" s="599"/>
      <c r="R39" s="599"/>
      <c r="S39" s="599"/>
      <c r="T39" s="599"/>
      <c r="U39" s="599"/>
      <c r="V39" s="599"/>
      <c r="W39" s="599"/>
      <c r="X39" s="599"/>
      <c r="Y39" s="599"/>
      <c r="Z39" s="602"/>
      <c r="AA39" s="602"/>
      <c r="AB39" s="602"/>
      <c r="AC39" s="602"/>
      <c r="AD39" s="602"/>
      <c r="AE39" s="602"/>
      <c r="AF39" s="602"/>
      <c r="AG39" s="636"/>
      <c r="AH39" s="132"/>
      <c r="AI39" s="129"/>
      <c r="AJ39" s="129"/>
      <c r="AK39" s="129"/>
      <c r="AL39" s="129"/>
      <c r="AM39" s="129"/>
      <c r="AN39" s="129"/>
      <c r="AO39" s="129"/>
      <c r="AP39" s="129"/>
      <c r="AQ39" s="129"/>
      <c r="AR39" s="129"/>
      <c r="AS39" s="129"/>
      <c r="AT39" s="129"/>
      <c r="AU39" s="129"/>
      <c r="AV39" s="129"/>
      <c r="AW39" s="146"/>
      <c r="AX39" s="619"/>
      <c r="AY39" s="619"/>
      <c r="AZ39" s="619"/>
      <c r="BA39" s="619"/>
      <c r="BB39" s="619"/>
      <c r="BC39" s="619"/>
      <c r="BD39" s="619"/>
      <c r="BE39" s="619"/>
      <c r="BF39" s="619"/>
      <c r="BG39" s="619"/>
      <c r="BH39" s="619"/>
      <c r="BI39" s="619"/>
      <c r="BJ39" s="619"/>
      <c r="BK39" s="619"/>
      <c r="BL39" s="619"/>
      <c r="BM39" s="619"/>
      <c r="BN39" s="619"/>
      <c r="BO39" s="619"/>
      <c r="BP39" s="619"/>
      <c r="BQ39" s="619"/>
      <c r="BR39" s="619"/>
      <c r="BS39" s="619"/>
      <c r="BT39" s="619"/>
      <c r="BU39" s="619"/>
      <c r="BV39" s="619"/>
      <c r="BW39" s="619"/>
      <c r="BX39" s="619"/>
      <c r="BY39" s="619"/>
      <c r="BZ39" s="619"/>
      <c r="CA39" s="619"/>
      <c r="CB39" s="619"/>
      <c r="CC39" s="619"/>
      <c r="CD39" s="619"/>
      <c r="CE39" s="619"/>
      <c r="CF39" s="619"/>
      <c r="CG39" s="619"/>
      <c r="CH39" s="619"/>
      <c r="CI39" s="619"/>
      <c r="CJ39" s="619"/>
      <c r="CK39" s="619"/>
      <c r="CL39" s="619"/>
      <c r="CM39" s="619"/>
      <c r="CN39" s="619"/>
      <c r="CO39" s="619"/>
      <c r="CP39" s="619"/>
      <c r="CQ39" s="619"/>
      <c r="CR39" s="619"/>
      <c r="CS39" s="619"/>
      <c r="CT39" s="619"/>
      <c r="CU39" s="619"/>
      <c r="CV39" s="619"/>
      <c r="CW39" s="619"/>
      <c r="CX39" s="619"/>
      <c r="CY39" s="619"/>
      <c r="CZ39" s="619"/>
      <c r="DA39" s="619"/>
      <c r="DB39" s="619"/>
      <c r="DC39" s="619"/>
      <c r="DD39" s="619"/>
      <c r="DE39" s="619"/>
      <c r="DF39" s="619"/>
      <c r="DG39" s="619"/>
      <c r="DH39" s="619"/>
      <c r="DI39" s="619"/>
      <c r="DJ39" s="619"/>
      <c r="DK39" s="619"/>
      <c r="DL39" s="619"/>
      <c r="DM39" s="619"/>
      <c r="DN39" s="619"/>
      <c r="DO39" s="619"/>
      <c r="DP39" s="619"/>
      <c r="DQ39" s="640"/>
      <c r="DR39" s="229"/>
    </row>
    <row r="40" spans="1:123" s="147" customFormat="1" ht="7.5" customHeight="1" x14ac:dyDescent="0.25">
      <c r="A40" s="74"/>
      <c r="B40" s="74"/>
      <c r="C40" s="74"/>
      <c r="D40" s="74"/>
      <c r="E40" s="74"/>
      <c r="F40" s="653" t="str">
        <f>G37</f>
        <v>Charisma</v>
      </c>
      <c r="G40" s="653"/>
      <c r="H40" s="653"/>
      <c r="I40" s="653"/>
      <c r="J40" s="653"/>
      <c r="K40" s="677" t="e">
        <f>(CHA*(CHA-1)/2-(BaseCHA*(BaseCHA-1))/2)*5</f>
        <v>#REF!</v>
      </c>
      <c r="L40" s="677"/>
      <c r="M40" s="677"/>
      <c r="N40" s="626" t="b">
        <f>IF(AH33&lt;&gt;"",VLOOKUP($G37,'Merit Data'!A:BW,MATCH('Merit Data'!$B$3,'Merit Data'!$3:$3,0),0),TRUE)</f>
        <v>1</v>
      </c>
      <c r="O40" s="626"/>
      <c r="P40" s="626"/>
      <c r="Q40" s="156"/>
      <c r="R40" s="156"/>
      <c r="S40" s="156"/>
      <c r="T40" s="156"/>
      <c r="U40" s="156"/>
      <c r="V40" s="238"/>
      <c r="W40" s="238"/>
      <c r="X40" s="627" t="str">
        <f>IF(F40&gt;0,HYPERLINK("http://wiki.project-saros.com/w/"&amp;F40,"Info"),"")</f>
        <v>Info</v>
      </c>
      <c r="Y40" s="628"/>
      <c r="Z40" s="637"/>
      <c r="AA40" s="637"/>
      <c r="AB40" s="637"/>
      <c r="AC40" s="637"/>
      <c r="AD40" s="637"/>
      <c r="AE40" s="637"/>
      <c r="AF40" s="637"/>
      <c r="AG40" s="638"/>
      <c r="AH40" s="148"/>
      <c r="AI40" s="131"/>
      <c r="AJ40" s="131"/>
      <c r="AK40" s="149"/>
      <c r="AL40" s="149"/>
      <c r="AM40" s="149"/>
      <c r="AN40" s="149"/>
      <c r="AO40" s="149"/>
      <c r="AP40" s="149"/>
      <c r="AQ40" s="149"/>
      <c r="AR40" s="149"/>
      <c r="AS40" s="131"/>
      <c r="AT40" s="131"/>
      <c r="AU40" s="131"/>
      <c r="AV40" s="131"/>
      <c r="AW40" s="150"/>
      <c r="AX40" s="641"/>
      <c r="AY40" s="641"/>
      <c r="AZ40" s="641"/>
      <c r="BA40" s="641"/>
      <c r="BB40" s="641"/>
      <c r="BC40" s="641"/>
      <c r="BD40" s="641"/>
      <c r="BE40" s="641"/>
      <c r="BF40" s="641"/>
      <c r="BG40" s="641"/>
      <c r="BH40" s="641"/>
      <c r="BI40" s="641"/>
      <c r="BJ40" s="641"/>
      <c r="BK40" s="641"/>
      <c r="BL40" s="641"/>
      <c r="BM40" s="641"/>
      <c r="BN40" s="641"/>
      <c r="BO40" s="641"/>
      <c r="BP40" s="641"/>
      <c r="BQ40" s="641"/>
      <c r="BR40" s="641"/>
      <c r="BS40" s="641"/>
      <c r="BT40" s="641"/>
      <c r="BU40" s="641"/>
      <c r="BV40" s="641"/>
      <c r="BW40" s="641"/>
      <c r="BX40" s="641"/>
      <c r="BY40" s="641"/>
      <c r="BZ40" s="641"/>
      <c r="CA40" s="641"/>
      <c r="CB40" s="641"/>
      <c r="CC40" s="641"/>
      <c r="CD40" s="641"/>
      <c r="CE40" s="641"/>
      <c r="CF40" s="641"/>
      <c r="CG40" s="641"/>
      <c r="CH40" s="641"/>
      <c r="CI40" s="641"/>
      <c r="CJ40" s="641"/>
      <c r="CK40" s="641"/>
      <c r="CL40" s="641"/>
      <c r="CM40" s="641"/>
      <c r="CN40" s="641"/>
      <c r="CO40" s="641"/>
      <c r="CP40" s="641"/>
      <c r="CQ40" s="641"/>
      <c r="CR40" s="641"/>
      <c r="CS40" s="641"/>
      <c r="CT40" s="641"/>
      <c r="CU40" s="641"/>
      <c r="CV40" s="641"/>
      <c r="CW40" s="641"/>
      <c r="CX40" s="641"/>
      <c r="CY40" s="641"/>
      <c r="CZ40" s="641"/>
      <c r="DA40" s="641"/>
      <c r="DB40" s="641"/>
      <c r="DC40" s="641"/>
      <c r="DD40" s="641"/>
      <c r="DE40" s="641"/>
      <c r="DF40" s="641"/>
      <c r="DG40" s="641"/>
      <c r="DH40" s="641"/>
      <c r="DI40" s="641"/>
      <c r="DJ40" s="641"/>
      <c r="DK40" s="641"/>
      <c r="DL40" s="641"/>
      <c r="DM40" s="641"/>
      <c r="DN40" s="641"/>
      <c r="DO40" s="641"/>
      <c r="DP40" s="641"/>
      <c r="DQ40" s="642"/>
      <c r="DR40" s="229"/>
      <c r="DS40" s="151"/>
    </row>
    <row r="41" spans="1:123" ht="7.5" customHeight="1" x14ac:dyDescent="0.25">
      <c r="A41" s="588">
        <v>0</v>
      </c>
      <c r="B41" s="589"/>
      <c r="C41" s="589"/>
      <c r="D41" s="589"/>
      <c r="E41" s="590"/>
      <c r="G41" s="597" t="s">
        <v>365</v>
      </c>
      <c r="H41" s="597"/>
      <c r="I41" s="597"/>
      <c r="J41" s="597"/>
      <c r="K41" s="597"/>
      <c r="L41" s="597"/>
      <c r="M41" s="597"/>
      <c r="N41" s="597"/>
      <c r="O41" s="597"/>
      <c r="P41" s="597"/>
      <c r="Q41" s="597"/>
      <c r="R41" s="597"/>
      <c r="S41" s="597"/>
      <c r="T41" s="597"/>
      <c r="U41" s="597"/>
      <c r="V41" s="597"/>
      <c r="W41" s="597"/>
      <c r="X41" s="597"/>
      <c r="Y41" s="597"/>
      <c r="Z41" s="600" t="e">
        <f>INS*5</f>
        <v>#REF!</v>
      </c>
      <c r="AA41" s="600"/>
      <c r="AB41" s="600"/>
      <c r="AC41" s="600"/>
      <c r="AD41" s="600"/>
      <c r="AE41" s="600"/>
      <c r="AF41" s="600"/>
      <c r="AG41" s="601"/>
      <c r="AH41" s="142"/>
      <c r="AI41" s="143"/>
      <c r="AJ41" s="143"/>
      <c r="AK41" s="143"/>
      <c r="AL41" s="143"/>
      <c r="AM41" s="143"/>
      <c r="AN41" s="143"/>
      <c r="AO41" s="143"/>
      <c r="AP41" s="143"/>
      <c r="AQ41" s="143"/>
      <c r="AR41" s="143"/>
      <c r="AS41" s="143"/>
      <c r="AT41" s="143"/>
      <c r="AU41" s="143"/>
      <c r="AV41" s="143"/>
      <c r="AW41" s="144"/>
      <c r="AX41" s="616" t="e">
        <f>"Further increases your Insight score from "&amp;INS&amp;" to "&amp;INS+1</f>
        <v>#REF!</v>
      </c>
      <c r="AY41" s="616"/>
      <c r="AZ41" s="616"/>
      <c r="BA41" s="616"/>
      <c r="BB41" s="616"/>
      <c r="BC41" s="616"/>
      <c r="BD41" s="616"/>
      <c r="BE41" s="616"/>
      <c r="BF41" s="616"/>
      <c r="BG41" s="616"/>
      <c r="BH41" s="616"/>
      <c r="BI41" s="616"/>
      <c r="BJ41" s="616"/>
      <c r="BK41" s="616"/>
      <c r="BL41" s="616"/>
      <c r="BM41" s="616"/>
      <c r="BN41" s="616"/>
      <c r="BO41" s="616"/>
      <c r="BP41" s="616"/>
      <c r="BQ41" s="616"/>
      <c r="BR41" s="616"/>
      <c r="BS41" s="616"/>
      <c r="BT41" s="616"/>
      <c r="BU41" s="616"/>
      <c r="BV41" s="616"/>
      <c r="BW41" s="616"/>
      <c r="BX41" s="616"/>
      <c r="BY41" s="616"/>
      <c r="BZ41" s="616"/>
      <c r="CA41" s="616"/>
      <c r="CB41" s="616"/>
      <c r="CC41" s="616"/>
      <c r="CD41" s="616"/>
      <c r="CE41" s="616"/>
      <c r="CF41" s="616"/>
      <c r="CG41" s="616"/>
      <c r="CH41" s="616"/>
      <c r="CI41" s="616"/>
      <c r="CJ41" s="616"/>
      <c r="CK41" s="616"/>
      <c r="CL41" s="616"/>
      <c r="CM41" s="616"/>
      <c r="CN41" s="616"/>
      <c r="CO41" s="616"/>
      <c r="CP41" s="616"/>
      <c r="CQ41" s="616"/>
      <c r="CR41" s="616"/>
      <c r="CS41" s="616"/>
      <c r="CT41" s="616"/>
      <c r="CU41" s="616"/>
      <c r="CV41" s="616"/>
      <c r="CW41" s="616"/>
      <c r="CX41" s="616"/>
      <c r="CY41" s="616"/>
      <c r="CZ41" s="616"/>
      <c r="DA41" s="616"/>
      <c r="DB41" s="616"/>
      <c r="DC41" s="616"/>
      <c r="DD41" s="616"/>
      <c r="DE41" s="616"/>
      <c r="DF41" s="616"/>
      <c r="DG41" s="616"/>
      <c r="DH41" s="616"/>
      <c r="DI41" s="616"/>
      <c r="DJ41" s="616"/>
      <c r="DK41" s="616"/>
      <c r="DL41" s="616"/>
      <c r="DM41" s="616"/>
      <c r="DN41" s="616"/>
      <c r="DO41" s="616"/>
      <c r="DP41" s="616"/>
      <c r="DQ41" s="617"/>
      <c r="DR41" s="229"/>
    </row>
    <row r="42" spans="1:123" ht="7.5" customHeight="1" x14ac:dyDescent="0.25">
      <c r="A42" s="591"/>
      <c r="B42" s="592"/>
      <c r="C42" s="592"/>
      <c r="D42" s="592"/>
      <c r="E42" s="593"/>
      <c r="F42" s="145"/>
      <c r="G42" s="598"/>
      <c r="H42" s="598"/>
      <c r="I42" s="598"/>
      <c r="J42" s="598"/>
      <c r="K42" s="598"/>
      <c r="L42" s="598"/>
      <c r="M42" s="598"/>
      <c r="N42" s="598"/>
      <c r="O42" s="598"/>
      <c r="P42" s="598"/>
      <c r="Q42" s="598"/>
      <c r="R42" s="598"/>
      <c r="S42" s="598"/>
      <c r="T42" s="598"/>
      <c r="U42" s="598"/>
      <c r="V42" s="598"/>
      <c r="W42" s="598"/>
      <c r="X42" s="598"/>
      <c r="Y42" s="598"/>
      <c r="Z42" s="602"/>
      <c r="AA42" s="602"/>
      <c r="AB42" s="602"/>
      <c r="AC42" s="602"/>
      <c r="AD42" s="602"/>
      <c r="AE42" s="602"/>
      <c r="AF42" s="602"/>
      <c r="AG42" s="635"/>
      <c r="AH42" s="132"/>
      <c r="AI42" s="129"/>
      <c r="AJ42" s="129"/>
      <c r="AK42" s="129"/>
      <c r="AL42" s="129"/>
      <c r="AM42" s="129"/>
      <c r="AN42" s="129"/>
      <c r="AO42" s="129"/>
      <c r="AP42" s="129"/>
      <c r="AQ42" s="129"/>
      <c r="AR42" s="129"/>
      <c r="AS42" s="129"/>
      <c r="AT42" s="129"/>
      <c r="AU42" s="129"/>
      <c r="AV42" s="129"/>
      <c r="AW42" s="145"/>
      <c r="AX42" s="619"/>
      <c r="AY42" s="619"/>
      <c r="AZ42" s="619"/>
      <c r="BA42" s="619"/>
      <c r="BB42" s="619"/>
      <c r="BC42" s="619"/>
      <c r="BD42" s="619"/>
      <c r="BE42" s="619"/>
      <c r="BF42" s="619"/>
      <c r="BG42" s="619"/>
      <c r="BH42" s="619"/>
      <c r="BI42" s="619"/>
      <c r="BJ42" s="619"/>
      <c r="BK42" s="619"/>
      <c r="BL42" s="619"/>
      <c r="BM42" s="619"/>
      <c r="BN42" s="619"/>
      <c r="BO42" s="619"/>
      <c r="BP42" s="619"/>
      <c r="BQ42" s="619"/>
      <c r="BR42" s="619"/>
      <c r="BS42" s="619"/>
      <c r="BT42" s="619"/>
      <c r="BU42" s="619"/>
      <c r="BV42" s="619"/>
      <c r="BW42" s="619"/>
      <c r="BX42" s="619"/>
      <c r="BY42" s="619"/>
      <c r="BZ42" s="619"/>
      <c r="CA42" s="619"/>
      <c r="CB42" s="619"/>
      <c r="CC42" s="619"/>
      <c r="CD42" s="619"/>
      <c r="CE42" s="619"/>
      <c r="CF42" s="619"/>
      <c r="CG42" s="619"/>
      <c r="CH42" s="619"/>
      <c r="CI42" s="619"/>
      <c r="CJ42" s="619"/>
      <c r="CK42" s="619"/>
      <c r="CL42" s="619"/>
      <c r="CM42" s="619"/>
      <c r="CN42" s="619"/>
      <c r="CO42" s="619"/>
      <c r="CP42" s="619"/>
      <c r="CQ42" s="619"/>
      <c r="CR42" s="619"/>
      <c r="CS42" s="619"/>
      <c r="CT42" s="619"/>
      <c r="CU42" s="619"/>
      <c r="CV42" s="619"/>
      <c r="CW42" s="619"/>
      <c r="CX42" s="619"/>
      <c r="CY42" s="619"/>
      <c r="CZ42" s="619"/>
      <c r="DA42" s="619"/>
      <c r="DB42" s="619"/>
      <c r="DC42" s="619"/>
      <c r="DD42" s="619"/>
      <c r="DE42" s="619"/>
      <c r="DF42" s="619"/>
      <c r="DG42" s="619"/>
      <c r="DH42" s="619"/>
      <c r="DI42" s="619"/>
      <c r="DJ42" s="619"/>
      <c r="DK42" s="619"/>
      <c r="DL42" s="619"/>
      <c r="DM42" s="619"/>
      <c r="DN42" s="619"/>
      <c r="DO42" s="619"/>
      <c r="DP42" s="619"/>
      <c r="DQ42" s="639"/>
      <c r="DR42" s="229"/>
    </row>
    <row r="43" spans="1:123" ht="7.5" customHeight="1" x14ac:dyDescent="0.25">
      <c r="A43" s="594"/>
      <c r="B43" s="595"/>
      <c r="C43" s="595"/>
      <c r="D43" s="595"/>
      <c r="E43" s="596"/>
      <c r="G43" s="599"/>
      <c r="H43" s="599"/>
      <c r="I43" s="599"/>
      <c r="J43" s="599"/>
      <c r="K43" s="599"/>
      <c r="L43" s="599"/>
      <c r="M43" s="599"/>
      <c r="N43" s="599"/>
      <c r="O43" s="599"/>
      <c r="P43" s="599"/>
      <c r="Q43" s="599"/>
      <c r="R43" s="599"/>
      <c r="S43" s="599"/>
      <c r="T43" s="599"/>
      <c r="U43" s="599"/>
      <c r="V43" s="599"/>
      <c r="W43" s="599"/>
      <c r="X43" s="599"/>
      <c r="Y43" s="599"/>
      <c r="Z43" s="602"/>
      <c r="AA43" s="602"/>
      <c r="AB43" s="602"/>
      <c r="AC43" s="602"/>
      <c r="AD43" s="602"/>
      <c r="AE43" s="602"/>
      <c r="AF43" s="602"/>
      <c r="AG43" s="636"/>
      <c r="AH43" s="132"/>
      <c r="AI43" s="129"/>
      <c r="AJ43" s="129"/>
      <c r="AK43" s="129"/>
      <c r="AL43" s="129"/>
      <c r="AM43" s="129"/>
      <c r="AN43" s="129"/>
      <c r="AO43" s="129"/>
      <c r="AP43" s="129"/>
      <c r="AQ43" s="129"/>
      <c r="AR43" s="129"/>
      <c r="AS43" s="129"/>
      <c r="AT43" s="129"/>
      <c r="AU43" s="129"/>
      <c r="AV43" s="129"/>
      <c r="AW43" s="146"/>
      <c r="AX43" s="619"/>
      <c r="AY43" s="619"/>
      <c r="AZ43" s="619"/>
      <c r="BA43" s="619"/>
      <c r="BB43" s="619"/>
      <c r="BC43" s="619"/>
      <c r="BD43" s="619"/>
      <c r="BE43" s="619"/>
      <c r="BF43" s="619"/>
      <c r="BG43" s="619"/>
      <c r="BH43" s="619"/>
      <c r="BI43" s="619"/>
      <c r="BJ43" s="619"/>
      <c r="BK43" s="619"/>
      <c r="BL43" s="619"/>
      <c r="BM43" s="619"/>
      <c r="BN43" s="619"/>
      <c r="BO43" s="619"/>
      <c r="BP43" s="619"/>
      <c r="BQ43" s="619"/>
      <c r="BR43" s="619"/>
      <c r="BS43" s="619"/>
      <c r="BT43" s="619"/>
      <c r="BU43" s="619"/>
      <c r="BV43" s="619"/>
      <c r="BW43" s="619"/>
      <c r="BX43" s="619"/>
      <c r="BY43" s="619"/>
      <c r="BZ43" s="619"/>
      <c r="CA43" s="619"/>
      <c r="CB43" s="619"/>
      <c r="CC43" s="619"/>
      <c r="CD43" s="619"/>
      <c r="CE43" s="619"/>
      <c r="CF43" s="619"/>
      <c r="CG43" s="619"/>
      <c r="CH43" s="619"/>
      <c r="CI43" s="619"/>
      <c r="CJ43" s="619"/>
      <c r="CK43" s="619"/>
      <c r="CL43" s="619"/>
      <c r="CM43" s="619"/>
      <c r="CN43" s="619"/>
      <c r="CO43" s="619"/>
      <c r="CP43" s="619"/>
      <c r="CQ43" s="619"/>
      <c r="CR43" s="619"/>
      <c r="CS43" s="619"/>
      <c r="CT43" s="619"/>
      <c r="CU43" s="619"/>
      <c r="CV43" s="619"/>
      <c r="CW43" s="619"/>
      <c r="CX43" s="619"/>
      <c r="CY43" s="619"/>
      <c r="CZ43" s="619"/>
      <c r="DA43" s="619"/>
      <c r="DB43" s="619"/>
      <c r="DC43" s="619"/>
      <c r="DD43" s="619"/>
      <c r="DE43" s="619"/>
      <c r="DF43" s="619"/>
      <c r="DG43" s="619"/>
      <c r="DH43" s="619"/>
      <c r="DI43" s="619"/>
      <c r="DJ43" s="619"/>
      <c r="DK43" s="619"/>
      <c r="DL43" s="619"/>
      <c r="DM43" s="619"/>
      <c r="DN43" s="619"/>
      <c r="DO43" s="619"/>
      <c r="DP43" s="619"/>
      <c r="DQ43" s="640"/>
      <c r="DR43" s="229"/>
    </row>
    <row r="44" spans="1:123" s="147" customFormat="1" ht="7.5" customHeight="1" x14ac:dyDescent="0.25">
      <c r="A44" s="74"/>
      <c r="B44" s="74"/>
      <c r="C44" s="74"/>
      <c r="D44" s="74"/>
      <c r="E44" s="74"/>
      <c r="F44" s="653" t="str">
        <f>G41</f>
        <v>Insight</v>
      </c>
      <c r="G44" s="653"/>
      <c r="H44" s="653"/>
      <c r="I44" s="653"/>
      <c r="J44" s="653"/>
      <c r="K44" s="677" t="e">
        <f>(INS*(INS-1)/2-(BaseINS*(BaseINS-1))/2)*5</f>
        <v>#REF!</v>
      </c>
      <c r="L44" s="677"/>
      <c r="M44" s="677"/>
      <c r="N44" s="626" t="b">
        <f>IF(AH37&lt;&gt;"",VLOOKUP($G41,'Merit Data'!A:BW,MATCH('Merit Data'!$B$3,'Merit Data'!$3:$3,0),0),TRUE)</f>
        <v>1</v>
      </c>
      <c r="O44" s="626"/>
      <c r="P44" s="626"/>
      <c r="Q44" s="156"/>
      <c r="R44" s="156"/>
      <c r="S44" s="156"/>
      <c r="T44" s="156"/>
      <c r="U44" s="156"/>
      <c r="V44" s="238"/>
      <c r="W44" s="238"/>
      <c r="X44" s="627" t="str">
        <f>IF(F44&gt;0,HYPERLINK("http://wiki.project-saros.com/w/"&amp;F44,"Info"),"")</f>
        <v>Info</v>
      </c>
      <c r="Y44" s="628"/>
      <c r="Z44" s="637"/>
      <c r="AA44" s="637"/>
      <c r="AB44" s="637"/>
      <c r="AC44" s="637"/>
      <c r="AD44" s="637"/>
      <c r="AE44" s="637"/>
      <c r="AF44" s="637"/>
      <c r="AG44" s="638"/>
      <c r="AH44" s="148"/>
      <c r="AI44" s="131"/>
      <c r="AJ44" s="131"/>
      <c r="AK44" s="149"/>
      <c r="AL44" s="149"/>
      <c r="AM44" s="149"/>
      <c r="AN44" s="149"/>
      <c r="AO44" s="149"/>
      <c r="AP44" s="149"/>
      <c r="AQ44" s="149"/>
      <c r="AR44" s="149"/>
      <c r="AS44" s="131"/>
      <c r="AT44" s="131"/>
      <c r="AU44" s="131"/>
      <c r="AV44" s="131"/>
      <c r="AW44" s="150"/>
      <c r="AX44" s="641"/>
      <c r="AY44" s="641"/>
      <c r="AZ44" s="641"/>
      <c r="BA44" s="641"/>
      <c r="BB44" s="641"/>
      <c r="BC44" s="641"/>
      <c r="BD44" s="641"/>
      <c r="BE44" s="641"/>
      <c r="BF44" s="641"/>
      <c r="BG44" s="641"/>
      <c r="BH44" s="641"/>
      <c r="BI44" s="641"/>
      <c r="BJ44" s="641"/>
      <c r="BK44" s="641"/>
      <c r="BL44" s="641"/>
      <c r="BM44" s="641"/>
      <c r="BN44" s="641"/>
      <c r="BO44" s="641"/>
      <c r="BP44" s="641"/>
      <c r="BQ44" s="641"/>
      <c r="BR44" s="641"/>
      <c r="BS44" s="641"/>
      <c r="BT44" s="641"/>
      <c r="BU44" s="641"/>
      <c r="BV44" s="641"/>
      <c r="BW44" s="641"/>
      <c r="BX44" s="641"/>
      <c r="BY44" s="641"/>
      <c r="BZ44" s="641"/>
      <c r="CA44" s="641"/>
      <c r="CB44" s="641"/>
      <c r="CC44" s="641"/>
      <c r="CD44" s="641"/>
      <c r="CE44" s="641"/>
      <c r="CF44" s="641"/>
      <c r="CG44" s="641"/>
      <c r="CH44" s="641"/>
      <c r="CI44" s="641"/>
      <c r="CJ44" s="641"/>
      <c r="CK44" s="641"/>
      <c r="CL44" s="641"/>
      <c r="CM44" s="641"/>
      <c r="CN44" s="641"/>
      <c r="CO44" s="641"/>
      <c r="CP44" s="641"/>
      <c r="CQ44" s="641"/>
      <c r="CR44" s="641"/>
      <c r="CS44" s="641"/>
      <c r="CT44" s="641"/>
      <c r="CU44" s="641"/>
      <c r="CV44" s="641"/>
      <c r="CW44" s="641"/>
      <c r="CX44" s="641"/>
      <c r="CY44" s="641"/>
      <c r="CZ44" s="641"/>
      <c r="DA44" s="641"/>
      <c r="DB44" s="641"/>
      <c r="DC44" s="641"/>
      <c r="DD44" s="641"/>
      <c r="DE44" s="641"/>
      <c r="DF44" s="641"/>
      <c r="DG44" s="641"/>
      <c r="DH44" s="641"/>
      <c r="DI44" s="641"/>
      <c r="DJ44" s="641"/>
      <c r="DK44" s="641"/>
      <c r="DL44" s="641"/>
      <c r="DM44" s="641"/>
      <c r="DN44" s="641"/>
      <c r="DO44" s="641"/>
      <c r="DP44" s="641"/>
      <c r="DQ44" s="642"/>
      <c r="DR44" s="229"/>
      <c r="DS44" s="151"/>
    </row>
    <row r="45" spans="1:123" ht="7.5" customHeight="1" x14ac:dyDescent="0.25">
      <c r="A45" s="588">
        <v>0</v>
      </c>
      <c r="B45" s="589"/>
      <c r="C45" s="589"/>
      <c r="D45" s="589"/>
      <c r="E45" s="590"/>
      <c r="G45" s="597" t="s">
        <v>366</v>
      </c>
      <c r="H45" s="597"/>
      <c r="I45" s="597"/>
      <c r="J45" s="597"/>
      <c r="K45" s="597"/>
      <c r="L45" s="597"/>
      <c r="M45" s="597"/>
      <c r="N45" s="597"/>
      <c r="O45" s="597"/>
      <c r="P45" s="597"/>
      <c r="Q45" s="597"/>
      <c r="R45" s="597"/>
      <c r="S45" s="597"/>
      <c r="T45" s="597"/>
      <c r="U45" s="597"/>
      <c r="V45" s="597"/>
      <c r="W45" s="597"/>
      <c r="X45" s="597"/>
      <c r="Y45" s="597"/>
      <c r="Z45" s="600" t="e">
        <f>CNV*5</f>
        <v>#REF!</v>
      </c>
      <c r="AA45" s="600"/>
      <c r="AB45" s="600"/>
      <c r="AC45" s="600"/>
      <c r="AD45" s="600"/>
      <c r="AE45" s="600"/>
      <c r="AF45" s="600"/>
      <c r="AG45" s="601"/>
      <c r="AH45" s="142"/>
      <c r="AI45" s="143"/>
      <c r="AJ45" s="143"/>
      <c r="AK45" s="143"/>
      <c r="AL45" s="143"/>
      <c r="AM45" s="143"/>
      <c r="AN45" s="143"/>
      <c r="AO45" s="143"/>
      <c r="AP45" s="143"/>
      <c r="AQ45" s="143"/>
      <c r="AR45" s="143"/>
      <c r="AS45" s="143"/>
      <c r="AT45" s="143"/>
      <c r="AU45" s="143"/>
      <c r="AV45" s="143"/>
      <c r="AW45" s="144"/>
      <c r="AX45" s="616" t="e">
        <f>"Further increases your Conviction score from "&amp;CNV&amp;" to "&amp;CNV+1</f>
        <v>#REF!</v>
      </c>
      <c r="AY45" s="616"/>
      <c r="AZ45" s="616"/>
      <c r="BA45" s="616"/>
      <c r="BB45" s="616"/>
      <c r="BC45" s="616"/>
      <c r="BD45" s="616"/>
      <c r="BE45" s="616"/>
      <c r="BF45" s="616"/>
      <c r="BG45" s="616"/>
      <c r="BH45" s="616"/>
      <c r="BI45" s="616"/>
      <c r="BJ45" s="616"/>
      <c r="BK45" s="616"/>
      <c r="BL45" s="616"/>
      <c r="BM45" s="616"/>
      <c r="BN45" s="616"/>
      <c r="BO45" s="616"/>
      <c r="BP45" s="616"/>
      <c r="BQ45" s="616"/>
      <c r="BR45" s="616"/>
      <c r="BS45" s="616"/>
      <c r="BT45" s="616"/>
      <c r="BU45" s="616"/>
      <c r="BV45" s="616"/>
      <c r="BW45" s="616"/>
      <c r="BX45" s="616"/>
      <c r="BY45" s="616"/>
      <c r="BZ45" s="616"/>
      <c r="CA45" s="616"/>
      <c r="CB45" s="616"/>
      <c r="CC45" s="616"/>
      <c r="CD45" s="616"/>
      <c r="CE45" s="616"/>
      <c r="CF45" s="616"/>
      <c r="CG45" s="616"/>
      <c r="CH45" s="616"/>
      <c r="CI45" s="616"/>
      <c r="CJ45" s="616"/>
      <c r="CK45" s="616"/>
      <c r="CL45" s="616"/>
      <c r="CM45" s="616"/>
      <c r="CN45" s="616"/>
      <c r="CO45" s="616"/>
      <c r="CP45" s="616"/>
      <c r="CQ45" s="616"/>
      <c r="CR45" s="616"/>
      <c r="CS45" s="616"/>
      <c r="CT45" s="616"/>
      <c r="CU45" s="616"/>
      <c r="CV45" s="616"/>
      <c r="CW45" s="616"/>
      <c r="CX45" s="616"/>
      <c r="CY45" s="616"/>
      <c r="CZ45" s="616"/>
      <c r="DA45" s="616"/>
      <c r="DB45" s="616"/>
      <c r="DC45" s="616"/>
      <c r="DD45" s="616"/>
      <c r="DE45" s="616"/>
      <c r="DF45" s="616"/>
      <c r="DG45" s="616"/>
      <c r="DH45" s="616"/>
      <c r="DI45" s="616"/>
      <c r="DJ45" s="616"/>
      <c r="DK45" s="616"/>
      <c r="DL45" s="616"/>
      <c r="DM45" s="616"/>
      <c r="DN45" s="616"/>
      <c r="DO45" s="616"/>
      <c r="DP45" s="616"/>
      <c r="DQ45" s="617"/>
      <c r="DR45" s="229"/>
    </row>
    <row r="46" spans="1:123" ht="7.5" customHeight="1" x14ac:dyDescent="0.25">
      <c r="A46" s="591"/>
      <c r="B46" s="592"/>
      <c r="C46" s="592"/>
      <c r="D46" s="592"/>
      <c r="E46" s="593"/>
      <c r="F46" s="145"/>
      <c r="G46" s="598"/>
      <c r="H46" s="598"/>
      <c r="I46" s="598"/>
      <c r="J46" s="598"/>
      <c r="K46" s="598"/>
      <c r="L46" s="598"/>
      <c r="M46" s="598"/>
      <c r="N46" s="598"/>
      <c r="O46" s="598"/>
      <c r="P46" s="598"/>
      <c r="Q46" s="598"/>
      <c r="R46" s="598"/>
      <c r="S46" s="598"/>
      <c r="T46" s="598"/>
      <c r="U46" s="598"/>
      <c r="V46" s="598"/>
      <c r="W46" s="598"/>
      <c r="X46" s="598"/>
      <c r="Y46" s="598"/>
      <c r="Z46" s="602"/>
      <c r="AA46" s="602"/>
      <c r="AB46" s="602"/>
      <c r="AC46" s="602"/>
      <c r="AD46" s="602"/>
      <c r="AE46" s="602"/>
      <c r="AF46" s="602"/>
      <c r="AG46" s="635"/>
      <c r="AH46" s="132"/>
      <c r="AI46" s="129"/>
      <c r="AJ46" s="129"/>
      <c r="AK46" s="129"/>
      <c r="AL46" s="129"/>
      <c r="AM46" s="129"/>
      <c r="AN46" s="129"/>
      <c r="AO46" s="129"/>
      <c r="AP46" s="129"/>
      <c r="AQ46" s="129"/>
      <c r="AR46" s="129"/>
      <c r="AS46" s="129"/>
      <c r="AT46" s="129"/>
      <c r="AU46" s="129"/>
      <c r="AV46" s="129"/>
      <c r="AW46" s="145"/>
      <c r="AX46" s="619"/>
      <c r="AY46" s="619"/>
      <c r="AZ46" s="619"/>
      <c r="BA46" s="619"/>
      <c r="BB46" s="619"/>
      <c r="BC46" s="619"/>
      <c r="BD46" s="619"/>
      <c r="BE46" s="619"/>
      <c r="BF46" s="619"/>
      <c r="BG46" s="619"/>
      <c r="BH46" s="619"/>
      <c r="BI46" s="619"/>
      <c r="BJ46" s="619"/>
      <c r="BK46" s="619"/>
      <c r="BL46" s="619"/>
      <c r="BM46" s="619"/>
      <c r="BN46" s="619"/>
      <c r="BO46" s="619"/>
      <c r="BP46" s="619"/>
      <c r="BQ46" s="619"/>
      <c r="BR46" s="619"/>
      <c r="BS46" s="619"/>
      <c r="BT46" s="619"/>
      <c r="BU46" s="619"/>
      <c r="BV46" s="619"/>
      <c r="BW46" s="619"/>
      <c r="BX46" s="619"/>
      <c r="BY46" s="619"/>
      <c r="BZ46" s="619"/>
      <c r="CA46" s="619"/>
      <c r="CB46" s="619"/>
      <c r="CC46" s="619"/>
      <c r="CD46" s="619"/>
      <c r="CE46" s="619"/>
      <c r="CF46" s="619"/>
      <c r="CG46" s="619"/>
      <c r="CH46" s="619"/>
      <c r="CI46" s="619"/>
      <c r="CJ46" s="619"/>
      <c r="CK46" s="619"/>
      <c r="CL46" s="619"/>
      <c r="CM46" s="619"/>
      <c r="CN46" s="619"/>
      <c r="CO46" s="619"/>
      <c r="CP46" s="619"/>
      <c r="CQ46" s="619"/>
      <c r="CR46" s="619"/>
      <c r="CS46" s="619"/>
      <c r="CT46" s="619"/>
      <c r="CU46" s="619"/>
      <c r="CV46" s="619"/>
      <c r="CW46" s="619"/>
      <c r="CX46" s="619"/>
      <c r="CY46" s="619"/>
      <c r="CZ46" s="619"/>
      <c r="DA46" s="619"/>
      <c r="DB46" s="619"/>
      <c r="DC46" s="619"/>
      <c r="DD46" s="619"/>
      <c r="DE46" s="619"/>
      <c r="DF46" s="619"/>
      <c r="DG46" s="619"/>
      <c r="DH46" s="619"/>
      <c r="DI46" s="619"/>
      <c r="DJ46" s="619"/>
      <c r="DK46" s="619"/>
      <c r="DL46" s="619"/>
      <c r="DM46" s="619"/>
      <c r="DN46" s="619"/>
      <c r="DO46" s="619"/>
      <c r="DP46" s="619"/>
      <c r="DQ46" s="639"/>
      <c r="DR46" s="229"/>
    </row>
    <row r="47" spans="1:123" ht="7.5" customHeight="1" x14ac:dyDescent="0.25">
      <c r="A47" s="594"/>
      <c r="B47" s="595"/>
      <c r="C47" s="595"/>
      <c r="D47" s="595"/>
      <c r="E47" s="596"/>
      <c r="G47" s="599"/>
      <c r="H47" s="599"/>
      <c r="I47" s="599"/>
      <c r="J47" s="599"/>
      <c r="K47" s="599"/>
      <c r="L47" s="599"/>
      <c r="M47" s="599"/>
      <c r="N47" s="599"/>
      <c r="O47" s="599"/>
      <c r="P47" s="599"/>
      <c r="Q47" s="599"/>
      <c r="R47" s="599"/>
      <c r="S47" s="599"/>
      <c r="T47" s="599"/>
      <c r="U47" s="599"/>
      <c r="V47" s="599"/>
      <c r="W47" s="599"/>
      <c r="X47" s="599"/>
      <c r="Y47" s="599"/>
      <c r="Z47" s="602"/>
      <c r="AA47" s="602"/>
      <c r="AB47" s="602"/>
      <c r="AC47" s="602"/>
      <c r="AD47" s="602"/>
      <c r="AE47" s="602"/>
      <c r="AF47" s="602"/>
      <c r="AG47" s="636"/>
      <c r="AH47" s="132"/>
      <c r="AI47" s="129"/>
      <c r="AJ47" s="129"/>
      <c r="AK47" s="129"/>
      <c r="AL47" s="129"/>
      <c r="AM47" s="129"/>
      <c r="AN47" s="129"/>
      <c r="AO47" s="129"/>
      <c r="AP47" s="129"/>
      <c r="AQ47" s="129"/>
      <c r="AR47" s="129"/>
      <c r="AS47" s="129"/>
      <c r="AT47" s="129"/>
      <c r="AU47" s="129"/>
      <c r="AV47" s="129"/>
      <c r="AW47" s="146"/>
      <c r="AX47" s="619"/>
      <c r="AY47" s="619"/>
      <c r="AZ47" s="619"/>
      <c r="BA47" s="619"/>
      <c r="BB47" s="619"/>
      <c r="BC47" s="619"/>
      <c r="BD47" s="619"/>
      <c r="BE47" s="619"/>
      <c r="BF47" s="619"/>
      <c r="BG47" s="619"/>
      <c r="BH47" s="619"/>
      <c r="BI47" s="619"/>
      <c r="BJ47" s="619"/>
      <c r="BK47" s="619"/>
      <c r="BL47" s="619"/>
      <c r="BM47" s="619"/>
      <c r="BN47" s="619"/>
      <c r="BO47" s="619"/>
      <c r="BP47" s="619"/>
      <c r="BQ47" s="619"/>
      <c r="BR47" s="619"/>
      <c r="BS47" s="619"/>
      <c r="BT47" s="619"/>
      <c r="BU47" s="619"/>
      <c r="BV47" s="619"/>
      <c r="BW47" s="619"/>
      <c r="BX47" s="619"/>
      <c r="BY47" s="619"/>
      <c r="BZ47" s="619"/>
      <c r="CA47" s="619"/>
      <c r="CB47" s="619"/>
      <c r="CC47" s="619"/>
      <c r="CD47" s="619"/>
      <c r="CE47" s="619"/>
      <c r="CF47" s="619"/>
      <c r="CG47" s="619"/>
      <c r="CH47" s="619"/>
      <c r="CI47" s="619"/>
      <c r="CJ47" s="619"/>
      <c r="CK47" s="619"/>
      <c r="CL47" s="619"/>
      <c r="CM47" s="619"/>
      <c r="CN47" s="619"/>
      <c r="CO47" s="619"/>
      <c r="CP47" s="619"/>
      <c r="CQ47" s="619"/>
      <c r="CR47" s="619"/>
      <c r="CS47" s="619"/>
      <c r="CT47" s="619"/>
      <c r="CU47" s="619"/>
      <c r="CV47" s="619"/>
      <c r="CW47" s="619"/>
      <c r="CX47" s="619"/>
      <c r="CY47" s="619"/>
      <c r="CZ47" s="619"/>
      <c r="DA47" s="619"/>
      <c r="DB47" s="619"/>
      <c r="DC47" s="619"/>
      <c r="DD47" s="619"/>
      <c r="DE47" s="619"/>
      <c r="DF47" s="619"/>
      <c r="DG47" s="619"/>
      <c r="DH47" s="619"/>
      <c r="DI47" s="619"/>
      <c r="DJ47" s="619"/>
      <c r="DK47" s="619"/>
      <c r="DL47" s="619"/>
      <c r="DM47" s="619"/>
      <c r="DN47" s="619"/>
      <c r="DO47" s="619"/>
      <c r="DP47" s="619"/>
      <c r="DQ47" s="640"/>
      <c r="DR47" s="229"/>
    </row>
    <row r="48" spans="1:123" ht="7.5" customHeight="1" x14ac:dyDescent="0.25">
      <c r="A48" s="30"/>
      <c r="B48" s="30"/>
      <c r="C48" s="30"/>
      <c r="D48" s="30"/>
      <c r="E48" s="30"/>
      <c r="F48" s="653" t="str">
        <f>G45</f>
        <v>Conviction</v>
      </c>
      <c r="G48" s="653"/>
      <c r="H48" s="653"/>
      <c r="I48" s="653"/>
      <c r="J48" s="653"/>
      <c r="K48" s="677" t="e">
        <f>(CNV*(CNV-1)/2-(BaseCNV*(BaseCNV-1))/2)*5</f>
        <v>#REF!</v>
      </c>
      <c r="L48" s="677"/>
      <c r="M48" s="677"/>
      <c r="N48" s="626" t="b">
        <f>IF(AH41&lt;&gt;"",VLOOKUP($G45,'Merit Data'!A:BW,MATCH('Merit Data'!$B$3,'Merit Data'!$3:$3,0),0),TRUE)</f>
        <v>1</v>
      </c>
      <c r="O48" s="626"/>
      <c r="P48" s="626"/>
      <c r="Q48" s="156"/>
      <c r="R48" s="156"/>
      <c r="S48" s="156"/>
      <c r="T48" s="156"/>
      <c r="U48" s="156"/>
      <c r="V48" s="238"/>
      <c r="W48" s="238"/>
      <c r="X48" s="627" t="str">
        <f>IF(F48&gt;0,HYPERLINK("http://wiki.project-saros.com/w/"&amp;F48,"Info"),"")</f>
        <v>Info</v>
      </c>
      <c r="Y48" s="628"/>
      <c r="Z48" s="637"/>
      <c r="AA48" s="637"/>
      <c r="AB48" s="637"/>
      <c r="AC48" s="637"/>
      <c r="AD48" s="637"/>
      <c r="AE48" s="637"/>
      <c r="AF48" s="637"/>
      <c r="AG48" s="638"/>
      <c r="AH48" s="148"/>
      <c r="AI48" s="131"/>
      <c r="AJ48" s="131"/>
      <c r="AK48" s="149"/>
      <c r="AL48" s="149"/>
      <c r="AM48" s="149"/>
      <c r="AN48" s="149"/>
      <c r="AO48" s="149"/>
      <c r="AP48" s="149"/>
      <c r="AQ48" s="149"/>
      <c r="AR48" s="149"/>
      <c r="AS48" s="131"/>
      <c r="AT48" s="131"/>
      <c r="AU48" s="131"/>
      <c r="AV48" s="131"/>
      <c r="AW48" s="150"/>
      <c r="AX48" s="641"/>
      <c r="AY48" s="641"/>
      <c r="AZ48" s="641"/>
      <c r="BA48" s="641"/>
      <c r="BB48" s="641"/>
      <c r="BC48" s="641"/>
      <c r="BD48" s="641"/>
      <c r="BE48" s="641"/>
      <c r="BF48" s="641"/>
      <c r="BG48" s="641"/>
      <c r="BH48" s="641"/>
      <c r="BI48" s="641"/>
      <c r="BJ48" s="641"/>
      <c r="BK48" s="641"/>
      <c r="BL48" s="641"/>
      <c r="BM48" s="641"/>
      <c r="BN48" s="641"/>
      <c r="BO48" s="641"/>
      <c r="BP48" s="641"/>
      <c r="BQ48" s="641"/>
      <c r="BR48" s="641"/>
      <c r="BS48" s="641"/>
      <c r="BT48" s="641"/>
      <c r="BU48" s="641"/>
      <c r="BV48" s="641"/>
      <c r="BW48" s="641"/>
      <c r="BX48" s="641"/>
      <c r="BY48" s="641"/>
      <c r="BZ48" s="641"/>
      <c r="CA48" s="641"/>
      <c r="CB48" s="641"/>
      <c r="CC48" s="641"/>
      <c r="CD48" s="641"/>
      <c r="CE48" s="641"/>
      <c r="CF48" s="641"/>
      <c r="CG48" s="641"/>
      <c r="CH48" s="641"/>
      <c r="CI48" s="641"/>
      <c r="CJ48" s="641"/>
      <c r="CK48" s="641"/>
      <c r="CL48" s="641"/>
      <c r="CM48" s="641"/>
      <c r="CN48" s="641"/>
      <c r="CO48" s="641"/>
      <c r="CP48" s="641"/>
      <c r="CQ48" s="641"/>
      <c r="CR48" s="641"/>
      <c r="CS48" s="641"/>
      <c r="CT48" s="641"/>
      <c r="CU48" s="641"/>
      <c r="CV48" s="641"/>
      <c r="CW48" s="641"/>
      <c r="CX48" s="641"/>
      <c r="CY48" s="641"/>
      <c r="CZ48" s="641"/>
      <c r="DA48" s="641"/>
      <c r="DB48" s="641"/>
      <c r="DC48" s="641"/>
      <c r="DD48" s="641"/>
      <c r="DE48" s="641"/>
      <c r="DF48" s="641"/>
      <c r="DG48" s="641"/>
      <c r="DH48" s="641"/>
      <c r="DI48" s="641"/>
      <c r="DJ48" s="641"/>
      <c r="DK48" s="641"/>
      <c r="DL48" s="641"/>
      <c r="DM48" s="641"/>
      <c r="DN48" s="641"/>
      <c r="DO48" s="641"/>
      <c r="DP48" s="641"/>
      <c r="DQ48" s="642"/>
      <c r="DR48" s="229"/>
    </row>
    <row r="49" spans="1:122" ht="7.5" customHeight="1" x14ac:dyDescent="0.25">
      <c r="A49" s="631" t="s">
        <v>27</v>
      </c>
      <c r="B49" s="631"/>
      <c r="C49" s="631"/>
      <c r="D49" s="631"/>
      <c r="E49" s="631"/>
      <c r="F49" s="631"/>
      <c r="G49" s="631"/>
      <c r="H49" s="631"/>
      <c r="I49" s="631"/>
      <c r="J49" s="631"/>
      <c r="K49" s="631"/>
      <c r="L49" s="631"/>
      <c r="M49" s="631"/>
      <c r="N49" s="631"/>
      <c r="O49" s="631"/>
      <c r="P49" s="631"/>
      <c r="Q49" s="631"/>
      <c r="R49" s="631"/>
      <c r="S49" s="631"/>
      <c r="T49" s="631"/>
      <c r="U49" s="631"/>
      <c r="V49" s="631"/>
      <c r="W49" s="631"/>
      <c r="X49" s="631"/>
      <c r="Y49" s="631"/>
      <c r="Z49" s="631"/>
      <c r="AA49" s="631"/>
      <c r="AB49" s="631"/>
      <c r="AC49" s="631"/>
      <c r="AD49" s="631"/>
      <c r="AE49" s="631"/>
      <c r="AF49" s="631"/>
      <c r="AG49" s="631"/>
      <c r="AH49" s="135"/>
      <c r="AI49" s="135"/>
      <c r="AJ49" s="135"/>
      <c r="AK49" s="135"/>
      <c r="AL49" s="135"/>
      <c r="AM49" s="135"/>
      <c r="AN49" s="135"/>
      <c r="AO49" s="135"/>
      <c r="AP49" s="135"/>
      <c r="AQ49" s="135"/>
      <c r="AR49" s="135"/>
      <c r="AS49" s="135"/>
      <c r="AT49" s="135"/>
      <c r="AU49" s="135"/>
      <c r="AV49" s="135"/>
      <c r="AW49" s="135"/>
      <c r="AX49" s="136"/>
      <c r="AY49" s="136"/>
      <c r="AZ49" s="136"/>
      <c r="BA49" s="136"/>
      <c r="BB49" s="136"/>
      <c r="BC49" s="136"/>
      <c r="BD49" s="136"/>
      <c r="BE49" s="136"/>
      <c r="BF49" s="631"/>
      <c r="BG49" s="631"/>
      <c r="BH49" s="631"/>
      <c r="BI49" s="631"/>
      <c r="BJ49" s="631"/>
      <c r="BK49" s="631"/>
      <c r="BL49" s="631"/>
      <c r="BM49" s="631"/>
      <c r="BN49" s="136"/>
      <c r="BO49" s="136"/>
      <c r="BP49" s="136"/>
      <c r="BQ49" s="136"/>
      <c r="BR49" s="136"/>
      <c r="BS49" s="136"/>
      <c r="BT49" s="136"/>
      <c r="BU49" s="136"/>
      <c r="BV49" s="136"/>
      <c r="BW49" s="136"/>
      <c r="BX49" s="136"/>
      <c r="BY49" s="136"/>
      <c r="BZ49" s="136"/>
      <c r="CA49" s="136"/>
      <c r="CB49" s="136"/>
      <c r="CC49" s="136"/>
      <c r="CD49" s="136"/>
      <c r="CE49" s="136"/>
      <c r="CF49" s="136"/>
      <c r="CG49" s="136"/>
      <c r="CH49" s="136"/>
      <c r="CI49" s="136"/>
      <c r="CJ49" s="136"/>
      <c r="CK49" s="136"/>
      <c r="CL49" s="136"/>
      <c r="CM49" s="136"/>
      <c r="CN49" s="136"/>
      <c r="CO49" s="136"/>
      <c r="CP49" s="136"/>
      <c r="CQ49" s="136"/>
      <c r="CR49" s="136"/>
      <c r="CS49" s="136"/>
      <c r="CT49" s="136"/>
      <c r="CU49" s="136"/>
      <c r="CV49" s="136"/>
      <c r="CW49" s="136"/>
      <c r="CX49" s="136"/>
      <c r="CY49" s="136"/>
      <c r="CZ49" s="136"/>
      <c r="DA49" s="136"/>
      <c r="DB49" s="136"/>
      <c r="DC49" s="136"/>
      <c r="DD49" s="136"/>
      <c r="DE49" s="136"/>
      <c r="DF49" s="136"/>
      <c r="DG49" s="136"/>
      <c r="DH49" s="136"/>
      <c r="DI49" s="136"/>
      <c r="DJ49" s="136"/>
      <c r="DK49" s="136"/>
      <c r="DL49" s="136"/>
      <c r="DM49" s="136"/>
      <c r="DN49" s="136"/>
      <c r="DO49" s="136"/>
      <c r="DP49" s="136"/>
      <c r="DQ49" s="136"/>
      <c r="DR49" s="228"/>
    </row>
    <row r="50" spans="1:122" ht="7.5" customHeight="1" x14ac:dyDescent="0.25">
      <c r="A50" s="632"/>
      <c r="B50" s="632"/>
      <c r="C50" s="632"/>
      <c r="D50" s="632"/>
      <c r="E50" s="632"/>
      <c r="F50" s="632"/>
      <c r="G50" s="632"/>
      <c r="H50" s="632"/>
      <c r="I50" s="632"/>
      <c r="J50" s="632"/>
      <c r="K50" s="632"/>
      <c r="L50" s="632"/>
      <c r="M50" s="632"/>
      <c r="N50" s="632"/>
      <c r="O50" s="632"/>
      <c r="P50" s="632"/>
      <c r="Q50" s="632"/>
      <c r="R50" s="632"/>
      <c r="S50" s="632"/>
      <c r="T50" s="632"/>
      <c r="U50" s="632"/>
      <c r="V50" s="632"/>
      <c r="W50" s="632"/>
      <c r="X50" s="632"/>
      <c r="Y50" s="632"/>
      <c r="Z50" s="632"/>
      <c r="AA50" s="632"/>
      <c r="AB50" s="632"/>
      <c r="AC50" s="632"/>
      <c r="AD50" s="632"/>
      <c r="AE50" s="632"/>
      <c r="AF50" s="632"/>
      <c r="AG50" s="632"/>
      <c r="AH50" s="138"/>
      <c r="AI50" s="138"/>
      <c r="AJ50" s="138"/>
      <c r="AK50" s="138"/>
      <c r="AL50" s="138"/>
      <c r="AM50" s="138"/>
      <c r="AN50" s="138"/>
      <c r="AO50" s="138"/>
      <c r="AP50" s="138"/>
      <c r="AQ50" s="138"/>
      <c r="AR50" s="138"/>
      <c r="AS50" s="138"/>
      <c r="AT50" s="138"/>
      <c r="AU50" s="138"/>
      <c r="AV50" s="138"/>
      <c r="AW50" s="138"/>
      <c r="AX50" s="136"/>
      <c r="AY50" s="136"/>
      <c r="AZ50" s="136"/>
      <c r="BA50" s="136"/>
      <c r="BB50" s="136"/>
      <c r="BC50" s="136"/>
      <c r="BD50" s="136"/>
      <c r="BE50" s="136"/>
      <c r="BF50" s="632"/>
      <c r="BG50" s="632"/>
      <c r="BH50" s="632"/>
      <c r="BI50" s="632"/>
      <c r="BJ50" s="632"/>
      <c r="BK50" s="632"/>
      <c r="BL50" s="632"/>
      <c r="BM50" s="632"/>
      <c r="BN50" s="136"/>
      <c r="BO50" s="136"/>
      <c r="BP50" s="136"/>
      <c r="BQ50" s="136"/>
      <c r="BR50" s="136"/>
      <c r="BS50" s="136"/>
      <c r="BT50" s="136"/>
      <c r="BU50" s="136"/>
      <c r="BV50" s="136"/>
      <c r="BW50" s="136"/>
      <c r="BX50" s="136"/>
      <c r="BY50" s="136"/>
      <c r="BZ50" s="136"/>
      <c r="CA50" s="136"/>
      <c r="CB50" s="136"/>
      <c r="CC50" s="136"/>
      <c r="CD50" s="136"/>
      <c r="CE50" s="136"/>
      <c r="CF50" s="136"/>
      <c r="CG50" s="136"/>
      <c r="CH50" s="136"/>
      <c r="CI50" s="136"/>
      <c r="CJ50" s="136"/>
      <c r="CK50" s="136"/>
      <c r="CL50" s="136"/>
      <c r="CM50" s="136"/>
      <c r="CN50" s="136"/>
      <c r="CO50" s="136"/>
      <c r="CP50" s="136"/>
      <c r="CQ50" s="136"/>
      <c r="CR50" s="136"/>
      <c r="CS50" s="136"/>
      <c r="CT50" s="136"/>
      <c r="CU50" s="136"/>
      <c r="CV50" s="136"/>
      <c r="CW50" s="136"/>
      <c r="CX50" s="136"/>
      <c r="CY50" s="136"/>
      <c r="CZ50" s="136"/>
      <c r="DA50" s="136"/>
      <c r="DB50" s="136"/>
      <c r="DC50" s="136"/>
      <c r="DD50" s="136"/>
      <c r="DE50" s="136"/>
      <c r="DF50" s="136"/>
      <c r="DG50" s="136"/>
      <c r="DH50" s="136"/>
      <c r="DI50" s="136"/>
      <c r="DJ50" s="136"/>
      <c r="DK50" s="136"/>
      <c r="DL50" s="136"/>
      <c r="DM50" s="136"/>
      <c r="DN50" s="136"/>
      <c r="DO50" s="136"/>
      <c r="DP50" s="136"/>
      <c r="DQ50" s="136"/>
      <c r="DR50" s="228"/>
    </row>
    <row r="51" spans="1:122" ht="7.5" customHeight="1" x14ac:dyDescent="0.25">
      <c r="A51" s="632"/>
      <c r="B51" s="632"/>
      <c r="C51" s="632"/>
      <c r="D51" s="632"/>
      <c r="E51" s="632"/>
      <c r="F51" s="632"/>
      <c r="G51" s="632"/>
      <c r="H51" s="632"/>
      <c r="I51" s="632"/>
      <c r="J51" s="632"/>
      <c r="K51" s="632"/>
      <c r="L51" s="632"/>
      <c r="M51" s="632"/>
      <c r="N51" s="632"/>
      <c r="O51" s="632"/>
      <c r="P51" s="632"/>
      <c r="Q51" s="632"/>
      <c r="R51" s="632"/>
      <c r="S51" s="632"/>
      <c r="T51" s="632"/>
      <c r="U51" s="632"/>
      <c r="V51" s="632"/>
      <c r="W51" s="632"/>
      <c r="X51" s="632"/>
      <c r="Y51" s="632"/>
      <c r="Z51" s="632"/>
      <c r="AA51" s="632"/>
      <c r="AB51" s="632"/>
      <c r="AC51" s="632"/>
      <c r="AD51" s="632"/>
      <c r="AE51" s="632"/>
      <c r="AF51" s="632"/>
      <c r="AG51" s="632"/>
      <c r="AH51" s="139"/>
      <c r="AI51" s="139"/>
      <c r="AJ51" s="139"/>
      <c r="AK51" s="139"/>
      <c r="AL51" s="139"/>
      <c r="AM51" s="139"/>
      <c r="AN51" s="139"/>
      <c r="AO51" s="139"/>
      <c r="AP51" s="139"/>
      <c r="AQ51" s="139"/>
      <c r="AR51" s="139"/>
      <c r="AS51" s="139"/>
      <c r="AT51" s="139"/>
      <c r="AU51" s="139"/>
      <c r="AV51" s="139"/>
      <c r="AW51" s="139"/>
      <c r="AX51" s="136"/>
      <c r="AY51" s="136"/>
      <c r="AZ51" s="136"/>
      <c r="BA51" s="136"/>
      <c r="BB51" s="136"/>
      <c r="BC51" s="136"/>
      <c r="BD51" s="136"/>
      <c r="BE51" s="136"/>
      <c r="BF51" s="632"/>
      <c r="BG51" s="632"/>
      <c r="BH51" s="632"/>
      <c r="BI51" s="632"/>
      <c r="BJ51" s="632"/>
      <c r="BK51" s="632"/>
      <c r="BL51" s="632"/>
      <c r="BM51" s="632"/>
      <c r="BN51" s="136"/>
      <c r="BO51" s="136"/>
      <c r="BP51" s="136"/>
      <c r="BQ51" s="136"/>
      <c r="BR51" s="136"/>
      <c r="BS51" s="136"/>
      <c r="BT51" s="136"/>
      <c r="BU51" s="136"/>
      <c r="BV51" s="136"/>
      <c r="BW51" s="136"/>
      <c r="BX51" s="136"/>
      <c r="BY51" s="136"/>
      <c r="BZ51" s="136"/>
      <c r="CA51" s="136"/>
      <c r="CB51" s="136"/>
      <c r="CC51" s="136"/>
      <c r="CD51" s="136"/>
      <c r="CE51" s="136"/>
      <c r="CF51" s="136"/>
      <c r="CG51" s="136"/>
      <c r="CH51" s="136"/>
      <c r="CI51" s="136"/>
      <c r="CJ51" s="136"/>
      <c r="CK51" s="136"/>
      <c r="CL51" s="136"/>
      <c r="CM51" s="136"/>
      <c r="CN51" s="136"/>
      <c r="CO51" s="136"/>
      <c r="CP51" s="136"/>
      <c r="CQ51" s="136"/>
      <c r="CR51" s="136"/>
      <c r="CS51" s="136"/>
      <c r="CT51" s="136"/>
      <c r="CU51" s="136"/>
      <c r="CV51" s="136"/>
      <c r="CW51" s="136"/>
      <c r="CX51" s="136"/>
      <c r="CY51" s="136"/>
      <c r="CZ51" s="136"/>
      <c r="DA51" s="136"/>
      <c r="DB51" s="136"/>
      <c r="DC51" s="136"/>
      <c r="DD51" s="136"/>
      <c r="DE51" s="136"/>
      <c r="DF51" s="136"/>
      <c r="DG51" s="136"/>
      <c r="DH51" s="136"/>
      <c r="DI51" s="136"/>
      <c r="DJ51" s="136"/>
      <c r="DK51" s="136"/>
      <c r="DL51" s="136"/>
      <c r="DM51" s="136"/>
      <c r="DN51" s="136"/>
      <c r="DO51" s="136"/>
      <c r="DP51" s="136"/>
      <c r="DQ51" s="136"/>
      <c r="DR51" s="228"/>
    </row>
    <row r="52" spans="1:122" ht="7.5" customHeight="1" x14ac:dyDescent="0.25">
      <c r="A52" s="588">
        <v>0</v>
      </c>
      <c r="B52" s="589"/>
      <c r="C52" s="589"/>
      <c r="D52" s="589"/>
      <c r="E52" s="590"/>
      <c r="F52" s="129"/>
      <c r="G52" s="597" t="s">
        <v>151</v>
      </c>
      <c r="H52" s="597"/>
      <c r="I52" s="597"/>
      <c r="J52" s="597"/>
      <c r="K52" s="597"/>
      <c r="L52" s="597"/>
      <c r="M52" s="597"/>
      <c r="N52" s="597"/>
      <c r="O52" s="597"/>
      <c r="P52" s="597"/>
      <c r="Q52" s="597"/>
      <c r="R52" s="597"/>
      <c r="S52" s="597"/>
      <c r="T52" s="597"/>
      <c r="U52" s="597"/>
      <c r="V52" s="597"/>
      <c r="W52" s="597"/>
      <c r="X52" s="597"/>
      <c r="Y52" s="597"/>
      <c r="Z52" s="600" t="e">
        <f>FLOOR(Archery/5+1,1)*10</f>
        <v>#REF!</v>
      </c>
      <c r="AA52" s="600"/>
      <c r="AB52" s="600"/>
      <c r="AC52" s="600"/>
      <c r="AD52" s="600"/>
      <c r="AE52" s="600"/>
      <c r="AF52" s="600"/>
      <c r="AG52" s="601"/>
      <c r="AH52" s="643"/>
      <c r="AI52" s="644"/>
      <c r="AJ52" s="644"/>
      <c r="AK52" s="644"/>
      <c r="AL52" s="644"/>
      <c r="AM52" s="644"/>
      <c r="AN52" s="644"/>
      <c r="AO52" s="644"/>
      <c r="AP52" s="644"/>
      <c r="AQ52" s="644"/>
      <c r="AR52" s="644"/>
      <c r="AS52" s="644"/>
      <c r="AT52" s="644"/>
      <c r="AU52" s="644"/>
      <c r="AV52" s="644"/>
      <c r="AW52" s="645"/>
      <c r="AX52" s="616" t="e">
        <f ca="1">"Further increases your "&amp;G52&amp;" skill from "&amp;INDIRECT(SUBSTITUTE(G52," ",""))&amp;" to "&amp;INDIRECT(SUBSTITUTE(G52," ",""))+1</f>
        <v>#REF!</v>
      </c>
      <c r="AY52" s="616"/>
      <c r="AZ52" s="616"/>
      <c r="BA52" s="616"/>
      <c r="BB52" s="616"/>
      <c r="BC52" s="616"/>
      <c r="BD52" s="616"/>
      <c r="BE52" s="616"/>
      <c r="BF52" s="616"/>
      <c r="BG52" s="616"/>
      <c r="BH52" s="616"/>
      <c r="BI52" s="616"/>
      <c r="BJ52" s="616"/>
      <c r="BK52" s="616"/>
      <c r="BL52" s="616"/>
      <c r="BM52" s="616"/>
      <c r="BN52" s="616"/>
      <c r="BO52" s="616"/>
      <c r="BP52" s="616"/>
      <c r="BQ52" s="616"/>
      <c r="BR52" s="616"/>
      <c r="BS52" s="616"/>
      <c r="BT52" s="616"/>
      <c r="BU52" s="616"/>
      <c r="BV52" s="616"/>
      <c r="BW52" s="616"/>
      <c r="BX52" s="616"/>
      <c r="BY52" s="616"/>
      <c r="BZ52" s="616"/>
      <c r="CA52" s="616"/>
      <c r="CB52" s="616"/>
      <c r="CC52" s="616"/>
      <c r="CD52" s="616"/>
      <c r="CE52" s="616"/>
      <c r="CF52" s="616"/>
      <c r="CG52" s="616"/>
      <c r="CH52" s="616"/>
      <c r="CI52" s="616"/>
      <c r="CJ52" s="616"/>
      <c r="CK52" s="616"/>
      <c r="CL52" s="616"/>
      <c r="CM52" s="616"/>
      <c r="CN52" s="616"/>
      <c r="CO52" s="616"/>
      <c r="CP52" s="616"/>
      <c r="CQ52" s="616"/>
      <c r="CR52" s="616"/>
      <c r="CS52" s="616"/>
      <c r="CT52" s="616"/>
      <c r="CU52" s="616"/>
      <c r="CV52" s="616"/>
      <c r="CW52" s="616"/>
      <c r="CX52" s="616"/>
      <c r="CY52" s="616"/>
      <c r="CZ52" s="616"/>
      <c r="DA52" s="616"/>
      <c r="DB52" s="616"/>
      <c r="DC52" s="616"/>
      <c r="DD52" s="616"/>
      <c r="DE52" s="616"/>
      <c r="DF52" s="616"/>
      <c r="DG52" s="616"/>
      <c r="DH52" s="616"/>
      <c r="DI52" s="616"/>
      <c r="DJ52" s="616"/>
      <c r="DK52" s="616"/>
      <c r="DL52" s="616"/>
      <c r="DM52" s="616"/>
      <c r="DN52" s="616"/>
      <c r="DO52" s="616"/>
      <c r="DP52" s="616"/>
      <c r="DQ52" s="617"/>
      <c r="DR52" s="229"/>
    </row>
    <row r="53" spans="1:122" ht="7.5" customHeight="1" x14ac:dyDescent="0.25">
      <c r="A53" s="591"/>
      <c r="B53" s="592"/>
      <c r="C53" s="592"/>
      <c r="D53" s="592"/>
      <c r="E53" s="593"/>
      <c r="F53" s="129"/>
      <c r="G53" s="598"/>
      <c r="H53" s="598"/>
      <c r="I53" s="598"/>
      <c r="J53" s="598"/>
      <c r="K53" s="598"/>
      <c r="L53" s="598"/>
      <c r="M53" s="598"/>
      <c r="N53" s="598"/>
      <c r="O53" s="598"/>
      <c r="P53" s="598"/>
      <c r="Q53" s="598"/>
      <c r="R53" s="598"/>
      <c r="S53" s="598"/>
      <c r="T53" s="598"/>
      <c r="U53" s="598"/>
      <c r="V53" s="598"/>
      <c r="W53" s="598"/>
      <c r="X53" s="598"/>
      <c r="Y53" s="598"/>
      <c r="Z53" s="602"/>
      <c r="AA53" s="602"/>
      <c r="AB53" s="602"/>
      <c r="AC53" s="602"/>
      <c r="AD53" s="602"/>
      <c r="AE53" s="602"/>
      <c r="AF53" s="602"/>
      <c r="AG53" s="635"/>
      <c r="AH53" s="646"/>
      <c r="AI53" s="449"/>
      <c r="AJ53" s="449"/>
      <c r="AK53" s="449"/>
      <c r="AL53" s="449"/>
      <c r="AM53" s="449"/>
      <c r="AN53" s="449"/>
      <c r="AO53" s="449"/>
      <c r="AP53" s="449"/>
      <c r="AQ53" s="449"/>
      <c r="AR53" s="449"/>
      <c r="AS53" s="449"/>
      <c r="AT53" s="449"/>
      <c r="AU53" s="449"/>
      <c r="AV53" s="449"/>
      <c r="AW53" s="647"/>
      <c r="AX53" s="619"/>
      <c r="AY53" s="619"/>
      <c r="AZ53" s="619"/>
      <c r="BA53" s="619"/>
      <c r="BB53" s="619"/>
      <c r="BC53" s="619"/>
      <c r="BD53" s="619"/>
      <c r="BE53" s="619"/>
      <c r="BF53" s="619"/>
      <c r="BG53" s="619"/>
      <c r="BH53" s="619"/>
      <c r="BI53" s="619"/>
      <c r="BJ53" s="619"/>
      <c r="BK53" s="619"/>
      <c r="BL53" s="619"/>
      <c r="BM53" s="619"/>
      <c r="BN53" s="619"/>
      <c r="BO53" s="619"/>
      <c r="BP53" s="619"/>
      <c r="BQ53" s="619"/>
      <c r="BR53" s="619"/>
      <c r="BS53" s="619"/>
      <c r="BT53" s="619"/>
      <c r="BU53" s="619"/>
      <c r="BV53" s="619"/>
      <c r="BW53" s="619"/>
      <c r="BX53" s="619"/>
      <c r="BY53" s="619"/>
      <c r="BZ53" s="619"/>
      <c r="CA53" s="619"/>
      <c r="CB53" s="619"/>
      <c r="CC53" s="619"/>
      <c r="CD53" s="619"/>
      <c r="CE53" s="619"/>
      <c r="CF53" s="619"/>
      <c r="CG53" s="619"/>
      <c r="CH53" s="619"/>
      <c r="CI53" s="619"/>
      <c r="CJ53" s="619"/>
      <c r="CK53" s="619"/>
      <c r="CL53" s="619"/>
      <c r="CM53" s="619"/>
      <c r="CN53" s="619"/>
      <c r="CO53" s="619"/>
      <c r="CP53" s="619"/>
      <c r="CQ53" s="619"/>
      <c r="CR53" s="619"/>
      <c r="CS53" s="619"/>
      <c r="CT53" s="619"/>
      <c r="CU53" s="619"/>
      <c r="CV53" s="619"/>
      <c r="CW53" s="619"/>
      <c r="CX53" s="619"/>
      <c r="CY53" s="619"/>
      <c r="CZ53" s="619"/>
      <c r="DA53" s="619"/>
      <c r="DB53" s="619"/>
      <c r="DC53" s="619"/>
      <c r="DD53" s="619"/>
      <c r="DE53" s="619"/>
      <c r="DF53" s="619"/>
      <c r="DG53" s="619"/>
      <c r="DH53" s="619"/>
      <c r="DI53" s="619"/>
      <c r="DJ53" s="619"/>
      <c r="DK53" s="619"/>
      <c r="DL53" s="619"/>
      <c r="DM53" s="619"/>
      <c r="DN53" s="619"/>
      <c r="DO53" s="619"/>
      <c r="DP53" s="619"/>
      <c r="DQ53" s="639"/>
      <c r="DR53" s="229"/>
    </row>
    <row r="54" spans="1:122" ht="7.5" customHeight="1" x14ac:dyDescent="0.25">
      <c r="A54" s="594"/>
      <c r="B54" s="595"/>
      <c r="C54" s="595"/>
      <c r="D54" s="595"/>
      <c r="E54" s="596"/>
      <c r="F54" s="129"/>
      <c r="G54" s="599"/>
      <c r="H54" s="599"/>
      <c r="I54" s="599"/>
      <c r="J54" s="599"/>
      <c r="K54" s="599"/>
      <c r="L54" s="599"/>
      <c r="M54" s="599"/>
      <c r="N54" s="599"/>
      <c r="O54" s="599"/>
      <c r="P54" s="599"/>
      <c r="Q54" s="599"/>
      <c r="R54" s="599"/>
      <c r="S54" s="599"/>
      <c r="T54" s="599"/>
      <c r="U54" s="599"/>
      <c r="V54" s="599"/>
      <c r="W54" s="599"/>
      <c r="X54" s="599"/>
      <c r="Y54" s="599"/>
      <c r="Z54" s="602"/>
      <c r="AA54" s="602"/>
      <c r="AB54" s="602"/>
      <c r="AC54" s="602"/>
      <c r="AD54" s="602"/>
      <c r="AE54" s="602"/>
      <c r="AF54" s="602"/>
      <c r="AG54" s="636"/>
      <c r="AH54" s="646"/>
      <c r="AI54" s="449"/>
      <c r="AJ54" s="449"/>
      <c r="AK54" s="449"/>
      <c r="AL54" s="449"/>
      <c r="AM54" s="449"/>
      <c r="AN54" s="449"/>
      <c r="AO54" s="449"/>
      <c r="AP54" s="449"/>
      <c r="AQ54" s="449"/>
      <c r="AR54" s="449"/>
      <c r="AS54" s="449"/>
      <c r="AT54" s="449"/>
      <c r="AU54" s="449"/>
      <c r="AV54" s="449"/>
      <c r="AW54" s="648"/>
      <c r="AX54" s="619"/>
      <c r="AY54" s="619"/>
      <c r="AZ54" s="619"/>
      <c r="BA54" s="619"/>
      <c r="BB54" s="619"/>
      <c r="BC54" s="619"/>
      <c r="BD54" s="619"/>
      <c r="BE54" s="619"/>
      <c r="BF54" s="619"/>
      <c r="BG54" s="619"/>
      <c r="BH54" s="619"/>
      <c r="BI54" s="619"/>
      <c r="BJ54" s="619"/>
      <c r="BK54" s="619"/>
      <c r="BL54" s="619"/>
      <c r="BM54" s="619"/>
      <c r="BN54" s="619"/>
      <c r="BO54" s="619"/>
      <c r="BP54" s="619"/>
      <c r="BQ54" s="619"/>
      <c r="BR54" s="619"/>
      <c r="BS54" s="619"/>
      <c r="BT54" s="619"/>
      <c r="BU54" s="619"/>
      <c r="BV54" s="619"/>
      <c r="BW54" s="619"/>
      <c r="BX54" s="619"/>
      <c r="BY54" s="619"/>
      <c r="BZ54" s="619"/>
      <c r="CA54" s="619"/>
      <c r="CB54" s="619"/>
      <c r="CC54" s="619"/>
      <c r="CD54" s="619"/>
      <c r="CE54" s="619"/>
      <c r="CF54" s="619"/>
      <c r="CG54" s="619"/>
      <c r="CH54" s="619"/>
      <c r="CI54" s="619"/>
      <c r="CJ54" s="619"/>
      <c r="CK54" s="619"/>
      <c r="CL54" s="619"/>
      <c r="CM54" s="619"/>
      <c r="CN54" s="619"/>
      <c r="CO54" s="619"/>
      <c r="CP54" s="619"/>
      <c r="CQ54" s="619"/>
      <c r="CR54" s="619"/>
      <c r="CS54" s="619"/>
      <c r="CT54" s="619"/>
      <c r="CU54" s="619"/>
      <c r="CV54" s="619"/>
      <c r="CW54" s="619"/>
      <c r="CX54" s="619"/>
      <c r="CY54" s="619"/>
      <c r="CZ54" s="619"/>
      <c r="DA54" s="619"/>
      <c r="DB54" s="619"/>
      <c r="DC54" s="619"/>
      <c r="DD54" s="619"/>
      <c r="DE54" s="619"/>
      <c r="DF54" s="619"/>
      <c r="DG54" s="619"/>
      <c r="DH54" s="619"/>
      <c r="DI54" s="619"/>
      <c r="DJ54" s="619"/>
      <c r="DK54" s="619"/>
      <c r="DL54" s="619"/>
      <c r="DM54" s="619"/>
      <c r="DN54" s="619"/>
      <c r="DO54" s="619"/>
      <c r="DP54" s="619"/>
      <c r="DQ54" s="640"/>
      <c r="DR54" s="229"/>
    </row>
    <row r="55" spans="1:122" ht="7.5" customHeight="1" x14ac:dyDescent="0.25">
      <c r="A55" s="119"/>
      <c r="B55" s="119"/>
      <c r="C55" s="119"/>
      <c r="D55" s="119"/>
      <c r="E55" s="119"/>
      <c r="F55" s="653" t="str">
        <f>G52</f>
        <v>Archery</v>
      </c>
      <c r="G55" s="653"/>
      <c r="H55" s="653"/>
      <c r="I55" s="653"/>
      <c r="J55" s="653"/>
      <c r="K55" s="625" t="e">
        <f ca="1">(FLOOR(INDIRECT(SUBSTITUTE(SUBSTITUTE(G52,"-","")," ",""))/5,1)*(FLOOR(INDIRECT(SUBSTITUTE(SUBSTITUTE(G52,"-","")," ",""))/5,1)+1)/2)*50+MOD(INDIRECT(SUBSTITUTE(SUBSTITUTE(G52,"-","")," ","")),5)*CEILING(INDIRECT(SUBSTITUTE(SUBSTITUTE(G52,"-","")," ",""))/5,1)*10-((FLOOR(INDIRECT("Base"&amp;SUBSTITUTE(SUBSTITUTE(G52,"-","")," ",""))/5,1)*(FLOOR(INDIRECT("Base"&amp;SUBSTITUTE(SUBSTITUTE(G52,"-","")," ",""))/5,1)+1)/2)*50+MOD(INDIRECT("Base"&amp;SUBSTITUTE(SUBSTITUTE(G52,"-","")," ","")),5)*CEILING(INDIRECT("Base"&amp;SUBSTITUTE(SUBSTITUTE(G52,"-","")," ",""))/5,1)*10)</f>
        <v>#REF!</v>
      </c>
      <c r="L55" s="625"/>
      <c r="M55" s="625"/>
      <c r="N55" s="626" t="b">
        <f>IF(AH48&lt;&gt;"",VLOOKUP($G52,'Merit Data'!A:BW,MATCH('Merit Data'!$B$3,'Merit Data'!$3:$3,0),0),TRUE)</f>
        <v>1</v>
      </c>
      <c r="O55" s="626"/>
      <c r="P55" s="626"/>
      <c r="Q55" s="140"/>
      <c r="R55" s="140"/>
      <c r="S55" s="140"/>
      <c r="T55" s="140"/>
      <c r="U55" s="140"/>
      <c r="V55" s="238"/>
      <c r="W55" s="238"/>
      <c r="X55" s="627" t="str">
        <f>IF(F55&gt;0,HYPERLINK("http://wiki.project-saros.com/w/"&amp;F55,"Info"),"")</f>
        <v>Info</v>
      </c>
      <c r="Y55" s="628"/>
      <c r="Z55" s="637"/>
      <c r="AA55" s="637"/>
      <c r="AB55" s="637"/>
      <c r="AC55" s="637"/>
      <c r="AD55" s="637"/>
      <c r="AE55" s="637"/>
      <c r="AF55" s="637"/>
      <c r="AG55" s="638"/>
      <c r="AH55" s="649"/>
      <c r="AI55" s="650"/>
      <c r="AJ55" s="650"/>
      <c r="AK55" s="651"/>
      <c r="AL55" s="651"/>
      <c r="AM55" s="651"/>
      <c r="AN55" s="651"/>
      <c r="AO55" s="651"/>
      <c r="AP55" s="651"/>
      <c r="AQ55" s="651"/>
      <c r="AR55" s="651"/>
      <c r="AS55" s="650"/>
      <c r="AT55" s="650"/>
      <c r="AU55" s="650"/>
      <c r="AV55" s="650"/>
      <c r="AW55" s="652"/>
      <c r="AX55" s="641"/>
      <c r="AY55" s="641"/>
      <c r="AZ55" s="641"/>
      <c r="BA55" s="641"/>
      <c r="BB55" s="641"/>
      <c r="BC55" s="641"/>
      <c r="BD55" s="641"/>
      <c r="BE55" s="641"/>
      <c r="BF55" s="641"/>
      <c r="BG55" s="641"/>
      <c r="BH55" s="641"/>
      <c r="BI55" s="641"/>
      <c r="BJ55" s="641"/>
      <c r="BK55" s="641"/>
      <c r="BL55" s="641"/>
      <c r="BM55" s="641"/>
      <c r="BN55" s="641"/>
      <c r="BO55" s="641"/>
      <c r="BP55" s="641"/>
      <c r="BQ55" s="641"/>
      <c r="BR55" s="641"/>
      <c r="BS55" s="641"/>
      <c r="BT55" s="641"/>
      <c r="BU55" s="641"/>
      <c r="BV55" s="641"/>
      <c r="BW55" s="641"/>
      <c r="BX55" s="641"/>
      <c r="BY55" s="641"/>
      <c r="BZ55" s="641"/>
      <c r="CA55" s="641"/>
      <c r="CB55" s="641"/>
      <c r="CC55" s="641"/>
      <c r="CD55" s="641"/>
      <c r="CE55" s="641"/>
      <c r="CF55" s="641"/>
      <c r="CG55" s="641"/>
      <c r="CH55" s="641"/>
      <c r="CI55" s="641"/>
      <c r="CJ55" s="641"/>
      <c r="CK55" s="641"/>
      <c r="CL55" s="641"/>
      <c r="CM55" s="641"/>
      <c r="CN55" s="641"/>
      <c r="CO55" s="641"/>
      <c r="CP55" s="641"/>
      <c r="CQ55" s="641"/>
      <c r="CR55" s="641"/>
      <c r="CS55" s="641"/>
      <c r="CT55" s="641"/>
      <c r="CU55" s="641"/>
      <c r="CV55" s="641"/>
      <c r="CW55" s="641"/>
      <c r="CX55" s="641"/>
      <c r="CY55" s="641"/>
      <c r="CZ55" s="641"/>
      <c r="DA55" s="641"/>
      <c r="DB55" s="641"/>
      <c r="DC55" s="641"/>
      <c r="DD55" s="641"/>
      <c r="DE55" s="641"/>
      <c r="DF55" s="641"/>
      <c r="DG55" s="641"/>
      <c r="DH55" s="641"/>
      <c r="DI55" s="641"/>
      <c r="DJ55" s="641"/>
      <c r="DK55" s="641"/>
      <c r="DL55" s="641"/>
      <c r="DM55" s="641"/>
      <c r="DN55" s="641"/>
      <c r="DO55" s="641"/>
      <c r="DP55" s="641"/>
      <c r="DQ55" s="642"/>
      <c r="DR55" s="229"/>
    </row>
    <row r="56" spans="1:122" ht="7.5" customHeight="1" x14ac:dyDescent="0.25">
      <c r="A56" s="588">
        <v>0</v>
      </c>
      <c r="B56" s="589"/>
      <c r="C56" s="589"/>
      <c r="D56" s="589"/>
      <c r="E56" s="590"/>
      <c r="G56" s="597" t="s">
        <v>502</v>
      </c>
      <c r="H56" s="597"/>
      <c r="I56" s="597"/>
      <c r="J56" s="597"/>
      <c r="K56" s="597"/>
      <c r="L56" s="597"/>
      <c r="M56" s="597"/>
      <c r="N56" s="597"/>
      <c r="O56" s="597"/>
      <c r="P56" s="597"/>
      <c r="Q56" s="597"/>
      <c r="R56" s="597"/>
      <c r="S56" s="597"/>
      <c r="T56" s="597"/>
      <c r="U56" s="597"/>
      <c r="V56" s="597"/>
      <c r="W56" s="597"/>
      <c r="X56" s="597"/>
      <c r="Y56" s="597"/>
      <c r="Z56" s="600" t="e">
        <f>FLOOR(Axes/5+1,1)*10</f>
        <v>#REF!</v>
      </c>
      <c r="AA56" s="600"/>
      <c r="AB56" s="600"/>
      <c r="AC56" s="600"/>
      <c r="AD56" s="600"/>
      <c r="AE56" s="600"/>
      <c r="AF56" s="600"/>
      <c r="AG56" s="601"/>
      <c r="AH56" s="142"/>
      <c r="AI56" s="143"/>
      <c r="AJ56" s="143"/>
      <c r="AK56" s="143"/>
      <c r="AL56" s="143"/>
      <c r="AM56" s="143"/>
      <c r="AN56" s="143"/>
      <c r="AO56" s="143"/>
      <c r="AP56" s="143"/>
      <c r="AQ56" s="143"/>
      <c r="AR56" s="143"/>
      <c r="AS56" s="143"/>
      <c r="AT56" s="143"/>
      <c r="AU56" s="143"/>
      <c r="AV56" s="143"/>
      <c r="AW56" s="144"/>
      <c r="AX56" s="616" t="e">
        <f>"Further increases your "&amp;G56&amp;" skill from "&amp;Axes&amp;" to "&amp;Axes+1</f>
        <v>#REF!</v>
      </c>
      <c r="AY56" s="616"/>
      <c r="AZ56" s="616"/>
      <c r="BA56" s="616"/>
      <c r="BB56" s="616"/>
      <c r="BC56" s="616"/>
      <c r="BD56" s="616"/>
      <c r="BE56" s="616"/>
      <c r="BF56" s="616"/>
      <c r="BG56" s="616"/>
      <c r="BH56" s="616"/>
      <c r="BI56" s="616"/>
      <c r="BJ56" s="616"/>
      <c r="BK56" s="616"/>
      <c r="BL56" s="616"/>
      <c r="BM56" s="616"/>
      <c r="BN56" s="616"/>
      <c r="BO56" s="616"/>
      <c r="BP56" s="616"/>
      <c r="BQ56" s="616"/>
      <c r="BR56" s="616"/>
      <c r="BS56" s="616"/>
      <c r="BT56" s="616"/>
      <c r="BU56" s="616"/>
      <c r="BV56" s="616"/>
      <c r="BW56" s="616"/>
      <c r="BX56" s="616"/>
      <c r="BY56" s="616"/>
      <c r="BZ56" s="616"/>
      <c r="CA56" s="616"/>
      <c r="CB56" s="616"/>
      <c r="CC56" s="616"/>
      <c r="CD56" s="616"/>
      <c r="CE56" s="616"/>
      <c r="CF56" s="616"/>
      <c r="CG56" s="616"/>
      <c r="CH56" s="616"/>
      <c r="CI56" s="616"/>
      <c r="CJ56" s="616"/>
      <c r="CK56" s="616"/>
      <c r="CL56" s="616"/>
      <c r="CM56" s="616"/>
      <c r="CN56" s="616"/>
      <c r="CO56" s="616"/>
      <c r="CP56" s="616"/>
      <c r="CQ56" s="616"/>
      <c r="CR56" s="616"/>
      <c r="CS56" s="616"/>
      <c r="CT56" s="616"/>
      <c r="CU56" s="616"/>
      <c r="CV56" s="616"/>
      <c r="CW56" s="616"/>
      <c r="CX56" s="616"/>
      <c r="CY56" s="616"/>
      <c r="CZ56" s="616"/>
      <c r="DA56" s="616"/>
      <c r="DB56" s="616"/>
      <c r="DC56" s="616"/>
      <c r="DD56" s="616"/>
      <c r="DE56" s="616"/>
      <c r="DF56" s="616"/>
      <c r="DG56" s="616"/>
      <c r="DH56" s="616"/>
      <c r="DI56" s="616"/>
      <c r="DJ56" s="616"/>
      <c r="DK56" s="616"/>
      <c r="DL56" s="616"/>
      <c r="DM56" s="616"/>
      <c r="DN56" s="616"/>
      <c r="DO56" s="616"/>
      <c r="DP56" s="616"/>
      <c r="DQ56" s="617"/>
      <c r="DR56" s="229"/>
    </row>
    <row r="57" spans="1:122" ht="7.5" customHeight="1" x14ac:dyDescent="0.25">
      <c r="A57" s="591"/>
      <c r="B57" s="592"/>
      <c r="C57" s="592"/>
      <c r="D57" s="592"/>
      <c r="E57" s="593"/>
      <c r="F57" s="145"/>
      <c r="G57" s="598"/>
      <c r="H57" s="598"/>
      <c r="I57" s="598"/>
      <c r="J57" s="598"/>
      <c r="K57" s="598"/>
      <c r="L57" s="598"/>
      <c r="M57" s="598"/>
      <c r="N57" s="598"/>
      <c r="O57" s="598"/>
      <c r="P57" s="598"/>
      <c r="Q57" s="598"/>
      <c r="R57" s="598"/>
      <c r="S57" s="598"/>
      <c r="T57" s="598"/>
      <c r="U57" s="598"/>
      <c r="V57" s="598"/>
      <c r="W57" s="598"/>
      <c r="X57" s="598"/>
      <c r="Y57" s="598"/>
      <c r="Z57" s="602"/>
      <c r="AA57" s="602"/>
      <c r="AB57" s="602"/>
      <c r="AC57" s="602"/>
      <c r="AD57" s="602"/>
      <c r="AE57" s="602"/>
      <c r="AF57" s="602"/>
      <c r="AG57" s="635"/>
      <c r="AH57" s="132"/>
      <c r="AI57" s="129"/>
      <c r="AJ57" s="129"/>
      <c r="AK57" s="129"/>
      <c r="AL57" s="129"/>
      <c r="AM57" s="129"/>
      <c r="AN57" s="129"/>
      <c r="AO57" s="129"/>
      <c r="AP57" s="129"/>
      <c r="AQ57" s="129"/>
      <c r="AR57" s="129"/>
      <c r="AS57" s="129"/>
      <c r="AT57" s="129"/>
      <c r="AU57" s="129"/>
      <c r="AV57" s="129"/>
      <c r="AW57" s="145"/>
      <c r="AX57" s="619"/>
      <c r="AY57" s="619"/>
      <c r="AZ57" s="619"/>
      <c r="BA57" s="619"/>
      <c r="BB57" s="619"/>
      <c r="BC57" s="619"/>
      <c r="BD57" s="619"/>
      <c r="BE57" s="619"/>
      <c r="BF57" s="619"/>
      <c r="BG57" s="619"/>
      <c r="BH57" s="619"/>
      <c r="BI57" s="619"/>
      <c r="BJ57" s="619"/>
      <c r="BK57" s="619"/>
      <c r="BL57" s="619"/>
      <c r="BM57" s="619"/>
      <c r="BN57" s="619"/>
      <c r="BO57" s="619"/>
      <c r="BP57" s="619"/>
      <c r="BQ57" s="619"/>
      <c r="BR57" s="619"/>
      <c r="BS57" s="619"/>
      <c r="BT57" s="619"/>
      <c r="BU57" s="619"/>
      <c r="BV57" s="619"/>
      <c r="BW57" s="619"/>
      <c r="BX57" s="619"/>
      <c r="BY57" s="619"/>
      <c r="BZ57" s="619"/>
      <c r="CA57" s="619"/>
      <c r="CB57" s="619"/>
      <c r="CC57" s="619"/>
      <c r="CD57" s="619"/>
      <c r="CE57" s="619"/>
      <c r="CF57" s="619"/>
      <c r="CG57" s="619"/>
      <c r="CH57" s="619"/>
      <c r="CI57" s="619"/>
      <c r="CJ57" s="619"/>
      <c r="CK57" s="619"/>
      <c r="CL57" s="619"/>
      <c r="CM57" s="619"/>
      <c r="CN57" s="619"/>
      <c r="CO57" s="619"/>
      <c r="CP57" s="619"/>
      <c r="CQ57" s="619"/>
      <c r="CR57" s="619"/>
      <c r="CS57" s="619"/>
      <c r="CT57" s="619"/>
      <c r="CU57" s="619"/>
      <c r="CV57" s="619"/>
      <c r="CW57" s="619"/>
      <c r="CX57" s="619"/>
      <c r="CY57" s="619"/>
      <c r="CZ57" s="619"/>
      <c r="DA57" s="619"/>
      <c r="DB57" s="619"/>
      <c r="DC57" s="619"/>
      <c r="DD57" s="619"/>
      <c r="DE57" s="619"/>
      <c r="DF57" s="619"/>
      <c r="DG57" s="619"/>
      <c r="DH57" s="619"/>
      <c r="DI57" s="619"/>
      <c r="DJ57" s="619"/>
      <c r="DK57" s="619"/>
      <c r="DL57" s="619"/>
      <c r="DM57" s="619"/>
      <c r="DN57" s="619"/>
      <c r="DO57" s="619"/>
      <c r="DP57" s="619"/>
      <c r="DQ57" s="639"/>
      <c r="DR57" s="229"/>
    </row>
    <row r="58" spans="1:122" ht="7.5" customHeight="1" x14ac:dyDescent="0.25">
      <c r="A58" s="594"/>
      <c r="B58" s="595"/>
      <c r="C58" s="595"/>
      <c r="D58" s="595"/>
      <c r="E58" s="596"/>
      <c r="G58" s="599"/>
      <c r="H58" s="599"/>
      <c r="I58" s="599"/>
      <c r="J58" s="599"/>
      <c r="K58" s="599"/>
      <c r="L58" s="599"/>
      <c r="M58" s="599"/>
      <c r="N58" s="599"/>
      <c r="O58" s="599"/>
      <c r="P58" s="599"/>
      <c r="Q58" s="599"/>
      <c r="R58" s="599"/>
      <c r="S58" s="599"/>
      <c r="T58" s="599"/>
      <c r="U58" s="599"/>
      <c r="V58" s="599"/>
      <c r="W58" s="599"/>
      <c r="X58" s="599"/>
      <c r="Y58" s="599"/>
      <c r="Z58" s="602"/>
      <c r="AA58" s="602"/>
      <c r="AB58" s="602"/>
      <c r="AC58" s="602"/>
      <c r="AD58" s="602"/>
      <c r="AE58" s="602"/>
      <c r="AF58" s="602"/>
      <c r="AG58" s="636"/>
      <c r="AH58" s="132"/>
      <c r="AI58" s="129"/>
      <c r="AJ58" s="129"/>
      <c r="AK58" s="129"/>
      <c r="AL58" s="129"/>
      <c r="AM58" s="129"/>
      <c r="AN58" s="129"/>
      <c r="AO58" s="129"/>
      <c r="AP58" s="129"/>
      <c r="AQ58" s="129"/>
      <c r="AR58" s="129"/>
      <c r="AS58" s="129"/>
      <c r="AT58" s="129"/>
      <c r="AU58" s="129"/>
      <c r="AV58" s="129"/>
      <c r="AW58" s="146"/>
      <c r="AX58" s="619"/>
      <c r="AY58" s="619"/>
      <c r="AZ58" s="619"/>
      <c r="BA58" s="619"/>
      <c r="BB58" s="619"/>
      <c r="BC58" s="619"/>
      <c r="BD58" s="619"/>
      <c r="BE58" s="619"/>
      <c r="BF58" s="619"/>
      <c r="BG58" s="619"/>
      <c r="BH58" s="619"/>
      <c r="BI58" s="619"/>
      <c r="BJ58" s="619"/>
      <c r="BK58" s="619"/>
      <c r="BL58" s="619"/>
      <c r="BM58" s="619"/>
      <c r="BN58" s="619"/>
      <c r="BO58" s="619"/>
      <c r="BP58" s="619"/>
      <c r="BQ58" s="619"/>
      <c r="BR58" s="619"/>
      <c r="BS58" s="619"/>
      <c r="BT58" s="619"/>
      <c r="BU58" s="619"/>
      <c r="BV58" s="619"/>
      <c r="BW58" s="619"/>
      <c r="BX58" s="619"/>
      <c r="BY58" s="619"/>
      <c r="BZ58" s="619"/>
      <c r="CA58" s="619"/>
      <c r="CB58" s="619"/>
      <c r="CC58" s="619"/>
      <c r="CD58" s="619"/>
      <c r="CE58" s="619"/>
      <c r="CF58" s="619"/>
      <c r="CG58" s="619"/>
      <c r="CH58" s="619"/>
      <c r="CI58" s="619"/>
      <c r="CJ58" s="619"/>
      <c r="CK58" s="619"/>
      <c r="CL58" s="619"/>
      <c r="CM58" s="619"/>
      <c r="CN58" s="619"/>
      <c r="CO58" s="619"/>
      <c r="CP58" s="619"/>
      <c r="CQ58" s="619"/>
      <c r="CR58" s="619"/>
      <c r="CS58" s="619"/>
      <c r="CT58" s="619"/>
      <c r="CU58" s="619"/>
      <c r="CV58" s="619"/>
      <c r="CW58" s="619"/>
      <c r="CX58" s="619"/>
      <c r="CY58" s="619"/>
      <c r="CZ58" s="619"/>
      <c r="DA58" s="619"/>
      <c r="DB58" s="619"/>
      <c r="DC58" s="619"/>
      <c r="DD58" s="619"/>
      <c r="DE58" s="619"/>
      <c r="DF58" s="619"/>
      <c r="DG58" s="619"/>
      <c r="DH58" s="619"/>
      <c r="DI58" s="619"/>
      <c r="DJ58" s="619"/>
      <c r="DK58" s="619"/>
      <c r="DL58" s="619"/>
      <c r="DM58" s="619"/>
      <c r="DN58" s="619"/>
      <c r="DO58" s="619"/>
      <c r="DP58" s="619"/>
      <c r="DQ58" s="640"/>
      <c r="DR58" s="229"/>
    </row>
    <row r="59" spans="1:122" ht="7.5" customHeight="1" x14ac:dyDescent="0.25">
      <c r="A59" s="119"/>
      <c r="B59" s="119"/>
      <c r="C59" s="119"/>
      <c r="D59" s="119"/>
      <c r="E59" s="119"/>
      <c r="F59" s="653" t="str">
        <f>G56</f>
        <v>Axes</v>
      </c>
      <c r="G59" s="653"/>
      <c r="H59" s="653"/>
      <c r="I59" s="653"/>
      <c r="J59" s="653"/>
      <c r="K59" s="625" t="e">
        <f ca="1">(FLOOR(INDIRECT(SUBSTITUTE(SUBSTITUTE(G56,"-","")," ",""))/5,1)*(FLOOR(INDIRECT(SUBSTITUTE(SUBSTITUTE(G56,"-","")," ",""))/5,1)+1)/2)*50+MOD(INDIRECT(SUBSTITUTE(SUBSTITUTE(G56,"-","")," ","")),5)*CEILING(INDIRECT(SUBSTITUTE(SUBSTITUTE(G56,"-","")," ",""))/5,1)*10-((FLOOR(INDIRECT("Base"&amp;SUBSTITUTE(SUBSTITUTE(G56,"-","")," ",""))/5,1)*(FLOOR(INDIRECT("Base"&amp;SUBSTITUTE(SUBSTITUTE(G56,"-","")," ",""))/5,1)+1)/2)*50+MOD(INDIRECT("Base"&amp;SUBSTITUTE(SUBSTITUTE(G56,"-","")," ","")),5)*CEILING(INDIRECT("Base"&amp;SUBSTITUTE(SUBSTITUTE(G56,"-","")," ",""))/5,1)*10)</f>
        <v>#REF!</v>
      </c>
      <c r="L59" s="625"/>
      <c r="M59" s="625"/>
      <c r="N59" s="626" t="b">
        <f>IF(AH88&lt;&gt;"",VLOOKUP($G56,'Merit Data'!A:BW,MATCH('Merit Data'!$B$3,'Merit Data'!$3:$3,0),0),TRUE)</f>
        <v>1</v>
      </c>
      <c r="O59" s="626"/>
      <c r="P59" s="626"/>
      <c r="Q59" s="140"/>
      <c r="R59" s="140"/>
      <c r="S59" s="140"/>
      <c r="T59" s="140"/>
      <c r="U59" s="140"/>
      <c r="V59" s="238"/>
      <c r="W59" s="238"/>
      <c r="X59" s="627" t="str">
        <f>IF(F59&gt;0,HYPERLINK("http://wiki.project-saros.com/w/"&amp;F59,"Info"),"")</f>
        <v>Info</v>
      </c>
      <c r="Y59" s="628"/>
      <c r="Z59" s="637"/>
      <c r="AA59" s="637"/>
      <c r="AB59" s="637"/>
      <c r="AC59" s="637"/>
      <c r="AD59" s="637"/>
      <c r="AE59" s="637"/>
      <c r="AF59" s="637"/>
      <c r="AG59" s="638"/>
      <c r="AH59" s="148"/>
      <c r="AI59" s="131"/>
      <c r="AJ59" s="131"/>
      <c r="AK59" s="149"/>
      <c r="AL59" s="149"/>
      <c r="AM59" s="149"/>
      <c r="AN59" s="149"/>
      <c r="AO59" s="149"/>
      <c r="AP59" s="149"/>
      <c r="AQ59" s="149"/>
      <c r="AR59" s="149"/>
      <c r="AS59" s="131"/>
      <c r="AT59" s="131"/>
      <c r="AU59" s="131"/>
      <c r="AV59" s="131"/>
      <c r="AW59" s="150"/>
      <c r="AX59" s="641"/>
      <c r="AY59" s="641"/>
      <c r="AZ59" s="641"/>
      <c r="BA59" s="641"/>
      <c r="BB59" s="641"/>
      <c r="BC59" s="641"/>
      <c r="BD59" s="641"/>
      <c r="BE59" s="641"/>
      <c r="BF59" s="641"/>
      <c r="BG59" s="641"/>
      <c r="BH59" s="641"/>
      <c r="BI59" s="641"/>
      <c r="BJ59" s="641"/>
      <c r="BK59" s="641"/>
      <c r="BL59" s="641"/>
      <c r="BM59" s="641"/>
      <c r="BN59" s="641"/>
      <c r="BO59" s="641"/>
      <c r="BP59" s="641"/>
      <c r="BQ59" s="641"/>
      <c r="BR59" s="641"/>
      <c r="BS59" s="641"/>
      <c r="BT59" s="641"/>
      <c r="BU59" s="641"/>
      <c r="BV59" s="641"/>
      <c r="BW59" s="641"/>
      <c r="BX59" s="641"/>
      <c r="BY59" s="641"/>
      <c r="BZ59" s="641"/>
      <c r="CA59" s="641"/>
      <c r="CB59" s="641"/>
      <c r="CC59" s="641"/>
      <c r="CD59" s="641"/>
      <c r="CE59" s="641"/>
      <c r="CF59" s="641"/>
      <c r="CG59" s="641"/>
      <c r="CH59" s="641"/>
      <c r="CI59" s="641"/>
      <c r="CJ59" s="641"/>
      <c r="CK59" s="641"/>
      <c r="CL59" s="641"/>
      <c r="CM59" s="641"/>
      <c r="CN59" s="641"/>
      <c r="CO59" s="641"/>
      <c r="CP59" s="641"/>
      <c r="CQ59" s="641"/>
      <c r="CR59" s="641"/>
      <c r="CS59" s="641"/>
      <c r="CT59" s="641"/>
      <c r="CU59" s="641"/>
      <c r="CV59" s="641"/>
      <c r="CW59" s="641"/>
      <c r="CX59" s="641"/>
      <c r="CY59" s="641"/>
      <c r="CZ59" s="641"/>
      <c r="DA59" s="641"/>
      <c r="DB59" s="641"/>
      <c r="DC59" s="641"/>
      <c r="DD59" s="641"/>
      <c r="DE59" s="641"/>
      <c r="DF59" s="641"/>
      <c r="DG59" s="641"/>
      <c r="DH59" s="641"/>
      <c r="DI59" s="641"/>
      <c r="DJ59" s="641"/>
      <c r="DK59" s="641"/>
      <c r="DL59" s="641"/>
      <c r="DM59" s="641"/>
      <c r="DN59" s="641"/>
      <c r="DO59" s="641"/>
      <c r="DP59" s="641"/>
      <c r="DQ59" s="642"/>
      <c r="DR59" s="229"/>
    </row>
    <row r="60" spans="1:122" ht="7.5" customHeight="1" x14ac:dyDescent="0.25">
      <c r="A60" s="588">
        <v>0</v>
      </c>
      <c r="B60" s="589"/>
      <c r="C60" s="589"/>
      <c r="D60" s="589"/>
      <c r="E60" s="590"/>
      <c r="G60" s="597" t="s">
        <v>152</v>
      </c>
      <c r="H60" s="597"/>
      <c r="I60" s="597"/>
      <c r="J60" s="597"/>
      <c r="K60" s="597"/>
      <c r="L60" s="597"/>
      <c r="M60" s="597"/>
      <c r="N60" s="597"/>
      <c r="O60" s="597"/>
      <c r="P60" s="597"/>
      <c r="Q60" s="597"/>
      <c r="R60" s="597"/>
      <c r="S60" s="597"/>
      <c r="T60" s="597"/>
      <c r="U60" s="597"/>
      <c r="V60" s="597"/>
      <c r="W60" s="597"/>
      <c r="X60" s="597"/>
      <c r="Y60" s="597"/>
      <c r="Z60" s="600" t="e">
        <f>FLOOR(Crossbows/5+1,1)*10</f>
        <v>#REF!</v>
      </c>
      <c r="AA60" s="600"/>
      <c r="AB60" s="600"/>
      <c r="AC60" s="600"/>
      <c r="AD60" s="600"/>
      <c r="AE60" s="600"/>
      <c r="AF60" s="600"/>
      <c r="AG60" s="601"/>
      <c r="AH60" s="142"/>
      <c r="AI60" s="143"/>
      <c r="AJ60" s="143"/>
      <c r="AK60" s="143"/>
      <c r="AL60" s="143"/>
      <c r="AM60" s="143"/>
      <c r="AN60" s="143"/>
      <c r="AO60" s="143"/>
      <c r="AP60" s="143"/>
      <c r="AQ60" s="143"/>
      <c r="AR60" s="143"/>
      <c r="AS60" s="143"/>
      <c r="AT60" s="143"/>
      <c r="AU60" s="143"/>
      <c r="AV60" s="143"/>
      <c r="AW60" s="144"/>
      <c r="AX60" s="616" t="e">
        <f ca="1">"Further increases your "&amp;G60&amp;" skill from "&amp;INDIRECT(SUBSTITUTE(G60," ",""))&amp;" to "&amp;INDIRECT(SUBSTITUTE(G60," ",""))+1</f>
        <v>#REF!</v>
      </c>
      <c r="AY60" s="616"/>
      <c r="AZ60" s="616"/>
      <c r="BA60" s="616"/>
      <c r="BB60" s="616"/>
      <c r="BC60" s="616"/>
      <c r="BD60" s="616"/>
      <c r="BE60" s="616"/>
      <c r="BF60" s="616"/>
      <c r="BG60" s="616"/>
      <c r="BH60" s="616"/>
      <c r="BI60" s="616"/>
      <c r="BJ60" s="616"/>
      <c r="BK60" s="616"/>
      <c r="BL60" s="616"/>
      <c r="BM60" s="616"/>
      <c r="BN60" s="616"/>
      <c r="BO60" s="616"/>
      <c r="BP60" s="616"/>
      <c r="BQ60" s="616"/>
      <c r="BR60" s="616"/>
      <c r="BS60" s="616"/>
      <c r="BT60" s="616"/>
      <c r="BU60" s="616"/>
      <c r="BV60" s="616"/>
      <c r="BW60" s="616"/>
      <c r="BX60" s="616"/>
      <c r="BY60" s="616"/>
      <c r="BZ60" s="616"/>
      <c r="CA60" s="616"/>
      <c r="CB60" s="616"/>
      <c r="CC60" s="616"/>
      <c r="CD60" s="616"/>
      <c r="CE60" s="616"/>
      <c r="CF60" s="616"/>
      <c r="CG60" s="616"/>
      <c r="CH60" s="616"/>
      <c r="CI60" s="616"/>
      <c r="CJ60" s="616"/>
      <c r="CK60" s="616"/>
      <c r="CL60" s="616"/>
      <c r="CM60" s="616"/>
      <c r="CN60" s="616"/>
      <c r="CO60" s="616"/>
      <c r="CP60" s="616"/>
      <c r="CQ60" s="616"/>
      <c r="CR60" s="616"/>
      <c r="CS60" s="616"/>
      <c r="CT60" s="616"/>
      <c r="CU60" s="616"/>
      <c r="CV60" s="616"/>
      <c r="CW60" s="616"/>
      <c r="CX60" s="616"/>
      <c r="CY60" s="616"/>
      <c r="CZ60" s="616"/>
      <c r="DA60" s="616"/>
      <c r="DB60" s="616"/>
      <c r="DC60" s="616"/>
      <c r="DD60" s="616"/>
      <c r="DE60" s="616"/>
      <c r="DF60" s="616"/>
      <c r="DG60" s="616"/>
      <c r="DH60" s="616"/>
      <c r="DI60" s="616"/>
      <c r="DJ60" s="616"/>
      <c r="DK60" s="616"/>
      <c r="DL60" s="616"/>
      <c r="DM60" s="616"/>
      <c r="DN60" s="616"/>
      <c r="DO60" s="616"/>
      <c r="DP60" s="616"/>
      <c r="DQ60" s="617"/>
      <c r="DR60" s="229"/>
    </row>
    <row r="61" spans="1:122" ht="7.5" customHeight="1" x14ac:dyDescent="0.25">
      <c r="A61" s="591"/>
      <c r="B61" s="592"/>
      <c r="C61" s="592"/>
      <c r="D61" s="592"/>
      <c r="E61" s="593"/>
      <c r="F61" s="145"/>
      <c r="G61" s="598"/>
      <c r="H61" s="598"/>
      <c r="I61" s="598"/>
      <c r="J61" s="598"/>
      <c r="K61" s="598"/>
      <c r="L61" s="598"/>
      <c r="M61" s="598"/>
      <c r="N61" s="598"/>
      <c r="O61" s="598"/>
      <c r="P61" s="598"/>
      <c r="Q61" s="598"/>
      <c r="R61" s="598"/>
      <c r="S61" s="598"/>
      <c r="T61" s="598"/>
      <c r="U61" s="598"/>
      <c r="V61" s="598"/>
      <c r="W61" s="598"/>
      <c r="X61" s="598"/>
      <c r="Y61" s="598"/>
      <c r="Z61" s="602"/>
      <c r="AA61" s="602"/>
      <c r="AB61" s="602"/>
      <c r="AC61" s="602"/>
      <c r="AD61" s="602"/>
      <c r="AE61" s="602"/>
      <c r="AF61" s="602"/>
      <c r="AG61" s="635"/>
      <c r="AH61" s="132"/>
      <c r="AI61" s="129"/>
      <c r="AJ61" s="129"/>
      <c r="AK61" s="129"/>
      <c r="AL61" s="129"/>
      <c r="AM61" s="129"/>
      <c r="AN61" s="129"/>
      <c r="AO61" s="129"/>
      <c r="AP61" s="129"/>
      <c r="AQ61" s="129"/>
      <c r="AR61" s="129"/>
      <c r="AS61" s="129"/>
      <c r="AT61" s="129"/>
      <c r="AU61" s="129"/>
      <c r="AV61" s="129"/>
      <c r="AW61" s="145"/>
      <c r="AX61" s="619"/>
      <c r="AY61" s="619"/>
      <c r="AZ61" s="619"/>
      <c r="BA61" s="619"/>
      <c r="BB61" s="619"/>
      <c r="BC61" s="619"/>
      <c r="BD61" s="619"/>
      <c r="BE61" s="619"/>
      <c r="BF61" s="619"/>
      <c r="BG61" s="619"/>
      <c r="BH61" s="619"/>
      <c r="BI61" s="619"/>
      <c r="BJ61" s="619"/>
      <c r="BK61" s="619"/>
      <c r="BL61" s="619"/>
      <c r="BM61" s="619"/>
      <c r="BN61" s="619"/>
      <c r="BO61" s="619"/>
      <c r="BP61" s="619"/>
      <c r="BQ61" s="619"/>
      <c r="BR61" s="619"/>
      <c r="BS61" s="619"/>
      <c r="BT61" s="619"/>
      <c r="BU61" s="619"/>
      <c r="BV61" s="619"/>
      <c r="BW61" s="619"/>
      <c r="BX61" s="619"/>
      <c r="BY61" s="619"/>
      <c r="BZ61" s="619"/>
      <c r="CA61" s="619"/>
      <c r="CB61" s="619"/>
      <c r="CC61" s="619"/>
      <c r="CD61" s="619"/>
      <c r="CE61" s="619"/>
      <c r="CF61" s="619"/>
      <c r="CG61" s="619"/>
      <c r="CH61" s="619"/>
      <c r="CI61" s="619"/>
      <c r="CJ61" s="619"/>
      <c r="CK61" s="619"/>
      <c r="CL61" s="619"/>
      <c r="CM61" s="619"/>
      <c r="CN61" s="619"/>
      <c r="CO61" s="619"/>
      <c r="CP61" s="619"/>
      <c r="CQ61" s="619"/>
      <c r="CR61" s="619"/>
      <c r="CS61" s="619"/>
      <c r="CT61" s="619"/>
      <c r="CU61" s="619"/>
      <c r="CV61" s="619"/>
      <c r="CW61" s="619"/>
      <c r="CX61" s="619"/>
      <c r="CY61" s="619"/>
      <c r="CZ61" s="619"/>
      <c r="DA61" s="619"/>
      <c r="DB61" s="619"/>
      <c r="DC61" s="619"/>
      <c r="DD61" s="619"/>
      <c r="DE61" s="619"/>
      <c r="DF61" s="619"/>
      <c r="DG61" s="619"/>
      <c r="DH61" s="619"/>
      <c r="DI61" s="619"/>
      <c r="DJ61" s="619"/>
      <c r="DK61" s="619"/>
      <c r="DL61" s="619"/>
      <c r="DM61" s="619"/>
      <c r="DN61" s="619"/>
      <c r="DO61" s="619"/>
      <c r="DP61" s="619"/>
      <c r="DQ61" s="639"/>
      <c r="DR61" s="229"/>
    </row>
    <row r="62" spans="1:122" ht="7.5" customHeight="1" x14ac:dyDescent="0.25">
      <c r="A62" s="594"/>
      <c r="B62" s="595"/>
      <c r="C62" s="595"/>
      <c r="D62" s="595"/>
      <c r="E62" s="596"/>
      <c r="G62" s="599"/>
      <c r="H62" s="599"/>
      <c r="I62" s="599"/>
      <c r="J62" s="599"/>
      <c r="K62" s="599"/>
      <c r="L62" s="599"/>
      <c r="M62" s="599"/>
      <c r="N62" s="599"/>
      <c r="O62" s="599"/>
      <c r="P62" s="599"/>
      <c r="Q62" s="599"/>
      <c r="R62" s="599"/>
      <c r="S62" s="599"/>
      <c r="T62" s="599"/>
      <c r="U62" s="599"/>
      <c r="V62" s="599"/>
      <c r="W62" s="599"/>
      <c r="X62" s="599"/>
      <c r="Y62" s="599"/>
      <c r="Z62" s="602"/>
      <c r="AA62" s="602"/>
      <c r="AB62" s="602"/>
      <c r="AC62" s="602"/>
      <c r="AD62" s="602"/>
      <c r="AE62" s="602"/>
      <c r="AF62" s="602"/>
      <c r="AG62" s="636"/>
      <c r="AH62" s="132"/>
      <c r="AI62" s="129"/>
      <c r="AJ62" s="129"/>
      <c r="AK62" s="129"/>
      <c r="AL62" s="129"/>
      <c r="AM62" s="129"/>
      <c r="AN62" s="129"/>
      <c r="AO62" s="129"/>
      <c r="AP62" s="129"/>
      <c r="AQ62" s="129"/>
      <c r="AR62" s="129"/>
      <c r="AS62" s="129"/>
      <c r="AT62" s="129"/>
      <c r="AU62" s="129"/>
      <c r="AV62" s="129"/>
      <c r="AW62" s="146"/>
      <c r="AX62" s="619"/>
      <c r="AY62" s="619"/>
      <c r="AZ62" s="619"/>
      <c r="BA62" s="619"/>
      <c r="BB62" s="619"/>
      <c r="BC62" s="619"/>
      <c r="BD62" s="619"/>
      <c r="BE62" s="619"/>
      <c r="BF62" s="619"/>
      <c r="BG62" s="619"/>
      <c r="BH62" s="619"/>
      <c r="BI62" s="619"/>
      <c r="BJ62" s="619"/>
      <c r="BK62" s="619"/>
      <c r="BL62" s="619"/>
      <c r="BM62" s="619"/>
      <c r="BN62" s="619"/>
      <c r="BO62" s="619"/>
      <c r="BP62" s="619"/>
      <c r="BQ62" s="619"/>
      <c r="BR62" s="619"/>
      <c r="BS62" s="619"/>
      <c r="BT62" s="619"/>
      <c r="BU62" s="619"/>
      <c r="BV62" s="619"/>
      <c r="BW62" s="619"/>
      <c r="BX62" s="619"/>
      <c r="BY62" s="619"/>
      <c r="BZ62" s="619"/>
      <c r="CA62" s="619"/>
      <c r="CB62" s="619"/>
      <c r="CC62" s="619"/>
      <c r="CD62" s="619"/>
      <c r="CE62" s="619"/>
      <c r="CF62" s="619"/>
      <c r="CG62" s="619"/>
      <c r="CH62" s="619"/>
      <c r="CI62" s="619"/>
      <c r="CJ62" s="619"/>
      <c r="CK62" s="619"/>
      <c r="CL62" s="619"/>
      <c r="CM62" s="619"/>
      <c r="CN62" s="619"/>
      <c r="CO62" s="619"/>
      <c r="CP62" s="619"/>
      <c r="CQ62" s="619"/>
      <c r="CR62" s="619"/>
      <c r="CS62" s="619"/>
      <c r="CT62" s="619"/>
      <c r="CU62" s="619"/>
      <c r="CV62" s="619"/>
      <c r="CW62" s="619"/>
      <c r="CX62" s="619"/>
      <c r="CY62" s="619"/>
      <c r="CZ62" s="619"/>
      <c r="DA62" s="619"/>
      <c r="DB62" s="619"/>
      <c r="DC62" s="619"/>
      <c r="DD62" s="619"/>
      <c r="DE62" s="619"/>
      <c r="DF62" s="619"/>
      <c r="DG62" s="619"/>
      <c r="DH62" s="619"/>
      <c r="DI62" s="619"/>
      <c r="DJ62" s="619"/>
      <c r="DK62" s="619"/>
      <c r="DL62" s="619"/>
      <c r="DM62" s="619"/>
      <c r="DN62" s="619"/>
      <c r="DO62" s="619"/>
      <c r="DP62" s="619"/>
      <c r="DQ62" s="640"/>
      <c r="DR62" s="229"/>
    </row>
    <row r="63" spans="1:122" ht="7.5" customHeight="1" x14ac:dyDescent="0.25">
      <c r="A63" s="119"/>
      <c r="B63" s="119"/>
      <c r="C63" s="119"/>
      <c r="D63" s="119"/>
      <c r="E63" s="119"/>
      <c r="F63" s="653" t="str">
        <f>G60</f>
        <v>Crossbows</v>
      </c>
      <c r="G63" s="653"/>
      <c r="H63" s="653"/>
      <c r="I63" s="653"/>
      <c r="J63" s="653"/>
      <c r="K63" s="625" t="e">
        <f ca="1">(FLOOR(INDIRECT(SUBSTITUTE(SUBSTITUTE(G60,"-","")," ",""))/5,1)*(FLOOR(INDIRECT(SUBSTITUTE(SUBSTITUTE(G60,"-","")," ",""))/5,1)+1)/2)*50+MOD(INDIRECT(SUBSTITUTE(SUBSTITUTE(G60,"-","")," ","")),5)*CEILING(INDIRECT(SUBSTITUTE(SUBSTITUTE(G60,"-","")," ",""))/5,1)*10-((FLOOR(INDIRECT("Base"&amp;SUBSTITUTE(SUBSTITUTE(G60,"-","")," ",""))/5,1)*(FLOOR(INDIRECT("Base"&amp;SUBSTITUTE(SUBSTITUTE(G60,"-","")," ",""))/5,1)+1)/2)*50+MOD(INDIRECT("Base"&amp;SUBSTITUTE(SUBSTITUTE(G60,"-","")," ","")),5)*CEILING(INDIRECT("Base"&amp;SUBSTITUTE(SUBSTITUTE(G60,"-","")," ",""))/5,1)*10)</f>
        <v>#REF!</v>
      </c>
      <c r="L63" s="625"/>
      <c r="M63" s="625"/>
      <c r="N63" s="626" t="b">
        <f>IF(AH52&lt;&gt;"",VLOOKUP($G60,'Merit Data'!A:BW,MATCH('Merit Data'!$B$3,'Merit Data'!$3:$3,0),0),TRUE)</f>
        <v>1</v>
      </c>
      <c r="O63" s="626"/>
      <c r="P63" s="626"/>
      <c r="Q63" s="140"/>
      <c r="R63" s="140"/>
      <c r="S63" s="140"/>
      <c r="T63" s="140"/>
      <c r="U63" s="140"/>
      <c r="V63" s="238"/>
      <c r="W63" s="238"/>
      <c r="X63" s="627" t="str">
        <f>IF(F63&gt;0,HYPERLINK("http://wiki.project-saros.com/w/"&amp;F63,"Info"),"")</f>
        <v>Info</v>
      </c>
      <c r="Y63" s="628"/>
      <c r="Z63" s="637"/>
      <c r="AA63" s="637"/>
      <c r="AB63" s="637"/>
      <c r="AC63" s="637"/>
      <c r="AD63" s="637"/>
      <c r="AE63" s="637"/>
      <c r="AF63" s="637"/>
      <c r="AG63" s="638"/>
      <c r="AH63" s="148"/>
      <c r="AI63" s="131"/>
      <c r="AJ63" s="131"/>
      <c r="AK63" s="149"/>
      <c r="AL63" s="149"/>
      <c r="AM63" s="149"/>
      <c r="AN63" s="149"/>
      <c r="AO63" s="149"/>
      <c r="AP63" s="149"/>
      <c r="AQ63" s="149"/>
      <c r="AR63" s="149"/>
      <c r="AS63" s="131"/>
      <c r="AT63" s="131"/>
      <c r="AU63" s="131"/>
      <c r="AV63" s="131"/>
      <c r="AW63" s="150"/>
      <c r="AX63" s="641"/>
      <c r="AY63" s="641"/>
      <c r="AZ63" s="641"/>
      <c r="BA63" s="641"/>
      <c r="BB63" s="641"/>
      <c r="BC63" s="641"/>
      <c r="BD63" s="641"/>
      <c r="BE63" s="641"/>
      <c r="BF63" s="641"/>
      <c r="BG63" s="641"/>
      <c r="BH63" s="641"/>
      <c r="BI63" s="641"/>
      <c r="BJ63" s="641"/>
      <c r="BK63" s="641"/>
      <c r="BL63" s="641"/>
      <c r="BM63" s="641"/>
      <c r="BN63" s="641"/>
      <c r="BO63" s="641"/>
      <c r="BP63" s="641"/>
      <c r="BQ63" s="641"/>
      <c r="BR63" s="641"/>
      <c r="BS63" s="641"/>
      <c r="BT63" s="641"/>
      <c r="BU63" s="641"/>
      <c r="BV63" s="641"/>
      <c r="BW63" s="641"/>
      <c r="BX63" s="641"/>
      <c r="BY63" s="641"/>
      <c r="BZ63" s="641"/>
      <c r="CA63" s="641"/>
      <c r="CB63" s="641"/>
      <c r="CC63" s="641"/>
      <c r="CD63" s="641"/>
      <c r="CE63" s="641"/>
      <c r="CF63" s="641"/>
      <c r="CG63" s="641"/>
      <c r="CH63" s="641"/>
      <c r="CI63" s="641"/>
      <c r="CJ63" s="641"/>
      <c r="CK63" s="641"/>
      <c r="CL63" s="641"/>
      <c r="CM63" s="641"/>
      <c r="CN63" s="641"/>
      <c r="CO63" s="641"/>
      <c r="CP63" s="641"/>
      <c r="CQ63" s="641"/>
      <c r="CR63" s="641"/>
      <c r="CS63" s="641"/>
      <c r="CT63" s="641"/>
      <c r="CU63" s="641"/>
      <c r="CV63" s="641"/>
      <c r="CW63" s="641"/>
      <c r="CX63" s="641"/>
      <c r="CY63" s="641"/>
      <c r="CZ63" s="641"/>
      <c r="DA63" s="641"/>
      <c r="DB63" s="641"/>
      <c r="DC63" s="641"/>
      <c r="DD63" s="641"/>
      <c r="DE63" s="641"/>
      <c r="DF63" s="641"/>
      <c r="DG63" s="641"/>
      <c r="DH63" s="641"/>
      <c r="DI63" s="641"/>
      <c r="DJ63" s="641"/>
      <c r="DK63" s="641"/>
      <c r="DL63" s="641"/>
      <c r="DM63" s="641"/>
      <c r="DN63" s="641"/>
      <c r="DO63" s="641"/>
      <c r="DP63" s="641"/>
      <c r="DQ63" s="642"/>
      <c r="DR63" s="229"/>
    </row>
    <row r="64" spans="1:122" ht="7.5" customHeight="1" x14ac:dyDescent="0.25">
      <c r="A64" s="588">
        <v>0</v>
      </c>
      <c r="B64" s="589"/>
      <c r="C64" s="589"/>
      <c r="D64" s="589"/>
      <c r="E64" s="590"/>
      <c r="G64" s="597" t="s">
        <v>148</v>
      </c>
      <c r="H64" s="597"/>
      <c r="I64" s="597"/>
      <c r="J64" s="597"/>
      <c r="K64" s="597"/>
      <c r="L64" s="597"/>
      <c r="M64" s="597"/>
      <c r="N64" s="597"/>
      <c r="O64" s="597"/>
      <c r="P64" s="597"/>
      <c r="Q64" s="597"/>
      <c r="R64" s="597"/>
      <c r="S64" s="597"/>
      <c r="T64" s="597"/>
      <c r="U64" s="597"/>
      <c r="V64" s="597"/>
      <c r="W64" s="597"/>
      <c r="X64" s="597"/>
      <c r="Y64" s="597"/>
      <c r="Z64" s="600" t="e">
        <f>FLOOR(Daggers/5+1,1)*10</f>
        <v>#REF!</v>
      </c>
      <c r="AA64" s="600"/>
      <c r="AB64" s="600"/>
      <c r="AC64" s="600"/>
      <c r="AD64" s="600"/>
      <c r="AE64" s="600"/>
      <c r="AF64" s="600"/>
      <c r="AG64" s="601"/>
      <c r="AH64" s="142"/>
      <c r="AI64" s="143"/>
      <c r="AJ64" s="143"/>
      <c r="AK64" s="143"/>
      <c r="AL64" s="143"/>
      <c r="AM64" s="143"/>
      <c r="AN64" s="143"/>
      <c r="AO64" s="143"/>
      <c r="AP64" s="143"/>
      <c r="AQ64" s="143"/>
      <c r="AR64" s="143"/>
      <c r="AS64" s="143"/>
      <c r="AT64" s="143"/>
      <c r="AU64" s="143"/>
      <c r="AV64" s="143"/>
      <c r="AW64" s="144"/>
      <c r="AX64" s="616" t="e">
        <f ca="1">"Further increases your "&amp;G64&amp;" skill from "&amp;INDIRECT(SUBSTITUTE(G64," ",""))&amp;" to "&amp;INDIRECT(SUBSTITUTE(G64," ",""))+1</f>
        <v>#REF!</v>
      </c>
      <c r="AY64" s="616"/>
      <c r="AZ64" s="616"/>
      <c r="BA64" s="616"/>
      <c r="BB64" s="616"/>
      <c r="BC64" s="616"/>
      <c r="BD64" s="616"/>
      <c r="BE64" s="616"/>
      <c r="BF64" s="616"/>
      <c r="BG64" s="616"/>
      <c r="BH64" s="616"/>
      <c r="BI64" s="616"/>
      <c r="BJ64" s="616"/>
      <c r="BK64" s="616"/>
      <c r="BL64" s="616"/>
      <c r="BM64" s="616"/>
      <c r="BN64" s="616"/>
      <c r="BO64" s="616"/>
      <c r="BP64" s="616"/>
      <c r="BQ64" s="616"/>
      <c r="BR64" s="616"/>
      <c r="BS64" s="616"/>
      <c r="BT64" s="616"/>
      <c r="BU64" s="616"/>
      <c r="BV64" s="616"/>
      <c r="BW64" s="616"/>
      <c r="BX64" s="616"/>
      <c r="BY64" s="616"/>
      <c r="BZ64" s="616"/>
      <c r="CA64" s="616"/>
      <c r="CB64" s="616"/>
      <c r="CC64" s="616"/>
      <c r="CD64" s="616"/>
      <c r="CE64" s="616"/>
      <c r="CF64" s="616"/>
      <c r="CG64" s="616"/>
      <c r="CH64" s="616"/>
      <c r="CI64" s="616"/>
      <c r="CJ64" s="616"/>
      <c r="CK64" s="616"/>
      <c r="CL64" s="616"/>
      <c r="CM64" s="616"/>
      <c r="CN64" s="616"/>
      <c r="CO64" s="616"/>
      <c r="CP64" s="616"/>
      <c r="CQ64" s="616"/>
      <c r="CR64" s="616"/>
      <c r="CS64" s="616"/>
      <c r="CT64" s="616"/>
      <c r="CU64" s="616"/>
      <c r="CV64" s="616"/>
      <c r="CW64" s="616"/>
      <c r="CX64" s="616"/>
      <c r="CY64" s="616"/>
      <c r="CZ64" s="616"/>
      <c r="DA64" s="616"/>
      <c r="DB64" s="616"/>
      <c r="DC64" s="616"/>
      <c r="DD64" s="616"/>
      <c r="DE64" s="616"/>
      <c r="DF64" s="616"/>
      <c r="DG64" s="616"/>
      <c r="DH64" s="616"/>
      <c r="DI64" s="616"/>
      <c r="DJ64" s="616"/>
      <c r="DK64" s="616"/>
      <c r="DL64" s="616"/>
      <c r="DM64" s="616"/>
      <c r="DN64" s="616"/>
      <c r="DO64" s="616"/>
      <c r="DP64" s="616"/>
      <c r="DQ64" s="617"/>
      <c r="DR64" s="229"/>
    </row>
    <row r="65" spans="1:122" ht="7.5" customHeight="1" x14ac:dyDescent="0.25">
      <c r="A65" s="591"/>
      <c r="B65" s="592"/>
      <c r="C65" s="592"/>
      <c r="D65" s="592"/>
      <c r="E65" s="593"/>
      <c r="F65" s="145"/>
      <c r="G65" s="598"/>
      <c r="H65" s="598"/>
      <c r="I65" s="598"/>
      <c r="J65" s="598"/>
      <c r="K65" s="598"/>
      <c r="L65" s="598"/>
      <c r="M65" s="598"/>
      <c r="N65" s="598"/>
      <c r="O65" s="598"/>
      <c r="P65" s="598"/>
      <c r="Q65" s="598"/>
      <c r="R65" s="598"/>
      <c r="S65" s="598"/>
      <c r="T65" s="598"/>
      <c r="U65" s="598"/>
      <c r="V65" s="598"/>
      <c r="W65" s="598"/>
      <c r="X65" s="598"/>
      <c r="Y65" s="598"/>
      <c r="Z65" s="602"/>
      <c r="AA65" s="602"/>
      <c r="AB65" s="602"/>
      <c r="AC65" s="602"/>
      <c r="AD65" s="602"/>
      <c r="AE65" s="602"/>
      <c r="AF65" s="602"/>
      <c r="AG65" s="635"/>
      <c r="AH65" s="132"/>
      <c r="AI65" s="129"/>
      <c r="AJ65" s="129"/>
      <c r="AK65" s="129"/>
      <c r="AL65" s="129"/>
      <c r="AM65" s="129"/>
      <c r="AN65" s="129"/>
      <c r="AO65" s="129"/>
      <c r="AP65" s="129"/>
      <c r="AQ65" s="129"/>
      <c r="AR65" s="129"/>
      <c r="AS65" s="129"/>
      <c r="AT65" s="129"/>
      <c r="AU65" s="129"/>
      <c r="AV65" s="129"/>
      <c r="AW65" s="145"/>
      <c r="AX65" s="619"/>
      <c r="AY65" s="619"/>
      <c r="AZ65" s="619"/>
      <c r="BA65" s="619"/>
      <c r="BB65" s="619"/>
      <c r="BC65" s="619"/>
      <c r="BD65" s="619"/>
      <c r="BE65" s="619"/>
      <c r="BF65" s="619"/>
      <c r="BG65" s="619"/>
      <c r="BH65" s="619"/>
      <c r="BI65" s="619"/>
      <c r="BJ65" s="619"/>
      <c r="BK65" s="619"/>
      <c r="BL65" s="619"/>
      <c r="BM65" s="619"/>
      <c r="BN65" s="619"/>
      <c r="BO65" s="619"/>
      <c r="BP65" s="619"/>
      <c r="BQ65" s="619"/>
      <c r="BR65" s="619"/>
      <c r="BS65" s="619"/>
      <c r="BT65" s="619"/>
      <c r="BU65" s="619"/>
      <c r="BV65" s="619"/>
      <c r="BW65" s="619"/>
      <c r="BX65" s="619"/>
      <c r="BY65" s="619"/>
      <c r="BZ65" s="619"/>
      <c r="CA65" s="619"/>
      <c r="CB65" s="619"/>
      <c r="CC65" s="619"/>
      <c r="CD65" s="619"/>
      <c r="CE65" s="619"/>
      <c r="CF65" s="619"/>
      <c r="CG65" s="619"/>
      <c r="CH65" s="619"/>
      <c r="CI65" s="619"/>
      <c r="CJ65" s="619"/>
      <c r="CK65" s="619"/>
      <c r="CL65" s="619"/>
      <c r="CM65" s="619"/>
      <c r="CN65" s="619"/>
      <c r="CO65" s="619"/>
      <c r="CP65" s="619"/>
      <c r="CQ65" s="619"/>
      <c r="CR65" s="619"/>
      <c r="CS65" s="619"/>
      <c r="CT65" s="619"/>
      <c r="CU65" s="619"/>
      <c r="CV65" s="619"/>
      <c r="CW65" s="619"/>
      <c r="CX65" s="619"/>
      <c r="CY65" s="619"/>
      <c r="CZ65" s="619"/>
      <c r="DA65" s="619"/>
      <c r="DB65" s="619"/>
      <c r="DC65" s="619"/>
      <c r="DD65" s="619"/>
      <c r="DE65" s="619"/>
      <c r="DF65" s="619"/>
      <c r="DG65" s="619"/>
      <c r="DH65" s="619"/>
      <c r="DI65" s="619"/>
      <c r="DJ65" s="619"/>
      <c r="DK65" s="619"/>
      <c r="DL65" s="619"/>
      <c r="DM65" s="619"/>
      <c r="DN65" s="619"/>
      <c r="DO65" s="619"/>
      <c r="DP65" s="619"/>
      <c r="DQ65" s="639"/>
      <c r="DR65" s="229"/>
    </row>
    <row r="66" spans="1:122" ht="7.5" customHeight="1" x14ac:dyDescent="0.25">
      <c r="A66" s="594"/>
      <c r="B66" s="595"/>
      <c r="C66" s="595"/>
      <c r="D66" s="595"/>
      <c r="E66" s="596"/>
      <c r="G66" s="599"/>
      <c r="H66" s="599"/>
      <c r="I66" s="599"/>
      <c r="J66" s="599"/>
      <c r="K66" s="599"/>
      <c r="L66" s="599"/>
      <c r="M66" s="599"/>
      <c r="N66" s="599"/>
      <c r="O66" s="599"/>
      <c r="P66" s="599"/>
      <c r="Q66" s="599"/>
      <c r="R66" s="599"/>
      <c r="S66" s="599"/>
      <c r="T66" s="599"/>
      <c r="U66" s="599"/>
      <c r="V66" s="599"/>
      <c r="W66" s="599"/>
      <c r="X66" s="599"/>
      <c r="Y66" s="599"/>
      <c r="Z66" s="602"/>
      <c r="AA66" s="602"/>
      <c r="AB66" s="602"/>
      <c r="AC66" s="602"/>
      <c r="AD66" s="602"/>
      <c r="AE66" s="602"/>
      <c r="AF66" s="602"/>
      <c r="AG66" s="636"/>
      <c r="AH66" s="132"/>
      <c r="AI66" s="129"/>
      <c r="AJ66" s="129"/>
      <c r="AK66" s="129"/>
      <c r="AL66" s="129"/>
      <c r="AM66" s="129"/>
      <c r="AN66" s="129"/>
      <c r="AO66" s="129"/>
      <c r="AP66" s="129"/>
      <c r="AQ66" s="129"/>
      <c r="AR66" s="129"/>
      <c r="AS66" s="129"/>
      <c r="AT66" s="129"/>
      <c r="AU66" s="129"/>
      <c r="AV66" s="129"/>
      <c r="AW66" s="146"/>
      <c r="AX66" s="619"/>
      <c r="AY66" s="619"/>
      <c r="AZ66" s="619"/>
      <c r="BA66" s="619"/>
      <c r="BB66" s="619"/>
      <c r="BC66" s="619"/>
      <c r="BD66" s="619"/>
      <c r="BE66" s="619"/>
      <c r="BF66" s="619"/>
      <c r="BG66" s="619"/>
      <c r="BH66" s="619"/>
      <c r="BI66" s="619"/>
      <c r="BJ66" s="619"/>
      <c r="BK66" s="619"/>
      <c r="BL66" s="619"/>
      <c r="BM66" s="619"/>
      <c r="BN66" s="619"/>
      <c r="BO66" s="619"/>
      <c r="BP66" s="619"/>
      <c r="BQ66" s="619"/>
      <c r="BR66" s="619"/>
      <c r="BS66" s="619"/>
      <c r="BT66" s="619"/>
      <c r="BU66" s="619"/>
      <c r="BV66" s="619"/>
      <c r="BW66" s="619"/>
      <c r="BX66" s="619"/>
      <c r="BY66" s="619"/>
      <c r="BZ66" s="619"/>
      <c r="CA66" s="619"/>
      <c r="CB66" s="619"/>
      <c r="CC66" s="619"/>
      <c r="CD66" s="619"/>
      <c r="CE66" s="619"/>
      <c r="CF66" s="619"/>
      <c r="CG66" s="619"/>
      <c r="CH66" s="619"/>
      <c r="CI66" s="619"/>
      <c r="CJ66" s="619"/>
      <c r="CK66" s="619"/>
      <c r="CL66" s="619"/>
      <c r="CM66" s="619"/>
      <c r="CN66" s="619"/>
      <c r="CO66" s="619"/>
      <c r="CP66" s="619"/>
      <c r="CQ66" s="619"/>
      <c r="CR66" s="619"/>
      <c r="CS66" s="619"/>
      <c r="CT66" s="619"/>
      <c r="CU66" s="619"/>
      <c r="CV66" s="619"/>
      <c r="CW66" s="619"/>
      <c r="CX66" s="619"/>
      <c r="CY66" s="619"/>
      <c r="CZ66" s="619"/>
      <c r="DA66" s="619"/>
      <c r="DB66" s="619"/>
      <c r="DC66" s="619"/>
      <c r="DD66" s="619"/>
      <c r="DE66" s="619"/>
      <c r="DF66" s="619"/>
      <c r="DG66" s="619"/>
      <c r="DH66" s="619"/>
      <c r="DI66" s="619"/>
      <c r="DJ66" s="619"/>
      <c r="DK66" s="619"/>
      <c r="DL66" s="619"/>
      <c r="DM66" s="619"/>
      <c r="DN66" s="619"/>
      <c r="DO66" s="619"/>
      <c r="DP66" s="619"/>
      <c r="DQ66" s="640"/>
      <c r="DR66" s="229"/>
    </row>
    <row r="67" spans="1:122" ht="7.5" customHeight="1" x14ac:dyDescent="0.25">
      <c r="A67" s="119"/>
      <c r="B67" s="119"/>
      <c r="C67" s="119"/>
      <c r="D67" s="119"/>
      <c r="E67" s="119"/>
      <c r="F67" s="653" t="str">
        <f>G64</f>
        <v>Daggers</v>
      </c>
      <c r="G67" s="653"/>
      <c r="H67" s="653"/>
      <c r="I67" s="653"/>
      <c r="J67" s="653"/>
      <c r="K67" s="625" t="e">
        <f ca="1">(FLOOR(INDIRECT(SUBSTITUTE(SUBSTITUTE(G64,"-","")," ",""))/5,1)*(FLOOR(INDIRECT(SUBSTITUTE(SUBSTITUTE(G64,"-","")," ",""))/5,1)+1)/2)*50+MOD(INDIRECT(SUBSTITUTE(SUBSTITUTE(G64,"-","")," ","")),5)*CEILING(INDIRECT(SUBSTITUTE(SUBSTITUTE(G64,"-","")," ",""))/5,1)*10-((FLOOR(INDIRECT("Base"&amp;SUBSTITUTE(SUBSTITUTE(G64,"-","")," ",""))/5,1)*(FLOOR(INDIRECT("Base"&amp;SUBSTITUTE(SUBSTITUTE(G64,"-","")," ",""))/5,1)+1)/2)*50+MOD(INDIRECT("Base"&amp;SUBSTITUTE(SUBSTITUTE(G64,"-","")," ","")),5)*CEILING(INDIRECT("Base"&amp;SUBSTITUTE(SUBSTITUTE(G64,"-","")," ",""))/5,1)*10)</f>
        <v>#REF!</v>
      </c>
      <c r="L67" s="625"/>
      <c r="M67" s="625"/>
      <c r="N67" s="626" t="b">
        <f>IF(AH60&lt;&gt;"",VLOOKUP($G64,'Merit Data'!A:BW,MATCH('Merit Data'!$B$3,'Merit Data'!$3:$3,0),0),TRUE)</f>
        <v>1</v>
      </c>
      <c r="O67" s="626"/>
      <c r="P67" s="626"/>
      <c r="Q67" s="140"/>
      <c r="R67" s="140"/>
      <c r="S67" s="140"/>
      <c r="T67" s="140"/>
      <c r="U67" s="140"/>
      <c r="V67" s="238"/>
      <c r="W67" s="238"/>
      <c r="X67" s="627" t="str">
        <f>IF(F67&gt;0,HYPERLINK("http://wiki.project-saros.com/w/"&amp;F67,"Info"),"")</f>
        <v>Info</v>
      </c>
      <c r="Y67" s="628"/>
      <c r="Z67" s="637"/>
      <c r="AA67" s="637"/>
      <c r="AB67" s="637"/>
      <c r="AC67" s="637"/>
      <c r="AD67" s="637"/>
      <c r="AE67" s="637"/>
      <c r="AF67" s="637"/>
      <c r="AG67" s="638"/>
      <c r="AH67" s="148"/>
      <c r="AI67" s="131"/>
      <c r="AJ67" s="131"/>
      <c r="AK67" s="149"/>
      <c r="AL67" s="149"/>
      <c r="AM67" s="149"/>
      <c r="AN67" s="149"/>
      <c r="AO67" s="149"/>
      <c r="AP67" s="149"/>
      <c r="AQ67" s="149"/>
      <c r="AR67" s="149"/>
      <c r="AS67" s="131"/>
      <c r="AT67" s="131"/>
      <c r="AU67" s="131"/>
      <c r="AV67" s="131"/>
      <c r="AW67" s="150"/>
      <c r="AX67" s="641"/>
      <c r="AY67" s="641"/>
      <c r="AZ67" s="641"/>
      <c r="BA67" s="641"/>
      <c r="BB67" s="641"/>
      <c r="BC67" s="641"/>
      <c r="BD67" s="641"/>
      <c r="BE67" s="641"/>
      <c r="BF67" s="641"/>
      <c r="BG67" s="641"/>
      <c r="BH67" s="641"/>
      <c r="BI67" s="641"/>
      <c r="BJ67" s="641"/>
      <c r="BK67" s="641"/>
      <c r="BL67" s="641"/>
      <c r="BM67" s="641"/>
      <c r="BN67" s="641"/>
      <c r="BO67" s="641"/>
      <c r="BP67" s="641"/>
      <c r="BQ67" s="641"/>
      <c r="BR67" s="641"/>
      <c r="BS67" s="641"/>
      <c r="BT67" s="641"/>
      <c r="BU67" s="641"/>
      <c r="BV67" s="641"/>
      <c r="BW67" s="641"/>
      <c r="BX67" s="641"/>
      <c r="BY67" s="641"/>
      <c r="BZ67" s="641"/>
      <c r="CA67" s="641"/>
      <c r="CB67" s="641"/>
      <c r="CC67" s="641"/>
      <c r="CD67" s="641"/>
      <c r="CE67" s="641"/>
      <c r="CF67" s="641"/>
      <c r="CG67" s="641"/>
      <c r="CH67" s="641"/>
      <c r="CI67" s="641"/>
      <c r="CJ67" s="641"/>
      <c r="CK67" s="641"/>
      <c r="CL67" s="641"/>
      <c r="CM67" s="641"/>
      <c r="CN67" s="641"/>
      <c r="CO67" s="641"/>
      <c r="CP67" s="641"/>
      <c r="CQ67" s="641"/>
      <c r="CR67" s="641"/>
      <c r="CS67" s="641"/>
      <c r="CT67" s="641"/>
      <c r="CU67" s="641"/>
      <c r="CV67" s="641"/>
      <c r="CW67" s="641"/>
      <c r="CX67" s="641"/>
      <c r="CY67" s="641"/>
      <c r="CZ67" s="641"/>
      <c r="DA67" s="641"/>
      <c r="DB67" s="641"/>
      <c r="DC67" s="641"/>
      <c r="DD67" s="641"/>
      <c r="DE67" s="641"/>
      <c r="DF67" s="641"/>
      <c r="DG67" s="641"/>
      <c r="DH67" s="641"/>
      <c r="DI67" s="641"/>
      <c r="DJ67" s="641"/>
      <c r="DK67" s="641"/>
      <c r="DL67" s="641"/>
      <c r="DM67" s="641"/>
      <c r="DN67" s="641"/>
      <c r="DO67" s="641"/>
      <c r="DP67" s="641"/>
      <c r="DQ67" s="642"/>
      <c r="DR67" s="229"/>
    </row>
    <row r="68" spans="1:122" ht="7.5" customHeight="1" x14ac:dyDescent="0.25">
      <c r="A68" s="588">
        <v>0</v>
      </c>
      <c r="B68" s="589"/>
      <c r="C68" s="589"/>
      <c r="D68" s="589"/>
      <c r="E68" s="590"/>
      <c r="G68" s="597" t="s">
        <v>269</v>
      </c>
      <c r="H68" s="597"/>
      <c r="I68" s="597"/>
      <c r="J68" s="597"/>
      <c r="K68" s="597"/>
      <c r="L68" s="597"/>
      <c r="M68" s="597"/>
      <c r="N68" s="597"/>
      <c r="O68" s="597"/>
      <c r="P68" s="597"/>
      <c r="Q68" s="597"/>
      <c r="R68" s="597"/>
      <c r="S68" s="597"/>
      <c r="T68" s="597"/>
      <c r="U68" s="597"/>
      <c r="V68" s="597"/>
      <c r="W68" s="597"/>
      <c r="X68" s="597"/>
      <c r="Y68" s="597"/>
      <c r="Z68" s="600" t="e">
        <f>FLOOR(HandtoHandCombat/5+1,1)*10</f>
        <v>#REF!</v>
      </c>
      <c r="AA68" s="600"/>
      <c r="AB68" s="600"/>
      <c r="AC68" s="600"/>
      <c r="AD68" s="600"/>
      <c r="AE68" s="600"/>
      <c r="AF68" s="600"/>
      <c r="AG68" s="601"/>
      <c r="AH68" s="142"/>
      <c r="AI68" s="143"/>
      <c r="AJ68" s="143"/>
      <c r="AK68" s="143"/>
      <c r="AL68" s="143"/>
      <c r="AM68" s="143"/>
      <c r="AN68" s="143"/>
      <c r="AO68" s="143"/>
      <c r="AP68" s="143"/>
      <c r="AQ68" s="143"/>
      <c r="AR68" s="143"/>
      <c r="AS68" s="143"/>
      <c r="AT68" s="143"/>
      <c r="AU68" s="143"/>
      <c r="AV68" s="143"/>
      <c r="AW68" s="144"/>
      <c r="AX68" s="616" t="e">
        <f>"Further increases your "&amp;G68&amp;" skill from "&amp;HandtoHandCombat&amp;" to "&amp;HandtoHandCombat+1</f>
        <v>#REF!</v>
      </c>
      <c r="AY68" s="616"/>
      <c r="AZ68" s="616"/>
      <c r="BA68" s="616"/>
      <c r="BB68" s="616"/>
      <c r="BC68" s="616"/>
      <c r="BD68" s="616"/>
      <c r="BE68" s="616"/>
      <c r="BF68" s="616"/>
      <c r="BG68" s="616"/>
      <c r="BH68" s="616"/>
      <c r="BI68" s="616"/>
      <c r="BJ68" s="616"/>
      <c r="BK68" s="616"/>
      <c r="BL68" s="616"/>
      <c r="BM68" s="616"/>
      <c r="BN68" s="616"/>
      <c r="BO68" s="616"/>
      <c r="BP68" s="616"/>
      <c r="BQ68" s="616"/>
      <c r="BR68" s="616"/>
      <c r="BS68" s="616"/>
      <c r="BT68" s="616"/>
      <c r="BU68" s="616"/>
      <c r="BV68" s="616"/>
      <c r="BW68" s="616"/>
      <c r="BX68" s="616"/>
      <c r="BY68" s="616"/>
      <c r="BZ68" s="616"/>
      <c r="CA68" s="616"/>
      <c r="CB68" s="616"/>
      <c r="CC68" s="616"/>
      <c r="CD68" s="616"/>
      <c r="CE68" s="616"/>
      <c r="CF68" s="616"/>
      <c r="CG68" s="616"/>
      <c r="CH68" s="616"/>
      <c r="CI68" s="616"/>
      <c r="CJ68" s="616"/>
      <c r="CK68" s="616"/>
      <c r="CL68" s="616"/>
      <c r="CM68" s="616"/>
      <c r="CN68" s="616"/>
      <c r="CO68" s="616"/>
      <c r="CP68" s="616"/>
      <c r="CQ68" s="616"/>
      <c r="CR68" s="616"/>
      <c r="CS68" s="616"/>
      <c r="CT68" s="616"/>
      <c r="CU68" s="616"/>
      <c r="CV68" s="616"/>
      <c r="CW68" s="616"/>
      <c r="CX68" s="616"/>
      <c r="CY68" s="616"/>
      <c r="CZ68" s="616"/>
      <c r="DA68" s="616"/>
      <c r="DB68" s="616"/>
      <c r="DC68" s="616"/>
      <c r="DD68" s="616"/>
      <c r="DE68" s="616"/>
      <c r="DF68" s="616"/>
      <c r="DG68" s="616"/>
      <c r="DH68" s="616"/>
      <c r="DI68" s="616"/>
      <c r="DJ68" s="616"/>
      <c r="DK68" s="616"/>
      <c r="DL68" s="616"/>
      <c r="DM68" s="616"/>
      <c r="DN68" s="616"/>
      <c r="DO68" s="616"/>
      <c r="DP68" s="616"/>
      <c r="DQ68" s="617"/>
      <c r="DR68" s="229"/>
    </row>
    <row r="69" spans="1:122" ht="7.5" customHeight="1" x14ac:dyDescent="0.25">
      <c r="A69" s="591"/>
      <c r="B69" s="592"/>
      <c r="C69" s="592"/>
      <c r="D69" s="592"/>
      <c r="E69" s="593"/>
      <c r="F69" s="145"/>
      <c r="G69" s="598"/>
      <c r="H69" s="598"/>
      <c r="I69" s="598"/>
      <c r="J69" s="598"/>
      <c r="K69" s="598"/>
      <c r="L69" s="598"/>
      <c r="M69" s="598"/>
      <c r="N69" s="598"/>
      <c r="O69" s="598"/>
      <c r="P69" s="598"/>
      <c r="Q69" s="598"/>
      <c r="R69" s="598"/>
      <c r="S69" s="598"/>
      <c r="T69" s="598"/>
      <c r="U69" s="598"/>
      <c r="V69" s="598"/>
      <c r="W69" s="598"/>
      <c r="X69" s="598"/>
      <c r="Y69" s="598"/>
      <c r="Z69" s="602"/>
      <c r="AA69" s="602"/>
      <c r="AB69" s="602"/>
      <c r="AC69" s="602"/>
      <c r="AD69" s="602"/>
      <c r="AE69" s="602"/>
      <c r="AF69" s="602"/>
      <c r="AG69" s="635"/>
      <c r="AH69" s="132"/>
      <c r="AI69" s="129"/>
      <c r="AJ69" s="129"/>
      <c r="AK69" s="129"/>
      <c r="AL69" s="129"/>
      <c r="AM69" s="129"/>
      <c r="AN69" s="129"/>
      <c r="AO69" s="129"/>
      <c r="AP69" s="129"/>
      <c r="AQ69" s="129"/>
      <c r="AR69" s="129"/>
      <c r="AS69" s="129"/>
      <c r="AT69" s="129"/>
      <c r="AU69" s="129"/>
      <c r="AV69" s="129"/>
      <c r="AW69" s="145"/>
      <c r="AX69" s="619"/>
      <c r="AY69" s="619"/>
      <c r="AZ69" s="619"/>
      <c r="BA69" s="619"/>
      <c r="BB69" s="619"/>
      <c r="BC69" s="619"/>
      <c r="BD69" s="619"/>
      <c r="BE69" s="619"/>
      <c r="BF69" s="619"/>
      <c r="BG69" s="619"/>
      <c r="BH69" s="619"/>
      <c r="BI69" s="619"/>
      <c r="BJ69" s="619"/>
      <c r="BK69" s="619"/>
      <c r="BL69" s="619"/>
      <c r="BM69" s="619"/>
      <c r="BN69" s="619"/>
      <c r="BO69" s="619"/>
      <c r="BP69" s="619"/>
      <c r="BQ69" s="619"/>
      <c r="BR69" s="619"/>
      <c r="BS69" s="619"/>
      <c r="BT69" s="619"/>
      <c r="BU69" s="619"/>
      <c r="BV69" s="619"/>
      <c r="BW69" s="619"/>
      <c r="BX69" s="619"/>
      <c r="BY69" s="619"/>
      <c r="BZ69" s="619"/>
      <c r="CA69" s="619"/>
      <c r="CB69" s="619"/>
      <c r="CC69" s="619"/>
      <c r="CD69" s="619"/>
      <c r="CE69" s="619"/>
      <c r="CF69" s="619"/>
      <c r="CG69" s="619"/>
      <c r="CH69" s="619"/>
      <c r="CI69" s="619"/>
      <c r="CJ69" s="619"/>
      <c r="CK69" s="619"/>
      <c r="CL69" s="619"/>
      <c r="CM69" s="619"/>
      <c r="CN69" s="619"/>
      <c r="CO69" s="619"/>
      <c r="CP69" s="619"/>
      <c r="CQ69" s="619"/>
      <c r="CR69" s="619"/>
      <c r="CS69" s="619"/>
      <c r="CT69" s="619"/>
      <c r="CU69" s="619"/>
      <c r="CV69" s="619"/>
      <c r="CW69" s="619"/>
      <c r="CX69" s="619"/>
      <c r="CY69" s="619"/>
      <c r="CZ69" s="619"/>
      <c r="DA69" s="619"/>
      <c r="DB69" s="619"/>
      <c r="DC69" s="619"/>
      <c r="DD69" s="619"/>
      <c r="DE69" s="619"/>
      <c r="DF69" s="619"/>
      <c r="DG69" s="619"/>
      <c r="DH69" s="619"/>
      <c r="DI69" s="619"/>
      <c r="DJ69" s="619"/>
      <c r="DK69" s="619"/>
      <c r="DL69" s="619"/>
      <c r="DM69" s="619"/>
      <c r="DN69" s="619"/>
      <c r="DO69" s="619"/>
      <c r="DP69" s="619"/>
      <c r="DQ69" s="639"/>
      <c r="DR69" s="229"/>
    </row>
    <row r="70" spans="1:122" ht="7.5" customHeight="1" x14ac:dyDescent="0.25">
      <c r="A70" s="594"/>
      <c r="B70" s="595"/>
      <c r="C70" s="595"/>
      <c r="D70" s="595"/>
      <c r="E70" s="596"/>
      <c r="G70" s="599"/>
      <c r="H70" s="599"/>
      <c r="I70" s="599"/>
      <c r="J70" s="599"/>
      <c r="K70" s="599"/>
      <c r="L70" s="599"/>
      <c r="M70" s="599"/>
      <c r="N70" s="599"/>
      <c r="O70" s="599"/>
      <c r="P70" s="599"/>
      <c r="Q70" s="599"/>
      <c r="R70" s="599"/>
      <c r="S70" s="599"/>
      <c r="T70" s="599"/>
      <c r="U70" s="599"/>
      <c r="V70" s="599"/>
      <c r="W70" s="599"/>
      <c r="X70" s="599"/>
      <c r="Y70" s="599"/>
      <c r="Z70" s="602"/>
      <c r="AA70" s="602"/>
      <c r="AB70" s="602"/>
      <c r="AC70" s="602"/>
      <c r="AD70" s="602"/>
      <c r="AE70" s="602"/>
      <c r="AF70" s="602"/>
      <c r="AG70" s="636"/>
      <c r="AH70" s="132"/>
      <c r="AI70" s="129"/>
      <c r="AJ70" s="129"/>
      <c r="AK70" s="129"/>
      <c r="AL70" s="129"/>
      <c r="AM70" s="129"/>
      <c r="AN70" s="129"/>
      <c r="AO70" s="129"/>
      <c r="AP70" s="129"/>
      <c r="AQ70" s="129"/>
      <c r="AR70" s="129"/>
      <c r="AS70" s="129"/>
      <c r="AT70" s="129"/>
      <c r="AU70" s="129"/>
      <c r="AV70" s="129"/>
      <c r="AW70" s="146"/>
      <c r="AX70" s="619"/>
      <c r="AY70" s="619"/>
      <c r="AZ70" s="619"/>
      <c r="BA70" s="619"/>
      <c r="BB70" s="619"/>
      <c r="BC70" s="619"/>
      <c r="BD70" s="619"/>
      <c r="BE70" s="619"/>
      <c r="BF70" s="619"/>
      <c r="BG70" s="619"/>
      <c r="BH70" s="619"/>
      <c r="BI70" s="619"/>
      <c r="BJ70" s="619"/>
      <c r="BK70" s="619"/>
      <c r="BL70" s="619"/>
      <c r="BM70" s="619"/>
      <c r="BN70" s="619"/>
      <c r="BO70" s="619"/>
      <c r="BP70" s="619"/>
      <c r="BQ70" s="619"/>
      <c r="BR70" s="619"/>
      <c r="BS70" s="619"/>
      <c r="BT70" s="619"/>
      <c r="BU70" s="619"/>
      <c r="BV70" s="619"/>
      <c r="BW70" s="619"/>
      <c r="BX70" s="619"/>
      <c r="BY70" s="619"/>
      <c r="BZ70" s="619"/>
      <c r="CA70" s="619"/>
      <c r="CB70" s="619"/>
      <c r="CC70" s="619"/>
      <c r="CD70" s="619"/>
      <c r="CE70" s="619"/>
      <c r="CF70" s="619"/>
      <c r="CG70" s="619"/>
      <c r="CH70" s="619"/>
      <c r="CI70" s="619"/>
      <c r="CJ70" s="619"/>
      <c r="CK70" s="619"/>
      <c r="CL70" s="619"/>
      <c r="CM70" s="619"/>
      <c r="CN70" s="619"/>
      <c r="CO70" s="619"/>
      <c r="CP70" s="619"/>
      <c r="CQ70" s="619"/>
      <c r="CR70" s="619"/>
      <c r="CS70" s="619"/>
      <c r="CT70" s="619"/>
      <c r="CU70" s="619"/>
      <c r="CV70" s="619"/>
      <c r="CW70" s="619"/>
      <c r="CX70" s="619"/>
      <c r="CY70" s="619"/>
      <c r="CZ70" s="619"/>
      <c r="DA70" s="619"/>
      <c r="DB70" s="619"/>
      <c r="DC70" s="619"/>
      <c r="DD70" s="619"/>
      <c r="DE70" s="619"/>
      <c r="DF70" s="619"/>
      <c r="DG70" s="619"/>
      <c r="DH70" s="619"/>
      <c r="DI70" s="619"/>
      <c r="DJ70" s="619"/>
      <c r="DK70" s="619"/>
      <c r="DL70" s="619"/>
      <c r="DM70" s="619"/>
      <c r="DN70" s="619"/>
      <c r="DO70" s="619"/>
      <c r="DP70" s="619"/>
      <c r="DQ70" s="640"/>
      <c r="DR70" s="229"/>
    </row>
    <row r="71" spans="1:122" ht="7.5" customHeight="1" x14ac:dyDescent="0.25">
      <c r="A71" s="119"/>
      <c r="B71" s="119"/>
      <c r="C71" s="119"/>
      <c r="D71" s="119"/>
      <c r="E71" s="119"/>
      <c r="F71" s="653" t="str">
        <f>G68</f>
        <v>Hand-to-Hand Combat</v>
      </c>
      <c r="G71" s="653"/>
      <c r="H71" s="653"/>
      <c r="I71" s="653"/>
      <c r="J71" s="653"/>
      <c r="K71" s="625" t="e">
        <f ca="1">(FLOOR(INDIRECT(SUBSTITUTE(SUBSTITUTE(G68,"-","")," ",""))/5,1)*(FLOOR(INDIRECT(SUBSTITUTE(SUBSTITUTE(G68,"-","")," ",""))/5,1)+1)/2)*50+MOD(INDIRECT(SUBSTITUTE(SUBSTITUTE(G68,"-","")," ","")),5)*CEILING(INDIRECT(SUBSTITUTE(SUBSTITUTE(G68,"-","")," ",""))/5,1)*10-((FLOOR(INDIRECT("Base"&amp;SUBSTITUTE(SUBSTITUTE(G68,"-","")," ",""))/5,1)*(FLOOR(INDIRECT("Base"&amp;SUBSTITUTE(SUBSTITUTE(G68,"-","")," ",""))/5,1)+1)/2)*50+MOD(INDIRECT("Base"&amp;SUBSTITUTE(SUBSTITUTE(G68,"-","")," ","")),5)*CEILING(INDIRECT("Base"&amp;SUBSTITUTE(SUBSTITUTE(G68,"-","")," ",""))/5,1)*10)</f>
        <v>#REF!</v>
      </c>
      <c r="L71" s="625"/>
      <c r="M71" s="625"/>
      <c r="N71" s="626" t="b">
        <f>IF(AH64&lt;&gt;"",VLOOKUP($G68,'Merit Data'!A:BW,MATCH('Merit Data'!$B$3,'Merit Data'!$3:$3,0),0),TRUE)</f>
        <v>1</v>
      </c>
      <c r="O71" s="626"/>
      <c r="P71" s="626"/>
      <c r="Q71" s="140"/>
      <c r="R71" s="140"/>
      <c r="S71" s="140"/>
      <c r="T71" s="140"/>
      <c r="U71" s="140"/>
      <c r="V71" s="238"/>
      <c r="W71" s="238"/>
      <c r="X71" s="627" t="str">
        <f>IF(F71&gt;0,HYPERLINK("http://wiki.project-saros.com/w/"&amp;F71,"Info"),"")</f>
        <v>Info</v>
      </c>
      <c r="Y71" s="628"/>
      <c r="Z71" s="637"/>
      <c r="AA71" s="637"/>
      <c r="AB71" s="637"/>
      <c r="AC71" s="637"/>
      <c r="AD71" s="637"/>
      <c r="AE71" s="637"/>
      <c r="AF71" s="637"/>
      <c r="AG71" s="638"/>
      <c r="AH71" s="148"/>
      <c r="AI71" s="131"/>
      <c r="AJ71" s="131"/>
      <c r="AK71" s="149"/>
      <c r="AL71" s="149"/>
      <c r="AM71" s="149"/>
      <c r="AN71" s="149"/>
      <c r="AO71" s="149"/>
      <c r="AP71" s="149"/>
      <c r="AQ71" s="149"/>
      <c r="AR71" s="149"/>
      <c r="AS71" s="131"/>
      <c r="AT71" s="131"/>
      <c r="AU71" s="131"/>
      <c r="AV71" s="131"/>
      <c r="AW71" s="150"/>
      <c r="AX71" s="641"/>
      <c r="AY71" s="641"/>
      <c r="AZ71" s="641"/>
      <c r="BA71" s="641"/>
      <c r="BB71" s="641"/>
      <c r="BC71" s="641"/>
      <c r="BD71" s="641"/>
      <c r="BE71" s="641"/>
      <c r="BF71" s="641"/>
      <c r="BG71" s="641"/>
      <c r="BH71" s="641"/>
      <c r="BI71" s="641"/>
      <c r="BJ71" s="641"/>
      <c r="BK71" s="641"/>
      <c r="BL71" s="641"/>
      <c r="BM71" s="641"/>
      <c r="BN71" s="641"/>
      <c r="BO71" s="641"/>
      <c r="BP71" s="641"/>
      <c r="BQ71" s="641"/>
      <c r="BR71" s="641"/>
      <c r="BS71" s="641"/>
      <c r="BT71" s="641"/>
      <c r="BU71" s="641"/>
      <c r="BV71" s="641"/>
      <c r="BW71" s="641"/>
      <c r="BX71" s="641"/>
      <c r="BY71" s="641"/>
      <c r="BZ71" s="641"/>
      <c r="CA71" s="641"/>
      <c r="CB71" s="641"/>
      <c r="CC71" s="641"/>
      <c r="CD71" s="641"/>
      <c r="CE71" s="641"/>
      <c r="CF71" s="641"/>
      <c r="CG71" s="641"/>
      <c r="CH71" s="641"/>
      <c r="CI71" s="641"/>
      <c r="CJ71" s="641"/>
      <c r="CK71" s="641"/>
      <c r="CL71" s="641"/>
      <c r="CM71" s="641"/>
      <c r="CN71" s="641"/>
      <c r="CO71" s="641"/>
      <c r="CP71" s="641"/>
      <c r="CQ71" s="641"/>
      <c r="CR71" s="641"/>
      <c r="CS71" s="641"/>
      <c r="CT71" s="641"/>
      <c r="CU71" s="641"/>
      <c r="CV71" s="641"/>
      <c r="CW71" s="641"/>
      <c r="CX71" s="641"/>
      <c r="CY71" s="641"/>
      <c r="CZ71" s="641"/>
      <c r="DA71" s="641"/>
      <c r="DB71" s="641"/>
      <c r="DC71" s="641"/>
      <c r="DD71" s="641"/>
      <c r="DE71" s="641"/>
      <c r="DF71" s="641"/>
      <c r="DG71" s="641"/>
      <c r="DH71" s="641"/>
      <c r="DI71" s="641"/>
      <c r="DJ71" s="641"/>
      <c r="DK71" s="641"/>
      <c r="DL71" s="641"/>
      <c r="DM71" s="641"/>
      <c r="DN71" s="641"/>
      <c r="DO71" s="641"/>
      <c r="DP71" s="641"/>
      <c r="DQ71" s="642"/>
      <c r="DR71" s="229"/>
    </row>
    <row r="72" spans="1:122" ht="7.5" customHeight="1" x14ac:dyDescent="0.25">
      <c r="A72" s="588">
        <v>0</v>
      </c>
      <c r="B72" s="589"/>
      <c r="C72" s="589"/>
      <c r="D72" s="589"/>
      <c r="E72" s="590"/>
      <c r="G72" s="597" t="s">
        <v>156</v>
      </c>
      <c r="H72" s="597"/>
      <c r="I72" s="597"/>
      <c r="J72" s="597"/>
      <c r="K72" s="597"/>
      <c r="L72" s="597"/>
      <c r="M72" s="597"/>
      <c r="N72" s="597"/>
      <c r="O72" s="597"/>
      <c r="P72" s="597"/>
      <c r="Q72" s="597"/>
      <c r="R72" s="597"/>
      <c r="S72" s="597"/>
      <c r="T72" s="597"/>
      <c r="U72" s="597"/>
      <c r="V72" s="597"/>
      <c r="W72" s="597"/>
      <c r="X72" s="597"/>
      <c r="Y72" s="597"/>
      <c r="Z72" s="600" t="e">
        <f>FLOOR(HeavyArmor/5+1,1)*10</f>
        <v>#REF!</v>
      </c>
      <c r="AA72" s="600"/>
      <c r="AB72" s="600"/>
      <c r="AC72" s="600"/>
      <c r="AD72" s="600"/>
      <c r="AE72" s="600"/>
      <c r="AF72" s="600"/>
      <c r="AG72" s="601"/>
      <c r="AH72" s="142"/>
      <c r="AI72" s="143"/>
      <c r="AJ72" s="143"/>
      <c r="AK72" s="143"/>
      <c r="AL72" s="143"/>
      <c r="AM72" s="143"/>
      <c r="AN72" s="143"/>
      <c r="AO72" s="143"/>
      <c r="AP72" s="143"/>
      <c r="AQ72" s="143"/>
      <c r="AR72" s="143"/>
      <c r="AS72" s="143"/>
      <c r="AT72" s="143"/>
      <c r="AU72" s="143"/>
      <c r="AV72" s="143"/>
      <c r="AW72" s="144"/>
      <c r="AX72" s="616" t="e">
        <f ca="1">"Further increases your "&amp;G72&amp;" skill from "&amp;INDIRECT(SUBSTITUTE(G72," ",""))&amp;" to "&amp;INDIRECT(SUBSTITUTE(G72," ",""))+1</f>
        <v>#REF!</v>
      </c>
      <c r="AY72" s="616"/>
      <c r="AZ72" s="616"/>
      <c r="BA72" s="616"/>
      <c r="BB72" s="616"/>
      <c r="BC72" s="616"/>
      <c r="BD72" s="616"/>
      <c r="BE72" s="616"/>
      <c r="BF72" s="616"/>
      <c r="BG72" s="616"/>
      <c r="BH72" s="616"/>
      <c r="BI72" s="616"/>
      <c r="BJ72" s="616"/>
      <c r="BK72" s="616"/>
      <c r="BL72" s="616"/>
      <c r="BM72" s="616"/>
      <c r="BN72" s="616"/>
      <c r="BO72" s="616"/>
      <c r="BP72" s="616"/>
      <c r="BQ72" s="616"/>
      <c r="BR72" s="616"/>
      <c r="BS72" s="616"/>
      <c r="BT72" s="616"/>
      <c r="BU72" s="616"/>
      <c r="BV72" s="616"/>
      <c r="BW72" s="616"/>
      <c r="BX72" s="616"/>
      <c r="BY72" s="616"/>
      <c r="BZ72" s="616"/>
      <c r="CA72" s="616"/>
      <c r="CB72" s="616"/>
      <c r="CC72" s="616"/>
      <c r="CD72" s="616"/>
      <c r="CE72" s="616"/>
      <c r="CF72" s="616"/>
      <c r="CG72" s="616"/>
      <c r="CH72" s="616"/>
      <c r="CI72" s="616"/>
      <c r="CJ72" s="616"/>
      <c r="CK72" s="616"/>
      <c r="CL72" s="616"/>
      <c r="CM72" s="616"/>
      <c r="CN72" s="616"/>
      <c r="CO72" s="616"/>
      <c r="CP72" s="616"/>
      <c r="CQ72" s="616"/>
      <c r="CR72" s="616"/>
      <c r="CS72" s="616"/>
      <c r="CT72" s="616"/>
      <c r="CU72" s="616"/>
      <c r="CV72" s="616"/>
      <c r="CW72" s="616"/>
      <c r="CX72" s="616"/>
      <c r="CY72" s="616"/>
      <c r="CZ72" s="616"/>
      <c r="DA72" s="616"/>
      <c r="DB72" s="616"/>
      <c r="DC72" s="616"/>
      <c r="DD72" s="616"/>
      <c r="DE72" s="616"/>
      <c r="DF72" s="616"/>
      <c r="DG72" s="616"/>
      <c r="DH72" s="616"/>
      <c r="DI72" s="616"/>
      <c r="DJ72" s="616"/>
      <c r="DK72" s="616"/>
      <c r="DL72" s="616"/>
      <c r="DM72" s="616"/>
      <c r="DN72" s="616"/>
      <c r="DO72" s="616"/>
      <c r="DP72" s="616"/>
      <c r="DQ72" s="617"/>
      <c r="DR72" s="229"/>
    </row>
    <row r="73" spans="1:122" ht="7.5" customHeight="1" x14ac:dyDescent="0.25">
      <c r="A73" s="591"/>
      <c r="B73" s="592"/>
      <c r="C73" s="592"/>
      <c r="D73" s="592"/>
      <c r="E73" s="593"/>
      <c r="F73" s="145"/>
      <c r="G73" s="598"/>
      <c r="H73" s="598"/>
      <c r="I73" s="598"/>
      <c r="J73" s="598"/>
      <c r="K73" s="598"/>
      <c r="L73" s="598"/>
      <c r="M73" s="598"/>
      <c r="N73" s="598"/>
      <c r="O73" s="598"/>
      <c r="P73" s="598"/>
      <c r="Q73" s="598"/>
      <c r="R73" s="598"/>
      <c r="S73" s="598"/>
      <c r="T73" s="598"/>
      <c r="U73" s="598"/>
      <c r="V73" s="598"/>
      <c r="W73" s="598"/>
      <c r="X73" s="598"/>
      <c r="Y73" s="598"/>
      <c r="Z73" s="602"/>
      <c r="AA73" s="602"/>
      <c r="AB73" s="602"/>
      <c r="AC73" s="602"/>
      <c r="AD73" s="602"/>
      <c r="AE73" s="602"/>
      <c r="AF73" s="602"/>
      <c r="AG73" s="635"/>
      <c r="AH73" s="132"/>
      <c r="AI73" s="129"/>
      <c r="AJ73" s="129"/>
      <c r="AK73" s="129"/>
      <c r="AL73" s="129"/>
      <c r="AM73" s="129"/>
      <c r="AN73" s="129"/>
      <c r="AO73" s="129"/>
      <c r="AP73" s="129"/>
      <c r="AQ73" s="129"/>
      <c r="AR73" s="129"/>
      <c r="AS73" s="129"/>
      <c r="AT73" s="129"/>
      <c r="AU73" s="129"/>
      <c r="AV73" s="129"/>
      <c r="AW73" s="145"/>
      <c r="AX73" s="619"/>
      <c r="AY73" s="619"/>
      <c r="AZ73" s="619"/>
      <c r="BA73" s="619"/>
      <c r="BB73" s="619"/>
      <c r="BC73" s="619"/>
      <c r="BD73" s="619"/>
      <c r="BE73" s="619"/>
      <c r="BF73" s="619"/>
      <c r="BG73" s="619"/>
      <c r="BH73" s="619"/>
      <c r="BI73" s="619"/>
      <c r="BJ73" s="619"/>
      <c r="BK73" s="619"/>
      <c r="BL73" s="619"/>
      <c r="BM73" s="619"/>
      <c r="BN73" s="619"/>
      <c r="BO73" s="619"/>
      <c r="BP73" s="619"/>
      <c r="BQ73" s="619"/>
      <c r="BR73" s="619"/>
      <c r="BS73" s="619"/>
      <c r="BT73" s="619"/>
      <c r="BU73" s="619"/>
      <c r="BV73" s="619"/>
      <c r="BW73" s="619"/>
      <c r="BX73" s="619"/>
      <c r="BY73" s="619"/>
      <c r="BZ73" s="619"/>
      <c r="CA73" s="619"/>
      <c r="CB73" s="619"/>
      <c r="CC73" s="619"/>
      <c r="CD73" s="619"/>
      <c r="CE73" s="619"/>
      <c r="CF73" s="619"/>
      <c r="CG73" s="619"/>
      <c r="CH73" s="619"/>
      <c r="CI73" s="619"/>
      <c r="CJ73" s="619"/>
      <c r="CK73" s="619"/>
      <c r="CL73" s="619"/>
      <c r="CM73" s="619"/>
      <c r="CN73" s="619"/>
      <c r="CO73" s="619"/>
      <c r="CP73" s="619"/>
      <c r="CQ73" s="619"/>
      <c r="CR73" s="619"/>
      <c r="CS73" s="619"/>
      <c r="CT73" s="619"/>
      <c r="CU73" s="619"/>
      <c r="CV73" s="619"/>
      <c r="CW73" s="619"/>
      <c r="CX73" s="619"/>
      <c r="CY73" s="619"/>
      <c r="CZ73" s="619"/>
      <c r="DA73" s="619"/>
      <c r="DB73" s="619"/>
      <c r="DC73" s="619"/>
      <c r="DD73" s="619"/>
      <c r="DE73" s="619"/>
      <c r="DF73" s="619"/>
      <c r="DG73" s="619"/>
      <c r="DH73" s="619"/>
      <c r="DI73" s="619"/>
      <c r="DJ73" s="619"/>
      <c r="DK73" s="619"/>
      <c r="DL73" s="619"/>
      <c r="DM73" s="619"/>
      <c r="DN73" s="619"/>
      <c r="DO73" s="619"/>
      <c r="DP73" s="619"/>
      <c r="DQ73" s="639"/>
      <c r="DR73" s="229"/>
    </row>
    <row r="74" spans="1:122" ht="7.5" customHeight="1" x14ac:dyDescent="0.25">
      <c r="A74" s="594"/>
      <c r="B74" s="595"/>
      <c r="C74" s="595"/>
      <c r="D74" s="595"/>
      <c r="E74" s="596"/>
      <c r="G74" s="599"/>
      <c r="H74" s="599"/>
      <c r="I74" s="599"/>
      <c r="J74" s="599"/>
      <c r="K74" s="599"/>
      <c r="L74" s="599"/>
      <c r="M74" s="599"/>
      <c r="N74" s="599"/>
      <c r="O74" s="599"/>
      <c r="P74" s="599"/>
      <c r="Q74" s="599"/>
      <c r="R74" s="599"/>
      <c r="S74" s="599"/>
      <c r="T74" s="599"/>
      <c r="U74" s="599"/>
      <c r="V74" s="599"/>
      <c r="W74" s="599"/>
      <c r="X74" s="599"/>
      <c r="Y74" s="599"/>
      <c r="Z74" s="602"/>
      <c r="AA74" s="602"/>
      <c r="AB74" s="602"/>
      <c r="AC74" s="602"/>
      <c r="AD74" s="602"/>
      <c r="AE74" s="602"/>
      <c r="AF74" s="602"/>
      <c r="AG74" s="636"/>
      <c r="AH74" s="132"/>
      <c r="AI74" s="129"/>
      <c r="AJ74" s="129"/>
      <c r="AK74" s="129"/>
      <c r="AL74" s="129"/>
      <c r="AM74" s="129"/>
      <c r="AN74" s="129"/>
      <c r="AO74" s="129"/>
      <c r="AP74" s="129"/>
      <c r="AQ74" s="129"/>
      <c r="AR74" s="129"/>
      <c r="AS74" s="129"/>
      <c r="AT74" s="129"/>
      <c r="AU74" s="129"/>
      <c r="AV74" s="129"/>
      <c r="AW74" s="146"/>
      <c r="AX74" s="619"/>
      <c r="AY74" s="619"/>
      <c r="AZ74" s="619"/>
      <c r="BA74" s="619"/>
      <c r="BB74" s="619"/>
      <c r="BC74" s="619"/>
      <c r="BD74" s="619"/>
      <c r="BE74" s="619"/>
      <c r="BF74" s="619"/>
      <c r="BG74" s="619"/>
      <c r="BH74" s="619"/>
      <c r="BI74" s="619"/>
      <c r="BJ74" s="619"/>
      <c r="BK74" s="619"/>
      <c r="BL74" s="619"/>
      <c r="BM74" s="619"/>
      <c r="BN74" s="619"/>
      <c r="BO74" s="619"/>
      <c r="BP74" s="619"/>
      <c r="BQ74" s="619"/>
      <c r="BR74" s="619"/>
      <c r="BS74" s="619"/>
      <c r="BT74" s="619"/>
      <c r="BU74" s="619"/>
      <c r="BV74" s="619"/>
      <c r="BW74" s="619"/>
      <c r="BX74" s="619"/>
      <c r="BY74" s="619"/>
      <c r="BZ74" s="619"/>
      <c r="CA74" s="619"/>
      <c r="CB74" s="619"/>
      <c r="CC74" s="619"/>
      <c r="CD74" s="619"/>
      <c r="CE74" s="619"/>
      <c r="CF74" s="619"/>
      <c r="CG74" s="619"/>
      <c r="CH74" s="619"/>
      <c r="CI74" s="619"/>
      <c r="CJ74" s="619"/>
      <c r="CK74" s="619"/>
      <c r="CL74" s="619"/>
      <c r="CM74" s="619"/>
      <c r="CN74" s="619"/>
      <c r="CO74" s="619"/>
      <c r="CP74" s="619"/>
      <c r="CQ74" s="619"/>
      <c r="CR74" s="619"/>
      <c r="CS74" s="619"/>
      <c r="CT74" s="619"/>
      <c r="CU74" s="619"/>
      <c r="CV74" s="619"/>
      <c r="CW74" s="619"/>
      <c r="CX74" s="619"/>
      <c r="CY74" s="619"/>
      <c r="CZ74" s="619"/>
      <c r="DA74" s="619"/>
      <c r="DB74" s="619"/>
      <c r="DC74" s="619"/>
      <c r="DD74" s="619"/>
      <c r="DE74" s="619"/>
      <c r="DF74" s="619"/>
      <c r="DG74" s="619"/>
      <c r="DH74" s="619"/>
      <c r="DI74" s="619"/>
      <c r="DJ74" s="619"/>
      <c r="DK74" s="619"/>
      <c r="DL74" s="619"/>
      <c r="DM74" s="619"/>
      <c r="DN74" s="619"/>
      <c r="DO74" s="619"/>
      <c r="DP74" s="619"/>
      <c r="DQ74" s="640"/>
      <c r="DR74" s="229"/>
    </row>
    <row r="75" spans="1:122" ht="7.5" customHeight="1" x14ac:dyDescent="0.25">
      <c r="A75" s="119"/>
      <c r="B75" s="119"/>
      <c r="C75" s="119"/>
      <c r="D75" s="119"/>
      <c r="E75" s="119"/>
      <c r="F75" s="653" t="str">
        <f>G72</f>
        <v>Heavy Armor</v>
      </c>
      <c r="G75" s="653"/>
      <c r="H75" s="653"/>
      <c r="I75" s="653"/>
      <c r="J75" s="653"/>
      <c r="K75" s="625" t="e">
        <f ca="1">(FLOOR(INDIRECT(SUBSTITUTE(SUBSTITUTE(G72,"-","")," ",""))/5,1)*(FLOOR(INDIRECT(SUBSTITUTE(SUBSTITUTE(G72,"-","")," ",""))/5,1)+1)/2)*50+MOD(INDIRECT(SUBSTITUTE(SUBSTITUTE(G72,"-","")," ","")),5)*CEILING(INDIRECT(SUBSTITUTE(SUBSTITUTE(G72,"-","")," ",""))/5,1)*10-((FLOOR(INDIRECT("Base"&amp;SUBSTITUTE(SUBSTITUTE(G72,"-","")," ",""))/5,1)*(FLOOR(INDIRECT("Base"&amp;SUBSTITUTE(SUBSTITUTE(G72,"-","")," ",""))/5,1)+1)/2)*50+MOD(INDIRECT("Base"&amp;SUBSTITUTE(SUBSTITUTE(G72,"-","")," ","")),5)*CEILING(INDIRECT("Base"&amp;SUBSTITUTE(SUBSTITUTE(G72,"-","")," ",""))/5,1)*10)</f>
        <v>#REF!</v>
      </c>
      <c r="L75" s="625"/>
      <c r="M75" s="625"/>
      <c r="N75" s="626" t="b">
        <f>IF(AH68&lt;&gt;"",VLOOKUP($G72,'Merit Data'!A:BW,MATCH('Merit Data'!$B$3,'Merit Data'!$3:$3,0),0),TRUE)</f>
        <v>1</v>
      </c>
      <c r="O75" s="626"/>
      <c r="P75" s="626"/>
      <c r="Q75" s="140"/>
      <c r="R75" s="140"/>
      <c r="S75" s="140"/>
      <c r="T75" s="140"/>
      <c r="U75" s="140"/>
      <c r="V75" s="238"/>
      <c r="W75" s="238"/>
      <c r="X75" s="627" t="str">
        <f>IF(F75&gt;0,HYPERLINK("http://wiki.project-saros.com/w/"&amp;F75,"Info"),"")</f>
        <v>Info</v>
      </c>
      <c r="Y75" s="628"/>
      <c r="Z75" s="637"/>
      <c r="AA75" s="637"/>
      <c r="AB75" s="637"/>
      <c r="AC75" s="637"/>
      <c r="AD75" s="637"/>
      <c r="AE75" s="637"/>
      <c r="AF75" s="637"/>
      <c r="AG75" s="638"/>
      <c r="AH75" s="148"/>
      <c r="AI75" s="131"/>
      <c r="AJ75" s="131"/>
      <c r="AK75" s="149"/>
      <c r="AL75" s="149"/>
      <c r="AM75" s="149"/>
      <c r="AN75" s="149"/>
      <c r="AO75" s="149"/>
      <c r="AP75" s="149"/>
      <c r="AQ75" s="149"/>
      <c r="AR75" s="149"/>
      <c r="AS75" s="131"/>
      <c r="AT75" s="131"/>
      <c r="AU75" s="131"/>
      <c r="AV75" s="131"/>
      <c r="AW75" s="150"/>
      <c r="AX75" s="641"/>
      <c r="AY75" s="641"/>
      <c r="AZ75" s="641"/>
      <c r="BA75" s="641"/>
      <c r="BB75" s="641"/>
      <c r="BC75" s="641"/>
      <c r="BD75" s="641"/>
      <c r="BE75" s="641"/>
      <c r="BF75" s="641"/>
      <c r="BG75" s="641"/>
      <c r="BH75" s="641"/>
      <c r="BI75" s="641"/>
      <c r="BJ75" s="641"/>
      <c r="BK75" s="641"/>
      <c r="BL75" s="641"/>
      <c r="BM75" s="641"/>
      <c r="BN75" s="641"/>
      <c r="BO75" s="641"/>
      <c r="BP75" s="641"/>
      <c r="BQ75" s="641"/>
      <c r="BR75" s="641"/>
      <c r="BS75" s="641"/>
      <c r="BT75" s="641"/>
      <c r="BU75" s="641"/>
      <c r="BV75" s="641"/>
      <c r="BW75" s="641"/>
      <c r="BX75" s="641"/>
      <c r="BY75" s="641"/>
      <c r="BZ75" s="641"/>
      <c r="CA75" s="641"/>
      <c r="CB75" s="641"/>
      <c r="CC75" s="641"/>
      <c r="CD75" s="641"/>
      <c r="CE75" s="641"/>
      <c r="CF75" s="641"/>
      <c r="CG75" s="641"/>
      <c r="CH75" s="641"/>
      <c r="CI75" s="641"/>
      <c r="CJ75" s="641"/>
      <c r="CK75" s="641"/>
      <c r="CL75" s="641"/>
      <c r="CM75" s="641"/>
      <c r="CN75" s="641"/>
      <c r="CO75" s="641"/>
      <c r="CP75" s="641"/>
      <c r="CQ75" s="641"/>
      <c r="CR75" s="641"/>
      <c r="CS75" s="641"/>
      <c r="CT75" s="641"/>
      <c r="CU75" s="641"/>
      <c r="CV75" s="641"/>
      <c r="CW75" s="641"/>
      <c r="CX75" s="641"/>
      <c r="CY75" s="641"/>
      <c r="CZ75" s="641"/>
      <c r="DA75" s="641"/>
      <c r="DB75" s="641"/>
      <c r="DC75" s="641"/>
      <c r="DD75" s="641"/>
      <c r="DE75" s="641"/>
      <c r="DF75" s="641"/>
      <c r="DG75" s="641"/>
      <c r="DH75" s="641"/>
      <c r="DI75" s="641"/>
      <c r="DJ75" s="641"/>
      <c r="DK75" s="641"/>
      <c r="DL75" s="641"/>
      <c r="DM75" s="641"/>
      <c r="DN75" s="641"/>
      <c r="DO75" s="641"/>
      <c r="DP75" s="641"/>
      <c r="DQ75" s="642"/>
      <c r="DR75" s="229"/>
    </row>
    <row r="76" spans="1:122" ht="7.5" customHeight="1" x14ac:dyDescent="0.25">
      <c r="A76" s="588">
        <v>0</v>
      </c>
      <c r="B76" s="589"/>
      <c r="C76" s="589"/>
      <c r="D76" s="589"/>
      <c r="E76" s="590"/>
      <c r="G76" s="597" t="s">
        <v>157</v>
      </c>
      <c r="H76" s="597"/>
      <c r="I76" s="597"/>
      <c r="J76" s="597"/>
      <c r="K76" s="597"/>
      <c r="L76" s="597"/>
      <c r="M76" s="597"/>
      <c r="N76" s="597"/>
      <c r="O76" s="597"/>
      <c r="P76" s="597"/>
      <c r="Q76" s="597"/>
      <c r="R76" s="597"/>
      <c r="S76" s="597"/>
      <c r="T76" s="597"/>
      <c r="U76" s="597"/>
      <c r="V76" s="597"/>
      <c r="W76" s="597"/>
      <c r="X76" s="597"/>
      <c r="Y76" s="597"/>
      <c r="Z76" s="600" t="e">
        <f>FLOOR(ImprovisedWeaponry/5+1,1)*10</f>
        <v>#NAME?</v>
      </c>
      <c r="AA76" s="600"/>
      <c r="AB76" s="600"/>
      <c r="AC76" s="600"/>
      <c r="AD76" s="600"/>
      <c r="AE76" s="600"/>
      <c r="AF76" s="600"/>
      <c r="AG76" s="601"/>
      <c r="AH76" s="142"/>
      <c r="AI76" s="143"/>
      <c r="AJ76" s="143"/>
      <c r="AK76" s="143"/>
      <c r="AL76" s="143"/>
      <c r="AM76" s="143"/>
      <c r="AN76" s="143"/>
      <c r="AO76" s="143"/>
      <c r="AP76" s="143"/>
      <c r="AQ76" s="143"/>
      <c r="AR76" s="143"/>
      <c r="AS76" s="143"/>
      <c r="AT76" s="143"/>
      <c r="AU76" s="143"/>
      <c r="AV76" s="143"/>
      <c r="AW76" s="144"/>
      <c r="AX76" s="616" t="e">
        <f>"Further increases your "&amp;G76&amp;" skill from "&amp;ImprovisedWeaponry&amp;" to "&amp;ImprovisedWeaponry+1</f>
        <v>#NAME?</v>
      </c>
      <c r="AY76" s="616"/>
      <c r="AZ76" s="616"/>
      <c r="BA76" s="616"/>
      <c r="BB76" s="616"/>
      <c r="BC76" s="616"/>
      <c r="BD76" s="616"/>
      <c r="BE76" s="616"/>
      <c r="BF76" s="616"/>
      <c r="BG76" s="616"/>
      <c r="BH76" s="616"/>
      <c r="BI76" s="616"/>
      <c r="BJ76" s="616"/>
      <c r="BK76" s="616"/>
      <c r="BL76" s="616"/>
      <c r="BM76" s="616"/>
      <c r="BN76" s="616"/>
      <c r="BO76" s="616"/>
      <c r="BP76" s="616"/>
      <c r="BQ76" s="616"/>
      <c r="BR76" s="616"/>
      <c r="BS76" s="616"/>
      <c r="BT76" s="616"/>
      <c r="BU76" s="616"/>
      <c r="BV76" s="616"/>
      <c r="BW76" s="616"/>
      <c r="BX76" s="616"/>
      <c r="BY76" s="616"/>
      <c r="BZ76" s="616"/>
      <c r="CA76" s="616"/>
      <c r="CB76" s="616"/>
      <c r="CC76" s="616"/>
      <c r="CD76" s="616"/>
      <c r="CE76" s="616"/>
      <c r="CF76" s="616"/>
      <c r="CG76" s="616"/>
      <c r="CH76" s="616"/>
      <c r="CI76" s="616"/>
      <c r="CJ76" s="616"/>
      <c r="CK76" s="616"/>
      <c r="CL76" s="616"/>
      <c r="CM76" s="616"/>
      <c r="CN76" s="616"/>
      <c r="CO76" s="616"/>
      <c r="CP76" s="616"/>
      <c r="CQ76" s="616"/>
      <c r="CR76" s="616"/>
      <c r="CS76" s="616"/>
      <c r="CT76" s="616"/>
      <c r="CU76" s="616"/>
      <c r="CV76" s="616"/>
      <c r="CW76" s="616"/>
      <c r="CX76" s="616"/>
      <c r="CY76" s="616"/>
      <c r="CZ76" s="616"/>
      <c r="DA76" s="616"/>
      <c r="DB76" s="616"/>
      <c r="DC76" s="616"/>
      <c r="DD76" s="616"/>
      <c r="DE76" s="616"/>
      <c r="DF76" s="616"/>
      <c r="DG76" s="616"/>
      <c r="DH76" s="616"/>
      <c r="DI76" s="616"/>
      <c r="DJ76" s="616"/>
      <c r="DK76" s="616"/>
      <c r="DL76" s="616"/>
      <c r="DM76" s="616"/>
      <c r="DN76" s="616"/>
      <c r="DO76" s="616"/>
      <c r="DP76" s="616"/>
      <c r="DQ76" s="617"/>
      <c r="DR76" s="229"/>
    </row>
    <row r="77" spans="1:122" ht="7.5" customHeight="1" x14ac:dyDescent="0.25">
      <c r="A77" s="591"/>
      <c r="B77" s="592"/>
      <c r="C77" s="592"/>
      <c r="D77" s="592"/>
      <c r="E77" s="593"/>
      <c r="F77" s="145"/>
      <c r="G77" s="598"/>
      <c r="H77" s="598"/>
      <c r="I77" s="598"/>
      <c r="J77" s="598"/>
      <c r="K77" s="598"/>
      <c r="L77" s="598"/>
      <c r="M77" s="598"/>
      <c r="N77" s="598"/>
      <c r="O77" s="598"/>
      <c r="P77" s="598"/>
      <c r="Q77" s="598"/>
      <c r="R77" s="598"/>
      <c r="S77" s="598"/>
      <c r="T77" s="598"/>
      <c r="U77" s="598"/>
      <c r="V77" s="598"/>
      <c r="W77" s="598"/>
      <c r="X77" s="598"/>
      <c r="Y77" s="598"/>
      <c r="Z77" s="602"/>
      <c r="AA77" s="602"/>
      <c r="AB77" s="602"/>
      <c r="AC77" s="602"/>
      <c r="AD77" s="602"/>
      <c r="AE77" s="602"/>
      <c r="AF77" s="602"/>
      <c r="AG77" s="635"/>
      <c r="AH77" s="132"/>
      <c r="AI77" s="129"/>
      <c r="AJ77" s="129"/>
      <c r="AK77" s="129"/>
      <c r="AL77" s="129"/>
      <c r="AM77" s="129"/>
      <c r="AN77" s="129"/>
      <c r="AO77" s="129"/>
      <c r="AP77" s="129"/>
      <c r="AQ77" s="129"/>
      <c r="AR77" s="129"/>
      <c r="AS77" s="129"/>
      <c r="AT77" s="129"/>
      <c r="AU77" s="129"/>
      <c r="AV77" s="129"/>
      <c r="AW77" s="145"/>
      <c r="AX77" s="619"/>
      <c r="AY77" s="619"/>
      <c r="AZ77" s="619"/>
      <c r="BA77" s="619"/>
      <c r="BB77" s="619"/>
      <c r="BC77" s="619"/>
      <c r="BD77" s="619"/>
      <c r="BE77" s="619"/>
      <c r="BF77" s="619"/>
      <c r="BG77" s="619"/>
      <c r="BH77" s="619"/>
      <c r="BI77" s="619"/>
      <c r="BJ77" s="619"/>
      <c r="BK77" s="619"/>
      <c r="BL77" s="619"/>
      <c r="BM77" s="619"/>
      <c r="BN77" s="619"/>
      <c r="BO77" s="619"/>
      <c r="BP77" s="619"/>
      <c r="BQ77" s="619"/>
      <c r="BR77" s="619"/>
      <c r="BS77" s="619"/>
      <c r="BT77" s="619"/>
      <c r="BU77" s="619"/>
      <c r="BV77" s="619"/>
      <c r="BW77" s="619"/>
      <c r="BX77" s="619"/>
      <c r="BY77" s="619"/>
      <c r="BZ77" s="619"/>
      <c r="CA77" s="619"/>
      <c r="CB77" s="619"/>
      <c r="CC77" s="619"/>
      <c r="CD77" s="619"/>
      <c r="CE77" s="619"/>
      <c r="CF77" s="619"/>
      <c r="CG77" s="619"/>
      <c r="CH77" s="619"/>
      <c r="CI77" s="619"/>
      <c r="CJ77" s="619"/>
      <c r="CK77" s="619"/>
      <c r="CL77" s="619"/>
      <c r="CM77" s="619"/>
      <c r="CN77" s="619"/>
      <c r="CO77" s="619"/>
      <c r="CP77" s="619"/>
      <c r="CQ77" s="619"/>
      <c r="CR77" s="619"/>
      <c r="CS77" s="619"/>
      <c r="CT77" s="619"/>
      <c r="CU77" s="619"/>
      <c r="CV77" s="619"/>
      <c r="CW77" s="619"/>
      <c r="CX77" s="619"/>
      <c r="CY77" s="619"/>
      <c r="CZ77" s="619"/>
      <c r="DA77" s="619"/>
      <c r="DB77" s="619"/>
      <c r="DC77" s="619"/>
      <c r="DD77" s="619"/>
      <c r="DE77" s="619"/>
      <c r="DF77" s="619"/>
      <c r="DG77" s="619"/>
      <c r="DH77" s="619"/>
      <c r="DI77" s="619"/>
      <c r="DJ77" s="619"/>
      <c r="DK77" s="619"/>
      <c r="DL77" s="619"/>
      <c r="DM77" s="619"/>
      <c r="DN77" s="619"/>
      <c r="DO77" s="619"/>
      <c r="DP77" s="619"/>
      <c r="DQ77" s="639"/>
      <c r="DR77" s="229"/>
    </row>
    <row r="78" spans="1:122" ht="7.5" customHeight="1" x14ac:dyDescent="0.25">
      <c r="A78" s="594"/>
      <c r="B78" s="595"/>
      <c r="C78" s="595"/>
      <c r="D78" s="595"/>
      <c r="E78" s="596"/>
      <c r="G78" s="599"/>
      <c r="H78" s="599"/>
      <c r="I78" s="599"/>
      <c r="J78" s="599"/>
      <c r="K78" s="599"/>
      <c r="L78" s="599"/>
      <c r="M78" s="599"/>
      <c r="N78" s="599"/>
      <c r="O78" s="599"/>
      <c r="P78" s="599"/>
      <c r="Q78" s="599"/>
      <c r="R78" s="599"/>
      <c r="S78" s="599"/>
      <c r="T78" s="599"/>
      <c r="U78" s="599"/>
      <c r="V78" s="599"/>
      <c r="W78" s="599"/>
      <c r="X78" s="599"/>
      <c r="Y78" s="599"/>
      <c r="Z78" s="602"/>
      <c r="AA78" s="602"/>
      <c r="AB78" s="602"/>
      <c r="AC78" s="602"/>
      <c r="AD78" s="602"/>
      <c r="AE78" s="602"/>
      <c r="AF78" s="602"/>
      <c r="AG78" s="636"/>
      <c r="AH78" s="132"/>
      <c r="AI78" s="129"/>
      <c r="AJ78" s="129"/>
      <c r="AK78" s="129"/>
      <c r="AL78" s="129"/>
      <c r="AM78" s="129"/>
      <c r="AN78" s="129"/>
      <c r="AO78" s="129"/>
      <c r="AP78" s="129"/>
      <c r="AQ78" s="129"/>
      <c r="AR78" s="129"/>
      <c r="AS78" s="129"/>
      <c r="AT78" s="129"/>
      <c r="AU78" s="129"/>
      <c r="AV78" s="129"/>
      <c r="AW78" s="146"/>
      <c r="AX78" s="619"/>
      <c r="AY78" s="619"/>
      <c r="AZ78" s="619"/>
      <c r="BA78" s="619"/>
      <c r="BB78" s="619"/>
      <c r="BC78" s="619"/>
      <c r="BD78" s="619"/>
      <c r="BE78" s="619"/>
      <c r="BF78" s="619"/>
      <c r="BG78" s="619"/>
      <c r="BH78" s="619"/>
      <c r="BI78" s="619"/>
      <c r="BJ78" s="619"/>
      <c r="BK78" s="619"/>
      <c r="BL78" s="619"/>
      <c r="BM78" s="619"/>
      <c r="BN78" s="619"/>
      <c r="BO78" s="619"/>
      <c r="BP78" s="619"/>
      <c r="BQ78" s="619"/>
      <c r="BR78" s="619"/>
      <c r="BS78" s="619"/>
      <c r="BT78" s="619"/>
      <c r="BU78" s="619"/>
      <c r="BV78" s="619"/>
      <c r="BW78" s="619"/>
      <c r="BX78" s="619"/>
      <c r="BY78" s="619"/>
      <c r="BZ78" s="619"/>
      <c r="CA78" s="619"/>
      <c r="CB78" s="619"/>
      <c r="CC78" s="619"/>
      <c r="CD78" s="619"/>
      <c r="CE78" s="619"/>
      <c r="CF78" s="619"/>
      <c r="CG78" s="619"/>
      <c r="CH78" s="619"/>
      <c r="CI78" s="619"/>
      <c r="CJ78" s="619"/>
      <c r="CK78" s="619"/>
      <c r="CL78" s="619"/>
      <c r="CM78" s="619"/>
      <c r="CN78" s="619"/>
      <c r="CO78" s="619"/>
      <c r="CP78" s="619"/>
      <c r="CQ78" s="619"/>
      <c r="CR78" s="619"/>
      <c r="CS78" s="619"/>
      <c r="CT78" s="619"/>
      <c r="CU78" s="619"/>
      <c r="CV78" s="619"/>
      <c r="CW78" s="619"/>
      <c r="CX78" s="619"/>
      <c r="CY78" s="619"/>
      <c r="CZ78" s="619"/>
      <c r="DA78" s="619"/>
      <c r="DB78" s="619"/>
      <c r="DC78" s="619"/>
      <c r="DD78" s="619"/>
      <c r="DE78" s="619"/>
      <c r="DF78" s="619"/>
      <c r="DG78" s="619"/>
      <c r="DH78" s="619"/>
      <c r="DI78" s="619"/>
      <c r="DJ78" s="619"/>
      <c r="DK78" s="619"/>
      <c r="DL78" s="619"/>
      <c r="DM78" s="619"/>
      <c r="DN78" s="619"/>
      <c r="DO78" s="619"/>
      <c r="DP78" s="619"/>
      <c r="DQ78" s="640"/>
      <c r="DR78" s="229"/>
    </row>
    <row r="79" spans="1:122" ht="7.5" customHeight="1" x14ac:dyDescent="0.25">
      <c r="A79" s="119"/>
      <c r="B79" s="119"/>
      <c r="C79" s="119"/>
      <c r="D79" s="119"/>
      <c r="E79" s="119"/>
      <c r="F79" s="653" t="str">
        <f>G76</f>
        <v>Improvised Weaponry</v>
      </c>
      <c r="G79" s="653"/>
      <c r="H79" s="653"/>
      <c r="I79" s="653"/>
      <c r="J79" s="653"/>
      <c r="K79" s="625" t="e">
        <f ca="1">(FLOOR(INDIRECT(SUBSTITUTE(SUBSTITUTE(G76,"-","")," ",""))/5,1)*(FLOOR(INDIRECT(SUBSTITUTE(SUBSTITUTE(G76,"-","")," ",""))/5,1)+1)/2)*50+MOD(INDIRECT(SUBSTITUTE(SUBSTITUTE(G76,"-","")," ","")),5)*CEILING(INDIRECT(SUBSTITUTE(SUBSTITUTE(G76,"-","")," ",""))/5,1)*10-((FLOOR(INDIRECT("Base"&amp;SUBSTITUTE(SUBSTITUTE(G76,"-","")," ",""))/5,1)*(FLOOR(INDIRECT("Base"&amp;SUBSTITUTE(SUBSTITUTE(G76,"-","")," ",""))/5,1)+1)/2)*50+MOD(INDIRECT("Base"&amp;SUBSTITUTE(SUBSTITUTE(G76,"-","")," ","")),5)*CEILING(INDIRECT("Base"&amp;SUBSTITUTE(SUBSTITUTE(G76,"-","")," ",""))/5,1)*10)</f>
        <v>#REF!</v>
      </c>
      <c r="L79" s="625"/>
      <c r="M79" s="625"/>
      <c r="N79" s="626" t="b">
        <f>IF(AH72&lt;&gt;"",VLOOKUP($G76,'Merit Data'!A:BW,MATCH('Merit Data'!$B$3,'Merit Data'!$3:$3,0),0),TRUE)</f>
        <v>1</v>
      </c>
      <c r="O79" s="626"/>
      <c r="P79" s="626"/>
      <c r="Q79" s="140"/>
      <c r="R79" s="140"/>
      <c r="S79" s="140"/>
      <c r="T79" s="140"/>
      <c r="U79" s="140"/>
      <c r="V79" s="238"/>
      <c r="W79" s="238"/>
      <c r="X79" s="627" t="str">
        <f>IF(F79&gt;0,HYPERLINK("http://wiki.project-saros.com/w/"&amp;F79,"Info"),"")</f>
        <v>Info</v>
      </c>
      <c r="Y79" s="628"/>
      <c r="Z79" s="637"/>
      <c r="AA79" s="637"/>
      <c r="AB79" s="637"/>
      <c r="AC79" s="637"/>
      <c r="AD79" s="637"/>
      <c r="AE79" s="637"/>
      <c r="AF79" s="637"/>
      <c r="AG79" s="638"/>
      <c r="AH79" s="148"/>
      <c r="AI79" s="131"/>
      <c r="AJ79" s="131"/>
      <c r="AK79" s="149"/>
      <c r="AL79" s="149"/>
      <c r="AM79" s="149"/>
      <c r="AN79" s="149"/>
      <c r="AO79" s="149"/>
      <c r="AP79" s="149"/>
      <c r="AQ79" s="149"/>
      <c r="AR79" s="149"/>
      <c r="AS79" s="131"/>
      <c r="AT79" s="131"/>
      <c r="AU79" s="131"/>
      <c r="AV79" s="131"/>
      <c r="AW79" s="150"/>
      <c r="AX79" s="641"/>
      <c r="AY79" s="641"/>
      <c r="AZ79" s="641"/>
      <c r="BA79" s="641"/>
      <c r="BB79" s="641"/>
      <c r="BC79" s="641"/>
      <c r="BD79" s="641"/>
      <c r="BE79" s="641"/>
      <c r="BF79" s="641"/>
      <c r="BG79" s="641"/>
      <c r="BH79" s="641"/>
      <c r="BI79" s="641"/>
      <c r="BJ79" s="641"/>
      <c r="BK79" s="641"/>
      <c r="BL79" s="641"/>
      <c r="BM79" s="641"/>
      <c r="BN79" s="641"/>
      <c r="BO79" s="641"/>
      <c r="BP79" s="641"/>
      <c r="BQ79" s="641"/>
      <c r="BR79" s="641"/>
      <c r="BS79" s="641"/>
      <c r="BT79" s="641"/>
      <c r="BU79" s="641"/>
      <c r="BV79" s="641"/>
      <c r="BW79" s="641"/>
      <c r="BX79" s="641"/>
      <c r="BY79" s="641"/>
      <c r="BZ79" s="641"/>
      <c r="CA79" s="641"/>
      <c r="CB79" s="641"/>
      <c r="CC79" s="641"/>
      <c r="CD79" s="641"/>
      <c r="CE79" s="641"/>
      <c r="CF79" s="641"/>
      <c r="CG79" s="641"/>
      <c r="CH79" s="641"/>
      <c r="CI79" s="641"/>
      <c r="CJ79" s="641"/>
      <c r="CK79" s="641"/>
      <c r="CL79" s="641"/>
      <c r="CM79" s="641"/>
      <c r="CN79" s="641"/>
      <c r="CO79" s="641"/>
      <c r="CP79" s="641"/>
      <c r="CQ79" s="641"/>
      <c r="CR79" s="641"/>
      <c r="CS79" s="641"/>
      <c r="CT79" s="641"/>
      <c r="CU79" s="641"/>
      <c r="CV79" s="641"/>
      <c r="CW79" s="641"/>
      <c r="CX79" s="641"/>
      <c r="CY79" s="641"/>
      <c r="CZ79" s="641"/>
      <c r="DA79" s="641"/>
      <c r="DB79" s="641"/>
      <c r="DC79" s="641"/>
      <c r="DD79" s="641"/>
      <c r="DE79" s="641"/>
      <c r="DF79" s="641"/>
      <c r="DG79" s="641"/>
      <c r="DH79" s="641"/>
      <c r="DI79" s="641"/>
      <c r="DJ79" s="641"/>
      <c r="DK79" s="641"/>
      <c r="DL79" s="641"/>
      <c r="DM79" s="641"/>
      <c r="DN79" s="641"/>
      <c r="DO79" s="641"/>
      <c r="DP79" s="641"/>
      <c r="DQ79" s="642"/>
      <c r="DR79" s="229"/>
    </row>
    <row r="80" spans="1:122" ht="7.5" customHeight="1" x14ac:dyDescent="0.25">
      <c r="A80" s="588">
        <v>0</v>
      </c>
      <c r="B80" s="589"/>
      <c r="C80" s="589"/>
      <c r="D80" s="589"/>
      <c r="E80" s="590"/>
      <c r="G80" s="597" t="s">
        <v>158</v>
      </c>
      <c r="H80" s="597"/>
      <c r="I80" s="597"/>
      <c r="J80" s="597"/>
      <c r="K80" s="597"/>
      <c r="L80" s="597"/>
      <c r="M80" s="597"/>
      <c r="N80" s="597"/>
      <c r="O80" s="597"/>
      <c r="P80" s="597"/>
      <c r="Q80" s="597"/>
      <c r="R80" s="597"/>
      <c r="S80" s="597"/>
      <c r="T80" s="597"/>
      <c r="U80" s="597"/>
      <c r="V80" s="597"/>
      <c r="W80" s="597"/>
      <c r="X80" s="597"/>
      <c r="Y80" s="597"/>
      <c r="Z80" s="600" t="e">
        <f>FLOOR(LightArmor/5+1,1)*10</f>
        <v>#REF!</v>
      </c>
      <c r="AA80" s="600"/>
      <c r="AB80" s="600"/>
      <c r="AC80" s="600"/>
      <c r="AD80" s="600"/>
      <c r="AE80" s="600"/>
      <c r="AF80" s="600"/>
      <c r="AG80" s="601"/>
      <c r="AH80" s="142"/>
      <c r="AI80" s="143"/>
      <c r="AJ80" s="143"/>
      <c r="AK80" s="143"/>
      <c r="AL80" s="143"/>
      <c r="AM80" s="143"/>
      <c r="AN80" s="143"/>
      <c r="AO80" s="143"/>
      <c r="AP80" s="143"/>
      <c r="AQ80" s="143"/>
      <c r="AR80" s="143"/>
      <c r="AS80" s="143"/>
      <c r="AT80" s="143"/>
      <c r="AU80" s="143"/>
      <c r="AV80" s="143"/>
      <c r="AW80" s="144"/>
      <c r="AX80" s="616" t="e">
        <f ca="1">"Further increases your "&amp;G80&amp;" skill from "&amp;INDIRECT(SUBSTITUTE(G80," ",""))&amp;" to "&amp;INDIRECT(SUBSTITUTE(G80," ",""))+1</f>
        <v>#REF!</v>
      </c>
      <c r="AY80" s="616"/>
      <c r="AZ80" s="616"/>
      <c r="BA80" s="616"/>
      <c r="BB80" s="616"/>
      <c r="BC80" s="616"/>
      <c r="BD80" s="616"/>
      <c r="BE80" s="616"/>
      <c r="BF80" s="616"/>
      <c r="BG80" s="616"/>
      <c r="BH80" s="616"/>
      <c r="BI80" s="616"/>
      <c r="BJ80" s="616"/>
      <c r="BK80" s="616"/>
      <c r="BL80" s="616"/>
      <c r="BM80" s="616"/>
      <c r="BN80" s="616"/>
      <c r="BO80" s="616"/>
      <c r="BP80" s="616"/>
      <c r="BQ80" s="616"/>
      <c r="BR80" s="616"/>
      <c r="BS80" s="616"/>
      <c r="BT80" s="616"/>
      <c r="BU80" s="616"/>
      <c r="BV80" s="616"/>
      <c r="BW80" s="616"/>
      <c r="BX80" s="616"/>
      <c r="BY80" s="616"/>
      <c r="BZ80" s="616"/>
      <c r="CA80" s="616"/>
      <c r="CB80" s="616"/>
      <c r="CC80" s="616"/>
      <c r="CD80" s="616"/>
      <c r="CE80" s="616"/>
      <c r="CF80" s="616"/>
      <c r="CG80" s="616"/>
      <c r="CH80" s="616"/>
      <c r="CI80" s="616"/>
      <c r="CJ80" s="616"/>
      <c r="CK80" s="616"/>
      <c r="CL80" s="616"/>
      <c r="CM80" s="616"/>
      <c r="CN80" s="616"/>
      <c r="CO80" s="616"/>
      <c r="CP80" s="616"/>
      <c r="CQ80" s="616"/>
      <c r="CR80" s="616"/>
      <c r="CS80" s="616"/>
      <c r="CT80" s="616"/>
      <c r="CU80" s="616"/>
      <c r="CV80" s="616"/>
      <c r="CW80" s="616"/>
      <c r="CX80" s="616"/>
      <c r="CY80" s="616"/>
      <c r="CZ80" s="616"/>
      <c r="DA80" s="616"/>
      <c r="DB80" s="616"/>
      <c r="DC80" s="616"/>
      <c r="DD80" s="616"/>
      <c r="DE80" s="616"/>
      <c r="DF80" s="616"/>
      <c r="DG80" s="616"/>
      <c r="DH80" s="616"/>
      <c r="DI80" s="616"/>
      <c r="DJ80" s="616"/>
      <c r="DK80" s="616"/>
      <c r="DL80" s="616"/>
      <c r="DM80" s="616"/>
      <c r="DN80" s="616"/>
      <c r="DO80" s="616"/>
      <c r="DP80" s="616"/>
      <c r="DQ80" s="617"/>
      <c r="DR80" s="229"/>
    </row>
    <row r="81" spans="1:122" ht="7.5" customHeight="1" x14ac:dyDescent="0.25">
      <c r="A81" s="591"/>
      <c r="B81" s="592"/>
      <c r="C81" s="592"/>
      <c r="D81" s="592"/>
      <c r="E81" s="593"/>
      <c r="F81" s="145"/>
      <c r="G81" s="598"/>
      <c r="H81" s="598"/>
      <c r="I81" s="598"/>
      <c r="J81" s="598"/>
      <c r="K81" s="598"/>
      <c r="L81" s="598"/>
      <c r="M81" s="598"/>
      <c r="N81" s="598"/>
      <c r="O81" s="598"/>
      <c r="P81" s="598"/>
      <c r="Q81" s="598"/>
      <c r="R81" s="598"/>
      <c r="S81" s="598"/>
      <c r="T81" s="598"/>
      <c r="U81" s="598"/>
      <c r="V81" s="598"/>
      <c r="W81" s="598"/>
      <c r="X81" s="598"/>
      <c r="Y81" s="598"/>
      <c r="Z81" s="602"/>
      <c r="AA81" s="602"/>
      <c r="AB81" s="602"/>
      <c r="AC81" s="602"/>
      <c r="AD81" s="602"/>
      <c r="AE81" s="602"/>
      <c r="AF81" s="602"/>
      <c r="AG81" s="635"/>
      <c r="AH81" s="132"/>
      <c r="AI81" s="129"/>
      <c r="AJ81" s="129"/>
      <c r="AK81" s="129"/>
      <c r="AL81" s="129"/>
      <c r="AM81" s="129"/>
      <c r="AN81" s="129"/>
      <c r="AO81" s="129"/>
      <c r="AP81" s="129"/>
      <c r="AQ81" s="129"/>
      <c r="AR81" s="129"/>
      <c r="AS81" s="129"/>
      <c r="AT81" s="129"/>
      <c r="AU81" s="129"/>
      <c r="AV81" s="129"/>
      <c r="AW81" s="145"/>
      <c r="AX81" s="619"/>
      <c r="AY81" s="619"/>
      <c r="AZ81" s="619"/>
      <c r="BA81" s="619"/>
      <c r="BB81" s="619"/>
      <c r="BC81" s="619"/>
      <c r="BD81" s="619"/>
      <c r="BE81" s="619"/>
      <c r="BF81" s="619"/>
      <c r="BG81" s="619"/>
      <c r="BH81" s="619"/>
      <c r="BI81" s="619"/>
      <c r="BJ81" s="619"/>
      <c r="BK81" s="619"/>
      <c r="BL81" s="619"/>
      <c r="BM81" s="619"/>
      <c r="BN81" s="619"/>
      <c r="BO81" s="619"/>
      <c r="BP81" s="619"/>
      <c r="BQ81" s="619"/>
      <c r="BR81" s="619"/>
      <c r="BS81" s="619"/>
      <c r="BT81" s="619"/>
      <c r="BU81" s="619"/>
      <c r="BV81" s="619"/>
      <c r="BW81" s="619"/>
      <c r="BX81" s="619"/>
      <c r="BY81" s="619"/>
      <c r="BZ81" s="619"/>
      <c r="CA81" s="619"/>
      <c r="CB81" s="619"/>
      <c r="CC81" s="619"/>
      <c r="CD81" s="619"/>
      <c r="CE81" s="619"/>
      <c r="CF81" s="619"/>
      <c r="CG81" s="619"/>
      <c r="CH81" s="619"/>
      <c r="CI81" s="619"/>
      <c r="CJ81" s="619"/>
      <c r="CK81" s="619"/>
      <c r="CL81" s="619"/>
      <c r="CM81" s="619"/>
      <c r="CN81" s="619"/>
      <c r="CO81" s="619"/>
      <c r="CP81" s="619"/>
      <c r="CQ81" s="619"/>
      <c r="CR81" s="619"/>
      <c r="CS81" s="619"/>
      <c r="CT81" s="619"/>
      <c r="CU81" s="619"/>
      <c r="CV81" s="619"/>
      <c r="CW81" s="619"/>
      <c r="CX81" s="619"/>
      <c r="CY81" s="619"/>
      <c r="CZ81" s="619"/>
      <c r="DA81" s="619"/>
      <c r="DB81" s="619"/>
      <c r="DC81" s="619"/>
      <c r="DD81" s="619"/>
      <c r="DE81" s="619"/>
      <c r="DF81" s="619"/>
      <c r="DG81" s="619"/>
      <c r="DH81" s="619"/>
      <c r="DI81" s="619"/>
      <c r="DJ81" s="619"/>
      <c r="DK81" s="619"/>
      <c r="DL81" s="619"/>
      <c r="DM81" s="619"/>
      <c r="DN81" s="619"/>
      <c r="DO81" s="619"/>
      <c r="DP81" s="619"/>
      <c r="DQ81" s="639"/>
      <c r="DR81" s="229"/>
    </row>
    <row r="82" spans="1:122" ht="7.5" customHeight="1" x14ac:dyDescent="0.25">
      <c r="A82" s="594"/>
      <c r="B82" s="595"/>
      <c r="C82" s="595"/>
      <c r="D82" s="595"/>
      <c r="E82" s="596"/>
      <c r="G82" s="599"/>
      <c r="H82" s="599"/>
      <c r="I82" s="599"/>
      <c r="J82" s="599"/>
      <c r="K82" s="599"/>
      <c r="L82" s="599"/>
      <c r="M82" s="599"/>
      <c r="N82" s="599"/>
      <c r="O82" s="599"/>
      <c r="P82" s="599"/>
      <c r="Q82" s="599"/>
      <c r="R82" s="599"/>
      <c r="S82" s="599"/>
      <c r="T82" s="599"/>
      <c r="U82" s="599"/>
      <c r="V82" s="599"/>
      <c r="W82" s="599"/>
      <c r="X82" s="599"/>
      <c r="Y82" s="599"/>
      <c r="Z82" s="602"/>
      <c r="AA82" s="602"/>
      <c r="AB82" s="602"/>
      <c r="AC82" s="602"/>
      <c r="AD82" s="602"/>
      <c r="AE82" s="602"/>
      <c r="AF82" s="602"/>
      <c r="AG82" s="636"/>
      <c r="AH82" s="132"/>
      <c r="AI82" s="129"/>
      <c r="AJ82" s="129"/>
      <c r="AK82" s="129"/>
      <c r="AL82" s="129"/>
      <c r="AM82" s="129"/>
      <c r="AN82" s="129"/>
      <c r="AO82" s="129"/>
      <c r="AP82" s="129"/>
      <c r="AQ82" s="129"/>
      <c r="AR82" s="129"/>
      <c r="AS82" s="129"/>
      <c r="AT82" s="129"/>
      <c r="AU82" s="129"/>
      <c r="AV82" s="129"/>
      <c r="AW82" s="146"/>
      <c r="AX82" s="619"/>
      <c r="AY82" s="619"/>
      <c r="AZ82" s="619"/>
      <c r="BA82" s="619"/>
      <c r="BB82" s="619"/>
      <c r="BC82" s="619"/>
      <c r="BD82" s="619"/>
      <c r="BE82" s="619"/>
      <c r="BF82" s="619"/>
      <c r="BG82" s="619"/>
      <c r="BH82" s="619"/>
      <c r="BI82" s="619"/>
      <c r="BJ82" s="619"/>
      <c r="BK82" s="619"/>
      <c r="BL82" s="619"/>
      <c r="BM82" s="619"/>
      <c r="BN82" s="619"/>
      <c r="BO82" s="619"/>
      <c r="BP82" s="619"/>
      <c r="BQ82" s="619"/>
      <c r="BR82" s="619"/>
      <c r="BS82" s="619"/>
      <c r="BT82" s="619"/>
      <c r="BU82" s="619"/>
      <c r="BV82" s="619"/>
      <c r="BW82" s="619"/>
      <c r="BX82" s="619"/>
      <c r="BY82" s="619"/>
      <c r="BZ82" s="619"/>
      <c r="CA82" s="619"/>
      <c r="CB82" s="619"/>
      <c r="CC82" s="619"/>
      <c r="CD82" s="619"/>
      <c r="CE82" s="619"/>
      <c r="CF82" s="619"/>
      <c r="CG82" s="619"/>
      <c r="CH82" s="619"/>
      <c r="CI82" s="619"/>
      <c r="CJ82" s="619"/>
      <c r="CK82" s="619"/>
      <c r="CL82" s="619"/>
      <c r="CM82" s="619"/>
      <c r="CN82" s="619"/>
      <c r="CO82" s="619"/>
      <c r="CP82" s="619"/>
      <c r="CQ82" s="619"/>
      <c r="CR82" s="619"/>
      <c r="CS82" s="619"/>
      <c r="CT82" s="619"/>
      <c r="CU82" s="619"/>
      <c r="CV82" s="619"/>
      <c r="CW82" s="619"/>
      <c r="CX82" s="619"/>
      <c r="CY82" s="619"/>
      <c r="CZ82" s="619"/>
      <c r="DA82" s="619"/>
      <c r="DB82" s="619"/>
      <c r="DC82" s="619"/>
      <c r="DD82" s="619"/>
      <c r="DE82" s="619"/>
      <c r="DF82" s="619"/>
      <c r="DG82" s="619"/>
      <c r="DH82" s="619"/>
      <c r="DI82" s="619"/>
      <c r="DJ82" s="619"/>
      <c r="DK82" s="619"/>
      <c r="DL82" s="619"/>
      <c r="DM82" s="619"/>
      <c r="DN82" s="619"/>
      <c r="DO82" s="619"/>
      <c r="DP82" s="619"/>
      <c r="DQ82" s="640"/>
      <c r="DR82" s="229"/>
    </row>
    <row r="83" spans="1:122" ht="7.5" customHeight="1" x14ac:dyDescent="0.25">
      <c r="A83" s="119"/>
      <c r="B83" s="119"/>
      <c r="C83" s="119"/>
      <c r="D83" s="119"/>
      <c r="E83" s="119"/>
      <c r="F83" s="653" t="str">
        <f>G80</f>
        <v>Light Armor</v>
      </c>
      <c r="G83" s="653"/>
      <c r="H83" s="653"/>
      <c r="I83" s="653"/>
      <c r="J83" s="653"/>
      <c r="K83" s="625" t="e">
        <f ca="1">(FLOOR(INDIRECT(SUBSTITUTE(SUBSTITUTE(G80,"-","")," ",""))/5,1)*(FLOOR(INDIRECT(SUBSTITUTE(SUBSTITUTE(G80,"-","")," ",""))/5,1)+1)/2)*50+MOD(INDIRECT(SUBSTITUTE(SUBSTITUTE(G80,"-","")," ","")),5)*CEILING(INDIRECT(SUBSTITUTE(SUBSTITUTE(G80,"-","")," ",""))/5,1)*10-((FLOOR(INDIRECT("Base"&amp;SUBSTITUTE(SUBSTITUTE(G80,"-","")," ",""))/5,1)*(FLOOR(INDIRECT("Base"&amp;SUBSTITUTE(SUBSTITUTE(G80,"-","")," ",""))/5,1)+1)/2)*50+MOD(INDIRECT("Base"&amp;SUBSTITUTE(SUBSTITUTE(G80,"-","")," ","")),5)*CEILING(INDIRECT("Base"&amp;SUBSTITUTE(SUBSTITUTE(G80,"-","")," ",""))/5,1)*10)</f>
        <v>#REF!</v>
      </c>
      <c r="L83" s="625"/>
      <c r="M83" s="625"/>
      <c r="N83" s="626" t="b">
        <f>IF(AH76&lt;&gt;"",VLOOKUP($G80,'Merit Data'!A:BW,MATCH('Merit Data'!$B$3,'Merit Data'!$3:$3,0),0),TRUE)</f>
        <v>1</v>
      </c>
      <c r="O83" s="626"/>
      <c r="P83" s="626"/>
      <c r="Q83" s="140"/>
      <c r="R83" s="140"/>
      <c r="S83" s="140"/>
      <c r="T83" s="140"/>
      <c r="U83" s="140"/>
      <c r="V83" s="238"/>
      <c r="W83" s="238"/>
      <c r="X83" s="627" t="str">
        <f>IF(F83&gt;0,HYPERLINK("http://wiki.project-saros.com/w/"&amp;F83,"Info"),"")</f>
        <v>Info</v>
      </c>
      <c r="Y83" s="628"/>
      <c r="Z83" s="637"/>
      <c r="AA83" s="637"/>
      <c r="AB83" s="637"/>
      <c r="AC83" s="637"/>
      <c r="AD83" s="637"/>
      <c r="AE83" s="637"/>
      <c r="AF83" s="637"/>
      <c r="AG83" s="638"/>
      <c r="AH83" s="148"/>
      <c r="AI83" s="131"/>
      <c r="AJ83" s="131"/>
      <c r="AK83" s="149"/>
      <c r="AL83" s="149"/>
      <c r="AM83" s="149"/>
      <c r="AN83" s="149"/>
      <c r="AO83" s="149"/>
      <c r="AP83" s="149"/>
      <c r="AQ83" s="149"/>
      <c r="AR83" s="149"/>
      <c r="AS83" s="131"/>
      <c r="AT83" s="131"/>
      <c r="AU83" s="131"/>
      <c r="AV83" s="131"/>
      <c r="AW83" s="150"/>
      <c r="AX83" s="641"/>
      <c r="AY83" s="641"/>
      <c r="AZ83" s="641"/>
      <c r="BA83" s="641"/>
      <c r="BB83" s="641"/>
      <c r="BC83" s="641"/>
      <c r="BD83" s="641"/>
      <c r="BE83" s="641"/>
      <c r="BF83" s="641"/>
      <c r="BG83" s="641"/>
      <c r="BH83" s="641"/>
      <c r="BI83" s="641"/>
      <c r="BJ83" s="641"/>
      <c r="BK83" s="641"/>
      <c r="BL83" s="641"/>
      <c r="BM83" s="641"/>
      <c r="BN83" s="641"/>
      <c r="BO83" s="641"/>
      <c r="BP83" s="641"/>
      <c r="BQ83" s="641"/>
      <c r="BR83" s="641"/>
      <c r="BS83" s="641"/>
      <c r="BT83" s="641"/>
      <c r="BU83" s="641"/>
      <c r="BV83" s="641"/>
      <c r="BW83" s="641"/>
      <c r="BX83" s="641"/>
      <c r="BY83" s="641"/>
      <c r="BZ83" s="641"/>
      <c r="CA83" s="641"/>
      <c r="CB83" s="641"/>
      <c r="CC83" s="641"/>
      <c r="CD83" s="641"/>
      <c r="CE83" s="641"/>
      <c r="CF83" s="641"/>
      <c r="CG83" s="641"/>
      <c r="CH83" s="641"/>
      <c r="CI83" s="641"/>
      <c r="CJ83" s="641"/>
      <c r="CK83" s="641"/>
      <c r="CL83" s="641"/>
      <c r="CM83" s="641"/>
      <c r="CN83" s="641"/>
      <c r="CO83" s="641"/>
      <c r="CP83" s="641"/>
      <c r="CQ83" s="641"/>
      <c r="CR83" s="641"/>
      <c r="CS83" s="641"/>
      <c r="CT83" s="641"/>
      <c r="CU83" s="641"/>
      <c r="CV83" s="641"/>
      <c r="CW83" s="641"/>
      <c r="CX83" s="641"/>
      <c r="CY83" s="641"/>
      <c r="CZ83" s="641"/>
      <c r="DA83" s="641"/>
      <c r="DB83" s="641"/>
      <c r="DC83" s="641"/>
      <c r="DD83" s="641"/>
      <c r="DE83" s="641"/>
      <c r="DF83" s="641"/>
      <c r="DG83" s="641"/>
      <c r="DH83" s="641"/>
      <c r="DI83" s="641"/>
      <c r="DJ83" s="641"/>
      <c r="DK83" s="641"/>
      <c r="DL83" s="641"/>
      <c r="DM83" s="641"/>
      <c r="DN83" s="641"/>
      <c r="DO83" s="641"/>
      <c r="DP83" s="641"/>
      <c r="DQ83" s="642"/>
      <c r="DR83" s="229"/>
    </row>
    <row r="84" spans="1:122" ht="7.5" customHeight="1" x14ac:dyDescent="0.25">
      <c r="A84" s="588">
        <v>0</v>
      </c>
      <c r="B84" s="589"/>
      <c r="C84" s="589"/>
      <c r="D84" s="589"/>
      <c r="E84" s="590"/>
      <c r="F84" s="129"/>
      <c r="G84" s="597" t="s">
        <v>503</v>
      </c>
      <c r="H84" s="597"/>
      <c r="I84" s="597"/>
      <c r="J84" s="597"/>
      <c r="K84" s="597"/>
      <c r="L84" s="597"/>
      <c r="M84" s="597"/>
      <c r="N84" s="597"/>
      <c r="O84" s="597"/>
      <c r="P84" s="597"/>
      <c r="Q84" s="597"/>
      <c r="R84" s="597"/>
      <c r="S84" s="597"/>
      <c r="T84" s="597"/>
      <c r="U84" s="597"/>
      <c r="V84" s="597"/>
      <c r="W84" s="597"/>
      <c r="X84" s="597"/>
      <c r="Y84" s="597"/>
      <c r="Z84" s="600" t="e">
        <f>FLOOR(Maces/5+1,1)*10</f>
        <v>#REF!</v>
      </c>
      <c r="AA84" s="600"/>
      <c r="AB84" s="600"/>
      <c r="AC84" s="600"/>
      <c r="AD84" s="600"/>
      <c r="AE84" s="600"/>
      <c r="AF84" s="600"/>
      <c r="AG84" s="601"/>
      <c r="AH84" s="643"/>
      <c r="AI84" s="644"/>
      <c r="AJ84" s="644"/>
      <c r="AK84" s="644"/>
      <c r="AL84" s="644"/>
      <c r="AM84" s="644"/>
      <c r="AN84" s="644"/>
      <c r="AO84" s="644"/>
      <c r="AP84" s="644"/>
      <c r="AQ84" s="644"/>
      <c r="AR84" s="644"/>
      <c r="AS84" s="644"/>
      <c r="AT84" s="644"/>
      <c r="AU84" s="644"/>
      <c r="AV84" s="644"/>
      <c r="AW84" s="645"/>
      <c r="AX84" s="616" t="e">
        <f>"Further increases your "&amp;G84&amp;" skill from "&amp;Maces&amp;" to "&amp;Maces+1</f>
        <v>#REF!</v>
      </c>
      <c r="AY84" s="616"/>
      <c r="AZ84" s="616"/>
      <c r="BA84" s="616"/>
      <c r="BB84" s="616"/>
      <c r="BC84" s="616"/>
      <c r="BD84" s="616"/>
      <c r="BE84" s="616"/>
      <c r="BF84" s="616"/>
      <c r="BG84" s="616"/>
      <c r="BH84" s="616"/>
      <c r="BI84" s="616"/>
      <c r="BJ84" s="616"/>
      <c r="BK84" s="616"/>
      <c r="BL84" s="616"/>
      <c r="BM84" s="616"/>
      <c r="BN84" s="616"/>
      <c r="BO84" s="616"/>
      <c r="BP84" s="616"/>
      <c r="BQ84" s="616"/>
      <c r="BR84" s="616"/>
      <c r="BS84" s="616"/>
      <c r="BT84" s="616"/>
      <c r="BU84" s="616"/>
      <c r="BV84" s="616"/>
      <c r="BW84" s="616"/>
      <c r="BX84" s="616"/>
      <c r="BY84" s="616"/>
      <c r="BZ84" s="616"/>
      <c r="CA84" s="616"/>
      <c r="CB84" s="616"/>
      <c r="CC84" s="616"/>
      <c r="CD84" s="616"/>
      <c r="CE84" s="616"/>
      <c r="CF84" s="616"/>
      <c r="CG84" s="616"/>
      <c r="CH84" s="616"/>
      <c r="CI84" s="616"/>
      <c r="CJ84" s="616"/>
      <c r="CK84" s="616"/>
      <c r="CL84" s="616"/>
      <c r="CM84" s="616"/>
      <c r="CN84" s="616"/>
      <c r="CO84" s="616"/>
      <c r="CP84" s="616"/>
      <c r="CQ84" s="616"/>
      <c r="CR84" s="616"/>
      <c r="CS84" s="616"/>
      <c r="CT84" s="616"/>
      <c r="CU84" s="616"/>
      <c r="CV84" s="616"/>
      <c r="CW84" s="616"/>
      <c r="CX84" s="616"/>
      <c r="CY84" s="616"/>
      <c r="CZ84" s="616"/>
      <c r="DA84" s="616"/>
      <c r="DB84" s="616"/>
      <c r="DC84" s="616"/>
      <c r="DD84" s="616"/>
      <c r="DE84" s="616"/>
      <c r="DF84" s="616"/>
      <c r="DG84" s="616"/>
      <c r="DH84" s="616"/>
      <c r="DI84" s="616"/>
      <c r="DJ84" s="616"/>
      <c r="DK84" s="616"/>
      <c r="DL84" s="616"/>
      <c r="DM84" s="616"/>
      <c r="DN84" s="616"/>
      <c r="DO84" s="616"/>
      <c r="DP84" s="616"/>
      <c r="DQ84" s="617"/>
      <c r="DR84" s="229"/>
    </row>
    <row r="85" spans="1:122" ht="7.5" customHeight="1" x14ac:dyDescent="0.25">
      <c r="A85" s="591"/>
      <c r="B85" s="592"/>
      <c r="C85" s="592"/>
      <c r="D85" s="592"/>
      <c r="E85" s="593"/>
      <c r="F85" s="129"/>
      <c r="G85" s="598"/>
      <c r="H85" s="598"/>
      <c r="I85" s="598"/>
      <c r="J85" s="598"/>
      <c r="K85" s="598"/>
      <c r="L85" s="598"/>
      <c r="M85" s="598"/>
      <c r="N85" s="598"/>
      <c r="O85" s="598"/>
      <c r="P85" s="598"/>
      <c r="Q85" s="598"/>
      <c r="R85" s="598"/>
      <c r="S85" s="598"/>
      <c r="T85" s="598"/>
      <c r="U85" s="598"/>
      <c r="V85" s="598"/>
      <c r="W85" s="598"/>
      <c r="X85" s="598"/>
      <c r="Y85" s="598"/>
      <c r="Z85" s="602"/>
      <c r="AA85" s="602"/>
      <c r="AB85" s="602"/>
      <c r="AC85" s="602"/>
      <c r="AD85" s="602"/>
      <c r="AE85" s="602"/>
      <c r="AF85" s="602"/>
      <c r="AG85" s="635"/>
      <c r="AH85" s="646"/>
      <c r="AI85" s="449"/>
      <c r="AJ85" s="449"/>
      <c r="AK85" s="449"/>
      <c r="AL85" s="449"/>
      <c r="AM85" s="449"/>
      <c r="AN85" s="449"/>
      <c r="AO85" s="449"/>
      <c r="AP85" s="449"/>
      <c r="AQ85" s="449"/>
      <c r="AR85" s="449"/>
      <c r="AS85" s="449"/>
      <c r="AT85" s="449"/>
      <c r="AU85" s="449"/>
      <c r="AV85" s="449"/>
      <c r="AW85" s="647"/>
      <c r="AX85" s="619"/>
      <c r="AY85" s="619"/>
      <c r="AZ85" s="619"/>
      <c r="BA85" s="619"/>
      <c r="BB85" s="619"/>
      <c r="BC85" s="619"/>
      <c r="BD85" s="619"/>
      <c r="BE85" s="619"/>
      <c r="BF85" s="619"/>
      <c r="BG85" s="619"/>
      <c r="BH85" s="619"/>
      <c r="BI85" s="619"/>
      <c r="BJ85" s="619"/>
      <c r="BK85" s="619"/>
      <c r="BL85" s="619"/>
      <c r="BM85" s="619"/>
      <c r="BN85" s="619"/>
      <c r="BO85" s="619"/>
      <c r="BP85" s="619"/>
      <c r="BQ85" s="619"/>
      <c r="BR85" s="619"/>
      <c r="BS85" s="619"/>
      <c r="BT85" s="619"/>
      <c r="BU85" s="619"/>
      <c r="BV85" s="619"/>
      <c r="BW85" s="619"/>
      <c r="BX85" s="619"/>
      <c r="BY85" s="619"/>
      <c r="BZ85" s="619"/>
      <c r="CA85" s="619"/>
      <c r="CB85" s="619"/>
      <c r="CC85" s="619"/>
      <c r="CD85" s="619"/>
      <c r="CE85" s="619"/>
      <c r="CF85" s="619"/>
      <c r="CG85" s="619"/>
      <c r="CH85" s="619"/>
      <c r="CI85" s="619"/>
      <c r="CJ85" s="619"/>
      <c r="CK85" s="619"/>
      <c r="CL85" s="619"/>
      <c r="CM85" s="619"/>
      <c r="CN85" s="619"/>
      <c r="CO85" s="619"/>
      <c r="CP85" s="619"/>
      <c r="CQ85" s="619"/>
      <c r="CR85" s="619"/>
      <c r="CS85" s="619"/>
      <c r="CT85" s="619"/>
      <c r="CU85" s="619"/>
      <c r="CV85" s="619"/>
      <c r="CW85" s="619"/>
      <c r="CX85" s="619"/>
      <c r="CY85" s="619"/>
      <c r="CZ85" s="619"/>
      <c r="DA85" s="619"/>
      <c r="DB85" s="619"/>
      <c r="DC85" s="619"/>
      <c r="DD85" s="619"/>
      <c r="DE85" s="619"/>
      <c r="DF85" s="619"/>
      <c r="DG85" s="619"/>
      <c r="DH85" s="619"/>
      <c r="DI85" s="619"/>
      <c r="DJ85" s="619"/>
      <c r="DK85" s="619"/>
      <c r="DL85" s="619"/>
      <c r="DM85" s="619"/>
      <c r="DN85" s="619"/>
      <c r="DO85" s="619"/>
      <c r="DP85" s="619"/>
      <c r="DQ85" s="639"/>
      <c r="DR85" s="229"/>
    </row>
    <row r="86" spans="1:122" ht="7.5" customHeight="1" x14ac:dyDescent="0.25">
      <c r="A86" s="594"/>
      <c r="B86" s="595"/>
      <c r="C86" s="595"/>
      <c r="D86" s="595"/>
      <c r="E86" s="596"/>
      <c r="F86" s="129"/>
      <c r="G86" s="599"/>
      <c r="H86" s="599"/>
      <c r="I86" s="599"/>
      <c r="J86" s="599"/>
      <c r="K86" s="599"/>
      <c r="L86" s="599"/>
      <c r="M86" s="599"/>
      <c r="N86" s="599"/>
      <c r="O86" s="599"/>
      <c r="P86" s="599"/>
      <c r="Q86" s="599"/>
      <c r="R86" s="599"/>
      <c r="S86" s="599"/>
      <c r="T86" s="599"/>
      <c r="U86" s="599"/>
      <c r="V86" s="599"/>
      <c r="W86" s="599"/>
      <c r="X86" s="599"/>
      <c r="Y86" s="599"/>
      <c r="Z86" s="602"/>
      <c r="AA86" s="602"/>
      <c r="AB86" s="602"/>
      <c r="AC86" s="602"/>
      <c r="AD86" s="602"/>
      <c r="AE86" s="602"/>
      <c r="AF86" s="602"/>
      <c r="AG86" s="636"/>
      <c r="AH86" s="646"/>
      <c r="AI86" s="449"/>
      <c r="AJ86" s="449"/>
      <c r="AK86" s="449"/>
      <c r="AL86" s="449"/>
      <c r="AM86" s="449"/>
      <c r="AN86" s="449"/>
      <c r="AO86" s="449"/>
      <c r="AP86" s="449"/>
      <c r="AQ86" s="449"/>
      <c r="AR86" s="449"/>
      <c r="AS86" s="449"/>
      <c r="AT86" s="449"/>
      <c r="AU86" s="449"/>
      <c r="AV86" s="449"/>
      <c r="AW86" s="648"/>
      <c r="AX86" s="619"/>
      <c r="AY86" s="619"/>
      <c r="AZ86" s="619"/>
      <c r="BA86" s="619"/>
      <c r="BB86" s="619"/>
      <c r="BC86" s="619"/>
      <c r="BD86" s="619"/>
      <c r="BE86" s="619"/>
      <c r="BF86" s="619"/>
      <c r="BG86" s="619"/>
      <c r="BH86" s="619"/>
      <c r="BI86" s="619"/>
      <c r="BJ86" s="619"/>
      <c r="BK86" s="619"/>
      <c r="BL86" s="619"/>
      <c r="BM86" s="619"/>
      <c r="BN86" s="619"/>
      <c r="BO86" s="619"/>
      <c r="BP86" s="619"/>
      <c r="BQ86" s="619"/>
      <c r="BR86" s="619"/>
      <c r="BS86" s="619"/>
      <c r="BT86" s="619"/>
      <c r="BU86" s="619"/>
      <c r="BV86" s="619"/>
      <c r="BW86" s="619"/>
      <c r="BX86" s="619"/>
      <c r="BY86" s="619"/>
      <c r="BZ86" s="619"/>
      <c r="CA86" s="619"/>
      <c r="CB86" s="619"/>
      <c r="CC86" s="619"/>
      <c r="CD86" s="619"/>
      <c r="CE86" s="619"/>
      <c r="CF86" s="619"/>
      <c r="CG86" s="619"/>
      <c r="CH86" s="619"/>
      <c r="CI86" s="619"/>
      <c r="CJ86" s="619"/>
      <c r="CK86" s="619"/>
      <c r="CL86" s="619"/>
      <c r="CM86" s="619"/>
      <c r="CN86" s="619"/>
      <c r="CO86" s="619"/>
      <c r="CP86" s="619"/>
      <c r="CQ86" s="619"/>
      <c r="CR86" s="619"/>
      <c r="CS86" s="619"/>
      <c r="CT86" s="619"/>
      <c r="CU86" s="619"/>
      <c r="CV86" s="619"/>
      <c r="CW86" s="619"/>
      <c r="CX86" s="619"/>
      <c r="CY86" s="619"/>
      <c r="CZ86" s="619"/>
      <c r="DA86" s="619"/>
      <c r="DB86" s="619"/>
      <c r="DC86" s="619"/>
      <c r="DD86" s="619"/>
      <c r="DE86" s="619"/>
      <c r="DF86" s="619"/>
      <c r="DG86" s="619"/>
      <c r="DH86" s="619"/>
      <c r="DI86" s="619"/>
      <c r="DJ86" s="619"/>
      <c r="DK86" s="619"/>
      <c r="DL86" s="619"/>
      <c r="DM86" s="619"/>
      <c r="DN86" s="619"/>
      <c r="DO86" s="619"/>
      <c r="DP86" s="619"/>
      <c r="DQ86" s="640"/>
      <c r="DR86" s="229"/>
    </row>
    <row r="87" spans="1:122" ht="7.5" customHeight="1" x14ac:dyDescent="0.25">
      <c r="A87" s="119"/>
      <c r="B87" s="119"/>
      <c r="C87" s="119"/>
      <c r="D87" s="119"/>
      <c r="E87" s="119"/>
      <c r="F87" s="653" t="str">
        <f>G84</f>
        <v>Maces</v>
      </c>
      <c r="G87" s="653"/>
      <c r="H87" s="653"/>
      <c r="I87" s="653"/>
      <c r="J87" s="653"/>
      <c r="K87" s="625" t="e">
        <f ca="1">(FLOOR(INDIRECT(SUBSTITUTE(SUBSTITUTE(G84,"-","")," ",""))/5,1)*(FLOOR(INDIRECT(SUBSTITUTE(SUBSTITUTE(G84,"-","")," ",""))/5,1)+1)/2)*50+MOD(INDIRECT(SUBSTITUTE(SUBSTITUTE(G84,"-","")," ","")),5)*CEILING(INDIRECT(SUBSTITUTE(SUBSTITUTE(G84,"-","")," ",""))/5,1)*10-((FLOOR(INDIRECT("Base"&amp;SUBSTITUTE(SUBSTITUTE(G84,"-","")," ",""))/5,1)*(FLOOR(INDIRECT("Base"&amp;SUBSTITUTE(SUBSTITUTE(G84,"-","")," ",""))/5,1)+1)/2)*50+MOD(INDIRECT("Base"&amp;SUBSTITUTE(SUBSTITUTE(G84,"-","")," ","")),5)*CEILING(INDIRECT("Base"&amp;SUBSTITUTE(SUBSTITUTE(G84,"-","")," ",""))/5,1)*10)</f>
        <v>#REF!</v>
      </c>
      <c r="L87" s="625"/>
      <c r="M87" s="625"/>
      <c r="N87" s="626" t="b">
        <f>IF(AH56&lt;&gt;"",VLOOKUP($G84,'Merit Data'!A:BW,MATCH('Merit Data'!$B$3,'Merit Data'!$3:$3,0),0),TRUE)</f>
        <v>1</v>
      </c>
      <c r="O87" s="626"/>
      <c r="P87" s="626"/>
      <c r="Q87" s="140"/>
      <c r="R87" s="140"/>
      <c r="S87" s="140"/>
      <c r="T87" s="140"/>
      <c r="U87" s="140"/>
      <c r="V87" s="238"/>
      <c r="W87" s="238"/>
      <c r="X87" s="627" t="str">
        <f>IF(F87&gt;0,HYPERLINK("http://wiki.project-saros.com/w/"&amp;F87,"Info"),"")</f>
        <v>Info</v>
      </c>
      <c r="Y87" s="628"/>
      <c r="Z87" s="637"/>
      <c r="AA87" s="637"/>
      <c r="AB87" s="637"/>
      <c r="AC87" s="637"/>
      <c r="AD87" s="637"/>
      <c r="AE87" s="637"/>
      <c r="AF87" s="637"/>
      <c r="AG87" s="638"/>
      <c r="AH87" s="649"/>
      <c r="AI87" s="650"/>
      <c r="AJ87" s="650"/>
      <c r="AK87" s="651"/>
      <c r="AL87" s="651"/>
      <c r="AM87" s="651"/>
      <c r="AN87" s="651"/>
      <c r="AO87" s="651"/>
      <c r="AP87" s="651"/>
      <c r="AQ87" s="651"/>
      <c r="AR87" s="651"/>
      <c r="AS87" s="650"/>
      <c r="AT87" s="650"/>
      <c r="AU87" s="650"/>
      <c r="AV87" s="650"/>
      <c r="AW87" s="652"/>
      <c r="AX87" s="641"/>
      <c r="AY87" s="641"/>
      <c r="AZ87" s="641"/>
      <c r="BA87" s="641"/>
      <c r="BB87" s="641"/>
      <c r="BC87" s="641"/>
      <c r="BD87" s="641"/>
      <c r="BE87" s="641"/>
      <c r="BF87" s="641"/>
      <c r="BG87" s="641"/>
      <c r="BH87" s="641"/>
      <c r="BI87" s="641"/>
      <c r="BJ87" s="641"/>
      <c r="BK87" s="641"/>
      <c r="BL87" s="641"/>
      <c r="BM87" s="641"/>
      <c r="BN87" s="641"/>
      <c r="BO87" s="641"/>
      <c r="BP87" s="641"/>
      <c r="BQ87" s="641"/>
      <c r="BR87" s="641"/>
      <c r="BS87" s="641"/>
      <c r="BT87" s="641"/>
      <c r="BU87" s="641"/>
      <c r="BV87" s="641"/>
      <c r="BW87" s="641"/>
      <c r="BX87" s="641"/>
      <c r="BY87" s="641"/>
      <c r="BZ87" s="641"/>
      <c r="CA87" s="641"/>
      <c r="CB87" s="641"/>
      <c r="CC87" s="641"/>
      <c r="CD87" s="641"/>
      <c r="CE87" s="641"/>
      <c r="CF87" s="641"/>
      <c r="CG87" s="641"/>
      <c r="CH87" s="641"/>
      <c r="CI87" s="641"/>
      <c r="CJ87" s="641"/>
      <c r="CK87" s="641"/>
      <c r="CL87" s="641"/>
      <c r="CM87" s="641"/>
      <c r="CN87" s="641"/>
      <c r="CO87" s="641"/>
      <c r="CP87" s="641"/>
      <c r="CQ87" s="641"/>
      <c r="CR87" s="641"/>
      <c r="CS87" s="641"/>
      <c r="CT87" s="641"/>
      <c r="CU87" s="641"/>
      <c r="CV87" s="641"/>
      <c r="CW87" s="641"/>
      <c r="CX87" s="641"/>
      <c r="CY87" s="641"/>
      <c r="CZ87" s="641"/>
      <c r="DA87" s="641"/>
      <c r="DB87" s="641"/>
      <c r="DC87" s="641"/>
      <c r="DD87" s="641"/>
      <c r="DE87" s="641"/>
      <c r="DF87" s="641"/>
      <c r="DG87" s="641"/>
      <c r="DH87" s="641"/>
      <c r="DI87" s="641"/>
      <c r="DJ87" s="641"/>
      <c r="DK87" s="641"/>
      <c r="DL87" s="641"/>
      <c r="DM87" s="641"/>
      <c r="DN87" s="641"/>
      <c r="DO87" s="641"/>
      <c r="DP87" s="641"/>
      <c r="DQ87" s="642"/>
      <c r="DR87" s="229"/>
    </row>
    <row r="88" spans="1:122" ht="7.5" customHeight="1" x14ac:dyDescent="0.25">
      <c r="A88" s="588">
        <v>0</v>
      </c>
      <c r="B88" s="589"/>
      <c r="C88" s="589"/>
      <c r="D88" s="589"/>
      <c r="E88" s="590"/>
      <c r="G88" s="597" t="s">
        <v>159</v>
      </c>
      <c r="H88" s="597"/>
      <c r="I88" s="597"/>
      <c r="J88" s="597"/>
      <c r="K88" s="597"/>
      <c r="L88" s="597"/>
      <c r="M88" s="597"/>
      <c r="N88" s="597"/>
      <c r="O88" s="597"/>
      <c r="P88" s="597"/>
      <c r="Q88" s="597"/>
      <c r="R88" s="597"/>
      <c r="S88" s="597"/>
      <c r="T88" s="597"/>
      <c r="U88" s="597"/>
      <c r="V88" s="597"/>
      <c r="W88" s="597"/>
      <c r="X88" s="597"/>
      <c r="Y88" s="597"/>
      <c r="Z88" s="600" t="e">
        <f>FLOOR(Magicka/5+1,1)*10</f>
        <v>#REF!</v>
      </c>
      <c r="AA88" s="600"/>
      <c r="AB88" s="600"/>
      <c r="AC88" s="600"/>
      <c r="AD88" s="600"/>
      <c r="AE88" s="600"/>
      <c r="AF88" s="600"/>
      <c r="AG88" s="601"/>
      <c r="AH88" s="142"/>
      <c r="AI88" s="143"/>
      <c r="AJ88" s="143"/>
      <c r="AK88" s="143"/>
      <c r="AL88" s="143"/>
      <c r="AM88" s="143"/>
      <c r="AN88" s="143"/>
      <c r="AO88" s="143"/>
      <c r="AP88" s="143"/>
      <c r="AQ88" s="143"/>
      <c r="AR88" s="143"/>
      <c r="AS88" s="143"/>
      <c r="AT88" s="143"/>
      <c r="AU88" s="143"/>
      <c r="AV88" s="143"/>
      <c r="AW88" s="144"/>
      <c r="AX88" s="616" t="e">
        <f ca="1">"Further increases your "&amp;G88&amp;" skill from "&amp;INDIRECT(SUBSTITUTE(G88," ",""))&amp;" to "&amp;INDIRECT(SUBSTITUTE(G88," ",""))+1</f>
        <v>#REF!</v>
      </c>
      <c r="AY88" s="616"/>
      <c r="AZ88" s="616"/>
      <c r="BA88" s="616"/>
      <c r="BB88" s="616"/>
      <c r="BC88" s="616"/>
      <c r="BD88" s="616"/>
      <c r="BE88" s="616"/>
      <c r="BF88" s="616"/>
      <c r="BG88" s="616"/>
      <c r="BH88" s="616"/>
      <c r="BI88" s="616"/>
      <c r="BJ88" s="616"/>
      <c r="BK88" s="616"/>
      <c r="BL88" s="616"/>
      <c r="BM88" s="616"/>
      <c r="BN88" s="616"/>
      <c r="BO88" s="616"/>
      <c r="BP88" s="616"/>
      <c r="BQ88" s="616"/>
      <c r="BR88" s="616"/>
      <c r="BS88" s="616"/>
      <c r="BT88" s="616"/>
      <c r="BU88" s="616"/>
      <c r="BV88" s="616"/>
      <c r="BW88" s="616"/>
      <c r="BX88" s="616"/>
      <c r="BY88" s="616"/>
      <c r="BZ88" s="616"/>
      <c r="CA88" s="616"/>
      <c r="CB88" s="616"/>
      <c r="CC88" s="616"/>
      <c r="CD88" s="616"/>
      <c r="CE88" s="616"/>
      <c r="CF88" s="616"/>
      <c r="CG88" s="616"/>
      <c r="CH88" s="616"/>
      <c r="CI88" s="616"/>
      <c r="CJ88" s="616"/>
      <c r="CK88" s="616"/>
      <c r="CL88" s="616"/>
      <c r="CM88" s="616"/>
      <c r="CN88" s="616"/>
      <c r="CO88" s="616"/>
      <c r="CP88" s="616"/>
      <c r="CQ88" s="616"/>
      <c r="CR88" s="616"/>
      <c r="CS88" s="616"/>
      <c r="CT88" s="616"/>
      <c r="CU88" s="616"/>
      <c r="CV88" s="616"/>
      <c r="CW88" s="616"/>
      <c r="CX88" s="616"/>
      <c r="CY88" s="616"/>
      <c r="CZ88" s="616"/>
      <c r="DA88" s="616"/>
      <c r="DB88" s="616"/>
      <c r="DC88" s="616"/>
      <c r="DD88" s="616"/>
      <c r="DE88" s="616"/>
      <c r="DF88" s="616"/>
      <c r="DG88" s="616"/>
      <c r="DH88" s="616"/>
      <c r="DI88" s="616"/>
      <c r="DJ88" s="616"/>
      <c r="DK88" s="616"/>
      <c r="DL88" s="616"/>
      <c r="DM88" s="616"/>
      <c r="DN88" s="616"/>
      <c r="DO88" s="616"/>
      <c r="DP88" s="616"/>
      <c r="DQ88" s="617"/>
      <c r="DR88" s="229"/>
    </row>
    <row r="89" spans="1:122" ht="7.5" customHeight="1" x14ac:dyDescent="0.25">
      <c r="A89" s="591"/>
      <c r="B89" s="592"/>
      <c r="C89" s="592"/>
      <c r="D89" s="592"/>
      <c r="E89" s="593"/>
      <c r="F89" s="145"/>
      <c r="G89" s="598"/>
      <c r="H89" s="598"/>
      <c r="I89" s="598"/>
      <c r="J89" s="598"/>
      <c r="K89" s="598"/>
      <c r="L89" s="598"/>
      <c r="M89" s="598"/>
      <c r="N89" s="598"/>
      <c r="O89" s="598"/>
      <c r="P89" s="598"/>
      <c r="Q89" s="598"/>
      <c r="R89" s="598"/>
      <c r="S89" s="598"/>
      <c r="T89" s="598"/>
      <c r="U89" s="598"/>
      <c r="V89" s="598"/>
      <c r="W89" s="598"/>
      <c r="X89" s="598"/>
      <c r="Y89" s="598"/>
      <c r="Z89" s="602"/>
      <c r="AA89" s="602"/>
      <c r="AB89" s="602"/>
      <c r="AC89" s="602"/>
      <c r="AD89" s="602"/>
      <c r="AE89" s="602"/>
      <c r="AF89" s="602"/>
      <c r="AG89" s="635"/>
      <c r="AH89" s="132"/>
      <c r="AI89" s="129"/>
      <c r="AJ89" s="129"/>
      <c r="AK89" s="129"/>
      <c r="AL89" s="129"/>
      <c r="AM89" s="129"/>
      <c r="AN89" s="129"/>
      <c r="AO89" s="129"/>
      <c r="AP89" s="129"/>
      <c r="AQ89" s="129"/>
      <c r="AR89" s="129"/>
      <c r="AS89" s="129"/>
      <c r="AT89" s="129"/>
      <c r="AU89" s="129"/>
      <c r="AV89" s="129"/>
      <c r="AW89" s="145"/>
      <c r="AX89" s="619"/>
      <c r="AY89" s="619"/>
      <c r="AZ89" s="619"/>
      <c r="BA89" s="619"/>
      <c r="BB89" s="619"/>
      <c r="BC89" s="619"/>
      <c r="BD89" s="619"/>
      <c r="BE89" s="619"/>
      <c r="BF89" s="619"/>
      <c r="BG89" s="619"/>
      <c r="BH89" s="619"/>
      <c r="BI89" s="619"/>
      <c r="BJ89" s="619"/>
      <c r="BK89" s="619"/>
      <c r="BL89" s="619"/>
      <c r="BM89" s="619"/>
      <c r="BN89" s="619"/>
      <c r="BO89" s="619"/>
      <c r="BP89" s="619"/>
      <c r="BQ89" s="619"/>
      <c r="BR89" s="619"/>
      <c r="BS89" s="619"/>
      <c r="BT89" s="619"/>
      <c r="BU89" s="619"/>
      <c r="BV89" s="619"/>
      <c r="BW89" s="619"/>
      <c r="BX89" s="619"/>
      <c r="BY89" s="619"/>
      <c r="BZ89" s="619"/>
      <c r="CA89" s="619"/>
      <c r="CB89" s="619"/>
      <c r="CC89" s="619"/>
      <c r="CD89" s="619"/>
      <c r="CE89" s="619"/>
      <c r="CF89" s="619"/>
      <c r="CG89" s="619"/>
      <c r="CH89" s="619"/>
      <c r="CI89" s="619"/>
      <c r="CJ89" s="619"/>
      <c r="CK89" s="619"/>
      <c r="CL89" s="619"/>
      <c r="CM89" s="619"/>
      <c r="CN89" s="619"/>
      <c r="CO89" s="619"/>
      <c r="CP89" s="619"/>
      <c r="CQ89" s="619"/>
      <c r="CR89" s="619"/>
      <c r="CS89" s="619"/>
      <c r="CT89" s="619"/>
      <c r="CU89" s="619"/>
      <c r="CV89" s="619"/>
      <c r="CW89" s="619"/>
      <c r="CX89" s="619"/>
      <c r="CY89" s="619"/>
      <c r="CZ89" s="619"/>
      <c r="DA89" s="619"/>
      <c r="DB89" s="619"/>
      <c r="DC89" s="619"/>
      <c r="DD89" s="619"/>
      <c r="DE89" s="619"/>
      <c r="DF89" s="619"/>
      <c r="DG89" s="619"/>
      <c r="DH89" s="619"/>
      <c r="DI89" s="619"/>
      <c r="DJ89" s="619"/>
      <c r="DK89" s="619"/>
      <c r="DL89" s="619"/>
      <c r="DM89" s="619"/>
      <c r="DN89" s="619"/>
      <c r="DO89" s="619"/>
      <c r="DP89" s="619"/>
      <c r="DQ89" s="639"/>
      <c r="DR89" s="229"/>
    </row>
    <row r="90" spans="1:122" ht="7.5" customHeight="1" x14ac:dyDescent="0.25">
      <c r="A90" s="594"/>
      <c r="B90" s="595"/>
      <c r="C90" s="595"/>
      <c r="D90" s="595"/>
      <c r="E90" s="596"/>
      <c r="G90" s="599"/>
      <c r="H90" s="599"/>
      <c r="I90" s="599"/>
      <c r="J90" s="599"/>
      <c r="K90" s="599"/>
      <c r="L90" s="599"/>
      <c r="M90" s="599"/>
      <c r="N90" s="599"/>
      <c r="O90" s="599"/>
      <c r="P90" s="599"/>
      <c r="Q90" s="599"/>
      <c r="R90" s="599"/>
      <c r="S90" s="599"/>
      <c r="T90" s="599"/>
      <c r="U90" s="599"/>
      <c r="V90" s="599"/>
      <c r="W90" s="599"/>
      <c r="X90" s="599"/>
      <c r="Y90" s="599"/>
      <c r="Z90" s="602"/>
      <c r="AA90" s="602"/>
      <c r="AB90" s="602"/>
      <c r="AC90" s="602"/>
      <c r="AD90" s="602"/>
      <c r="AE90" s="602"/>
      <c r="AF90" s="602"/>
      <c r="AG90" s="636"/>
      <c r="AH90" s="132"/>
      <c r="AI90" s="129"/>
      <c r="AJ90" s="129"/>
      <c r="AK90" s="129"/>
      <c r="AL90" s="129"/>
      <c r="AM90" s="129"/>
      <c r="AN90" s="129"/>
      <c r="AO90" s="129"/>
      <c r="AP90" s="129"/>
      <c r="AQ90" s="129"/>
      <c r="AR90" s="129"/>
      <c r="AS90" s="129"/>
      <c r="AT90" s="129"/>
      <c r="AU90" s="129"/>
      <c r="AV90" s="129"/>
      <c r="AW90" s="146"/>
      <c r="AX90" s="619"/>
      <c r="AY90" s="619"/>
      <c r="AZ90" s="619"/>
      <c r="BA90" s="619"/>
      <c r="BB90" s="619"/>
      <c r="BC90" s="619"/>
      <c r="BD90" s="619"/>
      <c r="BE90" s="619"/>
      <c r="BF90" s="619"/>
      <c r="BG90" s="619"/>
      <c r="BH90" s="619"/>
      <c r="BI90" s="619"/>
      <c r="BJ90" s="619"/>
      <c r="BK90" s="619"/>
      <c r="BL90" s="619"/>
      <c r="BM90" s="619"/>
      <c r="BN90" s="619"/>
      <c r="BO90" s="619"/>
      <c r="BP90" s="619"/>
      <c r="BQ90" s="619"/>
      <c r="BR90" s="619"/>
      <c r="BS90" s="619"/>
      <c r="BT90" s="619"/>
      <c r="BU90" s="619"/>
      <c r="BV90" s="619"/>
      <c r="BW90" s="619"/>
      <c r="BX90" s="619"/>
      <c r="BY90" s="619"/>
      <c r="BZ90" s="619"/>
      <c r="CA90" s="619"/>
      <c r="CB90" s="619"/>
      <c r="CC90" s="619"/>
      <c r="CD90" s="619"/>
      <c r="CE90" s="619"/>
      <c r="CF90" s="619"/>
      <c r="CG90" s="619"/>
      <c r="CH90" s="619"/>
      <c r="CI90" s="619"/>
      <c r="CJ90" s="619"/>
      <c r="CK90" s="619"/>
      <c r="CL90" s="619"/>
      <c r="CM90" s="619"/>
      <c r="CN90" s="619"/>
      <c r="CO90" s="619"/>
      <c r="CP90" s="619"/>
      <c r="CQ90" s="619"/>
      <c r="CR90" s="619"/>
      <c r="CS90" s="619"/>
      <c r="CT90" s="619"/>
      <c r="CU90" s="619"/>
      <c r="CV90" s="619"/>
      <c r="CW90" s="619"/>
      <c r="CX90" s="619"/>
      <c r="CY90" s="619"/>
      <c r="CZ90" s="619"/>
      <c r="DA90" s="619"/>
      <c r="DB90" s="619"/>
      <c r="DC90" s="619"/>
      <c r="DD90" s="619"/>
      <c r="DE90" s="619"/>
      <c r="DF90" s="619"/>
      <c r="DG90" s="619"/>
      <c r="DH90" s="619"/>
      <c r="DI90" s="619"/>
      <c r="DJ90" s="619"/>
      <c r="DK90" s="619"/>
      <c r="DL90" s="619"/>
      <c r="DM90" s="619"/>
      <c r="DN90" s="619"/>
      <c r="DO90" s="619"/>
      <c r="DP90" s="619"/>
      <c r="DQ90" s="640"/>
      <c r="DR90" s="229"/>
    </row>
    <row r="91" spans="1:122" ht="7.5" customHeight="1" x14ac:dyDescent="0.25">
      <c r="A91" s="119"/>
      <c r="B91" s="119"/>
      <c r="C91" s="119"/>
      <c r="D91" s="119"/>
      <c r="E91" s="119"/>
      <c r="F91" s="653" t="str">
        <f>G88</f>
        <v>Magicka</v>
      </c>
      <c r="G91" s="653"/>
      <c r="H91" s="653"/>
      <c r="I91" s="653"/>
      <c r="J91" s="653"/>
      <c r="K91" s="625" t="e">
        <f ca="1">(FLOOR(INDIRECT(SUBSTITUTE(SUBSTITUTE(G88,"-","")," ",""))/5,1)*(FLOOR(INDIRECT(SUBSTITUTE(SUBSTITUTE(G88,"-","")," ",""))/5,1)+1)/2)*50+MOD(INDIRECT(SUBSTITUTE(SUBSTITUTE(G88,"-","")," ","")),5)*CEILING(INDIRECT(SUBSTITUTE(SUBSTITUTE(G88,"-","")," ",""))/5,1)*10-((FLOOR(INDIRECT("Base"&amp;SUBSTITUTE(SUBSTITUTE(G88,"-","")," ",""))/5,1)*(FLOOR(INDIRECT("Base"&amp;SUBSTITUTE(SUBSTITUTE(G88,"-","")," ",""))/5,1)+1)/2)*50+MOD(INDIRECT("Base"&amp;SUBSTITUTE(SUBSTITUTE(G88,"-","")," ","")),5)*CEILING(INDIRECT("Base"&amp;SUBSTITUTE(SUBSTITUTE(G88,"-","")," ",""))/5,1)*10)</f>
        <v>#REF!</v>
      </c>
      <c r="L91" s="625"/>
      <c r="M91" s="625"/>
      <c r="N91" s="626" t="b">
        <f>IF(AH80&lt;&gt;"",VLOOKUP($G88,'Merit Data'!A:BW,MATCH('Merit Data'!$B$3,'Merit Data'!$3:$3,0),0),TRUE)</f>
        <v>1</v>
      </c>
      <c r="O91" s="626"/>
      <c r="P91" s="626"/>
      <c r="Q91" s="140"/>
      <c r="R91" s="140"/>
      <c r="S91" s="140"/>
      <c r="T91" s="140"/>
      <c r="U91" s="140"/>
      <c r="V91" s="238"/>
      <c r="W91" s="238"/>
      <c r="X91" s="627" t="str">
        <f>IF(F91&gt;0,HYPERLINK("http://wiki.project-saros.com/w/"&amp;F91,"Info"),"")</f>
        <v>Info</v>
      </c>
      <c r="Y91" s="628"/>
      <c r="Z91" s="637"/>
      <c r="AA91" s="637"/>
      <c r="AB91" s="637"/>
      <c r="AC91" s="637"/>
      <c r="AD91" s="637"/>
      <c r="AE91" s="637"/>
      <c r="AF91" s="637"/>
      <c r="AG91" s="638"/>
      <c r="AH91" s="148"/>
      <c r="AI91" s="131"/>
      <c r="AJ91" s="131"/>
      <c r="AK91" s="149"/>
      <c r="AL91" s="149"/>
      <c r="AM91" s="149"/>
      <c r="AN91" s="149"/>
      <c r="AO91" s="149"/>
      <c r="AP91" s="149"/>
      <c r="AQ91" s="149"/>
      <c r="AR91" s="149"/>
      <c r="AS91" s="131"/>
      <c r="AT91" s="131"/>
      <c r="AU91" s="131"/>
      <c r="AV91" s="131"/>
      <c r="AW91" s="150"/>
      <c r="AX91" s="641"/>
      <c r="AY91" s="641"/>
      <c r="AZ91" s="641"/>
      <c r="BA91" s="641"/>
      <c r="BB91" s="641"/>
      <c r="BC91" s="641"/>
      <c r="BD91" s="641"/>
      <c r="BE91" s="641"/>
      <c r="BF91" s="641"/>
      <c r="BG91" s="641"/>
      <c r="BH91" s="641"/>
      <c r="BI91" s="641"/>
      <c r="BJ91" s="641"/>
      <c r="BK91" s="641"/>
      <c r="BL91" s="641"/>
      <c r="BM91" s="641"/>
      <c r="BN91" s="641"/>
      <c r="BO91" s="641"/>
      <c r="BP91" s="641"/>
      <c r="BQ91" s="641"/>
      <c r="BR91" s="641"/>
      <c r="BS91" s="641"/>
      <c r="BT91" s="641"/>
      <c r="BU91" s="641"/>
      <c r="BV91" s="641"/>
      <c r="BW91" s="641"/>
      <c r="BX91" s="641"/>
      <c r="BY91" s="641"/>
      <c r="BZ91" s="641"/>
      <c r="CA91" s="641"/>
      <c r="CB91" s="641"/>
      <c r="CC91" s="641"/>
      <c r="CD91" s="641"/>
      <c r="CE91" s="641"/>
      <c r="CF91" s="641"/>
      <c r="CG91" s="641"/>
      <c r="CH91" s="641"/>
      <c r="CI91" s="641"/>
      <c r="CJ91" s="641"/>
      <c r="CK91" s="641"/>
      <c r="CL91" s="641"/>
      <c r="CM91" s="641"/>
      <c r="CN91" s="641"/>
      <c r="CO91" s="641"/>
      <c r="CP91" s="641"/>
      <c r="CQ91" s="641"/>
      <c r="CR91" s="641"/>
      <c r="CS91" s="641"/>
      <c r="CT91" s="641"/>
      <c r="CU91" s="641"/>
      <c r="CV91" s="641"/>
      <c r="CW91" s="641"/>
      <c r="CX91" s="641"/>
      <c r="CY91" s="641"/>
      <c r="CZ91" s="641"/>
      <c r="DA91" s="641"/>
      <c r="DB91" s="641"/>
      <c r="DC91" s="641"/>
      <c r="DD91" s="641"/>
      <c r="DE91" s="641"/>
      <c r="DF91" s="641"/>
      <c r="DG91" s="641"/>
      <c r="DH91" s="641"/>
      <c r="DI91" s="641"/>
      <c r="DJ91" s="641"/>
      <c r="DK91" s="641"/>
      <c r="DL91" s="641"/>
      <c r="DM91" s="641"/>
      <c r="DN91" s="641"/>
      <c r="DO91" s="641"/>
      <c r="DP91" s="641"/>
      <c r="DQ91" s="642"/>
      <c r="DR91" s="229"/>
    </row>
    <row r="92" spans="1:122" ht="7.5" customHeight="1" x14ac:dyDescent="0.25">
      <c r="A92" s="588">
        <v>0</v>
      </c>
      <c r="B92" s="589"/>
      <c r="C92" s="589"/>
      <c r="D92" s="589"/>
      <c r="E92" s="590"/>
      <c r="G92" s="597" t="s">
        <v>149</v>
      </c>
      <c r="H92" s="597"/>
      <c r="I92" s="597"/>
      <c r="J92" s="597"/>
      <c r="K92" s="597"/>
      <c r="L92" s="597"/>
      <c r="M92" s="597"/>
      <c r="N92" s="597"/>
      <c r="O92" s="597"/>
      <c r="P92" s="597"/>
      <c r="Q92" s="597"/>
      <c r="R92" s="597"/>
      <c r="S92" s="597"/>
      <c r="T92" s="597"/>
      <c r="U92" s="597"/>
      <c r="V92" s="597"/>
      <c r="W92" s="597"/>
      <c r="X92" s="597"/>
      <c r="Y92" s="597"/>
      <c r="Z92" s="600" t="e">
        <f>FLOOR(Polearms/5+1,1)*10</f>
        <v>#REF!</v>
      </c>
      <c r="AA92" s="600"/>
      <c r="AB92" s="600"/>
      <c r="AC92" s="600"/>
      <c r="AD92" s="600"/>
      <c r="AE92" s="600"/>
      <c r="AF92" s="600"/>
      <c r="AG92" s="601"/>
      <c r="AH92" s="142"/>
      <c r="AI92" s="143"/>
      <c r="AJ92" s="143"/>
      <c r="AK92" s="143"/>
      <c r="AL92" s="143"/>
      <c r="AM92" s="143"/>
      <c r="AN92" s="143"/>
      <c r="AO92" s="143"/>
      <c r="AP92" s="143"/>
      <c r="AQ92" s="143"/>
      <c r="AR92" s="143"/>
      <c r="AS92" s="143"/>
      <c r="AT92" s="143"/>
      <c r="AU92" s="143"/>
      <c r="AV92" s="143"/>
      <c r="AW92" s="144"/>
      <c r="AX92" s="616" t="e">
        <f ca="1">"Further increases your "&amp;G92&amp;" skill from "&amp;INDIRECT(SUBSTITUTE(G92," ",""))&amp;" to "&amp;INDIRECT(SUBSTITUTE(G92," ",""))+1</f>
        <v>#REF!</v>
      </c>
      <c r="AY92" s="616"/>
      <c r="AZ92" s="616"/>
      <c r="BA92" s="616"/>
      <c r="BB92" s="616"/>
      <c r="BC92" s="616"/>
      <c r="BD92" s="616"/>
      <c r="BE92" s="616"/>
      <c r="BF92" s="616"/>
      <c r="BG92" s="616"/>
      <c r="BH92" s="616"/>
      <c r="BI92" s="616"/>
      <c r="BJ92" s="616"/>
      <c r="BK92" s="616"/>
      <c r="BL92" s="616"/>
      <c r="BM92" s="616"/>
      <c r="BN92" s="616"/>
      <c r="BO92" s="616"/>
      <c r="BP92" s="616"/>
      <c r="BQ92" s="616"/>
      <c r="BR92" s="616"/>
      <c r="BS92" s="616"/>
      <c r="BT92" s="616"/>
      <c r="BU92" s="616"/>
      <c r="BV92" s="616"/>
      <c r="BW92" s="616"/>
      <c r="BX92" s="616"/>
      <c r="BY92" s="616"/>
      <c r="BZ92" s="616"/>
      <c r="CA92" s="616"/>
      <c r="CB92" s="616"/>
      <c r="CC92" s="616"/>
      <c r="CD92" s="616"/>
      <c r="CE92" s="616"/>
      <c r="CF92" s="616"/>
      <c r="CG92" s="616"/>
      <c r="CH92" s="616"/>
      <c r="CI92" s="616"/>
      <c r="CJ92" s="616"/>
      <c r="CK92" s="616"/>
      <c r="CL92" s="616"/>
      <c r="CM92" s="616"/>
      <c r="CN92" s="616"/>
      <c r="CO92" s="616"/>
      <c r="CP92" s="616"/>
      <c r="CQ92" s="616"/>
      <c r="CR92" s="616"/>
      <c r="CS92" s="616"/>
      <c r="CT92" s="616"/>
      <c r="CU92" s="616"/>
      <c r="CV92" s="616"/>
      <c r="CW92" s="616"/>
      <c r="CX92" s="616"/>
      <c r="CY92" s="616"/>
      <c r="CZ92" s="616"/>
      <c r="DA92" s="616"/>
      <c r="DB92" s="616"/>
      <c r="DC92" s="616"/>
      <c r="DD92" s="616"/>
      <c r="DE92" s="616"/>
      <c r="DF92" s="616"/>
      <c r="DG92" s="616"/>
      <c r="DH92" s="616"/>
      <c r="DI92" s="616"/>
      <c r="DJ92" s="616"/>
      <c r="DK92" s="616"/>
      <c r="DL92" s="616"/>
      <c r="DM92" s="616"/>
      <c r="DN92" s="616"/>
      <c r="DO92" s="616"/>
      <c r="DP92" s="616"/>
      <c r="DQ92" s="617"/>
      <c r="DR92" s="229"/>
    </row>
    <row r="93" spans="1:122" ht="7.5" customHeight="1" x14ac:dyDescent="0.25">
      <c r="A93" s="591"/>
      <c r="B93" s="592"/>
      <c r="C93" s="592"/>
      <c r="D93" s="592"/>
      <c r="E93" s="593"/>
      <c r="F93" s="145"/>
      <c r="G93" s="598"/>
      <c r="H93" s="598"/>
      <c r="I93" s="598"/>
      <c r="J93" s="598"/>
      <c r="K93" s="598"/>
      <c r="L93" s="598"/>
      <c r="M93" s="598"/>
      <c r="N93" s="598"/>
      <c r="O93" s="598"/>
      <c r="P93" s="598"/>
      <c r="Q93" s="598"/>
      <c r="R93" s="598"/>
      <c r="S93" s="598"/>
      <c r="T93" s="598"/>
      <c r="U93" s="598"/>
      <c r="V93" s="598"/>
      <c r="W93" s="598"/>
      <c r="X93" s="598"/>
      <c r="Y93" s="598"/>
      <c r="Z93" s="602"/>
      <c r="AA93" s="602"/>
      <c r="AB93" s="602"/>
      <c r="AC93" s="602"/>
      <c r="AD93" s="602"/>
      <c r="AE93" s="602"/>
      <c r="AF93" s="602"/>
      <c r="AG93" s="635"/>
      <c r="AH93" s="132"/>
      <c r="AI93" s="129"/>
      <c r="AJ93" s="129"/>
      <c r="AK93" s="129"/>
      <c r="AL93" s="129"/>
      <c r="AM93" s="129"/>
      <c r="AN93" s="129"/>
      <c r="AO93" s="129"/>
      <c r="AP93" s="129"/>
      <c r="AQ93" s="129"/>
      <c r="AR93" s="129"/>
      <c r="AS93" s="129"/>
      <c r="AT93" s="129"/>
      <c r="AU93" s="129"/>
      <c r="AV93" s="129"/>
      <c r="AW93" s="145"/>
      <c r="AX93" s="619"/>
      <c r="AY93" s="619"/>
      <c r="AZ93" s="619"/>
      <c r="BA93" s="619"/>
      <c r="BB93" s="619"/>
      <c r="BC93" s="619"/>
      <c r="BD93" s="619"/>
      <c r="BE93" s="619"/>
      <c r="BF93" s="619"/>
      <c r="BG93" s="619"/>
      <c r="BH93" s="619"/>
      <c r="BI93" s="619"/>
      <c r="BJ93" s="619"/>
      <c r="BK93" s="619"/>
      <c r="BL93" s="619"/>
      <c r="BM93" s="619"/>
      <c r="BN93" s="619"/>
      <c r="BO93" s="619"/>
      <c r="BP93" s="619"/>
      <c r="BQ93" s="619"/>
      <c r="BR93" s="619"/>
      <c r="BS93" s="619"/>
      <c r="BT93" s="619"/>
      <c r="BU93" s="619"/>
      <c r="BV93" s="619"/>
      <c r="BW93" s="619"/>
      <c r="BX93" s="619"/>
      <c r="BY93" s="619"/>
      <c r="BZ93" s="619"/>
      <c r="CA93" s="619"/>
      <c r="CB93" s="619"/>
      <c r="CC93" s="619"/>
      <c r="CD93" s="619"/>
      <c r="CE93" s="619"/>
      <c r="CF93" s="619"/>
      <c r="CG93" s="619"/>
      <c r="CH93" s="619"/>
      <c r="CI93" s="619"/>
      <c r="CJ93" s="619"/>
      <c r="CK93" s="619"/>
      <c r="CL93" s="619"/>
      <c r="CM93" s="619"/>
      <c r="CN93" s="619"/>
      <c r="CO93" s="619"/>
      <c r="CP93" s="619"/>
      <c r="CQ93" s="619"/>
      <c r="CR93" s="619"/>
      <c r="CS93" s="619"/>
      <c r="CT93" s="619"/>
      <c r="CU93" s="619"/>
      <c r="CV93" s="619"/>
      <c r="CW93" s="619"/>
      <c r="CX93" s="619"/>
      <c r="CY93" s="619"/>
      <c r="CZ93" s="619"/>
      <c r="DA93" s="619"/>
      <c r="DB93" s="619"/>
      <c r="DC93" s="619"/>
      <c r="DD93" s="619"/>
      <c r="DE93" s="619"/>
      <c r="DF93" s="619"/>
      <c r="DG93" s="619"/>
      <c r="DH93" s="619"/>
      <c r="DI93" s="619"/>
      <c r="DJ93" s="619"/>
      <c r="DK93" s="619"/>
      <c r="DL93" s="619"/>
      <c r="DM93" s="619"/>
      <c r="DN93" s="619"/>
      <c r="DO93" s="619"/>
      <c r="DP93" s="619"/>
      <c r="DQ93" s="639"/>
      <c r="DR93" s="229"/>
    </row>
    <row r="94" spans="1:122" ht="7.5" customHeight="1" x14ac:dyDescent="0.25">
      <c r="A94" s="594"/>
      <c r="B94" s="595"/>
      <c r="C94" s="595"/>
      <c r="D94" s="595"/>
      <c r="E94" s="596"/>
      <c r="G94" s="599"/>
      <c r="H94" s="599"/>
      <c r="I94" s="599"/>
      <c r="J94" s="599"/>
      <c r="K94" s="599"/>
      <c r="L94" s="599"/>
      <c r="M94" s="599"/>
      <c r="N94" s="599"/>
      <c r="O94" s="599"/>
      <c r="P94" s="599"/>
      <c r="Q94" s="599"/>
      <c r="R94" s="599"/>
      <c r="S94" s="599"/>
      <c r="T94" s="599"/>
      <c r="U94" s="599"/>
      <c r="V94" s="599"/>
      <c r="W94" s="599"/>
      <c r="X94" s="599"/>
      <c r="Y94" s="599"/>
      <c r="Z94" s="602"/>
      <c r="AA94" s="602"/>
      <c r="AB94" s="602"/>
      <c r="AC94" s="602"/>
      <c r="AD94" s="602"/>
      <c r="AE94" s="602"/>
      <c r="AF94" s="602"/>
      <c r="AG94" s="636"/>
      <c r="AH94" s="132"/>
      <c r="AI94" s="129"/>
      <c r="AJ94" s="129"/>
      <c r="AK94" s="129"/>
      <c r="AL94" s="129"/>
      <c r="AM94" s="129"/>
      <c r="AN94" s="129"/>
      <c r="AO94" s="129"/>
      <c r="AP94" s="129"/>
      <c r="AQ94" s="129"/>
      <c r="AR94" s="129"/>
      <c r="AS94" s="129"/>
      <c r="AT94" s="129"/>
      <c r="AU94" s="129"/>
      <c r="AV94" s="129"/>
      <c r="AW94" s="146"/>
      <c r="AX94" s="619"/>
      <c r="AY94" s="619"/>
      <c r="AZ94" s="619"/>
      <c r="BA94" s="619"/>
      <c r="BB94" s="619"/>
      <c r="BC94" s="619"/>
      <c r="BD94" s="619"/>
      <c r="BE94" s="619"/>
      <c r="BF94" s="619"/>
      <c r="BG94" s="619"/>
      <c r="BH94" s="619"/>
      <c r="BI94" s="619"/>
      <c r="BJ94" s="619"/>
      <c r="BK94" s="619"/>
      <c r="BL94" s="619"/>
      <c r="BM94" s="619"/>
      <c r="BN94" s="619"/>
      <c r="BO94" s="619"/>
      <c r="BP94" s="619"/>
      <c r="BQ94" s="619"/>
      <c r="BR94" s="619"/>
      <c r="BS94" s="619"/>
      <c r="BT94" s="619"/>
      <c r="BU94" s="619"/>
      <c r="BV94" s="619"/>
      <c r="BW94" s="619"/>
      <c r="BX94" s="619"/>
      <c r="BY94" s="619"/>
      <c r="BZ94" s="619"/>
      <c r="CA94" s="619"/>
      <c r="CB94" s="619"/>
      <c r="CC94" s="619"/>
      <c r="CD94" s="619"/>
      <c r="CE94" s="619"/>
      <c r="CF94" s="619"/>
      <c r="CG94" s="619"/>
      <c r="CH94" s="619"/>
      <c r="CI94" s="619"/>
      <c r="CJ94" s="619"/>
      <c r="CK94" s="619"/>
      <c r="CL94" s="619"/>
      <c r="CM94" s="619"/>
      <c r="CN94" s="619"/>
      <c r="CO94" s="619"/>
      <c r="CP94" s="619"/>
      <c r="CQ94" s="619"/>
      <c r="CR94" s="619"/>
      <c r="CS94" s="619"/>
      <c r="CT94" s="619"/>
      <c r="CU94" s="619"/>
      <c r="CV94" s="619"/>
      <c r="CW94" s="619"/>
      <c r="CX94" s="619"/>
      <c r="CY94" s="619"/>
      <c r="CZ94" s="619"/>
      <c r="DA94" s="619"/>
      <c r="DB94" s="619"/>
      <c r="DC94" s="619"/>
      <c r="DD94" s="619"/>
      <c r="DE94" s="619"/>
      <c r="DF94" s="619"/>
      <c r="DG94" s="619"/>
      <c r="DH94" s="619"/>
      <c r="DI94" s="619"/>
      <c r="DJ94" s="619"/>
      <c r="DK94" s="619"/>
      <c r="DL94" s="619"/>
      <c r="DM94" s="619"/>
      <c r="DN94" s="619"/>
      <c r="DO94" s="619"/>
      <c r="DP94" s="619"/>
      <c r="DQ94" s="640"/>
      <c r="DR94" s="229"/>
    </row>
    <row r="95" spans="1:122" ht="7.5" customHeight="1" x14ac:dyDescent="0.25">
      <c r="A95" s="119"/>
      <c r="B95" s="119"/>
      <c r="C95" s="119"/>
      <c r="D95" s="119"/>
      <c r="E95" s="119"/>
      <c r="F95" s="653" t="str">
        <f>G92</f>
        <v>Polearms</v>
      </c>
      <c r="G95" s="653"/>
      <c r="H95" s="653"/>
      <c r="I95" s="653"/>
      <c r="J95" s="653"/>
      <c r="K95" s="625" t="e">
        <f ca="1">(FLOOR(INDIRECT(SUBSTITUTE(SUBSTITUTE(G92,"-","")," ",""))/5,1)*(FLOOR(INDIRECT(SUBSTITUTE(SUBSTITUTE(G92,"-","")," ",""))/5,1)+1)/2)*50+MOD(INDIRECT(SUBSTITUTE(SUBSTITUTE(G92,"-","")," ","")),5)*CEILING(INDIRECT(SUBSTITUTE(SUBSTITUTE(G92,"-","")," ",""))/5,1)*10-((FLOOR(INDIRECT("Base"&amp;SUBSTITUTE(SUBSTITUTE(G92,"-","")," ",""))/5,1)*(FLOOR(INDIRECT("Base"&amp;SUBSTITUTE(SUBSTITUTE(G92,"-","")," ",""))/5,1)+1)/2)*50+MOD(INDIRECT("Base"&amp;SUBSTITUTE(SUBSTITUTE(G92,"-","")," ","")),5)*CEILING(INDIRECT("Base"&amp;SUBSTITUTE(SUBSTITUTE(G92,"-","")," ",""))/5,1)*10)</f>
        <v>#REF!</v>
      </c>
      <c r="L95" s="625"/>
      <c r="M95" s="625"/>
      <c r="N95" s="626" t="b">
        <f>IF(AH104&lt;&gt;"",VLOOKUP($G92,'Merit Data'!A:BW,MATCH('Merit Data'!$B$3,'Merit Data'!$3:$3,0),0),TRUE)</f>
        <v>1</v>
      </c>
      <c r="O95" s="626"/>
      <c r="P95" s="626"/>
      <c r="Q95" s="140"/>
      <c r="R95" s="140"/>
      <c r="S95" s="140"/>
      <c r="T95" s="140"/>
      <c r="U95" s="140"/>
      <c r="V95" s="238"/>
      <c r="W95" s="238"/>
      <c r="X95" s="627" t="str">
        <f>IF(F95&gt;0,HYPERLINK("http://wiki.project-saros.com/w/"&amp;F95,"Info"),"")</f>
        <v>Info</v>
      </c>
      <c r="Y95" s="628"/>
      <c r="Z95" s="637"/>
      <c r="AA95" s="637"/>
      <c r="AB95" s="637"/>
      <c r="AC95" s="637"/>
      <c r="AD95" s="637"/>
      <c r="AE95" s="637"/>
      <c r="AF95" s="637"/>
      <c r="AG95" s="638"/>
      <c r="AH95" s="148"/>
      <c r="AI95" s="131"/>
      <c r="AJ95" s="131"/>
      <c r="AK95" s="149"/>
      <c r="AL95" s="149"/>
      <c r="AM95" s="149"/>
      <c r="AN95" s="149"/>
      <c r="AO95" s="149"/>
      <c r="AP95" s="149"/>
      <c r="AQ95" s="149"/>
      <c r="AR95" s="149"/>
      <c r="AS95" s="131"/>
      <c r="AT95" s="131"/>
      <c r="AU95" s="131"/>
      <c r="AV95" s="131"/>
      <c r="AW95" s="150"/>
      <c r="AX95" s="641"/>
      <c r="AY95" s="641"/>
      <c r="AZ95" s="641"/>
      <c r="BA95" s="641"/>
      <c r="BB95" s="641"/>
      <c r="BC95" s="641"/>
      <c r="BD95" s="641"/>
      <c r="BE95" s="641"/>
      <c r="BF95" s="641"/>
      <c r="BG95" s="641"/>
      <c r="BH95" s="641"/>
      <c r="BI95" s="641"/>
      <c r="BJ95" s="641"/>
      <c r="BK95" s="641"/>
      <c r="BL95" s="641"/>
      <c r="BM95" s="641"/>
      <c r="BN95" s="641"/>
      <c r="BO95" s="641"/>
      <c r="BP95" s="641"/>
      <c r="BQ95" s="641"/>
      <c r="BR95" s="641"/>
      <c r="BS95" s="641"/>
      <c r="BT95" s="641"/>
      <c r="BU95" s="641"/>
      <c r="BV95" s="641"/>
      <c r="BW95" s="641"/>
      <c r="BX95" s="641"/>
      <c r="BY95" s="641"/>
      <c r="BZ95" s="641"/>
      <c r="CA95" s="641"/>
      <c r="CB95" s="641"/>
      <c r="CC95" s="641"/>
      <c r="CD95" s="641"/>
      <c r="CE95" s="641"/>
      <c r="CF95" s="641"/>
      <c r="CG95" s="641"/>
      <c r="CH95" s="641"/>
      <c r="CI95" s="641"/>
      <c r="CJ95" s="641"/>
      <c r="CK95" s="641"/>
      <c r="CL95" s="641"/>
      <c r="CM95" s="641"/>
      <c r="CN95" s="641"/>
      <c r="CO95" s="641"/>
      <c r="CP95" s="641"/>
      <c r="CQ95" s="641"/>
      <c r="CR95" s="641"/>
      <c r="CS95" s="641"/>
      <c r="CT95" s="641"/>
      <c r="CU95" s="641"/>
      <c r="CV95" s="641"/>
      <c r="CW95" s="641"/>
      <c r="CX95" s="641"/>
      <c r="CY95" s="641"/>
      <c r="CZ95" s="641"/>
      <c r="DA95" s="641"/>
      <c r="DB95" s="641"/>
      <c r="DC95" s="641"/>
      <c r="DD95" s="641"/>
      <c r="DE95" s="641"/>
      <c r="DF95" s="641"/>
      <c r="DG95" s="641"/>
      <c r="DH95" s="641"/>
      <c r="DI95" s="641"/>
      <c r="DJ95" s="641"/>
      <c r="DK95" s="641"/>
      <c r="DL95" s="641"/>
      <c r="DM95" s="641"/>
      <c r="DN95" s="641"/>
      <c r="DO95" s="641"/>
      <c r="DP95" s="641"/>
      <c r="DQ95" s="642"/>
      <c r="DR95" s="229"/>
    </row>
    <row r="96" spans="1:122" ht="7.5" customHeight="1" x14ac:dyDescent="0.25">
      <c r="A96" s="588">
        <v>0</v>
      </c>
      <c r="B96" s="589"/>
      <c r="C96" s="589"/>
      <c r="D96" s="589"/>
      <c r="E96" s="590"/>
      <c r="G96" s="597" t="s">
        <v>160</v>
      </c>
      <c r="H96" s="597"/>
      <c r="I96" s="597"/>
      <c r="J96" s="597"/>
      <c r="K96" s="597"/>
      <c r="L96" s="597"/>
      <c r="M96" s="597"/>
      <c r="N96" s="597"/>
      <c r="O96" s="597"/>
      <c r="P96" s="597"/>
      <c r="Q96" s="597"/>
      <c r="R96" s="597"/>
      <c r="S96" s="597"/>
      <c r="T96" s="597"/>
      <c r="U96" s="597"/>
      <c r="V96" s="597"/>
      <c r="W96" s="597"/>
      <c r="X96" s="597"/>
      <c r="Y96" s="597"/>
      <c r="Z96" s="600" t="e">
        <f>FLOOR(Shields/5+1,1)*10</f>
        <v>#REF!</v>
      </c>
      <c r="AA96" s="600"/>
      <c r="AB96" s="600"/>
      <c r="AC96" s="600"/>
      <c r="AD96" s="600"/>
      <c r="AE96" s="600"/>
      <c r="AF96" s="600"/>
      <c r="AG96" s="601"/>
      <c r="AH96" s="142"/>
      <c r="AI96" s="143"/>
      <c r="AJ96" s="143"/>
      <c r="AK96" s="143"/>
      <c r="AL96" s="143"/>
      <c r="AM96" s="143"/>
      <c r="AN96" s="143"/>
      <c r="AO96" s="143"/>
      <c r="AP96" s="143"/>
      <c r="AQ96" s="143"/>
      <c r="AR96" s="143"/>
      <c r="AS96" s="143"/>
      <c r="AT96" s="143"/>
      <c r="AU96" s="143"/>
      <c r="AV96" s="143"/>
      <c r="AW96" s="144"/>
      <c r="AX96" s="616" t="e">
        <f ca="1">"Further increases your "&amp;G96&amp;" skill from "&amp;INDIRECT(SUBSTITUTE(G96," ",""))&amp;" to "&amp;INDIRECT(SUBSTITUTE(G96," ",""))+1</f>
        <v>#REF!</v>
      </c>
      <c r="AY96" s="616"/>
      <c r="AZ96" s="616"/>
      <c r="BA96" s="616"/>
      <c r="BB96" s="616"/>
      <c r="BC96" s="616"/>
      <c r="BD96" s="616"/>
      <c r="BE96" s="616"/>
      <c r="BF96" s="616"/>
      <c r="BG96" s="616"/>
      <c r="BH96" s="616"/>
      <c r="BI96" s="616"/>
      <c r="BJ96" s="616"/>
      <c r="BK96" s="616"/>
      <c r="BL96" s="616"/>
      <c r="BM96" s="616"/>
      <c r="BN96" s="616"/>
      <c r="BO96" s="616"/>
      <c r="BP96" s="616"/>
      <c r="BQ96" s="616"/>
      <c r="BR96" s="616"/>
      <c r="BS96" s="616"/>
      <c r="BT96" s="616"/>
      <c r="BU96" s="616"/>
      <c r="BV96" s="616"/>
      <c r="BW96" s="616"/>
      <c r="BX96" s="616"/>
      <c r="BY96" s="616"/>
      <c r="BZ96" s="616"/>
      <c r="CA96" s="616"/>
      <c r="CB96" s="616"/>
      <c r="CC96" s="616"/>
      <c r="CD96" s="616"/>
      <c r="CE96" s="616"/>
      <c r="CF96" s="616"/>
      <c r="CG96" s="616"/>
      <c r="CH96" s="616"/>
      <c r="CI96" s="616"/>
      <c r="CJ96" s="616"/>
      <c r="CK96" s="616"/>
      <c r="CL96" s="616"/>
      <c r="CM96" s="616"/>
      <c r="CN96" s="616"/>
      <c r="CO96" s="616"/>
      <c r="CP96" s="616"/>
      <c r="CQ96" s="616"/>
      <c r="CR96" s="616"/>
      <c r="CS96" s="616"/>
      <c r="CT96" s="616"/>
      <c r="CU96" s="616"/>
      <c r="CV96" s="616"/>
      <c r="CW96" s="616"/>
      <c r="CX96" s="616"/>
      <c r="CY96" s="616"/>
      <c r="CZ96" s="616"/>
      <c r="DA96" s="616"/>
      <c r="DB96" s="616"/>
      <c r="DC96" s="616"/>
      <c r="DD96" s="616"/>
      <c r="DE96" s="616"/>
      <c r="DF96" s="616"/>
      <c r="DG96" s="616"/>
      <c r="DH96" s="616"/>
      <c r="DI96" s="616"/>
      <c r="DJ96" s="616"/>
      <c r="DK96" s="616"/>
      <c r="DL96" s="616"/>
      <c r="DM96" s="616"/>
      <c r="DN96" s="616"/>
      <c r="DO96" s="616"/>
      <c r="DP96" s="616"/>
      <c r="DQ96" s="617"/>
      <c r="DR96" s="229"/>
    </row>
    <row r="97" spans="1:122" ht="7.5" customHeight="1" x14ac:dyDescent="0.25">
      <c r="A97" s="591"/>
      <c r="B97" s="592"/>
      <c r="C97" s="592"/>
      <c r="D97" s="592"/>
      <c r="E97" s="593"/>
      <c r="F97" s="145"/>
      <c r="G97" s="598"/>
      <c r="H97" s="598"/>
      <c r="I97" s="598"/>
      <c r="J97" s="598"/>
      <c r="K97" s="598"/>
      <c r="L97" s="598"/>
      <c r="M97" s="598"/>
      <c r="N97" s="598"/>
      <c r="O97" s="598"/>
      <c r="P97" s="598"/>
      <c r="Q97" s="598"/>
      <c r="R97" s="598"/>
      <c r="S97" s="598"/>
      <c r="T97" s="598"/>
      <c r="U97" s="598"/>
      <c r="V97" s="598"/>
      <c r="W97" s="598"/>
      <c r="X97" s="598"/>
      <c r="Y97" s="598"/>
      <c r="Z97" s="602"/>
      <c r="AA97" s="602"/>
      <c r="AB97" s="602"/>
      <c r="AC97" s="602"/>
      <c r="AD97" s="602"/>
      <c r="AE97" s="602"/>
      <c r="AF97" s="602"/>
      <c r="AG97" s="635"/>
      <c r="AH97" s="132"/>
      <c r="AI97" s="129"/>
      <c r="AJ97" s="129"/>
      <c r="AK97" s="129"/>
      <c r="AL97" s="129"/>
      <c r="AM97" s="129"/>
      <c r="AN97" s="129"/>
      <c r="AO97" s="129"/>
      <c r="AP97" s="129"/>
      <c r="AQ97" s="129"/>
      <c r="AR97" s="129"/>
      <c r="AS97" s="129"/>
      <c r="AT97" s="129"/>
      <c r="AU97" s="129"/>
      <c r="AV97" s="129"/>
      <c r="AW97" s="145"/>
      <c r="AX97" s="619"/>
      <c r="AY97" s="619"/>
      <c r="AZ97" s="619"/>
      <c r="BA97" s="619"/>
      <c r="BB97" s="619"/>
      <c r="BC97" s="619"/>
      <c r="BD97" s="619"/>
      <c r="BE97" s="619"/>
      <c r="BF97" s="619"/>
      <c r="BG97" s="619"/>
      <c r="BH97" s="619"/>
      <c r="BI97" s="619"/>
      <c r="BJ97" s="619"/>
      <c r="BK97" s="619"/>
      <c r="BL97" s="619"/>
      <c r="BM97" s="619"/>
      <c r="BN97" s="619"/>
      <c r="BO97" s="619"/>
      <c r="BP97" s="619"/>
      <c r="BQ97" s="619"/>
      <c r="BR97" s="619"/>
      <c r="BS97" s="619"/>
      <c r="BT97" s="619"/>
      <c r="BU97" s="619"/>
      <c r="BV97" s="619"/>
      <c r="BW97" s="619"/>
      <c r="BX97" s="619"/>
      <c r="BY97" s="619"/>
      <c r="BZ97" s="619"/>
      <c r="CA97" s="619"/>
      <c r="CB97" s="619"/>
      <c r="CC97" s="619"/>
      <c r="CD97" s="619"/>
      <c r="CE97" s="619"/>
      <c r="CF97" s="619"/>
      <c r="CG97" s="619"/>
      <c r="CH97" s="619"/>
      <c r="CI97" s="619"/>
      <c r="CJ97" s="619"/>
      <c r="CK97" s="619"/>
      <c r="CL97" s="619"/>
      <c r="CM97" s="619"/>
      <c r="CN97" s="619"/>
      <c r="CO97" s="619"/>
      <c r="CP97" s="619"/>
      <c r="CQ97" s="619"/>
      <c r="CR97" s="619"/>
      <c r="CS97" s="619"/>
      <c r="CT97" s="619"/>
      <c r="CU97" s="619"/>
      <c r="CV97" s="619"/>
      <c r="CW97" s="619"/>
      <c r="CX97" s="619"/>
      <c r="CY97" s="619"/>
      <c r="CZ97" s="619"/>
      <c r="DA97" s="619"/>
      <c r="DB97" s="619"/>
      <c r="DC97" s="619"/>
      <c r="DD97" s="619"/>
      <c r="DE97" s="619"/>
      <c r="DF97" s="619"/>
      <c r="DG97" s="619"/>
      <c r="DH97" s="619"/>
      <c r="DI97" s="619"/>
      <c r="DJ97" s="619"/>
      <c r="DK97" s="619"/>
      <c r="DL97" s="619"/>
      <c r="DM97" s="619"/>
      <c r="DN97" s="619"/>
      <c r="DO97" s="619"/>
      <c r="DP97" s="619"/>
      <c r="DQ97" s="639"/>
      <c r="DR97" s="229"/>
    </row>
    <row r="98" spans="1:122" ht="7.5" customHeight="1" x14ac:dyDescent="0.25">
      <c r="A98" s="594"/>
      <c r="B98" s="595"/>
      <c r="C98" s="595"/>
      <c r="D98" s="595"/>
      <c r="E98" s="596"/>
      <c r="G98" s="599"/>
      <c r="H98" s="599"/>
      <c r="I98" s="599"/>
      <c r="J98" s="599"/>
      <c r="K98" s="599"/>
      <c r="L98" s="599"/>
      <c r="M98" s="599"/>
      <c r="N98" s="599"/>
      <c r="O98" s="599"/>
      <c r="P98" s="599"/>
      <c r="Q98" s="599"/>
      <c r="R98" s="599"/>
      <c r="S98" s="599"/>
      <c r="T98" s="599"/>
      <c r="U98" s="599"/>
      <c r="V98" s="599"/>
      <c r="W98" s="599"/>
      <c r="X98" s="599"/>
      <c r="Y98" s="599"/>
      <c r="Z98" s="602"/>
      <c r="AA98" s="602"/>
      <c r="AB98" s="602"/>
      <c r="AC98" s="602"/>
      <c r="AD98" s="602"/>
      <c r="AE98" s="602"/>
      <c r="AF98" s="602"/>
      <c r="AG98" s="636"/>
      <c r="AH98" s="132"/>
      <c r="AI98" s="129"/>
      <c r="AJ98" s="129"/>
      <c r="AK98" s="129"/>
      <c r="AL98" s="129"/>
      <c r="AM98" s="129"/>
      <c r="AN98" s="129"/>
      <c r="AO98" s="129"/>
      <c r="AP98" s="129"/>
      <c r="AQ98" s="129"/>
      <c r="AR98" s="129"/>
      <c r="AS98" s="129"/>
      <c r="AT98" s="129"/>
      <c r="AU98" s="129"/>
      <c r="AV98" s="129"/>
      <c r="AW98" s="146"/>
      <c r="AX98" s="619"/>
      <c r="AY98" s="619"/>
      <c r="AZ98" s="619"/>
      <c r="BA98" s="619"/>
      <c r="BB98" s="619"/>
      <c r="BC98" s="619"/>
      <c r="BD98" s="619"/>
      <c r="BE98" s="619"/>
      <c r="BF98" s="619"/>
      <c r="BG98" s="619"/>
      <c r="BH98" s="619"/>
      <c r="BI98" s="619"/>
      <c r="BJ98" s="619"/>
      <c r="BK98" s="619"/>
      <c r="BL98" s="619"/>
      <c r="BM98" s="619"/>
      <c r="BN98" s="619"/>
      <c r="BO98" s="619"/>
      <c r="BP98" s="619"/>
      <c r="BQ98" s="619"/>
      <c r="BR98" s="619"/>
      <c r="BS98" s="619"/>
      <c r="BT98" s="619"/>
      <c r="BU98" s="619"/>
      <c r="BV98" s="619"/>
      <c r="BW98" s="619"/>
      <c r="BX98" s="619"/>
      <c r="BY98" s="619"/>
      <c r="BZ98" s="619"/>
      <c r="CA98" s="619"/>
      <c r="CB98" s="619"/>
      <c r="CC98" s="619"/>
      <c r="CD98" s="619"/>
      <c r="CE98" s="619"/>
      <c r="CF98" s="619"/>
      <c r="CG98" s="619"/>
      <c r="CH98" s="619"/>
      <c r="CI98" s="619"/>
      <c r="CJ98" s="619"/>
      <c r="CK98" s="619"/>
      <c r="CL98" s="619"/>
      <c r="CM98" s="619"/>
      <c r="CN98" s="619"/>
      <c r="CO98" s="619"/>
      <c r="CP98" s="619"/>
      <c r="CQ98" s="619"/>
      <c r="CR98" s="619"/>
      <c r="CS98" s="619"/>
      <c r="CT98" s="619"/>
      <c r="CU98" s="619"/>
      <c r="CV98" s="619"/>
      <c r="CW98" s="619"/>
      <c r="CX98" s="619"/>
      <c r="CY98" s="619"/>
      <c r="CZ98" s="619"/>
      <c r="DA98" s="619"/>
      <c r="DB98" s="619"/>
      <c r="DC98" s="619"/>
      <c r="DD98" s="619"/>
      <c r="DE98" s="619"/>
      <c r="DF98" s="619"/>
      <c r="DG98" s="619"/>
      <c r="DH98" s="619"/>
      <c r="DI98" s="619"/>
      <c r="DJ98" s="619"/>
      <c r="DK98" s="619"/>
      <c r="DL98" s="619"/>
      <c r="DM98" s="619"/>
      <c r="DN98" s="619"/>
      <c r="DO98" s="619"/>
      <c r="DP98" s="619"/>
      <c r="DQ98" s="640"/>
      <c r="DR98" s="229"/>
    </row>
    <row r="99" spans="1:122" ht="7.5" customHeight="1" x14ac:dyDescent="0.25">
      <c r="A99" s="119"/>
      <c r="B99" s="119"/>
      <c r="C99" s="119"/>
      <c r="D99" s="119"/>
      <c r="E99" s="119"/>
      <c r="F99" s="653" t="str">
        <f>G96</f>
        <v>Shields</v>
      </c>
      <c r="G99" s="653"/>
      <c r="H99" s="653"/>
      <c r="I99" s="653"/>
      <c r="J99" s="653"/>
      <c r="K99" s="625" t="e">
        <f ca="1">(FLOOR(INDIRECT(SUBSTITUTE(SUBSTITUTE(G96,"-","")," ",""))/5,1)*(FLOOR(INDIRECT(SUBSTITUTE(SUBSTITUTE(G96,"-","")," ",""))/5,1)+1)/2)*50+MOD(INDIRECT(SUBSTITUTE(SUBSTITUTE(G96,"-","")," ","")),5)*CEILING(INDIRECT(SUBSTITUTE(SUBSTITUTE(G96,"-","")," ",""))/5,1)*10-((FLOOR(INDIRECT("Base"&amp;SUBSTITUTE(SUBSTITUTE(G96,"-","")," ",""))/5,1)*(FLOOR(INDIRECT("Base"&amp;SUBSTITUTE(SUBSTITUTE(G96,"-","")," ",""))/5,1)+1)/2)*50+MOD(INDIRECT("Base"&amp;SUBSTITUTE(SUBSTITUTE(G96,"-","")," ","")),5)*CEILING(INDIRECT("Base"&amp;SUBSTITUTE(SUBSTITUTE(G96,"-","")," ",""))/5,1)*10)</f>
        <v>#REF!</v>
      </c>
      <c r="L99" s="625"/>
      <c r="M99" s="625"/>
      <c r="N99" s="626" t="b">
        <f>IF(AH92&lt;&gt;"",VLOOKUP($G96,'Merit Data'!A:BW,MATCH('Merit Data'!$B$3,'Merit Data'!$3:$3,0),0),TRUE)</f>
        <v>1</v>
      </c>
      <c r="O99" s="626"/>
      <c r="P99" s="626"/>
      <c r="Q99" s="140"/>
      <c r="R99" s="140"/>
      <c r="S99" s="140"/>
      <c r="T99" s="140"/>
      <c r="U99" s="140"/>
      <c r="V99" s="238"/>
      <c r="W99" s="238"/>
      <c r="X99" s="627" t="str">
        <f>IF(F99&gt;0,HYPERLINK("http://wiki.project-saros.com/w/"&amp;F99,"Info"),"")</f>
        <v>Info</v>
      </c>
      <c r="Y99" s="628"/>
      <c r="Z99" s="637"/>
      <c r="AA99" s="637"/>
      <c r="AB99" s="637"/>
      <c r="AC99" s="637"/>
      <c r="AD99" s="637"/>
      <c r="AE99" s="637"/>
      <c r="AF99" s="637"/>
      <c r="AG99" s="638"/>
      <c r="AH99" s="148"/>
      <c r="AI99" s="131"/>
      <c r="AJ99" s="131"/>
      <c r="AK99" s="149"/>
      <c r="AL99" s="149"/>
      <c r="AM99" s="149"/>
      <c r="AN99" s="149"/>
      <c r="AO99" s="149"/>
      <c r="AP99" s="149"/>
      <c r="AQ99" s="149"/>
      <c r="AR99" s="149"/>
      <c r="AS99" s="131"/>
      <c r="AT99" s="131"/>
      <c r="AU99" s="131"/>
      <c r="AV99" s="131"/>
      <c r="AW99" s="150"/>
      <c r="AX99" s="641"/>
      <c r="AY99" s="641"/>
      <c r="AZ99" s="641"/>
      <c r="BA99" s="641"/>
      <c r="BB99" s="641"/>
      <c r="BC99" s="641"/>
      <c r="BD99" s="641"/>
      <c r="BE99" s="641"/>
      <c r="BF99" s="641"/>
      <c r="BG99" s="641"/>
      <c r="BH99" s="641"/>
      <c r="BI99" s="641"/>
      <c r="BJ99" s="641"/>
      <c r="BK99" s="641"/>
      <c r="BL99" s="641"/>
      <c r="BM99" s="641"/>
      <c r="BN99" s="641"/>
      <c r="BO99" s="641"/>
      <c r="BP99" s="641"/>
      <c r="BQ99" s="641"/>
      <c r="BR99" s="641"/>
      <c r="BS99" s="641"/>
      <c r="BT99" s="641"/>
      <c r="BU99" s="641"/>
      <c r="BV99" s="641"/>
      <c r="BW99" s="641"/>
      <c r="BX99" s="641"/>
      <c r="BY99" s="641"/>
      <c r="BZ99" s="641"/>
      <c r="CA99" s="641"/>
      <c r="CB99" s="641"/>
      <c r="CC99" s="641"/>
      <c r="CD99" s="641"/>
      <c r="CE99" s="641"/>
      <c r="CF99" s="641"/>
      <c r="CG99" s="641"/>
      <c r="CH99" s="641"/>
      <c r="CI99" s="641"/>
      <c r="CJ99" s="641"/>
      <c r="CK99" s="641"/>
      <c r="CL99" s="641"/>
      <c r="CM99" s="641"/>
      <c r="CN99" s="641"/>
      <c r="CO99" s="641"/>
      <c r="CP99" s="641"/>
      <c r="CQ99" s="641"/>
      <c r="CR99" s="641"/>
      <c r="CS99" s="641"/>
      <c r="CT99" s="641"/>
      <c r="CU99" s="641"/>
      <c r="CV99" s="641"/>
      <c r="CW99" s="641"/>
      <c r="CX99" s="641"/>
      <c r="CY99" s="641"/>
      <c r="CZ99" s="641"/>
      <c r="DA99" s="641"/>
      <c r="DB99" s="641"/>
      <c r="DC99" s="641"/>
      <c r="DD99" s="641"/>
      <c r="DE99" s="641"/>
      <c r="DF99" s="641"/>
      <c r="DG99" s="641"/>
      <c r="DH99" s="641"/>
      <c r="DI99" s="641"/>
      <c r="DJ99" s="641"/>
      <c r="DK99" s="641"/>
      <c r="DL99" s="641"/>
      <c r="DM99" s="641"/>
      <c r="DN99" s="641"/>
      <c r="DO99" s="641"/>
      <c r="DP99" s="641"/>
      <c r="DQ99" s="642"/>
      <c r="DR99" s="229"/>
    </row>
    <row r="100" spans="1:122" ht="7.5" customHeight="1" x14ac:dyDescent="0.25">
      <c r="A100" s="588">
        <v>0</v>
      </c>
      <c r="B100" s="589"/>
      <c r="C100" s="589"/>
      <c r="D100" s="589"/>
      <c r="E100" s="590"/>
      <c r="G100" s="597" t="s">
        <v>161</v>
      </c>
      <c r="H100" s="597"/>
      <c r="I100" s="597"/>
      <c r="J100" s="597"/>
      <c r="K100" s="597"/>
      <c r="L100" s="597"/>
      <c r="M100" s="597"/>
      <c r="N100" s="597"/>
      <c r="O100" s="597"/>
      <c r="P100" s="597"/>
      <c r="Q100" s="597"/>
      <c r="R100" s="597"/>
      <c r="S100" s="597"/>
      <c r="T100" s="597"/>
      <c r="U100" s="597"/>
      <c r="V100" s="597"/>
      <c r="W100" s="597"/>
      <c r="X100" s="597"/>
      <c r="Y100" s="597"/>
      <c r="Z100" s="600" t="e">
        <f>FLOOR(Staves/5+1,1)*10</f>
        <v>#REF!</v>
      </c>
      <c r="AA100" s="600"/>
      <c r="AB100" s="600"/>
      <c r="AC100" s="600"/>
      <c r="AD100" s="600"/>
      <c r="AE100" s="600"/>
      <c r="AF100" s="600"/>
      <c r="AG100" s="601"/>
      <c r="AH100" s="142"/>
      <c r="AI100" s="143"/>
      <c r="AJ100" s="143"/>
      <c r="AK100" s="143"/>
      <c r="AL100" s="143"/>
      <c r="AM100" s="143"/>
      <c r="AN100" s="143"/>
      <c r="AO100" s="143"/>
      <c r="AP100" s="143"/>
      <c r="AQ100" s="143"/>
      <c r="AR100" s="143"/>
      <c r="AS100" s="143"/>
      <c r="AT100" s="143"/>
      <c r="AU100" s="143"/>
      <c r="AV100" s="143"/>
      <c r="AW100" s="144"/>
      <c r="AX100" s="616" t="e">
        <f ca="1">"Further increases your "&amp;G100&amp;" skill from "&amp;INDIRECT(SUBSTITUTE(G100," ",""))&amp;" to "&amp;INDIRECT(SUBSTITUTE(G100," ",""))+1</f>
        <v>#REF!</v>
      </c>
      <c r="AY100" s="616"/>
      <c r="AZ100" s="616"/>
      <c r="BA100" s="616"/>
      <c r="BB100" s="616"/>
      <c r="BC100" s="616"/>
      <c r="BD100" s="616"/>
      <c r="BE100" s="616"/>
      <c r="BF100" s="616"/>
      <c r="BG100" s="616"/>
      <c r="BH100" s="616"/>
      <c r="BI100" s="616"/>
      <c r="BJ100" s="616"/>
      <c r="BK100" s="616"/>
      <c r="BL100" s="616"/>
      <c r="BM100" s="616"/>
      <c r="BN100" s="616"/>
      <c r="BO100" s="616"/>
      <c r="BP100" s="616"/>
      <c r="BQ100" s="616"/>
      <c r="BR100" s="616"/>
      <c r="BS100" s="616"/>
      <c r="BT100" s="616"/>
      <c r="BU100" s="616"/>
      <c r="BV100" s="616"/>
      <c r="BW100" s="616"/>
      <c r="BX100" s="616"/>
      <c r="BY100" s="616"/>
      <c r="BZ100" s="616"/>
      <c r="CA100" s="616"/>
      <c r="CB100" s="616"/>
      <c r="CC100" s="616"/>
      <c r="CD100" s="616"/>
      <c r="CE100" s="616"/>
      <c r="CF100" s="616"/>
      <c r="CG100" s="616"/>
      <c r="CH100" s="616"/>
      <c r="CI100" s="616"/>
      <c r="CJ100" s="616"/>
      <c r="CK100" s="616"/>
      <c r="CL100" s="616"/>
      <c r="CM100" s="616"/>
      <c r="CN100" s="616"/>
      <c r="CO100" s="616"/>
      <c r="CP100" s="616"/>
      <c r="CQ100" s="616"/>
      <c r="CR100" s="616"/>
      <c r="CS100" s="616"/>
      <c r="CT100" s="616"/>
      <c r="CU100" s="616"/>
      <c r="CV100" s="616"/>
      <c r="CW100" s="616"/>
      <c r="CX100" s="616"/>
      <c r="CY100" s="616"/>
      <c r="CZ100" s="616"/>
      <c r="DA100" s="616"/>
      <c r="DB100" s="616"/>
      <c r="DC100" s="616"/>
      <c r="DD100" s="616"/>
      <c r="DE100" s="616"/>
      <c r="DF100" s="616"/>
      <c r="DG100" s="616"/>
      <c r="DH100" s="616"/>
      <c r="DI100" s="616"/>
      <c r="DJ100" s="616"/>
      <c r="DK100" s="616"/>
      <c r="DL100" s="616"/>
      <c r="DM100" s="616"/>
      <c r="DN100" s="616"/>
      <c r="DO100" s="616"/>
      <c r="DP100" s="616"/>
      <c r="DQ100" s="617"/>
      <c r="DR100" s="229"/>
    </row>
    <row r="101" spans="1:122" ht="7.5" customHeight="1" x14ac:dyDescent="0.25">
      <c r="A101" s="591"/>
      <c r="B101" s="592"/>
      <c r="C101" s="592"/>
      <c r="D101" s="592"/>
      <c r="E101" s="593"/>
      <c r="F101" s="145"/>
      <c r="G101" s="598"/>
      <c r="H101" s="598"/>
      <c r="I101" s="598"/>
      <c r="J101" s="598"/>
      <c r="K101" s="598"/>
      <c r="L101" s="598"/>
      <c r="M101" s="598"/>
      <c r="N101" s="598"/>
      <c r="O101" s="598"/>
      <c r="P101" s="598"/>
      <c r="Q101" s="598"/>
      <c r="R101" s="598"/>
      <c r="S101" s="598"/>
      <c r="T101" s="598"/>
      <c r="U101" s="598"/>
      <c r="V101" s="598"/>
      <c r="W101" s="598"/>
      <c r="X101" s="598"/>
      <c r="Y101" s="598"/>
      <c r="Z101" s="602"/>
      <c r="AA101" s="602"/>
      <c r="AB101" s="602"/>
      <c r="AC101" s="602"/>
      <c r="AD101" s="602"/>
      <c r="AE101" s="602"/>
      <c r="AF101" s="602"/>
      <c r="AG101" s="635"/>
      <c r="AH101" s="132"/>
      <c r="AI101" s="129"/>
      <c r="AJ101" s="129"/>
      <c r="AK101" s="129"/>
      <c r="AL101" s="129"/>
      <c r="AM101" s="129"/>
      <c r="AN101" s="129"/>
      <c r="AO101" s="129"/>
      <c r="AP101" s="129"/>
      <c r="AQ101" s="129"/>
      <c r="AR101" s="129"/>
      <c r="AS101" s="129"/>
      <c r="AT101" s="129"/>
      <c r="AU101" s="129"/>
      <c r="AV101" s="129"/>
      <c r="AW101" s="145"/>
      <c r="AX101" s="619"/>
      <c r="AY101" s="619"/>
      <c r="AZ101" s="619"/>
      <c r="BA101" s="619"/>
      <c r="BB101" s="619"/>
      <c r="BC101" s="619"/>
      <c r="BD101" s="619"/>
      <c r="BE101" s="619"/>
      <c r="BF101" s="619"/>
      <c r="BG101" s="619"/>
      <c r="BH101" s="619"/>
      <c r="BI101" s="619"/>
      <c r="BJ101" s="619"/>
      <c r="BK101" s="619"/>
      <c r="BL101" s="619"/>
      <c r="BM101" s="619"/>
      <c r="BN101" s="619"/>
      <c r="BO101" s="619"/>
      <c r="BP101" s="619"/>
      <c r="BQ101" s="619"/>
      <c r="BR101" s="619"/>
      <c r="BS101" s="619"/>
      <c r="BT101" s="619"/>
      <c r="BU101" s="619"/>
      <c r="BV101" s="619"/>
      <c r="BW101" s="619"/>
      <c r="BX101" s="619"/>
      <c r="BY101" s="619"/>
      <c r="BZ101" s="619"/>
      <c r="CA101" s="619"/>
      <c r="CB101" s="619"/>
      <c r="CC101" s="619"/>
      <c r="CD101" s="619"/>
      <c r="CE101" s="619"/>
      <c r="CF101" s="619"/>
      <c r="CG101" s="619"/>
      <c r="CH101" s="619"/>
      <c r="CI101" s="619"/>
      <c r="CJ101" s="619"/>
      <c r="CK101" s="619"/>
      <c r="CL101" s="619"/>
      <c r="CM101" s="619"/>
      <c r="CN101" s="619"/>
      <c r="CO101" s="619"/>
      <c r="CP101" s="619"/>
      <c r="CQ101" s="619"/>
      <c r="CR101" s="619"/>
      <c r="CS101" s="619"/>
      <c r="CT101" s="619"/>
      <c r="CU101" s="619"/>
      <c r="CV101" s="619"/>
      <c r="CW101" s="619"/>
      <c r="CX101" s="619"/>
      <c r="CY101" s="619"/>
      <c r="CZ101" s="619"/>
      <c r="DA101" s="619"/>
      <c r="DB101" s="619"/>
      <c r="DC101" s="619"/>
      <c r="DD101" s="619"/>
      <c r="DE101" s="619"/>
      <c r="DF101" s="619"/>
      <c r="DG101" s="619"/>
      <c r="DH101" s="619"/>
      <c r="DI101" s="619"/>
      <c r="DJ101" s="619"/>
      <c r="DK101" s="619"/>
      <c r="DL101" s="619"/>
      <c r="DM101" s="619"/>
      <c r="DN101" s="619"/>
      <c r="DO101" s="619"/>
      <c r="DP101" s="619"/>
      <c r="DQ101" s="639"/>
      <c r="DR101" s="229"/>
    </row>
    <row r="102" spans="1:122" ht="7.5" customHeight="1" x14ac:dyDescent="0.25">
      <c r="A102" s="594"/>
      <c r="B102" s="595"/>
      <c r="C102" s="595"/>
      <c r="D102" s="595"/>
      <c r="E102" s="596"/>
      <c r="G102" s="599"/>
      <c r="H102" s="599"/>
      <c r="I102" s="599"/>
      <c r="J102" s="599"/>
      <c r="K102" s="599"/>
      <c r="L102" s="599"/>
      <c r="M102" s="599"/>
      <c r="N102" s="599"/>
      <c r="O102" s="599"/>
      <c r="P102" s="599"/>
      <c r="Q102" s="599"/>
      <c r="R102" s="599"/>
      <c r="S102" s="599"/>
      <c r="T102" s="599"/>
      <c r="U102" s="599"/>
      <c r="V102" s="599"/>
      <c r="W102" s="599"/>
      <c r="X102" s="599"/>
      <c r="Y102" s="599"/>
      <c r="Z102" s="602"/>
      <c r="AA102" s="602"/>
      <c r="AB102" s="602"/>
      <c r="AC102" s="602"/>
      <c r="AD102" s="602"/>
      <c r="AE102" s="602"/>
      <c r="AF102" s="602"/>
      <c r="AG102" s="636"/>
      <c r="AH102" s="132"/>
      <c r="AI102" s="129"/>
      <c r="AJ102" s="129"/>
      <c r="AK102" s="129"/>
      <c r="AL102" s="129"/>
      <c r="AM102" s="129"/>
      <c r="AN102" s="129"/>
      <c r="AO102" s="129"/>
      <c r="AP102" s="129"/>
      <c r="AQ102" s="129"/>
      <c r="AR102" s="129"/>
      <c r="AS102" s="129"/>
      <c r="AT102" s="129"/>
      <c r="AU102" s="129"/>
      <c r="AV102" s="129"/>
      <c r="AW102" s="146"/>
      <c r="AX102" s="619"/>
      <c r="AY102" s="619"/>
      <c r="AZ102" s="619"/>
      <c r="BA102" s="619"/>
      <c r="BB102" s="619"/>
      <c r="BC102" s="619"/>
      <c r="BD102" s="619"/>
      <c r="BE102" s="619"/>
      <c r="BF102" s="619"/>
      <c r="BG102" s="619"/>
      <c r="BH102" s="619"/>
      <c r="BI102" s="619"/>
      <c r="BJ102" s="619"/>
      <c r="BK102" s="619"/>
      <c r="BL102" s="619"/>
      <c r="BM102" s="619"/>
      <c r="BN102" s="619"/>
      <c r="BO102" s="619"/>
      <c r="BP102" s="619"/>
      <c r="BQ102" s="619"/>
      <c r="BR102" s="619"/>
      <c r="BS102" s="619"/>
      <c r="BT102" s="619"/>
      <c r="BU102" s="619"/>
      <c r="BV102" s="619"/>
      <c r="BW102" s="619"/>
      <c r="BX102" s="619"/>
      <c r="BY102" s="619"/>
      <c r="BZ102" s="619"/>
      <c r="CA102" s="619"/>
      <c r="CB102" s="619"/>
      <c r="CC102" s="619"/>
      <c r="CD102" s="619"/>
      <c r="CE102" s="619"/>
      <c r="CF102" s="619"/>
      <c r="CG102" s="619"/>
      <c r="CH102" s="619"/>
      <c r="CI102" s="619"/>
      <c r="CJ102" s="619"/>
      <c r="CK102" s="619"/>
      <c r="CL102" s="619"/>
      <c r="CM102" s="619"/>
      <c r="CN102" s="619"/>
      <c r="CO102" s="619"/>
      <c r="CP102" s="619"/>
      <c r="CQ102" s="619"/>
      <c r="CR102" s="619"/>
      <c r="CS102" s="619"/>
      <c r="CT102" s="619"/>
      <c r="CU102" s="619"/>
      <c r="CV102" s="619"/>
      <c r="CW102" s="619"/>
      <c r="CX102" s="619"/>
      <c r="CY102" s="619"/>
      <c r="CZ102" s="619"/>
      <c r="DA102" s="619"/>
      <c r="DB102" s="619"/>
      <c r="DC102" s="619"/>
      <c r="DD102" s="619"/>
      <c r="DE102" s="619"/>
      <c r="DF102" s="619"/>
      <c r="DG102" s="619"/>
      <c r="DH102" s="619"/>
      <c r="DI102" s="619"/>
      <c r="DJ102" s="619"/>
      <c r="DK102" s="619"/>
      <c r="DL102" s="619"/>
      <c r="DM102" s="619"/>
      <c r="DN102" s="619"/>
      <c r="DO102" s="619"/>
      <c r="DP102" s="619"/>
      <c r="DQ102" s="640"/>
      <c r="DR102" s="229"/>
    </row>
    <row r="103" spans="1:122" ht="7.5" customHeight="1" x14ac:dyDescent="0.25">
      <c r="A103" s="119"/>
      <c r="B103" s="119"/>
      <c r="C103" s="119"/>
      <c r="D103" s="119"/>
      <c r="E103" s="119"/>
      <c r="F103" s="653" t="str">
        <f>G100</f>
        <v>Staves</v>
      </c>
      <c r="G103" s="653"/>
      <c r="H103" s="653"/>
      <c r="I103" s="653"/>
      <c r="J103" s="653"/>
      <c r="K103" s="625" t="e">
        <f ca="1">(FLOOR(INDIRECT(SUBSTITUTE(SUBSTITUTE(G100,"-","")," ",""))/5,1)*(FLOOR(INDIRECT(SUBSTITUTE(SUBSTITUTE(G100,"-","")," ",""))/5,1)+1)/2)*50+MOD(INDIRECT(SUBSTITUTE(SUBSTITUTE(G100,"-","")," ","")),5)*CEILING(INDIRECT(SUBSTITUTE(SUBSTITUTE(G100,"-","")," ",""))/5,1)*10-((FLOOR(INDIRECT("Base"&amp;SUBSTITUTE(SUBSTITUTE(G100,"-","")," ",""))/5,1)*(FLOOR(INDIRECT("Base"&amp;SUBSTITUTE(SUBSTITUTE(G100,"-","")," ",""))/5,1)+1)/2)*50+MOD(INDIRECT("Base"&amp;SUBSTITUTE(SUBSTITUTE(G100,"-","")," ","")),5)*CEILING(INDIRECT("Base"&amp;SUBSTITUTE(SUBSTITUTE(G100,"-","")," ",""))/5,1)*10)</f>
        <v>#REF!</v>
      </c>
      <c r="L103" s="625"/>
      <c r="M103" s="625"/>
      <c r="N103" s="626" t="b">
        <f>IF(AH96&lt;&gt;"",VLOOKUP($G100,'Merit Data'!A:BW,MATCH('Merit Data'!$B$3,'Merit Data'!$3:$3,0),0),TRUE)</f>
        <v>1</v>
      </c>
      <c r="O103" s="626"/>
      <c r="P103" s="626"/>
      <c r="Q103" s="140"/>
      <c r="R103" s="140"/>
      <c r="S103" s="140"/>
      <c r="T103" s="140"/>
      <c r="U103" s="140"/>
      <c r="V103" s="238"/>
      <c r="W103" s="238"/>
      <c r="X103" s="627" t="str">
        <f>IF(F103&gt;0,HYPERLINK("http://wiki.project-saros.com/w/"&amp;F103,"Info"),"")</f>
        <v>Info</v>
      </c>
      <c r="Y103" s="628"/>
      <c r="Z103" s="637"/>
      <c r="AA103" s="637"/>
      <c r="AB103" s="637"/>
      <c r="AC103" s="637"/>
      <c r="AD103" s="637"/>
      <c r="AE103" s="637"/>
      <c r="AF103" s="637"/>
      <c r="AG103" s="638"/>
      <c r="AH103" s="148"/>
      <c r="AI103" s="131"/>
      <c r="AJ103" s="131"/>
      <c r="AK103" s="149"/>
      <c r="AL103" s="149"/>
      <c r="AM103" s="149"/>
      <c r="AN103" s="149"/>
      <c r="AO103" s="149"/>
      <c r="AP103" s="149"/>
      <c r="AQ103" s="149"/>
      <c r="AR103" s="149"/>
      <c r="AS103" s="131"/>
      <c r="AT103" s="131"/>
      <c r="AU103" s="131"/>
      <c r="AV103" s="131"/>
      <c r="AW103" s="150"/>
      <c r="AX103" s="641"/>
      <c r="AY103" s="641"/>
      <c r="AZ103" s="641"/>
      <c r="BA103" s="641"/>
      <c r="BB103" s="641"/>
      <c r="BC103" s="641"/>
      <c r="BD103" s="641"/>
      <c r="BE103" s="641"/>
      <c r="BF103" s="641"/>
      <c r="BG103" s="641"/>
      <c r="BH103" s="641"/>
      <c r="BI103" s="641"/>
      <c r="BJ103" s="641"/>
      <c r="BK103" s="641"/>
      <c r="BL103" s="641"/>
      <c r="BM103" s="641"/>
      <c r="BN103" s="641"/>
      <c r="BO103" s="641"/>
      <c r="BP103" s="641"/>
      <c r="BQ103" s="641"/>
      <c r="BR103" s="641"/>
      <c r="BS103" s="641"/>
      <c r="BT103" s="641"/>
      <c r="BU103" s="641"/>
      <c r="BV103" s="641"/>
      <c r="BW103" s="641"/>
      <c r="BX103" s="641"/>
      <c r="BY103" s="641"/>
      <c r="BZ103" s="641"/>
      <c r="CA103" s="641"/>
      <c r="CB103" s="641"/>
      <c r="CC103" s="641"/>
      <c r="CD103" s="641"/>
      <c r="CE103" s="641"/>
      <c r="CF103" s="641"/>
      <c r="CG103" s="641"/>
      <c r="CH103" s="641"/>
      <c r="CI103" s="641"/>
      <c r="CJ103" s="641"/>
      <c r="CK103" s="641"/>
      <c r="CL103" s="641"/>
      <c r="CM103" s="641"/>
      <c r="CN103" s="641"/>
      <c r="CO103" s="641"/>
      <c r="CP103" s="641"/>
      <c r="CQ103" s="641"/>
      <c r="CR103" s="641"/>
      <c r="CS103" s="641"/>
      <c r="CT103" s="641"/>
      <c r="CU103" s="641"/>
      <c r="CV103" s="641"/>
      <c r="CW103" s="641"/>
      <c r="CX103" s="641"/>
      <c r="CY103" s="641"/>
      <c r="CZ103" s="641"/>
      <c r="DA103" s="641"/>
      <c r="DB103" s="641"/>
      <c r="DC103" s="641"/>
      <c r="DD103" s="641"/>
      <c r="DE103" s="641"/>
      <c r="DF103" s="641"/>
      <c r="DG103" s="641"/>
      <c r="DH103" s="641"/>
      <c r="DI103" s="641"/>
      <c r="DJ103" s="641"/>
      <c r="DK103" s="641"/>
      <c r="DL103" s="641"/>
      <c r="DM103" s="641"/>
      <c r="DN103" s="641"/>
      <c r="DO103" s="641"/>
      <c r="DP103" s="641"/>
      <c r="DQ103" s="642"/>
      <c r="DR103" s="229"/>
    </row>
    <row r="104" spans="1:122" ht="7.5" customHeight="1" x14ac:dyDescent="0.25">
      <c r="A104" s="588">
        <v>0</v>
      </c>
      <c r="B104" s="589"/>
      <c r="C104" s="589"/>
      <c r="D104" s="589"/>
      <c r="E104" s="590"/>
      <c r="G104" s="597" t="s">
        <v>504</v>
      </c>
      <c r="H104" s="597"/>
      <c r="I104" s="597"/>
      <c r="J104" s="597"/>
      <c r="K104" s="597"/>
      <c r="L104" s="597"/>
      <c r="M104" s="597"/>
      <c r="N104" s="597"/>
      <c r="O104" s="597"/>
      <c r="P104" s="597"/>
      <c r="Q104" s="597"/>
      <c r="R104" s="597"/>
      <c r="S104" s="597"/>
      <c r="T104" s="597"/>
      <c r="U104" s="597"/>
      <c r="V104" s="597"/>
      <c r="W104" s="597"/>
      <c r="X104" s="597"/>
      <c r="Y104" s="597"/>
      <c r="Z104" s="600" t="e">
        <f>FLOOR(Swords/5+1,1)*10</f>
        <v>#REF!</v>
      </c>
      <c r="AA104" s="600"/>
      <c r="AB104" s="600"/>
      <c r="AC104" s="600"/>
      <c r="AD104" s="600"/>
      <c r="AE104" s="600"/>
      <c r="AF104" s="600"/>
      <c r="AG104" s="601"/>
      <c r="AH104" s="142"/>
      <c r="AI104" s="143"/>
      <c r="AJ104" s="143"/>
      <c r="AK104" s="143"/>
      <c r="AL104" s="143"/>
      <c r="AM104" s="143"/>
      <c r="AN104" s="143"/>
      <c r="AO104" s="143"/>
      <c r="AP104" s="143"/>
      <c r="AQ104" s="143"/>
      <c r="AR104" s="143"/>
      <c r="AS104" s="143"/>
      <c r="AT104" s="143"/>
      <c r="AU104" s="143"/>
      <c r="AV104" s="143"/>
      <c r="AW104" s="144"/>
      <c r="AX104" s="616" t="e">
        <f>"Further increases your "&amp;G104&amp;" skill from "&amp;Swords&amp;" to "&amp;Swords+1</f>
        <v>#REF!</v>
      </c>
      <c r="AY104" s="616"/>
      <c r="AZ104" s="616"/>
      <c r="BA104" s="616"/>
      <c r="BB104" s="616"/>
      <c r="BC104" s="616"/>
      <c r="BD104" s="616"/>
      <c r="BE104" s="616"/>
      <c r="BF104" s="616"/>
      <c r="BG104" s="616"/>
      <c r="BH104" s="616"/>
      <c r="BI104" s="616"/>
      <c r="BJ104" s="616"/>
      <c r="BK104" s="616"/>
      <c r="BL104" s="616"/>
      <c r="BM104" s="616"/>
      <c r="BN104" s="616"/>
      <c r="BO104" s="616"/>
      <c r="BP104" s="616"/>
      <c r="BQ104" s="616"/>
      <c r="BR104" s="616"/>
      <c r="BS104" s="616"/>
      <c r="BT104" s="616"/>
      <c r="BU104" s="616"/>
      <c r="BV104" s="616"/>
      <c r="BW104" s="616"/>
      <c r="BX104" s="616"/>
      <c r="BY104" s="616"/>
      <c r="BZ104" s="616"/>
      <c r="CA104" s="616"/>
      <c r="CB104" s="616"/>
      <c r="CC104" s="616"/>
      <c r="CD104" s="616"/>
      <c r="CE104" s="616"/>
      <c r="CF104" s="616"/>
      <c r="CG104" s="616"/>
      <c r="CH104" s="616"/>
      <c r="CI104" s="616"/>
      <c r="CJ104" s="616"/>
      <c r="CK104" s="616"/>
      <c r="CL104" s="616"/>
      <c r="CM104" s="616"/>
      <c r="CN104" s="616"/>
      <c r="CO104" s="616"/>
      <c r="CP104" s="616"/>
      <c r="CQ104" s="616"/>
      <c r="CR104" s="616"/>
      <c r="CS104" s="616"/>
      <c r="CT104" s="616"/>
      <c r="CU104" s="616"/>
      <c r="CV104" s="616"/>
      <c r="CW104" s="616"/>
      <c r="CX104" s="616"/>
      <c r="CY104" s="616"/>
      <c r="CZ104" s="616"/>
      <c r="DA104" s="616"/>
      <c r="DB104" s="616"/>
      <c r="DC104" s="616"/>
      <c r="DD104" s="616"/>
      <c r="DE104" s="616"/>
      <c r="DF104" s="616"/>
      <c r="DG104" s="616"/>
      <c r="DH104" s="616"/>
      <c r="DI104" s="616"/>
      <c r="DJ104" s="616"/>
      <c r="DK104" s="616"/>
      <c r="DL104" s="616"/>
      <c r="DM104" s="616"/>
      <c r="DN104" s="616"/>
      <c r="DO104" s="616"/>
      <c r="DP104" s="616"/>
      <c r="DQ104" s="617"/>
      <c r="DR104" s="229"/>
    </row>
    <row r="105" spans="1:122" ht="7.5" customHeight="1" x14ac:dyDescent="0.25">
      <c r="A105" s="591"/>
      <c r="B105" s="592"/>
      <c r="C105" s="592"/>
      <c r="D105" s="592"/>
      <c r="E105" s="593"/>
      <c r="F105" s="145"/>
      <c r="G105" s="598"/>
      <c r="H105" s="598"/>
      <c r="I105" s="598"/>
      <c r="J105" s="598"/>
      <c r="K105" s="598"/>
      <c r="L105" s="598"/>
      <c r="M105" s="598"/>
      <c r="N105" s="598"/>
      <c r="O105" s="598"/>
      <c r="P105" s="598"/>
      <c r="Q105" s="598"/>
      <c r="R105" s="598"/>
      <c r="S105" s="598"/>
      <c r="T105" s="598"/>
      <c r="U105" s="598"/>
      <c r="V105" s="598"/>
      <c r="W105" s="598"/>
      <c r="X105" s="598"/>
      <c r="Y105" s="598"/>
      <c r="Z105" s="602"/>
      <c r="AA105" s="602"/>
      <c r="AB105" s="602"/>
      <c r="AC105" s="602"/>
      <c r="AD105" s="602"/>
      <c r="AE105" s="602"/>
      <c r="AF105" s="602"/>
      <c r="AG105" s="635"/>
      <c r="AH105" s="132"/>
      <c r="AI105" s="129"/>
      <c r="AJ105" s="129"/>
      <c r="AK105" s="129"/>
      <c r="AL105" s="129"/>
      <c r="AM105" s="129"/>
      <c r="AN105" s="129"/>
      <c r="AO105" s="129"/>
      <c r="AP105" s="129"/>
      <c r="AQ105" s="129"/>
      <c r="AR105" s="129"/>
      <c r="AS105" s="129"/>
      <c r="AT105" s="129"/>
      <c r="AU105" s="129"/>
      <c r="AV105" s="129"/>
      <c r="AW105" s="145"/>
      <c r="AX105" s="619"/>
      <c r="AY105" s="619"/>
      <c r="AZ105" s="619"/>
      <c r="BA105" s="619"/>
      <c r="BB105" s="619"/>
      <c r="BC105" s="619"/>
      <c r="BD105" s="619"/>
      <c r="BE105" s="619"/>
      <c r="BF105" s="619"/>
      <c r="BG105" s="619"/>
      <c r="BH105" s="619"/>
      <c r="BI105" s="619"/>
      <c r="BJ105" s="619"/>
      <c r="BK105" s="619"/>
      <c r="BL105" s="619"/>
      <c r="BM105" s="619"/>
      <c r="BN105" s="619"/>
      <c r="BO105" s="619"/>
      <c r="BP105" s="619"/>
      <c r="BQ105" s="619"/>
      <c r="BR105" s="619"/>
      <c r="BS105" s="619"/>
      <c r="BT105" s="619"/>
      <c r="BU105" s="619"/>
      <c r="BV105" s="619"/>
      <c r="BW105" s="619"/>
      <c r="BX105" s="619"/>
      <c r="BY105" s="619"/>
      <c r="BZ105" s="619"/>
      <c r="CA105" s="619"/>
      <c r="CB105" s="619"/>
      <c r="CC105" s="619"/>
      <c r="CD105" s="619"/>
      <c r="CE105" s="619"/>
      <c r="CF105" s="619"/>
      <c r="CG105" s="619"/>
      <c r="CH105" s="619"/>
      <c r="CI105" s="619"/>
      <c r="CJ105" s="619"/>
      <c r="CK105" s="619"/>
      <c r="CL105" s="619"/>
      <c r="CM105" s="619"/>
      <c r="CN105" s="619"/>
      <c r="CO105" s="619"/>
      <c r="CP105" s="619"/>
      <c r="CQ105" s="619"/>
      <c r="CR105" s="619"/>
      <c r="CS105" s="619"/>
      <c r="CT105" s="619"/>
      <c r="CU105" s="619"/>
      <c r="CV105" s="619"/>
      <c r="CW105" s="619"/>
      <c r="CX105" s="619"/>
      <c r="CY105" s="619"/>
      <c r="CZ105" s="619"/>
      <c r="DA105" s="619"/>
      <c r="DB105" s="619"/>
      <c r="DC105" s="619"/>
      <c r="DD105" s="619"/>
      <c r="DE105" s="619"/>
      <c r="DF105" s="619"/>
      <c r="DG105" s="619"/>
      <c r="DH105" s="619"/>
      <c r="DI105" s="619"/>
      <c r="DJ105" s="619"/>
      <c r="DK105" s="619"/>
      <c r="DL105" s="619"/>
      <c r="DM105" s="619"/>
      <c r="DN105" s="619"/>
      <c r="DO105" s="619"/>
      <c r="DP105" s="619"/>
      <c r="DQ105" s="639"/>
      <c r="DR105" s="229"/>
    </row>
    <row r="106" spans="1:122" ht="7.5" customHeight="1" x14ac:dyDescent="0.25">
      <c r="A106" s="594"/>
      <c r="B106" s="595"/>
      <c r="C106" s="595"/>
      <c r="D106" s="595"/>
      <c r="E106" s="596"/>
      <c r="G106" s="599"/>
      <c r="H106" s="599"/>
      <c r="I106" s="599"/>
      <c r="J106" s="599"/>
      <c r="K106" s="599"/>
      <c r="L106" s="599"/>
      <c r="M106" s="599"/>
      <c r="N106" s="599"/>
      <c r="O106" s="599"/>
      <c r="P106" s="599"/>
      <c r="Q106" s="599"/>
      <c r="R106" s="599"/>
      <c r="S106" s="599"/>
      <c r="T106" s="599"/>
      <c r="U106" s="599"/>
      <c r="V106" s="599"/>
      <c r="W106" s="599"/>
      <c r="X106" s="599"/>
      <c r="Y106" s="599"/>
      <c r="Z106" s="602"/>
      <c r="AA106" s="602"/>
      <c r="AB106" s="602"/>
      <c r="AC106" s="602"/>
      <c r="AD106" s="602"/>
      <c r="AE106" s="602"/>
      <c r="AF106" s="602"/>
      <c r="AG106" s="636"/>
      <c r="AH106" s="132"/>
      <c r="AI106" s="129"/>
      <c r="AJ106" s="129"/>
      <c r="AK106" s="129"/>
      <c r="AL106" s="129"/>
      <c r="AM106" s="129"/>
      <c r="AN106" s="129"/>
      <c r="AO106" s="129"/>
      <c r="AP106" s="129"/>
      <c r="AQ106" s="129"/>
      <c r="AR106" s="129"/>
      <c r="AS106" s="129"/>
      <c r="AT106" s="129"/>
      <c r="AU106" s="129"/>
      <c r="AV106" s="129"/>
      <c r="AW106" s="146"/>
      <c r="AX106" s="619"/>
      <c r="AY106" s="619"/>
      <c r="AZ106" s="619"/>
      <c r="BA106" s="619"/>
      <c r="BB106" s="619"/>
      <c r="BC106" s="619"/>
      <c r="BD106" s="619"/>
      <c r="BE106" s="619"/>
      <c r="BF106" s="619"/>
      <c r="BG106" s="619"/>
      <c r="BH106" s="619"/>
      <c r="BI106" s="619"/>
      <c r="BJ106" s="619"/>
      <c r="BK106" s="619"/>
      <c r="BL106" s="619"/>
      <c r="BM106" s="619"/>
      <c r="BN106" s="619"/>
      <c r="BO106" s="619"/>
      <c r="BP106" s="619"/>
      <c r="BQ106" s="619"/>
      <c r="BR106" s="619"/>
      <c r="BS106" s="619"/>
      <c r="BT106" s="619"/>
      <c r="BU106" s="619"/>
      <c r="BV106" s="619"/>
      <c r="BW106" s="619"/>
      <c r="BX106" s="619"/>
      <c r="BY106" s="619"/>
      <c r="BZ106" s="619"/>
      <c r="CA106" s="619"/>
      <c r="CB106" s="619"/>
      <c r="CC106" s="619"/>
      <c r="CD106" s="619"/>
      <c r="CE106" s="619"/>
      <c r="CF106" s="619"/>
      <c r="CG106" s="619"/>
      <c r="CH106" s="619"/>
      <c r="CI106" s="619"/>
      <c r="CJ106" s="619"/>
      <c r="CK106" s="619"/>
      <c r="CL106" s="619"/>
      <c r="CM106" s="619"/>
      <c r="CN106" s="619"/>
      <c r="CO106" s="619"/>
      <c r="CP106" s="619"/>
      <c r="CQ106" s="619"/>
      <c r="CR106" s="619"/>
      <c r="CS106" s="619"/>
      <c r="CT106" s="619"/>
      <c r="CU106" s="619"/>
      <c r="CV106" s="619"/>
      <c r="CW106" s="619"/>
      <c r="CX106" s="619"/>
      <c r="CY106" s="619"/>
      <c r="CZ106" s="619"/>
      <c r="DA106" s="619"/>
      <c r="DB106" s="619"/>
      <c r="DC106" s="619"/>
      <c r="DD106" s="619"/>
      <c r="DE106" s="619"/>
      <c r="DF106" s="619"/>
      <c r="DG106" s="619"/>
      <c r="DH106" s="619"/>
      <c r="DI106" s="619"/>
      <c r="DJ106" s="619"/>
      <c r="DK106" s="619"/>
      <c r="DL106" s="619"/>
      <c r="DM106" s="619"/>
      <c r="DN106" s="619"/>
      <c r="DO106" s="619"/>
      <c r="DP106" s="619"/>
      <c r="DQ106" s="640"/>
      <c r="DR106" s="229"/>
    </row>
    <row r="107" spans="1:122" ht="7.5" customHeight="1" x14ac:dyDescent="0.25">
      <c r="A107" s="119"/>
      <c r="B107" s="119"/>
      <c r="C107" s="119"/>
      <c r="D107" s="119"/>
      <c r="E107" s="119"/>
      <c r="F107" s="653" t="str">
        <f>G104</f>
        <v>Swords</v>
      </c>
      <c r="G107" s="653"/>
      <c r="H107" s="653"/>
      <c r="I107" s="653"/>
      <c r="J107" s="653"/>
      <c r="K107" s="625" t="e">
        <f ca="1">(FLOOR(INDIRECT(SUBSTITUTE(SUBSTITUTE(G104,"-","")," ",""))/5,1)*(FLOOR(INDIRECT(SUBSTITUTE(SUBSTITUTE(G104,"-","")," ",""))/5,1)+1)/2)*50+MOD(INDIRECT(SUBSTITUTE(SUBSTITUTE(G104,"-","")," ","")),5)*CEILING(INDIRECT(SUBSTITUTE(SUBSTITUTE(G104,"-","")," ",""))/5,1)*10-((FLOOR(INDIRECT("Base"&amp;SUBSTITUTE(SUBSTITUTE(G104,"-","")," ",""))/5,1)*(FLOOR(INDIRECT("Base"&amp;SUBSTITUTE(SUBSTITUTE(G104,"-","")," ",""))/5,1)+1)/2)*50+MOD(INDIRECT("Base"&amp;SUBSTITUTE(SUBSTITUTE(G104,"-","")," ","")),5)*CEILING(INDIRECT("Base"&amp;SUBSTITUTE(SUBSTITUTE(G104,"-","")," ",""))/5,1)*10)</f>
        <v>#REF!</v>
      </c>
      <c r="L107" s="625"/>
      <c r="M107" s="625"/>
      <c r="N107" s="626" t="b">
        <f>IF(AH84&lt;&gt;"",VLOOKUP($G104,'Merit Data'!A:BW,MATCH('Merit Data'!$B$3,'Merit Data'!$3:$3,0),0),TRUE)</f>
        <v>1</v>
      </c>
      <c r="O107" s="626"/>
      <c r="P107" s="626"/>
      <c r="Q107" s="140"/>
      <c r="R107" s="140"/>
      <c r="S107" s="140"/>
      <c r="T107" s="140"/>
      <c r="U107" s="140"/>
      <c r="V107" s="238"/>
      <c r="W107" s="238"/>
      <c r="X107" s="627" t="str">
        <f>IF(F107&gt;0,HYPERLINK("http://wiki.project-saros.com/w/"&amp;F107,"Info"),"")</f>
        <v>Info</v>
      </c>
      <c r="Y107" s="628"/>
      <c r="Z107" s="637"/>
      <c r="AA107" s="637"/>
      <c r="AB107" s="637"/>
      <c r="AC107" s="637"/>
      <c r="AD107" s="637"/>
      <c r="AE107" s="637"/>
      <c r="AF107" s="637"/>
      <c r="AG107" s="638"/>
      <c r="AH107" s="148"/>
      <c r="AI107" s="131"/>
      <c r="AJ107" s="131"/>
      <c r="AK107" s="149"/>
      <c r="AL107" s="149"/>
      <c r="AM107" s="149"/>
      <c r="AN107" s="149"/>
      <c r="AO107" s="149"/>
      <c r="AP107" s="149"/>
      <c r="AQ107" s="149"/>
      <c r="AR107" s="149"/>
      <c r="AS107" s="131"/>
      <c r="AT107" s="131"/>
      <c r="AU107" s="131"/>
      <c r="AV107" s="131"/>
      <c r="AW107" s="150"/>
      <c r="AX107" s="641"/>
      <c r="AY107" s="641"/>
      <c r="AZ107" s="641"/>
      <c r="BA107" s="641"/>
      <c r="BB107" s="641"/>
      <c r="BC107" s="641"/>
      <c r="BD107" s="641"/>
      <c r="BE107" s="641"/>
      <c r="BF107" s="641"/>
      <c r="BG107" s="641"/>
      <c r="BH107" s="641"/>
      <c r="BI107" s="641"/>
      <c r="BJ107" s="641"/>
      <c r="BK107" s="641"/>
      <c r="BL107" s="641"/>
      <c r="BM107" s="641"/>
      <c r="BN107" s="641"/>
      <c r="BO107" s="641"/>
      <c r="BP107" s="641"/>
      <c r="BQ107" s="641"/>
      <c r="BR107" s="641"/>
      <c r="BS107" s="641"/>
      <c r="BT107" s="641"/>
      <c r="BU107" s="641"/>
      <c r="BV107" s="641"/>
      <c r="BW107" s="641"/>
      <c r="BX107" s="641"/>
      <c r="BY107" s="641"/>
      <c r="BZ107" s="641"/>
      <c r="CA107" s="641"/>
      <c r="CB107" s="641"/>
      <c r="CC107" s="641"/>
      <c r="CD107" s="641"/>
      <c r="CE107" s="641"/>
      <c r="CF107" s="641"/>
      <c r="CG107" s="641"/>
      <c r="CH107" s="641"/>
      <c r="CI107" s="641"/>
      <c r="CJ107" s="641"/>
      <c r="CK107" s="641"/>
      <c r="CL107" s="641"/>
      <c r="CM107" s="641"/>
      <c r="CN107" s="641"/>
      <c r="CO107" s="641"/>
      <c r="CP107" s="641"/>
      <c r="CQ107" s="641"/>
      <c r="CR107" s="641"/>
      <c r="CS107" s="641"/>
      <c r="CT107" s="641"/>
      <c r="CU107" s="641"/>
      <c r="CV107" s="641"/>
      <c r="CW107" s="641"/>
      <c r="CX107" s="641"/>
      <c r="CY107" s="641"/>
      <c r="CZ107" s="641"/>
      <c r="DA107" s="641"/>
      <c r="DB107" s="641"/>
      <c r="DC107" s="641"/>
      <c r="DD107" s="641"/>
      <c r="DE107" s="641"/>
      <c r="DF107" s="641"/>
      <c r="DG107" s="641"/>
      <c r="DH107" s="641"/>
      <c r="DI107" s="641"/>
      <c r="DJ107" s="641"/>
      <c r="DK107" s="641"/>
      <c r="DL107" s="641"/>
      <c r="DM107" s="641"/>
      <c r="DN107" s="641"/>
      <c r="DO107" s="641"/>
      <c r="DP107" s="641"/>
      <c r="DQ107" s="642"/>
      <c r="DR107" s="229"/>
    </row>
    <row r="108" spans="1:122" ht="7.5" customHeight="1" x14ac:dyDescent="0.25">
      <c r="A108" s="588">
        <v>0</v>
      </c>
      <c r="B108" s="589"/>
      <c r="C108" s="589"/>
      <c r="D108" s="589"/>
      <c r="E108" s="590"/>
      <c r="G108" s="597" t="s">
        <v>153</v>
      </c>
      <c r="H108" s="597"/>
      <c r="I108" s="597"/>
      <c r="J108" s="597"/>
      <c r="K108" s="597"/>
      <c r="L108" s="597"/>
      <c r="M108" s="597"/>
      <c r="N108" s="597"/>
      <c r="O108" s="597"/>
      <c r="P108" s="597"/>
      <c r="Q108" s="597"/>
      <c r="R108" s="597"/>
      <c r="S108" s="597"/>
      <c r="T108" s="597"/>
      <c r="U108" s="597"/>
      <c r="V108" s="597"/>
      <c r="W108" s="597"/>
      <c r="X108" s="597"/>
      <c r="Y108" s="597"/>
      <c r="Z108" s="600" t="e">
        <f>FLOOR(Throwing/5+1,1)*10</f>
        <v>#REF!</v>
      </c>
      <c r="AA108" s="600"/>
      <c r="AB108" s="600"/>
      <c r="AC108" s="600"/>
      <c r="AD108" s="600"/>
      <c r="AE108" s="600"/>
      <c r="AF108" s="600"/>
      <c r="AG108" s="601"/>
      <c r="AH108" s="142"/>
      <c r="AI108" s="143"/>
      <c r="AJ108" s="143"/>
      <c r="AK108" s="143"/>
      <c r="AL108" s="143"/>
      <c r="AM108" s="143"/>
      <c r="AN108" s="143"/>
      <c r="AO108" s="143"/>
      <c r="AP108" s="143"/>
      <c r="AQ108" s="143"/>
      <c r="AR108" s="143"/>
      <c r="AS108" s="143"/>
      <c r="AT108" s="143"/>
      <c r="AU108" s="143"/>
      <c r="AV108" s="143"/>
      <c r="AW108" s="144"/>
      <c r="AX108" s="616" t="e">
        <f ca="1">"Further increases your "&amp;G108&amp;" skill from "&amp;INDIRECT(SUBSTITUTE(G108," ",""))&amp;" to "&amp;INDIRECT(SUBSTITUTE(G108," ",""))+1</f>
        <v>#REF!</v>
      </c>
      <c r="AY108" s="616"/>
      <c r="AZ108" s="616"/>
      <c r="BA108" s="616"/>
      <c r="BB108" s="616"/>
      <c r="BC108" s="616"/>
      <c r="BD108" s="616"/>
      <c r="BE108" s="616"/>
      <c r="BF108" s="616"/>
      <c r="BG108" s="616"/>
      <c r="BH108" s="616"/>
      <c r="BI108" s="616"/>
      <c r="BJ108" s="616"/>
      <c r="BK108" s="616"/>
      <c r="BL108" s="616"/>
      <c r="BM108" s="616"/>
      <c r="BN108" s="616"/>
      <c r="BO108" s="616"/>
      <c r="BP108" s="616"/>
      <c r="BQ108" s="616"/>
      <c r="BR108" s="616"/>
      <c r="BS108" s="616"/>
      <c r="BT108" s="616"/>
      <c r="BU108" s="616"/>
      <c r="BV108" s="616"/>
      <c r="BW108" s="616"/>
      <c r="BX108" s="616"/>
      <c r="BY108" s="616"/>
      <c r="BZ108" s="616"/>
      <c r="CA108" s="616"/>
      <c r="CB108" s="616"/>
      <c r="CC108" s="616"/>
      <c r="CD108" s="616"/>
      <c r="CE108" s="616"/>
      <c r="CF108" s="616"/>
      <c r="CG108" s="616"/>
      <c r="CH108" s="616"/>
      <c r="CI108" s="616"/>
      <c r="CJ108" s="616"/>
      <c r="CK108" s="616"/>
      <c r="CL108" s="616"/>
      <c r="CM108" s="616"/>
      <c r="CN108" s="616"/>
      <c r="CO108" s="616"/>
      <c r="CP108" s="616"/>
      <c r="CQ108" s="616"/>
      <c r="CR108" s="616"/>
      <c r="CS108" s="616"/>
      <c r="CT108" s="616"/>
      <c r="CU108" s="616"/>
      <c r="CV108" s="616"/>
      <c r="CW108" s="616"/>
      <c r="CX108" s="616"/>
      <c r="CY108" s="616"/>
      <c r="CZ108" s="616"/>
      <c r="DA108" s="616"/>
      <c r="DB108" s="616"/>
      <c r="DC108" s="616"/>
      <c r="DD108" s="616"/>
      <c r="DE108" s="616"/>
      <c r="DF108" s="616"/>
      <c r="DG108" s="616"/>
      <c r="DH108" s="616"/>
      <c r="DI108" s="616"/>
      <c r="DJ108" s="616"/>
      <c r="DK108" s="616"/>
      <c r="DL108" s="616"/>
      <c r="DM108" s="616"/>
      <c r="DN108" s="616"/>
      <c r="DO108" s="616"/>
      <c r="DP108" s="616"/>
      <c r="DQ108" s="617"/>
      <c r="DR108" s="229"/>
    </row>
    <row r="109" spans="1:122" ht="7.5" customHeight="1" x14ac:dyDescent="0.25">
      <c r="A109" s="591"/>
      <c r="B109" s="592"/>
      <c r="C109" s="592"/>
      <c r="D109" s="592"/>
      <c r="E109" s="593"/>
      <c r="F109" s="145"/>
      <c r="G109" s="598"/>
      <c r="H109" s="598"/>
      <c r="I109" s="598"/>
      <c r="J109" s="598"/>
      <c r="K109" s="598"/>
      <c r="L109" s="598"/>
      <c r="M109" s="598"/>
      <c r="N109" s="598"/>
      <c r="O109" s="598"/>
      <c r="P109" s="598"/>
      <c r="Q109" s="598"/>
      <c r="R109" s="598"/>
      <c r="S109" s="598"/>
      <c r="T109" s="598"/>
      <c r="U109" s="598"/>
      <c r="V109" s="598"/>
      <c r="W109" s="598"/>
      <c r="X109" s="598"/>
      <c r="Y109" s="598"/>
      <c r="Z109" s="602"/>
      <c r="AA109" s="602"/>
      <c r="AB109" s="602"/>
      <c r="AC109" s="602"/>
      <c r="AD109" s="602"/>
      <c r="AE109" s="602"/>
      <c r="AF109" s="602"/>
      <c r="AG109" s="635"/>
      <c r="AH109" s="132"/>
      <c r="AI109" s="129"/>
      <c r="AJ109" s="129"/>
      <c r="AK109" s="129"/>
      <c r="AL109" s="129"/>
      <c r="AM109" s="129"/>
      <c r="AN109" s="129"/>
      <c r="AO109" s="129"/>
      <c r="AP109" s="129"/>
      <c r="AQ109" s="129"/>
      <c r="AR109" s="129"/>
      <c r="AS109" s="129"/>
      <c r="AT109" s="129"/>
      <c r="AU109" s="129"/>
      <c r="AV109" s="129"/>
      <c r="AW109" s="145"/>
      <c r="AX109" s="619"/>
      <c r="AY109" s="619"/>
      <c r="AZ109" s="619"/>
      <c r="BA109" s="619"/>
      <c r="BB109" s="619"/>
      <c r="BC109" s="619"/>
      <c r="BD109" s="619"/>
      <c r="BE109" s="619"/>
      <c r="BF109" s="619"/>
      <c r="BG109" s="619"/>
      <c r="BH109" s="619"/>
      <c r="BI109" s="619"/>
      <c r="BJ109" s="619"/>
      <c r="BK109" s="619"/>
      <c r="BL109" s="619"/>
      <c r="BM109" s="619"/>
      <c r="BN109" s="619"/>
      <c r="BO109" s="619"/>
      <c r="BP109" s="619"/>
      <c r="BQ109" s="619"/>
      <c r="BR109" s="619"/>
      <c r="BS109" s="619"/>
      <c r="BT109" s="619"/>
      <c r="BU109" s="619"/>
      <c r="BV109" s="619"/>
      <c r="BW109" s="619"/>
      <c r="BX109" s="619"/>
      <c r="BY109" s="619"/>
      <c r="BZ109" s="619"/>
      <c r="CA109" s="619"/>
      <c r="CB109" s="619"/>
      <c r="CC109" s="619"/>
      <c r="CD109" s="619"/>
      <c r="CE109" s="619"/>
      <c r="CF109" s="619"/>
      <c r="CG109" s="619"/>
      <c r="CH109" s="619"/>
      <c r="CI109" s="619"/>
      <c r="CJ109" s="619"/>
      <c r="CK109" s="619"/>
      <c r="CL109" s="619"/>
      <c r="CM109" s="619"/>
      <c r="CN109" s="619"/>
      <c r="CO109" s="619"/>
      <c r="CP109" s="619"/>
      <c r="CQ109" s="619"/>
      <c r="CR109" s="619"/>
      <c r="CS109" s="619"/>
      <c r="CT109" s="619"/>
      <c r="CU109" s="619"/>
      <c r="CV109" s="619"/>
      <c r="CW109" s="619"/>
      <c r="CX109" s="619"/>
      <c r="CY109" s="619"/>
      <c r="CZ109" s="619"/>
      <c r="DA109" s="619"/>
      <c r="DB109" s="619"/>
      <c r="DC109" s="619"/>
      <c r="DD109" s="619"/>
      <c r="DE109" s="619"/>
      <c r="DF109" s="619"/>
      <c r="DG109" s="619"/>
      <c r="DH109" s="619"/>
      <c r="DI109" s="619"/>
      <c r="DJ109" s="619"/>
      <c r="DK109" s="619"/>
      <c r="DL109" s="619"/>
      <c r="DM109" s="619"/>
      <c r="DN109" s="619"/>
      <c r="DO109" s="619"/>
      <c r="DP109" s="619"/>
      <c r="DQ109" s="639"/>
      <c r="DR109" s="229"/>
    </row>
    <row r="110" spans="1:122" ht="7.5" customHeight="1" x14ac:dyDescent="0.25">
      <c r="A110" s="594"/>
      <c r="B110" s="595"/>
      <c r="C110" s="595"/>
      <c r="D110" s="595"/>
      <c r="E110" s="596"/>
      <c r="G110" s="599"/>
      <c r="H110" s="599"/>
      <c r="I110" s="599"/>
      <c r="J110" s="599"/>
      <c r="K110" s="599"/>
      <c r="L110" s="599"/>
      <c r="M110" s="599"/>
      <c r="N110" s="599"/>
      <c r="O110" s="599"/>
      <c r="P110" s="599"/>
      <c r="Q110" s="599"/>
      <c r="R110" s="599"/>
      <c r="S110" s="599"/>
      <c r="T110" s="599"/>
      <c r="U110" s="599"/>
      <c r="V110" s="599"/>
      <c r="W110" s="599"/>
      <c r="X110" s="599"/>
      <c r="Y110" s="599"/>
      <c r="Z110" s="602"/>
      <c r="AA110" s="602"/>
      <c r="AB110" s="602"/>
      <c r="AC110" s="602"/>
      <c r="AD110" s="602"/>
      <c r="AE110" s="602"/>
      <c r="AF110" s="602"/>
      <c r="AG110" s="636"/>
      <c r="AH110" s="132"/>
      <c r="AI110" s="129"/>
      <c r="AJ110" s="129"/>
      <c r="AK110" s="129"/>
      <c r="AL110" s="129"/>
      <c r="AM110" s="129"/>
      <c r="AN110" s="129"/>
      <c r="AO110" s="129"/>
      <c r="AP110" s="129"/>
      <c r="AQ110" s="129"/>
      <c r="AR110" s="129"/>
      <c r="AS110" s="129"/>
      <c r="AT110" s="129"/>
      <c r="AU110" s="129"/>
      <c r="AV110" s="129"/>
      <c r="AW110" s="146"/>
      <c r="AX110" s="619"/>
      <c r="AY110" s="619"/>
      <c r="AZ110" s="619"/>
      <c r="BA110" s="619"/>
      <c r="BB110" s="619"/>
      <c r="BC110" s="619"/>
      <c r="BD110" s="619"/>
      <c r="BE110" s="619"/>
      <c r="BF110" s="619"/>
      <c r="BG110" s="619"/>
      <c r="BH110" s="619"/>
      <c r="BI110" s="619"/>
      <c r="BJ110" s="619"/>
      <c r="BK110" s="619"/>
      <c r="BL110" s="619"/>
      <c r="BM110" s="619"/>
      <c r="BN110" s="619"/>
      <c r="BO110" s="619"/>
      <c r="BP110" s="619"/>
      <c r="BQ110" s="619"/>
      <c r="BR110" s="619"/>
      <c r="BS110" s="619"/>
      <c r="BT110" s="619"/>
      <c r="BU110" s="619"/>
      <c r="BV110" s="619"/>
      <c r="BW110" s="619"/>
      <c r="BX110" s="619"/>
      <c r="BY110" s="619"/>
      <c r="BZ110" s="619"/>
      <c r="CA110" s="619"/>
      <c r="CB110" s="619"/>
      <c r="CC110" s="619"/>
      <c r="CD110" s="619"/>
      <c r="CE110" s="619"/>
      <c r="CF110" s="619"/>
      <c r="CG110" s="619"/>
      <c r="CH110" s="619"/>
      <c r="CI110" s="619"/>
      <c r="CJ110" s="619"/>
      <c r="CK110" s="619"/>
      <c r="CL110" s="619"/>
      <c r="CM110" s="619"/>
      <c r="CN110" s="619"/>
      <c r="CO110" s="619"/>
      <c r="CP110" s="619"/>
      <c r="CQ110" s="619"/>
      <c r="CR110" s="619"/>
      <c r="CS110" s="619"/>
      <c r="CT110" s="619"/>
      <c r="CU110" s="619"/>
      <c r="CV110" s="619"/>
      <c r="CW110" s="619"/>
      <c r="CX110" s="619"/>
      <c r="CY110" s="619"/>
      <c r="CZ110" s="619"/>
      <c r="DA110" s="619"/>
      <c r="DB110" s="619"/>
      <c r="DC110" s="619"/>
      <c r="DD110" s="619"/>
      <c r="DE110" s="619"/>
      <c r="DF110" s="619"/>
      <c r="DG110" s="619"/>
      <c r="DH110" s="619"/>
      <c r="DI110" s="619"/>
      <c r="DJ110" s="619"/>
      <c r="DK110" s="619"/>
      <c r="DL110" s="619"/>
      <c r="DM110" s="619"/>
      <c r="DN110" s="619"/>
      <c r="DO110" s="619"/>
      <c r="DP110" s="619"/>
      <c r="DQ110" s="640"/>
      <c r="DR110" s="229"/>
    </row>
    <row r="111" spans="1:122" ht="7.5" customHeight="1" x14ac:dyDescent="0.25">
      <c r="A111" s="119"/>
      <c r="B111" s="119"/>
      <c r="C111" s="119"/>
      <c r="D111" s="119"/>
      <c r="E111" s="119"/>
      <c r="F111" s="653" t="str">
        <f>G108</f>
        <v>Throwing</v>
      </c>
      <c r="G111" s="653"/>
      <c r="H111" s="653"/>
      <c r="I111" s="653"/>
      <c r="J111" s="653"/>
      <c r="K111" s="625" t="e">
        <f ca="1">(FLOOR(INDIRECT(SUBSTITUTE(SUBSTITUTE(G108,"-","")," ",""))/5,1)*(FLOOR(INDIRECT(SUBSTITUTE(SUBSTITUTE(G108,"-","")," ",""))/5,1)+1)/2)*50+MOD(INDIRECT(SUBSTITUTE(SUBSTITUTE(G108,"-","")," ","")),5)*CEILING(INDIRECT(SUBSTITUTE(SUBSTITUTE(G108,"-","")," ",""))/5,1)*10-((FLOOR(INDIRECT("Base"&amp;SUBSTITUTE(SUBSTITUTE(G108,"-","")," ",""))/5,1)*(FLOOR(INDIRECT("Base"&amp;SUBSTITUTE(SUBSTITUTE(G108,"-","")," ",""))/5,1)+1)/2)*50+MOD(INDIRECT("Base"&amp;SUBSTITUTE(SUBSTITUTE(G108,"-","")," ","")),5)*CEILING(INDIRECT("Base"&amp;SUBSTITUTE(SUBSTITUTE(G108,"-","")," ",""))/5,1)*10)</f>
        <v>#REF!</v>
      </c>
      <c r="L111" s="625"/>
      <c r="M111" s="625"/>
      <c r="N111" s="626" t="b">
        <f>IF(AH100&lt;&gt;"",VLOOKUP($G108,'Merit Data'!A:BW,MATCH('Merit Data'!$B$3,'Merit Data'!$3:$3,0),0),TRUE)</f>
        <v>1</v>
      </c>
      <c r="O111" s="626"/>
      <c r="P111" s="626"/>
      <c r="Q111" s="140"/>
      <c r="R111" s="140"/>
      <c r="S111" s="140"/>
      <c r="T111" s="140"/>
      <c r="U111" s="140"/>
      <c r="V111" s="238"/>
      <c r="W111" s="238"/>
      <c r="X111" s="627" t="str">
        <f>IF(F111&gt;0,HYPERLINK("http://wiki.project-saros.com/w/"&amp;F111,"Info"),"")</f>
        <v>Info</v>
      </c>
      <c r="Y111" s="628"/>
      <c r="Z111" s="637"/>
      <c r="AA111" s="637"/>
      <c r="AB111" s="637"/>
      <c r="AC111" s="637"/>
      <c r="AD111" s="637"/>
      <c r="AE111" s="637"/>
      <c r="AF111" s="637"/>
      <c r="AG111" s="638"/>
      <c r="AH111" s="148"/>
      <c r="AI111" s="131"/>
      <c r="AJ111" s="131"/>
      <c r="AK111" s="149"/>
      <c r="AL111" s="149"/>
      <c r="AM111" s="149"/>
      <c r="AN111" s="149"/>
      <c r="AO111" s="149"/>
      <c r="AP111" s="149"/>
      <c r="AQ111" s="149"/>
      <c r="AR111" s="149"/>
      <c r="AS111" s="131"/>
      <c r="AT111" s="131"/>
      <c r="AU111" s="131"/>
      <c r="AV111" s="131"/>
      <c r="AW111" s="150"/>
      <c r="AX111" s="641"/>
      <c r="AY111" s="641"/>
      <c r="AZ111" s="641"/>
      <c r="BA111" s="641"/>
      <c r="BB111" s="641"/>
      <c r="BC111" s="641"/>
      <c r="BD111" s="641"/>
      <c r="BE111" s="641"/>
      <c r="BF111" s="641"/>
      <c r="BG111" s="641"/>
      <c r="BH111" s="641"/>
      <c r="BI111" s="641"/>
      <c r="BJ111" s="641"/>
      <c r="BK111" s="641"/>
      <c r="BL111" s="641"/>
      <c r="BM111" s="641"/>
      <c r="BN111" s="641"/>
      <c r="BO111" s="641"/>
      <c r="BP111" s="641"/>
      <c r="BQ111" s="641"/>
      <c r="BR111" s="641"/>
      <c r="BS111" s="641"/>
      <c r="BT111" s="641"/>
      <c r="BU111" s="641"/>
      <c r="BV111" s="641"/>
      <c r="BW111" s="641"/>
      <c r="BX111" s="641"/>
      <c r="BY111" s="641"/>
      <c r="BZ111" s="641"/>
      <c r="CA111" s="641"/>
      <c r="CB111" s="641"/>
      <c r="CC111" s="641"/>
      <c r="CD111" s="641"/>
      <c r="CE111" s="641"/>
      <c r="CF111" s="641"/>
      <c r="CG111" s="641"/>
      <c r="CH111" s="641"/>
      <c r="CI111" s="641"/>
      <c r="CJ111" s="641"/>
      <c r="CK111" s="641"/>
      <c r="CL111" s="641"/>
      <c r="CM111" s="641"/>
      <c r="CN111" s="641"/>
      <c r="CO111" s="641"/>
      <c r="CP111" s="641"/>
      <c r="CQ111" s="641"/>
      <c r="CR111" s="641"/>
      <c r="CS111" s="641"/>
      <c r="CT111" s="641"/>
      <c r="CU111" s="641"/>
      <c r="CV111" s="641"/>
      <c r="CW111" s="641"/>
      <c r="CX111" s="641"/>
      <c r="CY111" s="641"/>
      <c r="CZ111" s="641"/>
      <c r="DA111" s="641"/>
      <c r="DB111" s="641"/>
      <c r="DC111" s="641"/>
      <c r="DD111" s="641"/>
      <c r="DE111" s="641"/>
      <c r="DF111" s="641"/>
      <c r="DG111" s="641"/>
      <c r="DH111" s="641"/>
      <c r="DI111" s="641"/>
      <c r="DJ111" s="641"/>
      <c r="DK111" s="641"/>
      <c r="DL111" s="641"/>
      <c r="DM111" s="641"/>
      <c r="DN111" s="641"/>
      <c r="DO111" s="641"/>
      <c r="DP111" s="641"/>
      <c r="DQ111" s="642"/>
      <c r="DR111" s="229"/>
    </row>
    <row r="112" spans="1:122" ht="7.5" customHeight="1" x14ac:dyDescent="0.25">
      <c r="A112" s="631" t="s">
        <v>32</v>
      </c>
      <c r="B112" s="631"/>
      <c r="C112" s="631"/>
      <c r="D112" s="631"/>
      <c r="E112" s="631"/>
      <c r="F112" s="631"/>
      <c r="G112" s="631"/>
      <c r="H112" s="631"/>
      <c r="I112" s="631"/>
      <c r="J112" s="631"/>
      <c r="K112" s="631"/>
      <c r="L112" s="631"/>
      <c r="M112" s="631"/>
      <c r="N112" s="631"/>
      <c r="O112" s="631"/>
      <c r="P112" s="631"/>
      <c r="Q112" s="631"/>
      <c r="R112" s="631"/>
      <c r="S112" s="631"/>
      <c r="T112" s="631"/>
      <c r="U112" s="631"/>
      <c r="V112" s="631"/>
      <c r="W112" s="631"/>
      <c r="X112" s="631"/>
      <c r="Y112" s="631"/>
      <c r="Z112" s="631"/>
      <c r="AA112" s="631"/>
      <c r="AB112" s="631"/>
      <c r="AC112" s="631"/>
      <c r="AD112" s="631"/>
      <c r="AE112" s="631"/>
      <c r="AF112" s="631"/>
      <c r="AG112" s="631"/>
      <c r="AH112" s="135"/>
      <c r="AI112" s="135"/>
      <c r="AJ112" s="135"/>
      <c r="AK112" s="135"/>
      <c r="AL112" s="135"/>
      <c r="AM112" s="135"/>
      <c r="AN112" s="135"/>
      <c r="AO112" s="135"/>
      <c r="AP112" s="135"/>
      <c r="AQ112" s="135"/>
      <c r="AR112" s="135"/>
      <c r="AS112" s="135"/>
      <c r="AT112" s="135"/>
      <c r="AU112" s="135"/>
      <c r="AV112" s="135"/>
      <c r="AW112" s="135"/>
      <c r="AX112" s="136"/>
      <c r="AY112" s="136"/>
      <c r="AZ112" s="136"/>
      <c r="BA112" s="136"/>
      <c r="BB112" s="136"/>
      <c r="BC112" s="136"/>
      <c r="BD112" s="136"/>
      <c r="BE112" s="136"/>
      <c r="BF112" s="136"/>
      <c r="BG112" s="136"/>
      <c r="BH112" s="136"/>
      <c r="BI112" s="136"/>
      <c r="BJ112" s="136"/>
      <c r="BK112" s="136"/>
      <c r="BL112" s="136"/>
      <c r="BM112" s="136"/>
      <c r="BN112" s="136"/>
      <c r="BO112" s="136"/>
      <c r="BP112" s="136"/>
      <c r="BQ112" s="136"/>
      <c r="BR112" s="136"/>
      <c r="BS112" s="136"/>
      <c r="BT112" s="136"/>
      <c r="BU112" s="136"/>
      <c r="BV112" s="136"/>
      <c r="BW112" s="136"/>
      <c r="BX112" s="136"/>
      <c r="BY112" s="136"/>
      <c r="BZ112" s="136"/>
      <c r="CA112" s="136"/>
      <c r="CB112" s="136"/>
      <c r="CC112" s="136"/>
      <c r="CD112" s="136"/>
      <c r="CE112" s="136"/>
      <c r="CF112" s="136"/>
      <c r="CG112" s="136"/>
      <c r="CH112" s="136"/>
      <c r="CI112" s="136"/>
      <c r="CJ112" s="136"/>
      <c r="CK112" s="136"/>
      <c r="CL112" s="136"/>
      <c r="CM112" s="136"/>
      <c r="CN112" s="136"/>
      <c r="CO112" s="136"/>
      <c r="CP112" s="136"/>
      <c r="CQ112" s="136"/>
      <c r="CR112" s="136"/>
      <c r="CS112" s="136"/>
      <c r="CT112" s="136"/>
      <c r="CU112" s="136"/>
      <c r="CV112" s="136"/>
      <c r="CW112" s="136"/>
      <c r="CX112" s="136"/>
      <c r="CY112" s="136"/>
      <c r="CZ112" s="136"/>
      <c r="DA112" s="136"/>
      <c r="DB112" s="136"/>
      <c r="DC112" s="136"/>
      <c r="DD112" s="136"/>
      <c r="DE112" s="136"/>
      <c r="DF112" s="136"/>
      <c r="DG112" s="136"/>
      <c r="DH112" s="136"/>
      <c r="DI112" s="136"/>
      <c r="DJ112" s="136"/>
      <c r="DK112" s="136"/>
      <c r="DL112" s="136"/>
      <c r="DM112" s="136"/>
      <c r="DN112" s="136"/>
      <c r="DO112" s="136"/>
      <c r="DP112" s="136"/>
      <c r="DQ112" s="136"/>
      <c r="DR112" s="228"/>
    </row>
    <row r="113" spans="1:122" ht="7.5" customHeight="1" x14ac:dyDescent="0.25">
      <c r="A113" s="632"/>
      <c r="B113" s="632"/>
      <c r="C113" s="632"/>
      <c r="D113" s="632"/>
      <c r="E113" s="632"/>
      <c r="F113" s="632"/>
      <c r="G113" s="632"/>
      <c r="H113" s="632"/>
      <c r="I113" s="632"/>
      <c r="J113" s="632"/>
      <c r="K113" s="632"/>
      <c r="L113" s="632"/>
      <c r="M113" s="632"/>
      <c r="N113" s="632"/>
      <c r="O113" s="632"/>
      <c r="P113" s="632"/>
      <c r="Q113" s="632"/>
      <c r="R113" s="632"/>
      <c r="S113" s="632"/>
      <c r="T113" s="632"/>
      <c r="U113" s="632"/>
      <c r="V113" s="632"/>
      <c r="W113" s="632"/>
      <c r="X113" s="632"/>
      <c r="Y113" s="632"/>
      <c r="Z113" s="632"/>
      <c r="AA113" s="632"/>
      <c r="AB113" s="632"/>
      <c r="AC113" s="632"/>
      <c r="AD113" s="632"/>
      <c r="AE113" s="632"/>
      <c r="AF113" s="632"/>
      <c r="AG113" s="632"/>
      <c r="AH113" s="138"/>
      <c r="AI113" s="138"/>
      <c r="AJ113" s="138"/>
      <c r="AK113" s="138"/>
      <c r="AL113" s="138"/>
      <c r="AM113" s="138"/>
      <c r="AN113" s="138"/>
      <c r="AO113" s="138"/>
      <c r="AP113" s="138"/>
      <c r="AQ113" s="138"/>
      <c r="AR113" s="138"/>
      <c r="AS113" s="138"/>
      <c r="AT113" s="138"/>
      <c r="AU113" s="138"/>
      <c r="AV113" s="138"/>
      <c r="AW113" s="138"/>
      <c r="AX113" s="136"/>
      <c r="AY113" s="136"/>
      <c r="AZ113" s="136"/>
      <c r="BA113" s="136"/>
      <c r="BB113" s="136"/>
      <c r="BC113" s="136"/>
      <c r="BD113" s="136"/>
      <c r="BE113" s="136"/>
      <c r="BF113" s="136"/>
      <c r="BG113" s="136"/>
      <c r="BH113" s="136"/>
      <c r="BI113" s="136"/>
      <c r="BJ113" s="136"/>
      <c r="BK113" s="136"/>
      <c r="BL113" s="136"/>
      <c r="BM113" s="136"/>
      <c r="BN113" s="136"/>
      <c r="BO113" s="136"/>
      <c r="BP113" s="136"/>
      <c r="BQ113" s="136"/>
      <c r="BR113" s="136"/>
      <c r="BS113" s="136"/>
      <c r="BT113" s="136"/>
      <c r="BU113" s="136"/>
      <c r="BV113" s="136"/>
      <c r="BW113" s="136"/>
      <c r="BX113" s="136"/>
      <c r="BY113" s="136"/>
      <c r="BZ113" s="136"/>
      <c r="CA113" s="136"/>
      <c r="CB113" s="136"/>
      <c r="CC113" s="136"/>
      <c r="CD113" s="136"/>
      <c r="CE113" s="136"/>
      <c r="CF113" s="136"/>
      <c r="CG113" s="136"/>
      <c r="CH113" s="136"/>
      <c r="CI113" s="136"/>
      <c r="CJ113" s="136"/>
      <c r="CK113" s="136"/>
      <c r="CL113" s="136"/>
      <c r="CM113" s="136"/>
      <c r="CN113" s="136"/>
      <c r="CO113" s="136"/>
      <c r="CP113" s="136"/>
      <c r="CQ113" s="136"/>
      <c r="CR113" s="136"/>
      <c r="CS113" s="136"/>
      <c r="CT113" s="136"/>
      <c r="CU113" s="136"/>
      <c r="CV113" s="136"/>
      <c r="CW113" s="136"/>
      <c r="CX113" s="136"/>
      <c r="CY113" s="136"/>
      <c r="CZ113" s="136"/>
      <c r="DA113" s="136"/>
      <c r="DB113" s="136"/>
      <c r="DC113" s="136"/>
      <c r="DD113" s="136"/>
      <c r="DE113" s="136"/>
      <c r="DF113" s="136"/>
      <c r="DG113" s="136"/>
      <c r="DH113" s="136"/>
      <c r="DI113" s="136"/>
      <c r="DJ113" s="136"/>
      <c r="DK113" s="136"/>
      <c r="DL113" s="136"/>
      <c r="DM113" s="136"/>
      <c r="DN113" s="136"/>
      <c r="DO113" s="136"/>
      <c r="DP113" s="136"/>
      <c r="DQ113" s="136"/>
      <c r="DR113" s="228"/>
    </row>
    <row r="114" spans="1:122" ht="7.5" customHeight="1" x14ac:dyDescent="0.25">
      <c r="A114" s="632"/>
      <c r="B114" s="632"/>
      <c r="C114" s="632"/>
      <c r="D114" s="632"/>
      <c r="E114" s="632"/>
      <c r="F114" s="632"/>
      <c r="G114" s="632"/>
      <c r="H114" s="632"/>
      <c r="I114" s="632"/>
      <c r="J114" s="632"/>
      <c r="K114" s="632"/>
      <c r="L114" s="632"/>
      <c r="M114" s="632"/>
      <c r="N114" s="632"/>
      <c r="O114" s="632"/>
      <c r="P114" s="632"/>
      <c r="Q114" s="632"/>
      <c r="R114" s="632"/>
      <c r="S114" s="632"/>
      <c r="T114" s="632"/>
      <c r="U114" s="632"/>
      <c r="V114" s="632"/>
      <c r="W114" s="632"/>
      <c r="X114" s="632"/>
      <c r="Y114" s="632"/>
      <c r="Z114" s="632"/>
      <c r="AA114" s="632"/>
      <c r="AB114" s="632"/>
      <c r="AC114" s="632"/>
      <c r="AD114" s="632"/>
      <c r="AE114" s="632"/>
      <c r="AF114" s="632"/>
      <c r="AG114" s="632"/>
      <c r="AH114" s="139"/>
      <c r="AI114" s="139"/>
      <c r="AJ114" s="139"/>
      <c r="AK114" s="139"/>
      <c r="AL114" s="139"/>
      <c r="AM114" s="139"/>
      <c r="AN114" s="139"/>
      <c r="AO114" s="139"/>
      <c r="AP114" s="139"/>
      <c r="AQ114" s="139"/>
      <c r="AR114" s="139"/>
      <c r="AS114" s="139"/>
      <c r="AT114" s="139"/>
      <c r="AU114" s="139"/>
      <c r="AV114" s="139"/>
      <c r="AW114" s="139"/>
      <c r="AX114" s="136"/>
      <c r="AY114" s="136"/>
      <c r="AZ114" s="136"/>
      <c r="BA114" s="136"/>
      <c r="BB114" s="136"/>
      <c r="BC114" s="136"/>
      <c r="BD114" s="136"/>
      <c r="BE114" s="136"/>
      <c r="BF114" s="136"/>
      <c r="BG114" s="136"/>
      <c r="BH114" s="136"/>
      <c r="BI114" s="136"/>
      <c r="BJ114" s="136"/>
      <c r="BK114" s="136"/>
      <c r="BL114" s="136"/>
      <c r="BM114" s="136"/>
      <c r="BN114" s="136"/>
      <c r="BO114" s="136"/>
      <c r="BP114" s="136"/>
      <c r="BQ114" s="136"/>
      <c r="BR114" s="136"/>
      <c r="BS114" s="136"/>
      <c r="BT114" s="136"/>
      <c r="BU114" s="136"/>
      <c r="BV114" s="136"/>
      <c r="BW114" s="136"/>
      <c r="BX114" s="136"/>
      <c r="BY114" s="136"/>
      <c r="BZ114" s="136"/>
      <c r="CA114" s="136"/>
      <c r="CB114" s="136"/>
      <c r="CC114" s="136"/>
      <c r="CD114" s="136"/>
      <c r="CE114" s="136"/>
      <c r="CF114" s="136"/>
      <c r="CG114" s="136"/>
      <c r="CH114" s="136"/>
      <c r="CI114" s="136"/>
      <c r="CJ114" s="136"/>
      <c r="CK114" s="136"/>
      <c r="CL114" s="136"/>
      <c r="CM114" s="136"/>
      <c r="CN114" s="136"/>
      <c r="CO114" s="136"/>
      <c r="CP114" s="136"/>
      <c r="CQ114" s="136"/>
      <c r="CR114" s="136"/>
      <c r="CS114" s="136"/>
      <c r="CT114" s="136"/>
      <c r="CU114" s="136"/>
      <c r="CV114" s="136"/>
      <c r="CW114" s="136"/>
      <c r="CX114" s="136"/>
      <c r="CY114" s="136"/>
      <c r="CZ114" s="136"/>
      <c r="DA114" s="136"/>
      <c r="DB114" s="136"/>
      <c r="DC114" s="136"/>
      <c r="DD114" s="136"/>
      <c r="DE114" s="136"/>
      <c r="DF114" s="136"/>
      <c r="DG114" s="136"/>
      <c r="DH114" s="136"/>
      <c r="DI114" s="136"/>
      <c r="DJ114" s="136"/>
      <c r="DK114" s="136"/>
      <c r="DL114" s="136"/>
      <c r="DM114" s="136"/>
      <c r="DN114" s="136"/>
      <c r="DO114" s="136"/>
      <c r="DP114" s="136"/>
      <c r="DQ114" s="136"/>
      <c r="DR114" s="228"/>
    </row>
    <row r="115" spans="1:122" ht="7.5" customHeight="1" x14ac:dyDescent="0.25">
      <c r="A115" s="588">
        <v>0</v>
      </c>
      <c r="B115" s="589"/>
      <c r="C115" s="589"/>
      <c r="D115" s="589"/>
      <c r="E115" s="590"/>
      <c r="F115" s="129"/>
      <c r="G115" s="597" t="s">
        <v>274</v>
      </c>
      <c r="H115" s="597"/>
      <c r="I115" s="597"/>
      <c r="J115" s="597"/>
      <c r="K115" s="597"/>
      <c r="L115" s="597"/>
      <c r="M115" s="597"/>
      <c r="N115" s="597"/>
      <c r="O115" s="597"/>
      <c r="P115" s="597"/>
      <c r="Q115" s="597"/>
      <c r="R115" s="597"/>
      <c r="S115" s="597"/>
      <c r="T115" s="597"/>
      <c r="U115" s="597"/>
      <c r="V115" s="597"/>
      <c r="W115" s="597"/>
      <c r="X115" s="597"/>
      <c r="Y115" s="597"/>
      <c r="Z115" s="600" t="e">
        <f ca="1">FLOOR(INDIRECT(G115)/5+1,1)*10</f>
        <v>#REF!</v>
      </c>
      <c r="AA115" s="600"/>
      <c r="AB115" s="600"/>
      <c r="AC115" s="600"/>
      <c r="AD115" s="600"/>
      <c r="AE115" s="600"/>
      <c r="AF115" s="600"/>
      <c r="AG115" s="601"/>
      <c r="AH115" s="643"/>
      <c r="AI115" s="644"/>
      <c r="AJ115" s="644"/>
      <c r="AK115" s="644"/>
      <c r="AL115" s="644"/>
      <c r="AM115" s="644"/>
      <c r="AN115" s="644"/>
      <c r="AO115" s="644"/>
      <c r="AP115" s="644"/>
      <c r="AQ115" s="644"/>
      <c r="AR115" s="644"/>
      <c r="AS115" s="644"/>
      <c r="AT115" s="644"/>
      <c r="AU115" s="644"/>
      <c r="AV115" s="644"/>
      <c r="AW115" s="645"/>
      <c r="AX115" s="616" t="e">
        <f ca="1">"Further increases your "&amp;G115&amp;" skill from "&amp;INDIRECT(SUBSTITUTE(G115," ",""))&amp;" to "&amp;INDIRECT(SUBSTITUTE(G115," ",""))+1</f>
        <v>#REF!</v>
      </c>
      <c r="AY115" s="616"/>
      <c r="AZ115" s="616"/>
      <c r="BA115" s="616"/>
      <c r="BB115" s="616"/>
      <c r="BC115" s="616"/>
      <c r="BD115" s="616"/>
      <c r="BE115" s="616"/>
      <c r="BF115" s="616"/>
      <c r="BG115" s="616"/>
      <c r="BH115" s="616"/>
      <c r="BI115" s="616"/>
      <c r="BJ115" s="616"/>
      <c r="BK115" s="616"/>
      <c r="BL115" s="616"/>
      <c r="BM115" s="616"/>
      <c r="BN115" s="616"/>
      <c r="BO115" s="616"/>
      <c r="BP115" s="616"/>
      <c r="BQ115" s="616"/>
      <c r="BR115" s="616"/>
      <c r="BS115" s="616"/>
      <c r="BT115" s="616"/>
      <c r="BU115" s="616"/>
      <c r="BV115" s="616"/>
      <c r="BW115" s="616"/>
      <c r="BX115" s="616"/>
      <c r="BY115" s="616"/>
      <c r="BZ115" s="616"/>
      <c r="CA115" s="616"/>
      <c r="CB115" s="616"/>
      <c r="CC115" s="616"/>
      <c r="CD115" s="616"/>
      <c r="CE115" s="616"/>
      <c r="CF115" s="616"/>
      <c r="CG115" s="616"/>
      <c r="CH115" s="616"/>
      <c r="CI115" s="616"/>
      <c r="CJ115" s="616"/>
      <c r="CK115" s="616"/>
      <c r="CL115" s="616"/>
      <c r="CM115" s="616"/>
      <c r="CN115" s="616"/>
      <c r="CO115" s="616"/>
      <c r="CP115" s="616"/>
      <c r="CQ115" s="616"/>
      <c r="CR115" s="616"/>
      <c r="CS115" s="616"/>
      <c r="CT115" s="616"/>
      <c r="CU115" s="616"/>
      <c r="CV115" s="616"/>
      <c r="CW115" s="616"/>
      <c r="CX115" s="616"/>
      <c r="CY115" s="616"/>
      <c r="CZ115" s="616"/>
      <c r="DA115" s="616"/>
      <c r="DB115" s="616"/>
      <c r="DC115" s="616"/>
      <c r="DD115" s="616"/>
      <c r="DE115" s="616"/>
      <c r="DF115" s="616"/>
      <c r="DG115" s="616"/>
      <c r="DH115" s="616"/>
      <c r="DI115" s="616"/>
      <c r="DJ115" s="616"/>
      <c r="DK115" s="616"/>
      <c r="DL115" s="616"/>
      <c r="DM115" s="616"/>
      <c r="DN115" s="616"/>
      <c r="DO115" s="616"/>
      <c r="DP115" s="616"/>
      <c r="DQ115" s="617"/>
      <c r="DR115" s="229"/>
    </row>
    <row r="116" spans="1:122" ht="7.5" customHeight="1" x14ac:dyDescent="0.25">
      <c r="A116" s="591"/>
      <c r="B116" s="592"/>
      <c r="C116" s="592"/>
      <c r="D116" s="592"/>
      <c r="E116" s="593"/>
      <c r="F116" s="129"/>
      <c r="G116" s="598"/>
      <c r="H116" s="598"/>
      <c r="I116" s="598"/>
      <c r="J116" s="598"/>
      <c r="K116" s="598"/>
      <c r="L116" s="598"/>
      <c r="M116" s="598"/>
      <c r="N116" s="598"/>
      <c r="O116" s="598"/>
      <c r="P116" s="598"/>
      <c r="Q116" s="598"/>
      <c r="R116" s="598"/>
      <c r="S116" s="598"/>
      <c r="T116" s="598"/>
      <c r="U116" s="598"/>
      <c r="V116" s="598"/>
      <c r="W116" s="598"/>
      <c r="X116" s="598"/>
      <c r="Y116" s="598"/>
      <c r="Z116" s="602"/>
      <c r="AA116" s="602"/>
      <c r="AB116" s="602"/>
      <c r="AC116" s="602"/>
      <c r="AD116" s="602"/>
      <c r="AE116" s="602"/>
      <c r="AF116" s="602"/>
      <c r="AG116" s="635"/>
      <c r="AH116" s="646"/>
      <c r="AI116" s="449"/>
      <c r="AJ116" s="449"/>
      <c r="AK116" s="449"/>
      <c r="AL116" s="449"/>
      <c r="AM116" s="449"/>
      <c r="AN116" s="449"/>
      <c r="AO116" s="449"/>
      <c r="AP116" s="449"/>
      <c r="AQ116" s="449"/>
      <c r="AR116" s="449"/>
      <c r="AS116" s="449"/>
      <c r="AT116" s="449"/>
      <c r="AU116" s="449"/>
      <c r="AV116" s="449"/>
      <c r="AW116" s="647"/>
      <c r="AX116" s="619"/>
      <c r="AY116" s="619"/>
      <c r="AZ116" s="619"/>
      <c r="BA116" s="619"/>
      <c r="BB116" s="619"/>
      <c r="BC116" s="619"/>
      <c r="BD116" s="619"/>
      <c r="BE116" s="619"/>
      <c r="BF116" s="619"/>
      <c r="BG116" s="619"/>
      <c r="BH116" s="619"/>
      <c r="BI116" s="619"/>
      <c r="BJ116" s="619"/>
      <c r="BK116" s="619"/>
      <c r="BL116" s="619"/>
      <c r="BM116" s="619"/>
      <c r="BN116" s="619"/>
      <c r="BO116" s="619"/>
      <c r="BP116" s="619"/>
      <c r="BQ116" s="619"/>
      <c r="BR116" s="619"/>
      <c r="BS116" s="619"/>
      <c r="BT116" s="619"/>
      <c r="BU116" s="619"/>
      <c r="BV116" s="619"/>
      <c r="BW116" s="619"/>
      <c r="BX116" s="619"/>
      <c r="BY116" s="619"/>
      <c r="BZ116" s="619"/>
      <c r="CA116" s="619"/>
      <c r="CB116" s="619"/>
      <c r="CC116" s="619"/>
      <c r="CD116" s="619"/>
      <c r="CE116" s="619"/>
      <c r="CF116" s="619"/>
      <c r="CG116" s="619"/>
      <c r="CH116" s="619"/>
      <c r="CI116" s="619"/>
      <c r="CJ116" s="619"/>
      <c r="CK116" s="619"/>
      <c r="CL116" s="619"/>
      <c r="CM116" s="619"/>
      <c r="CN116" s="619"/>
      <c r="CO116" s="619"/>
      <c r="CP116" s="619"/>
      <c r="CQ116" s="619"/>
      <c r="CR116" s="619"/>
      <c r="CS116" s="619"/>
      <c r="CT116" s="619"/>
      <c r="CU116" s="619"/>
      <c r="CV116" s="619"/>
      <c r="CW116" s="619"/>
      <c r="CX116" s="619"/>
      <c r="CY116" s="619"/>
      <c r="CZ116" s="619"/>
      <c r="DA116" s="619"/>
      <c r="DB116" s="619"/>
      <c r="DC116" s="619"/>
      <c r="DD116" s="619"/>
      <c r="DE116" s="619"/>
      <c r="DF116" s="619"/>
      <c r="DG116" s="619"/>
      <c r="DH116" s="619"/>
      <c r="DI116" s="619"/>
      <c r="DJ116" s="619"/>
      <c r="DK116" s="619"/>
      <c r="DL116" s="619"/>
      <c r="DM116" s="619"/>
      <c r="DN116" s="619"/>
      <c r="DO116" s="619"/>
      <c r="DP116" s="619"/>
      <c r="DQ116" s="639"/>
      <c r="DR116" s="229"/>
    </row>
    <row r="117" spans="1:122" ht="7.5" customHeight="1" x14ac:dyDescent="0.25">
      <c r="A117" s="594"/>
      <c r="B117" s="595"/>
      <c r="C117" s="595"/>
      <c r="D117" s="595"/>
      <c r="E117" s="596"/>
      <c r="F117" s="129"/>
      <c r="G117" s="599"/>
      <c r="H117" s="599"/>
      <c r="I117" s="599"/>
      <c r="J117" s="599"/>
      <c r="K117" s="599"/>
      <c r="L117" s="599"/>
      <c r="M117" s="599"/>
      <c r="N117" s="599"/>
      <c r="O117" s="599"/>
      <c r="P117" s="599"/>
      <c r="Q117" s="599"/>
      <c r="R117" s="599"/>
      <c r="S117" s="599"/>
      <c r="T117" s="599"/>
      <c r="U117" s="599"/>
      <c r="V117" s="599"/>
      <c r="W117" s="599"/>
      <c r="X117" s="599"/>
      <c r="Y117" s="599"/>
      <c r="Z117" s="602"/>
      <c r="AA117" s="602"/>
      <c r="AB117" s="602"/>
      <c r="AC117" s="602"/>
      <c r="AD117" s="602"/>
      <c r="AE117" s="602"/>
      <c r="AF117" s="602"/>
      <c r="AG117" s="636"/>
      <c r="AH117" s="646"/>
      <c r="AI117" s="449"/>
      <c r="AJ117" s="449"/>
      <c r="AK117" s="449"/>
      <c r="AL117" s="449"/>
      <c r="AM117" s="449"/>
      <c r="AN117" s="449"/>
      <c r="AO117" s="449"/>
      <c r="AP117" s="449"/>
      <c r="AQ117" s="449"/>
      <c r="AR117" s="449"/>
      <c r="AS117" s="449"/>
      <c r="AT117" s="449"/>
      <c r="AU117" s="449"/>
      <c r="AV117" s="449"/>
      <c r="AW117" s="648"/>
      <c r="AX117" s="619"/>
      <c r="AY117" s="619"/>
      <c r="AZ117" s="619"/>
      <c r="BA117" s="619"/>
      <c r="BB117" s="619"/>
      <c r="BC117" s="619"/>
      <c r="BD117" s="619"/>
      <c r="BE117" s="619"/>
      <c r="BF117" s="619"/>
      <c r="BG117" s="619"/>
      <c r="BH117" s="619"/>
      <c r="BI117" s="619"/>
      <c r="BJ117" s="619"/>
      <c r="BK117" s="619"/>
      <c r="BL117" s="619"/>
      <c r="BM117" s="619"/>
      <c r="BN117" s="619"/>
      <c r="BO117" s="619"/>
      <c r="BP117" s="619"/>
      <c r="BQ117" s="619"/>
      <c r="BR117" s="619"/>
      <c r="BS117" s="619"/>
      <c r="BT117" s="619"/>
      <c r="BU117" s="619"/>
      <c r="BV117" s="619"/>
      <c r="BW117" s="619"/>
      <c r="BX117" s="619"/>
      <c r="BY117" s="619"/>
      <c r="BZ117" s="619"/>
      <c r="CA117" s="619"/>
      <c r="CB117" s="619"/>
      <c r="CC117" s="619"/>
      <c r="CD117" s="619"/>
      <c r="CE117" s="619"/>
      <c r="CF117" s="619"/>
      <c r="CG117" s="619"/>
      <c r="CH117" s="619"/>
      <c r="CI117" s="619"/>
      <c r="CJ117" s="619"/>
      <c r="CK117" s="619"/>
      <c r="CL117" s="619"/>
      <c r="CM117" s="619"/>
      <c r="CN117" s="619"/>
      <c r="CO117" s="619"/>
      <c r="CP117" s="619"/>
      <c r="CQ117" s="619"/>
      <c r="CR117" s="619"/>
      <c r="CS117" s="619"/>
      <c r="CT117" s="619"/>
      <c r="CU117" s="619"/>
      <c r="CV117" s="619"/>
      <c r="CW117" s="619"/>
      <c r="CX117" s="619"/>
      <c r="CY117" s="619"/>
      <c r="CZ117" s="619"/>
      <c r="DA117" s="619"/>
      <c r="DB117" s="619"/>
      <c r="DC117" s="619"/>
      <c r="DD117" s="619"/>
      <c r="DE117" s="619"/>
      <c r="DF117" s="619"/>
      <c r="DG117" s="619"/>
      <c r="DH117" s="619"/>
      <c r="DI117" s="619"/>
      <c r="DJ117" s="619"/>
      <c r="DK117" s="619"/>
      <c r="DL117" s="619"/>
      <c r="DM117" s="619"/>
      <c r="DN117" s="619"/>
      <c r="DO117" s="619"/>
      <c r="DP117" s="619"/>
      <c r="DQ117" s="640"/>
      <c r="DR117" s="229"/>
    </row>
    <row r="118" spans="1:122" ht="7.5" customHeight="1" x14ac:dyDescent="0.25">
      <c r="A118" s="119"/>
      <c r="B118" s="119"/>
      <c r="C118" s="119"/>
      <c r="D118" s="119"/>
      <c r="E118" s="119"/>
      <c r="F118" s="653" t="str">
        <f>G115</f>
        <v>Acrobatics</v>
      </c>
      <c r="G118" s="653"/>
      <c r="H118" s="653"/>
      <c r="I118" s="653"/>
      <c r="J118" s="653"/>
      <c r="K118" s="625" t="e">
        <f ca="1">(FLOOR(INDIRECT(SUBSTITUTE(G115," ",""))/5,1)*(FLOOR(INDIRECT(SUBSTITUTE(G115," ",""))/5,1)+1)/2)*50+MOD(INDIRECT(SUBSTITUTE(G115," ","")),5)*CEILING(INDIRECT(SUBSTITUTE(G115," ",""))/5,1)*10-((FLOOR(INDIRECT("Base"&amp;SUBSTITUTE(G115," ",""))/5,1)*(FLOOR(INDIRECT("Base"&amp;SUBSTITUTE(G115," ",""))/5,1)+1)/2)*50+MOD(INDIRECT("Base"&amp;SUBSTITUTE(G115," ","")),5)*CEILING(INDIRECT("Base"&amp;SUBSTITUTE(G115," ",""))/5,1)*10)</f>
        <v>#REF!</v>
      </c>
      <c r="L118" s="625"/>
      <c r="M118" s="625"/>
      <c r="N118" s="626" t="e">
        <f>IF(#REF!&lt;&gt;"",VLOOKUP($G115,'Merit Data'!A:BW,MATCH('Merit Data'!$B$3,'Merit Data'!$3:$3,0),0),TRUE)</f>
        <v>#REF!</v>
      </c>
      <c r="O118" s="626"/>
      <c r="P118" s="626"/>
      <c r="Q118" s="140"/>
      <c r="R118" s="140"/>
      <c r="S118" s="140"/>
      <c r="T118" s="140"/>
      <c r="U118" s="140"/>
      <c r="V118" s="238"/>
      <c r="W118" s="238"/>
      <c r="X118" s="627" t="str">
        <f>IF(F118&gt;0,HYPERLINK("http://wiki.project-saros.com/w/"&amp;F118,"Info"),"")</f>
        <v>Info</v>
      </c>
      <c r="Y118" s="628"/>
      <c r="Z118" s="637"/>
      <c r="AA118" s="637"/>
      <c r="AB118" s="637"/>
      <c r="AC118" s="637"/>
      <c r="AD118" s="637"/>
      <c r="AE118" s="637"/>
      <c r="AF118" s="637"/>
      <c r="AG118" s="638"/>
      <c r="AH118" s="649"/>
      <c r="AI118" s="650"/>
      <c r="AJ118" s="650"/>
      <c r="AK118" s="651"/>
      <c r="AL118" s="651"/>
      <c r="AM118" s="651"/>
      <c r="AN118" s="651"/>
      <c r="AO118" s="651"/>
      <c r="AP118" s="651"/>
      <c r="AQ118" s="651"/>
      <c r="AR118" s="651"/>
      <c r="AS118" s="650"/>
      <c r="AT118" s="650"/>
      <c r="AU118" s="650"/>
      <c r="AV118" s="650"/>
      <c r="AW118" s="652"/>
      <c r="AX118" s="641"/>
      <c r="AY118" s="641"/>
      <c r="AZ118" s="641"/>
      <c r="BA118" s="641"/>
      <c r="BB118" s="641"/>
      <c r="BC118" s="641"/>
      <c r="BD118" s="641"/>
      <c r="BE118" s="641"/>
      <c r="BF118" s="641"/>
      <c r="BG118" s="641"/>
      <c r="BH118" s="641"/>
      <c r="BI118" s="641"/>
      <c r="BJ118" s="641"/>
      <c r="BK118" s="641"/>
      <c r="BL118" s="641"/>
      <c r="BM118" s="641"/>
      <c r="BN118" s="641"/>
      <c r="BO118" s="641"/>
      <c r="BP118" s="641"/>
      <c r="BQ118" s="641"/>
      <c r="BR118" s="641"/>
      <c r="BS118" s="641"/>
      <c r="BT118" s="641"/>
      <c r="BU118" s="641"/>
      <c r="BV118" s="641"/>
      <c r="BW118" s="641"/>
      <c r="BX118" s="641"/>
      <c r="BY118" s="641"/>
      <c r="BZ118" s="641"/>
      <c r="CA118" s="641"/>
      <c r="CB118" s="641"/>
      <c r="CC118" s="641"/>
      <c r="CD118" s="641"/>
      <c r="CE118" s="641"/>
      <c r="CF118" s="641"/>
      <c r="CG118" s="641"/>
      <c r="CH118" s="641"/>
      <c r="CI118" s="641"/>
      <c r="CJ118" s="641"/>
      <c r="CK118" s="641"/>
      <c r="CL118" s="641"/>
      <c r="CM118" s="641"/>
      <c r="CN118" s="641"/>
      <c r="CO118" s="641"/>
      <c r="CP118" s="641"/>
      <c r="CQ118" s="641"/>
      <c r="CR118" s="641"/>
      <c r="CS118" s="641"/>
      <c r="CT118" s="641"/>
      <c r="CU118" s="641"/>
      <c r="CV118" s="641"/>
      <c r="CW118" s="641"/>
      <c r="CX118" s="641"/>
      <c r="CY118" s="641"/>
      <c r="CZ118" s="641"/>
      <c r="DA118" s="641"/>
      <c r="DB118" s="641"/>
      <c r="DC118" s="641"/>
      <c r="DD118" s="641"/>
      <c r="DE118" s="641"/>
      <c r="DF118" s="641"/>
      <c r="DG118" s="641"/>
      <c r="DH118" s="641"/>
      <c r="DI118" s="641"/>
      <c r="DJ118" s="641"/>
      <c r="DK118" s="641"/>
      <c r="DL118" s="641"/>
      <c r="DM118" s="641"/>
      <c r="DN118" s="641"/>
      <c r="DO118" s="641"/>
      <c r="DP118" s="641"/>
      <c r="DQ118" s="642"/>
      <c r="DR118" s="229"/>
    </row>
    <row r="119" spans="1:122" ht="7.5" customHeight="1" x14ac:dyDescent="0.25">
      <c r="A119" s="588">
        <v>0</v>
      </c>
      <c r="B119" s="589"/>
      <c r="C119" s="589"/>
      <c r="D119" s="589"/>
      <c r="E119" s="590"/>
      <c r="G119" s="597" t="s">
        <v>275</v>
      </c>
      <c r="H119" s="597"/>
      <c r="I119" s="597"/>
      <c r="J119" s="597"/>
      <c r="K119" s="597"/>
      <c r="L119" s="597"/>
      <c r="M119" s="597"/>
      <c r="N119" s="597"/>
      <c r="O119" s="597"/>
      <c r="P119" s="597"/>
      <c r="Q119" s="597"/>
      <c r="R119" s="597"/>
      <c r="S119" s="597"/>
      <c r="T119" s="597"/>
      <c r="U119" s="597"/>
      <c r="V119" s="597"/>
      <c r="W119" s="597"/>
      <c r="X119" s="597"/>
      <c r="Y119" s="597"/>
      <c r="Z119" s="600" t="e">
        <f ca="1">FLOOR(INDIRECT(G119)/5+1,1)*10</f>
        <v>#REF!</v>
      </c>
      <c r="AA119" s="600"/>
      <c r="AB119" s="600"/>
      <c r="AC119" s="600"/>
      <c r="AD119" s="600"/>
      <c r="AE119" s="600"/>
      <c r="AF119" s="600"/>
      <c r="AG119" s="601"/>
      <c r="AH119" s="142"/>
      <c r="AI119" s="143"/>
      <c r="AJ119" s="143"/>
      <c r="AK119" s="143"/>
      <c r="AL119" s="143"/>
      <c r="AM119" s="143"/>
      <c r="AN119" s="143"/>
      <c r="AO119" s="143"/>
      <c r="AP119" s="143"/>
      <c r="AQ119" s="143"/>
      <c r="AR119" s="143"/>
      <c r="AS119" s="143"/>
      <c r="AT119" s="143"/>
      <c r="AU119" s="143"/>
      <c r="AV119" s="143"/>
      <c r="AW119" s="144"/>
      <c r="AX119" s="616" t="e">
        <f ca="1">"Further increases your "&amp;G119&amp;" skill from "&amp;INDIRECT(SUBSTITUTE(G119," ",""))&amp;" to "&amp;INDIRECT(SUBSTITUTE(G119," ",""))+1</f>
        <v>#REF!</v>
      </c>
      <c r="AY119" s="616"/>
      <c r="AZ119" s="616"/>
      <c r="BA119" s="616"/>
      <c r="BB119" s="616"/>
      <c r="BC119" s="616"/>
      <c r="BD119" s="616"/>
      <c r="BE119" s="616"/>
      <c r="BF119" s="616"/>
      <c r="BG119" s="616"/>
      <c r="BH119" s="616"/>
      <c r="BI119" s="616"/>
      <c r="BJ119" s="616"/>
      <c r="BK119" s="616"/>
      <c r="BL119" s="616"/>
      <c r="BM119" s="616"/>
      <c r="BN119" s="616"/>
      <c r="BO119" s="616"/>
      <c r="BP119" s="616"/>
      <c r="BQ119" s="616"/>
      <c r="BR119" s="616"/>
      <c r="BS119" s="616"/>
      <c r="BT119" s="616"/>
      <c r="BU119" s="616"/>
      <c r="BV119" s="616"/>
      <c r="BW119" s="616"/>
      <c r="BX119" s="616"/>
      <c r="BY119" s="616"/>
      <c r="BZ119" s="616"/>
      <c r="CA119" s="616"/>
      <c r="CB119" s="616"/>
      <c r="CC119" s="616"/>
      <c r="CD119" s="616"/>
      <c r="CE119" s="616"/>
      <c r="CF119" s="616"/>
      <c r="CG119" s="616"/>
      <c r="CH119" s="616"/>
      <c r="CI119" s="616"/>
      <c r="CJ119" s="616"/>
      <c r="CK119" s="616"/>
      <c r="CL119" s="616"/>
      <c r="CM119" s="616"/>
      <c r="CN119" s="616"/>
      <c r="CO119" s="616"/>
      <c r="CP119" s="616"/>
      <c r="CQ119" s="616"/>
      <c r="CR119" s="616"/>
      <c r="CS119" s="616"/>
      <c r="CT119" s="616"/>
      <c r="CU119" s="616"/>
      <c r="CV119" s="616"/>
      <c r="CW119" s="616"/>
      <c r="CX119" s="616"/>
      <c r="CY119" s="616"/>
      <c r="CZ119" s="616"/>
      <c r="DA119" s="616"/>
      <c r="DB119" s="616"/>
      <c r="DC119" s="616"/>
      <c r="DD119" s="616"/>
      <c r="DE119" s="616"/>
      <c r="DF119" s="616"/>
      <c r="DG119" s="616"/>
      <c r="DH119" s="616"/>
      <c r="DI119" s="616"/>
      <c r="DJ119" s="616"/>
      <c r="DK119" s="616"/>
      <c r="DL119" s="616"/>
      <c r="DM119" s="616"/>
      <c r="DN119" s="616"/>
      <c r="DO119" s="616"/>
      <c r="DP119" s="616"/>
      <c r="DQ119" s="617"/>
      <c r="DR119" s="229"/>
    </row>
    <row r="120" spans="1:122" ht="7.5" customHeight="1" x14ac:dyDescent="0.25">
      <c r="A120" s="591"/>
      <c r="B120" s="592"/>
      <c r="C120" s="592"/>
      <c r="D120" s="592"/>
      <c r="E120" s="593"/>
      <c r="F120" s="145"/>
      <c r="G120" s="598"/>
      <c r="H120" s="598"/>
      <c r="I120" s="598"/>
      <c r="J120" s="598"/>
      <c r="K120" s="598"/>
      <c r="L120" s="598"/>
      <c r="M120" s="598"/>
      <c r="N120" s="598"/>
      <c r="O120" s="598"/>
      <c r="P120" s="598"/>
      <c r="Q120" s="598"/>
      <c r="R120" s="598"/>
      <c r="S120" s="598"/>
      <c r="T120" s="598"/>
      <c r="U120" s="598"/>
      <c r="V120" s="598"/>
      <c r="W120" s="598"/>
      <c r="X120" s="598"/>
      <c r="Y120" s="598"/>
      <c r="Z120" s="602"/>
      <c r="AA120" s="602"/>
      <c r="AB120" s="602"/>
      <c r="AC120" s="602"/>
      <c r="AD120" s="602"/>
      <c r="AE120" s="602"/>
      <c r="AF120" s="602"/>
      <c r="AG120" s="635"/>
      <c r="AH120" s="132"/>
      <c r="AI120" s="129"/>
      <c r="AJ120" s="129"/>
      <c r="AK120" s="129"/>
      <c r="AL120" s="129"/>
      <c r="AM120" s="129"/>
      <c r="AN120" s="129"/>
      <c r="AO120" s="129"/>
      <c r="AP120" s="129"/>
      <c r="AQ120" s="129"/>
      <c r="AR120" s="129"/>
      <c r="AS120" s="129"/>
      <c r="AT120" s="129"/>
      <c r="AU120" s="129"/>
      <c r="AV120" s="129"/>
      <c r="AW120" s="145"/>
      <c r="AX120" s="619"/>
      <c r="AY120" s="619"/>
      <c r="AZ120" s="619"/>
      <c r="BA120" s="619"/>
      <c r="BB120" s="619"/>
      <c r="BC120" s="619"/>
      <c r="BD120" s="619"/>
      <c r="BE120" s="619"/>
      <c r="BF120" s="619"/>
      <c r="BG120" s="619"/>
      <c r="BH120" s="619"/>
      <c r="BI120" s="619"/>
      <c r="BJ120" s="619"/>
      <c r="BK120" s="619"/>
      <c r="BL120" s="619"/>
      <c r="BM120" s="619"/>
      <c r="BN120" s="619"/>
      <c r="BO120" s="619"/>
      <c r="BP120" s="619"/>
      <c r="BQ120" s="619"/>
      <c r="BR120" s="619"/>
      <c r="BS120" s="619"/>
      <c r="BT120" s="619"/>
      <c r="BU120" s="619"/>
      <c r="BV120" s="619"/>
      <c r="BW120" s="619"/>
      <c r="BX120" s="619"/>
      <c r="BY120" s="619"/>
      <c r="BZ120" s="619"/>
      <c r="CA120" s="619"/>
      <c r="CB120" s="619"/>
      <c r="CC120" s="619"/>
      <c r="CD120" s="619"/>
      <c r="CE120" s="619"/>
      <c r="CF120" s="619"/>
      <c r="CG120" s="619"/>
      <c r="CH120" s="619"/>
      <c r="CI120" s="619"/>
      <c r="CJ120" s="619"/>
      <c r="CK120" s="619"/>
      <c r="CL120" s="619"/>
      <c r="CM120" s="619"/>
      <c r="CN120" s="619"/>
      <c r="CO120" s="619"/>
      <c r="CP120" s="619"/>
      <c r="CQ120" s="619"/>
      <c r="CR120" s="619"/>
      <c r="CS120" s="619"/>
      <c r="CT120" s="619"/>
      <c r="CU120" s="619"/>
      <c r="CV120" s="619"/>
      <c r="CW120" s="619"/>
      <c r="CX120" s="619"/>
      <c r="CY120" s="619"/>
      <c r="CZ120" s="619"/>
      <c r="DA120" s="619"/>
      <c r="DB120" s="619"/>
      <c r="DC120" s="619"/>
      <c r="DD120" s="619"/>
      <c r="DE120" s="619"/>
      <c r="DF120" s="619"/>
      <c r="DG120" s="619"/>
      <c r="DH120" s="619"/>
      <c r="DI120" s="619"/>
      <c r="DJ120" s="619"/>
      <c r="DK120" s="619"/>
      <c r="DL120" s="619"/>
      <c r="DM120" s="619"/>
      <c r="DN120" s="619"/>
      <c r="DO120" s="619"/>
      <c r="DP120" s="619"/>
      <c r="DQ120" s="639"/>
      <c r="DR120" s="229"/>
    </row>
    <row r="121" spans="1:122" ht="7.5" customHeight="1" x14ac:dyDescent="0.25">
      <c r="A121" s="594"/>
      <c r="B121" s="595"/>
      <c r="C121" s="595"/>
      <c r="D121" s="595"/>
      <c r="E121" s="596"/>
      <c r="G121" s="599"/>
      <c r="H121" s="599"/>
      <c r="I121" s="599"/>
      <c r="J121" s="599"/>
      <c r="K121" s="599"/>
      <c r="L121" s="599"/>
      <c r="M121" s="599"/>
      <c r="N121" s="599"/>
      <c r="O121" s="599"/>
      <c r="P121" s="599"/>
      <c r="Q121" s="599"/>
      <c r="R121" s="599"/>
      <c r="S121" s="599"/>
      <c r="T121" s="599"/>
      <c r="U121" s="599"/>
      <c r="V121" s="599"/>
      <c r="W121" s="599"/>
      <c r="X121" s="599"/>
      <c r="Y121" s="599"/>
      <c r="Z121" s="602"/>
      <c r="AA121" s="602"/>
      <c r="AB121" s="602"/>
      <c r="AC121" s="602"/>
      <c r="AD121" s="602"/>
      <c r="AE121" s="602"/>
      <c r="AF121" s="602"/>
      <c r="AG121" s="636"/>
      <c r="AH121" s="132"/>
      <c r="AI121" s="129"/>
      <c r="AJ121" s="129"/>
      <c r="AK121" s="129"/>
      <c r="AL121" s="129"/>
      <c r="AM121" s="129"/>
      <c r="AN121" s="129"/>
      <c r="AO121" s="129"/>
      <c r="AP121" s="129"/>
      <c r="AQ121" s="129"/>
      <c r="AR121" s="129"/>
      <c r="AS121" s="129"/>
      <c r="AT121" s="129"/>
      <c r="AU121" s="129"/>
      <c r="AV121" s="129"/>
      <c r="AW121" s="146"/>
      <c r="AX121" s="619"/>
      <c r="AY121" s="619"/>
      <c r="AZ121" s="619"/>
      <c r="BA121" s="619"/>
      <c r="BB121" s="619"/>
      <c r="BC121" s="619"/>
      <c r="BD121" s="619"/>
      <c r="BE121" s="619"/>
      <c r="BF121" s="619"/>
      <c r="BG121" s="619"/>
      <c r="BH121" s="619"/>
      <c r="BI121" s="619"/>
      <c r="BJ121" s="619"/>
      <c r="BK121" s="619"/>
      <c r="BL121" s="619"/>
      <c r="BM121" s="619"/>
      <c r="BN121" s="619"/>
      <c r="BO121" s="619"/>
      <c r="BP121" s="619"/>
      <c r="BQ121" s="619"/>
      <c r="BR121" s="619"/>
      <c r="BS121" s="619"/>
      <c r="BT121" s="619"/>
      <c r="BU121" s="619"/>
      <c r="BV121" s="619"/>
      <c r="BW121" s="619"/>
      <c r="BX121" s="619"/>
      <c r="BY121" s="619"/>
      <c r="BZ121" s="619"/>
      <c r="CA121" s="619"/>
      <c r="CB121" s="619"/>
      <c r="CC121" s="619"/>
      <c r="CD121" s="619"/>
      <c r="CE121" s="619"/>
      <c r="CF121" s="619"/>
      <c r="CG121" s="619"/>
      <c r="CH121" s="619"/>
      <c r="CI121" s="619"/>
      <c r="CJ121" s="619"/>
      <c r="CK121" s="619"/>
      <c r="CL121" s="619"/>
      <c r="CM121" s="619"/>
      <c r="CN121" s="619"/>
      <c r="CO121" s="619"/>
      <c r="CP121" s="619"/>
      <c r="CQ121" s="619"/>
      <c r="CR121" s="619"/>
      <c r="CS121" s="619"/>
      <c r="CT121" s="619"/>
      <c r="CU121" s="619"/>
      <c r="CV121" s="619"/>
      <c r="CW121" s="619"/>
      <c r="CX121" s="619"/>
      <c r="CY121" s="619"/>
      <c r="CZ121" s="619"/>
      <c r="DA121" s="619"/>
      <c r="DB121" s="619"/>
      <c r="DC121" s="619"/>
      <c r="DD121" s="619"/>
      <c r="DE121" s="619"/>
      <c r="DF121" s="619"/>
      <c r="DG121" s="619"/>
      <c r="DH121" s="619"/>
      <c r="DI121" s="619"/>
      <c r="DJ121" s="619"/>
      <c r="DK121" s="619"/>
      <c r="DL121" s="619"/>
      <c r="DM121" s="619"/>
      <c r="DN121" s="619"/>
      <c r="DO121" s="619"/>
      <c r="DP121" s="619"/>
      <c r="DQ121" s="640"/>
      <c r="DR121" s="229"/>
    </row>
    <row r="122" spans="1:122" ht="7.5" customHeight="1" x14ac:dyDescent="0.25">
      <c r="A122" s="119"/>
      <c r="B122" s="119"/>
      <c r="C122" s="119"/>
      <c r="D122" s="119"/>
      <c r="E122" s="119"/>
      <c r="F122" s="653" t="str">
        <f>G119</f>
        <v>Appraisal</v>
      </c>
      <c r="G122" s="653"/>
      <c r="H122" s="653"/>
      <c r="I122" s="653"/>
      <c r="J122" s="653"/>
      <c r="K122" s="625" t="e">
        <f ca="1">(FLOOR(INDIRECT(SUBSTITUTE(G119," ",""))/5,1)*(FLOOR(INDIRECT(SUBSTITUTE(G119," ",""))/5,1)+1)/2)*50+MOD(INDIRECT(SUBSTITUTE(G119," ","")),5)*CEILING(INDIRECT(SUBSTITUTE(G119," ",""))/5,1)*10-((FLOOR(INDIRECT("Base"&amp;SUBSTITUTE(G119," ",""))/5,1)*(FLOOR(INDIRECT("Base"&amp;SUBSTITUTE(G119," ",""))/5,1)+1)/2)*50+MOD(INDIRECT("Base"&amp;SUBSTITUTE(G119," ","")),5)*CEILING(INDIRECT("Base"&amp;SUBSTITUTE(G119," ",""))/5,1)*10)</f>
        <v>#REF!</v>
      </c>
      <c r="L122" s="625"/>
      <c r="M122" s="625"/>
      <c r="N122" s="626" t="b">
        <f>IF(AH115&lt;&gt;"",VLOOKUP($G119,'Merit Data'!A:BW,MATCH('Merit Data'!$B$3,'Merit Data'!$3:$3,0),0),TRUE)</f>
        <v>1</v>
      </c>
      <c r="O122" s="626"/>
      <c r="P122" s="626"/>
      <c r="Q122" s="140"/>
      <c r="R122" s="140"/>
      <c r="S122" s="140"/>
      <c r="T122" s="140"/>
      <c r="U122" s="140"/>
      <c r="V122" s="238"/>
      <c r="W122" s="238"/>
      <c r="X122" s="627" t="str">
        <f>IF(F122&gt;0,HYPERLINK("http://wiki.project-saros.com/w/"&amp;F122,"Info"),"")</f>
        <v>Info</v>
      </c>
      <c r="Y122" s="628"/>
      <c r="Z122" s="637"/>
      <c r="AA122" s="637"/>
      <c r="AB122" s="637"/>
      <c r="AC122" s="637"/>
      <c r="AD122" s="637"/>
      <c r="AE122" s="637"/>
      <c r="AF122" s="637"/>
      <c r="AG122" s="638"/>
      <c r="AH122" s="148"/>
      <c r="AI122" s="131"/>
      <c r="AJ122" s="131"/>
      <c r="AK122" s="149"/>
      <c r="AL122" s="149"/>
      <c r="AM122" s="149"/>
      <c r="AN122" s="149"/>
      <c r="AO122" s="149"/>
      <c r="AP122" s="149"/>
      <c r="AQ122" s="149"/>
      <c r="AR122" s="149"/>
      <c r="AS122" s="131"/>
      <c r="AT122" s="131"/>
      <c r="AU122" s="131"/>
      <c r="AV122" s="131"/>
      <c r="AW122" s="150"/>
      <c r="AX122" s="641"/>
      <c r="AY122" s="641"/>
      <c r="AZ122" s="641"/>
      <c r="BA122" s="641"/>
      <c r="BB122" s="641"/>
      <c r="BC122" s="641"/>
      <c r="BD122" s="641"/>
      <c r="BE122" s="641"/>
      <c r="BF122" s="641"/>
      <c r="BG122" s="641"/>
      <c r="BH122" s="641"/>
      <c r="BI122" s="641"/>
      <c r="BJ122" s="641"/>
      <c r="BK122" s="641"/>
      <c r="BL122" s="641"/>
      <c r="BM122" s="641"/>
      <c r="BN122" s="641"/>
      <c r="BO122" s="641"/>
      <c r="BP122" s="641"/>
      <c r="BQ122" s="641"/>
      <c r="BR122" s="641"/>
      <c r="BS122" s="641"/>
      <c r="BT122" s="641"/>
      <c r="BU122" s="641"/>
      <c r="BV122" s="641"/>
      <c r="BW122" s="641"/>
      <c r="BX122" s="641"/>
      <c r="BY122" s="641"/>
      <c r="BZ122" s="641"/>
      <c r="CA122" s="641"/>
      <c r="CB122" s="641"/>
      <c r="CC122" s="641"/>
      <c r="CD122" s="641"/>
      <c r="CE122" s="641"/>
      <c r="CF122" s="641"/>
      <c r="CG122" s="641"/>
      <c r="CH122" s="641"/>
      <c r="CI122" s="641"/>
      <c r="CJ122" s="641"/>
      <c r="CK122" s="641"/>
      <c r="CL122" s="641"/>
      <c r="CM122" s="641"/>
      <c r="CN122" s="641"/>
      <c r="CO122" s="641"/>
      <c r="CP122" s="641"/>
      <c r="CQ122" s="641"/>
      <c r="CR122" s="641"/>
      <c r="CS122" s="641"/>
      <c r="CT122" s="641"/>
      <c r="CU122" s="641"/>
      <c r="CV122" s="641"/>
      <c r="CW122" s="641"/>
      <c r="CX122" s="641"/>
      <c r="CY122" s="641"/>
      <c r="CZ122" s="641"/>
      <c r="DA122" s="641"/>
      <c r="DB122" s="641"/>
      <c r="DC122" s="641"/>
      <c r="DD122" s="641"/>
      <c r="DE122" s="641"/>
      <c r="DF122" s="641"/>
      <c r="DG122" s="641"/>
      <c r="DH122" s="641"/>
      <c r="DI122" s="641"/>
      <c r="DJ122" s="641"/>
      <c r="DK122" s="641"/>
      <c r="DL122" s="641"/>
      <c r="DM122" s="641"/>
      <c r="DN122" s="641"/>
      <c r="DO122" s="641"/>
      <c r="DP122" s="641"/>
      <c r="DQ122" s="642"/>
      <c r="DR122" s="229"/>
    </row>
    <row r="123" spans="1:122" ht="7.5" customHeight="1" x14ac:dyDescent="0.25">
      <c r="A123" s="588">
        <v>0</v>
      </c>
      <c r="B123" s="589"/>
      <c r="C123" s="589"/>
      <c r="D123" s="589"/>
      <c r="E123" s="590"/>
      <c r="G123" s="597" t="s">
        <v>276</v>
      </c>
      <c r="H123" s="597"/>
      <c r="I123" s="597"/>
      <c r="J123" s="597"/>
      <c r="K123" s="597"/>
      <c r="L123" s="597"/>
      <c r="M123" s="597"/>
      <c r="N123" s="597"/>
      <c r="O123" s="597"/>
      <c r="P123" s="597"/>
      <c r="Q123" s="597"/>
      <c r="R123" s="597"/>
      <c r="S123" s="597"/>
      <c r="T123" s="597"/>
      <c r="U123" s="597"/>
      <c r="V123" s="597"/>
      <c r="W123" s="597"/>
      <c r="X123" s="597"/>
      <c r="Y123" s="597"/>
      <c r="Z123" s="600" t="e">
        <f ca="1">FLOOR(INDIRECT(G123)/5+1,1)*10</f>
        <v>#REF!</v>
      </c>
      <c r="AA123" s="600"/>
      <c r="AB123" s="600"/>
      <c r="AC123" s="600"/>
      <c r="AD123" s="600"/>
      <c r="AE123" s="600"/>
      <c r="AF123" s="600"/>
      <c r="AG123" s="601"/>
      <c r="AH123" s="142"/>
      <c r="AI123" s="143"/>
      <c r="AJ123" s="143"/>
      <c r="AK123" s="143"/>
      <c r="AL123" s="143"/>
      <c r="AM123" s="143"/>
      <c r="AN123" s="143"/>
      <c r="AO123" s="143"/>
      <c r="AP123" s="143"/>
      <c r="AQ123" s="143"/>
      <c r="AR123" s="143"/>
      <c r="AS123" s="143"/>
      <c r="AT123" s="143"/>
      <c r="AU123" s="143"/>
      <c r="AV123" s="143"/>
      <c r="AW123" s="144"/>
      <c r="AX123" s="616" t="e">
        <f ca="1">"Further increases your "&amp;G123&amp;" skill from "&amp;INDIRECT(SUBSTITUTE(G123," ",""))&amp;" to "&amp;INDIRECT(SUBSTITUTE(G123," ",""))+1</f>
        <v>#REF!</v>
      </c>
      <c r="AY123" s="616"/>
      <c r="AZ123" s="616"/>
      <c r="BA123" s="616"/>
      <c r="BB123" s="616"/>
      <c r="BC123" s="616"/>
      <c r="BD123" s="616"/>
      <c r="BE123" s="616"/>
      <c r="BF123" s="616"/>
      <c r="BG123" s="616"/>
      <c r="BH123" s="616"/>
      <c r="BI123" s="616"/>
      <c r="BJ123" s="616"/>
      <c r="BK123" s="616"/>
      <c r="BL123" s="616"/>
      <c r="BM123" s="616"/>
      <c r="BN123" s="616"/>
      <c r="BO123" s="616"/>
      <c r="BP123" s="616"/>
      <c r="BQ123" s="616"/>
      <c r="BR123" s="616"/>
      <c r="BS123" s="616"/>
      <c r="BT123" s="616"/>
      <c r="BU123" s="616"/>
      <c r="BV123" s="616"/>
      <c r="BW123" s="616"/>
      <c r="BX123" s="616"/>
      <c r="BY123" s="616"/>
      <c r="BZ123" s="616"/>
      <c r="CA123" s="616"/>
      <c r="CB123" s="616"/>
      <c r="CC123" s="616"/>
      <c r="CD123" s="616"/>
      <c r="CE123" s="616"/>
      <c r="CF123" s="616"/>
      <c r="CG123" s="616"/>
      <c r="CH123" s="616"/>
      <c r="CI123" s="616"/>
      <c r="CJ123" s="616"/>
      <c r="CK123" s="616"/>
      <c r="CL123" s="616"/>
      <c r="CM123" s="616"/>
      <c r="CN123" s="616"/>
      <c r="CO123" s="616"/>
      <c r="CP123" s="616"/>
      <c r="CQ123" s="616"/>
      <c r="CR123" s="616"/>
      <c r="CS123" s="616"/>
      <c r="CT123" s="616"/>
      <c r="CU123" s="616"/>
      <c r="CV123" s="616"/>
      <c r="CW123" s="616"/>
      <c r="CX123" s="616"/>
      <c r="CY123" s="616"/>
      <c r="CZ123" s="616"/>
      <c r="DA123" s="616"/>
      <c r="DB123" s="616"/>
      <c r="DC123" s="616"/>
      <c r="DD123" s="616"/>
      <c r="DE123" s="616"/>
      <c r="DF123" s="616"/>
      <c r="DG123" s="616"/>
      <c r="DH123" s="616"/>
      <c r="DI123" s="616"/>
      <c r="DJ123" s="616"/>
      <c r="DK123" s="616"/>
      <c r="DL123" s="616"/>
      <c r="DM123" s="616"/>
      <c r="DN123" s="616"/>
      <c r="DO123" s="616"/>
      <c r="DP123" s="616"/>
      <c r="DQ123" s="617"/>
      <c r="DR123" s="229"/>
    </row>
    <row r="124" spans="1:122" ht="7.5" customHeight="1" x14ac:dyDescent="0.25">
      <c r="A124" s="591"/>
      <c r="B124" s="592"/>
      <c r="C124" s="592"/>
      <c r="D124" s="592"/>
      <c r="E124" s="593"/>
      <c r="F124" s="145"/>
      <c r="G124" s="598"/>
      <c r="H124" s="598"/>
      <c r="I124" s="598"/>
      <c r="J124" s="598"/>
      <c r="K124" s="598"/>
      <c r="L124" s="598"/>
      <c r="M124" s="598"/>
      <c r="N124" s="598"/>
      <c r="O124" s="598"/>
      <c r="P124" s="598"/>
      <c r="Q124" s="598"/>
      <c r="R124" s="598"/>
      <c r="S124" s="598"/>
      <c r="T124" s="598"/>
      <c r="U124" s="598"/>
      <c r="V124" s="598"/>
      <c r="W124" s="598"/>
      <c r="X124" s="598"/>
      <c r="Y124" s="598"/>
      <c r="Z124" s="602"/>
      <c r="AA124" s="602"/>
      <c r="AB124" s="602"/>
      <c r="AC124" s="602"/>
      <c r="AD124" s="602"/>
      <c r="AE124" s="602"/>
      <c r="AF124" s="602"/>
      <c r="AG124" s="635"/>
      <c r="AH124" s="132"/>
      <c r="AI124" s="129"/>
      <c r="AJ124" s="129"/>
      <c r="AK124" s="129"/>
      <c r="AL124" s="129"/>
      <c r="AM124" s="129"/>
      <c r="AN124" s="129"/>
      <c r="AO124" s="129"/>
      <c r="AP124" s="129"/>
      <c r="AQ124" s="129"/>
      <c r="AR124" s="129"/>
      <c r="AS124" s="129"/>
      <c r="AT124" s="129"/>
      <c r="AU124" s="129"/>
      <c r="AV124" s="129"/>
      <c r="AW124" s="145"/>
      <c r="AX124" s="619"/>
      <c r="AY124" s="619"/>
      <c r="AZ124" s="619"/>
      <c r="BA124" s="619"/>
      <c r="BB124" s="619"/>
      <c r="BC124" s="619"/>
      <c r="BD124" s="619"/>
      <c r="BE124" s="619"/>
      <c r="BF124" s="619"/>
      <c r="BG124" s="619"/>
      <c r="BH124" s="619"/>
      <c r="BI124" s="619"/>
      <c r="BJ124" s="619"/>
      <c r="BK124" s="619"/>
      <c r="BL124" s="619"/>
      <c r="BM124" s="619"/>
      <c r="BN124" s="619"/>
      <c r="BO124" s="619"/>
      <c r="BP124" s="619"/>
      <c r="BQ124" s="619"/>
      <c r="BR124" s="619"/>
      <c r="BS124" s="619"/>
      <c r="BT124" s="619"/>
      <c r="BU124" s="619"/>
      <c r="BV124" s="619"/>
      <c r="BW124" s="619"/>
      <c r="BX124" s="619"/>
      <c r="BY124" s="619"/>
      <c r="BZ124" s="619"/>
      <c r="CA124" s="619"/>
      <c r="CB124" s="619"/>
      <c r="CC124" s="619"/>
      <c r="CD124" s="619"/>
      <c r="CE124" s="619"/>
      <c r="CF124" s="619"/>
      <c r="CG124" s="619"/>
      <c r="CH124" s="619"/>
      <c r="CI124" s="619"/>
      <c r="CJ124" s="619"/>
      <c r="CK124" s="619"/>
      <c r="CL124" s="619"/>
      <c r="CM124" s="619"/>
      <c r="CN124" s="619"/>
      <c r="CO124" s="619"/>
      <c r="CP124" s="619"/>
      <c r="CQ124" s="619"/>
      <c r="CR124" s="619"/>
      <c r="CS124" s="619"/>
      <c r="CT124" s="619"/>
      <c r="CU124" s="619"/>
      <c r="CV124" s="619"/>
      <c r="CW124" s="619"/>
      <c r="CX124" s="619"/>
      <c r="CY124" s="619"/>
      <c r="CZ124" s="619"/>
      <c r="DA124" s="619"/>
      <c r="DB124" s="619"/>
      <c r="DC124" s="619"/>
      <c r="DD124" s="619"/>
      <c r="DE124" s="619"/>
      <c r="DF124" s="619"/>
      <c r="DG124" s="619"/>
      <c r="DH124" s="619"/>
      <c r="DI124" s="619"/>
      <c r="DJ124" s="619"/>
      <c r="DK124" s="619"/>
      <c r="DL124" s="619"/>
      <c r="DM124" s="619"/>
      <c r="DN124" s="619"/>
      <c r="DO124" s="619"/>
      <c r="DP124" s="619"/>
      <c r="DQ124" s="639"/>
      <c r="DR124" s="229"/>
    </row>
    <row r="125" spans="1:122" ht="7.5" customHeight="1" x14ac:dyDescent="0.25">
      <c r="A125" s="594"/>
      <c r="B125" s="595"/>
      <c r="C125" s="595"/>
      <c r="D125" s="595"/>
      <c r="E125" s="596"/>
      <c r="G125" s="599"/>
      <c r="H125" s="599"/>
      <c r="I125" s="599"/>
      <c r="J125" s="599"/>
      <c r="K125" s="599"/>
      <c r="L125" s="599"/>
      <c r="M125" s="599"/>
      <c r="N125" s="599"/>
      <c r="O125" s="599"/>
      <c r="P125" s="599"/>
      <c r="Q125" s="599"/>
      <c r="R125" s="599"/>
      <c r="S125" s="599"/>
      <c r="T125" s="599"/>
      <c r="U125" s="599"/>
      <c r="V125" s="599"/>
      <c r="W125" s="599"/>
      <c r="X125" s="599"/>
      <c r="Y125" s="599"/>
      <c r="Z125" s="602"/>
      <c r="AA125" s="602"/>
      <c r="AB125" s="602"/>
      <c r="AC125" s="602"/>
      <c r="AD125" s="602"/>
      <c r="AE125" s="602"/>
      <c r="AF125" s="602"/>
      <c r="AG125" s="636"/>
      <c r="AH125" s="132"/>
      <c r="AI125" s="129"/>
      <c r="AJ125" s="129"/>
      <c r="AK125" s="129"/>
      <c r="AL125" s="129"/>
      <c r="AM125" s="129"/>
      <c r="AN125" s="129"/>
      <c r="AO125" s="129"/>
      <c r="AP125" s="129"/>
      <c r="AQ125" s="129"/>
      <c r="AR125" s="129"/>
      <c r="AS125" s="129"/>
      <c r="AT125" s="129"/>
      <c r="AU125" s="129"/>
      <c r="AV125" s="129"/>
      <c r="AW125" s="146"/>
      <c r="AX125" s="619"/>
      <c r="AY125" s="619"/>
      <c r="AZ125" s="619"/>
      <c r="BA125" s="619"/>
      <c r="BB125" s="619"/>
      <c r="BC125" s="619"/>
      <c r="BD125" s="619"/>
      <c r="BE125" s="619"/>
      <c r="BF125" s="619"/>
      <c r="BG125" s="619"/>
      <c r="BH125" s="619"/>
      <c r="BI125" s="619"/>
      <c r="BJ125" s="619"/>
      <c r="BK125" s="619"/>
      <c r="BL125" s="619"/>
      <c r="BM125" s="619"/>
      <c r="BN125" s="619"/>
      <c r="BO125" s="619"/>
      <c r="BP125" s="619"/>
      <c r="BQ125" s="619"/>
      <c r="BR125" s="619"/>
      <c r="BS125" s="619"/>
      <c r="BT125" s="619"/>
      <c r="BU125" s="619"/>
      <c r="BV125" s="619"/>
      <c r="BW125" s="619"/>
      <c r="BX125" s="619"/>
      <c r="BY125" s="619"/>
      <c r="BZ125" s="619"/>
      <c r="CA125" s="619"/>
      <c r="CB125" s="619"/>
      <c r="CC125" s="619"/>
      <c r="CD125" s="619"/>
      <c r="CE125" s="619"/>
      <c r="CF125" s="619"/>
      <c r="CG125" s="619"/>
      <c r="CH125" s="619"/>
      <c r="CI125" s="619"/>
      <c r="CJ125" s="619"/>
      <c r="CK125" s="619"/>
      <c r="CL125" s="619"/>
      <c r="CM125" s="619"/>
      <c r="CN125" s="619"/>
      <c r="CO125" s="619"/>
      <c r="CP125" s="619"/>
      <c r="CQ125" s="619"/>
      <c r="CR125" s="619"/>
      <c r="CS125" s="619"/>
      <c r="CT125" s="619"/>
      <c r="CU125" s="619"/>
      <c r="CV125" s="619"/>
      <c r="CW125" s="619"/>
      <c r="CX125" s="619"/>
      <c r="CY125" s="619"/>
      <c r="CZ125" s="619"/>
      <c r="DA125" s="619"/>
      <c r="DB125" s="619"/>
      <c r="DC125" s="619"/>
      <c r="DD125" s="619"/>
      <c r="DE125" s="619"/>
      <c r="DF125" s="619"/>
      <c r="DG125" s="619"/>
      <c r="DH125" s="619"/>
      <c r="DI125" s="619"/>
      <c r="DJ125" s="619"/>
      <c r="DK125" s="619"/>
      <c r="DL125" s="619"/>
      <c r="DM125" s="619"/>
      <c r="DN125" s="619"/>
      <c r="DO125" s="619"/>
      <c r="DP125" s="619"/>
      <c r="DQ125" s="640"/>
      <c r="DR125" s="229"/>
    </row>
    <row r="126" spans="1:122" ht="7.5" customHeight="1" x14ac:dyDescent="0.25">
      <c r="A126" s="119"/>
      <c r="B126" s="119"/>
      <c r="C126" s="119"/>
      <c r="D126" s="119"/>
      <c r="E126" s="119"/>
      <c r="F126" s="653" t="str">
        <f>G123</f>
        <v>Athletics</v>
      </c>
      <c r="G126" s="653"/>
      <c r="H126" s="653"/>
      <c r="I126" s="653"/>
      <c r="J126" s="653"/>
      <c r="K126" s="625" t="e">
        <f ca="1">(FLOOR(INDIRECT(SUBSTITUTE(G123," ",""))/5,1)*(FLOOR(INDIRECT(SUBSTITUTE(G123," ",""))/5,1)+1)/2)*50+MOD(INDIRECT(SUBSTITUTE(G123," ","")),5)*CEILING(INDIRECT(SUBSTITUTE(G123," ",""))/5,1)*10-((FLOOR(INDIRECT("Base"&amp;SUBSTITUTE(G123," ",""))/5,1)*(FLOOR(INDIRECT("Base"&amp;SUBSTITUTE(G123," ",""))/5,1)+1)/2)*50+MOD(INDIRECT("Base"&amp;SUBSTITUTE(G123," ","")),5)*CEILING(INDIRECT("Base"&amp;SUBSTITUTE(G123," ",""))/5,1)*10)</f>
        <v>#REF!</v>
      </c>
      <c r="L126" s="625"/>
      <c r="M126" s="625"/>
      <c r="N126" s="626" t="b">
        <f>IF(AH119&lt;&gt;"",VLOOKUP($G123,'Merit Data'!A:BW,MATCH('Merit Data'!$B$3,'Merit Data'!$3:$3,0),0),TRUE)</f>
        <v>1</v>
      </c>
      <c r="O126" s="626"/>
      <c r="P126" s="626"/>
      <c r="Q126" s="140"/>
      <c r="R126" s="140"/>
      <c r="S126" s="140"/>
      <c r="T126" s="140"/>
      <c r="U126" s="140"/>
      <c r="V126" s="238"/>
      <c r="W126" s="238"/>
      <c r="X126" s="627" t="str">
        <f>IF(F126&gt;0,HYPERLINK("http://wiki.project-saros.com/w/"&amp;F126,"Info"),"")</f>
        <v>Info</v>
      </c>
      <c r="Y126" s="628"/>
      <c r="Z126" s="637"/>
      <c r="AA126" s="637"/>
      <c r="AB126" s="637"/>
      <c r="AC126" s="637"/>
      <c r="AD126" s="637"/>
      <c r="AE126" s="637"/>
      <c r="AF126" s="637"/>
      <c r="AG126" s="638"/>
      <c r="AH126" s="148"/>
      <c r="AI126" s="131"/>
      <c r="AJ126" s="131"/>
      <c r="AK126" s="149"/>
      <c r="AL126" s="149"/>
      <c r="AM126" s="149"/>
      <c r="AN126" s="149"/>
      <c r="AO126" s="149"/>
      <c r="AP126" s="149"/>
      <c r="AQ126" s="149"/>
      <c r="AR126" s="149"/>
      <c r="AS126" s="131"/>
      <c r="AT126" s="131"/>
      <c r="AU126" s="131"/>
      <c r="AV126" s="131"/>
      <c r="AW126" s="150"/>
      <c r="AX126" s="641"/>
      <c r="AY126" s="641"/>
      <c r="AZ126" s="641"/>
      <c r="BA126" s="641"/>
      <c r="BB126" s="641"/>
      <c r="BC126" s="641"/>
      <c r="BD126" s="641"/>
      <c r="BE126" s="641"/>
      <c r="BF126" s="641"/>
      <c r="BG126" s="641"/>
      <c r="BH126" s="641"/>
      <c r="BI126" s="641"/>
      <c r="BJ126" s="641"/>
      <c r="BK126" s="641"/>
      <c r="BL126" s="641"/>
      <c r="BM126" s="641"/>
      <c r="BN126" s="641"/>
      <c r="BO126" s="641"/>
      <c r="BP126" s="641"/>
      <c r="BQ126" s="641"/>
      <c r="BR126" s="641"/>
      <c r="BS126" s="641"/>
      <c r="BT126" s="641"/>
      <c r="BU126" s="641"/>
      <c r="BV126" s="641"/>
      <c r="BW126" s="641"/>
      <c r="BX126" s="641"/>
      <c r="BY126" s="641"/>
      <c r="BZ126" s="641"/>
      <c r="CA126" s="641"/>
      <c r="CB126" s="641"/>
      <c r="CC126" s="641"/>
      <c r="CD126" s="641"/>
      <c r="CE126" s="641"/>
      <c r="CF126" s="641"/>
      <c r="CG126" s="641"/>
      <c r="CH126" s="641"/>
      <c r="CI126" s="641"/>
      <c r="CJ126" s="641"/>
      <c r="CK126" s="641"/>
      <c r="CL126" s="641"/>
      <c r="CM126" s="641"/>
      <c r="CN126" s="641"/>
      <c r="CO126" s="641"/>
      <c r="CP126" s="641"/>
      <c r="CQ126" s="641"/>
      <c r="CR126" s="641"/>
      <c r="CS126" s="641"/>
      <c r="CT126" s="641"/>
      <c r="CU126" s="641"/>
      <c r="CV126" s="641"/>
      <c r="CW126" s="641"/>
      <c r="CX126" s="641"/>
      <c r="CY126" s="641"/>
      <c r="CZ126" s="641"/>
      <c r="DA126" s="641"/>
      <c r="DB126" s="641"/>
      <c r="DC126" s="641"/>
      <c r="DD126" s="641"/>
      <c r="DE126" s="641"/>
      <c r="DF126" s="641"/>
      <c r="DG126" s="641"/>
      <c r="DH126" s="641"/>
      <c r="DI126" s="641"/>
      <c r="DJ126" s="641"/>
      <c r="DK126" s="641"/>
      <c r="DL126" s="641"/>
      <c r="DM126" s="641"/>
      <c r="DN126" s="641"/>
      <c r="DO126" s="641"/>
      <c r="DP126" s="641"/>
      <c r="DQ126" s="642"/>
      <c r="DR126" s="229"/>
    </row>
    <row r="127" spans="1:122" ht="7.5" customHeight="1" x14ac:dyDescent="0.25">
      <c r="A127" s="588">
        <v>0</v>
      </c>
      <c r="B127" s="589"/>
      <c r="C127" s="589"/>
      <c r="D127" s="589"/>
      <c r="E127" s="590"/>
      <c r="G127" s="597" t="s">
        <v>277</v>
      </c>
      <c r="H127" s="597"/>
      <c r="I127" s="597"/>
      <c r="J127" s="597"/>
      <c r="K127" s="597"/>
      <c r="L127" s="597"/>
      <c r="M127" s="597"/>
      <c r="N127" s="597"/>
      <c r="O127" s="597"/>
      <c r="P127" s="597"/>
      <c r="Q127" s="597"/>
      <c r="R127" s="597"/>
      <c r="S127" s="597"/>
      <c r="T127" s="597"/>
      <c r="U127" s="597"/>
      <c r="V127" s="597"/>
      <c r="W127" s="597"/>
      <c r="X127" s="597"/>
      <c r="Y127" s="597"/>
      <c r="Z127" s="600" t="e">
        <f ca="1">FLOOR(INDIRECT(G127)/5+1,1)*10</f>
        <v>#REF!</v>
      </c>
      <c r="AA127" s="600"/>
      <c r="AB127" s="600"/>
      <c r="AC127" s="600"/>
      <c r="AD127" s="600"/>
      <c r="AE127" s="600"/>
      <c r="AF127" s="600"/>
      <c r="AG127" s="601"/>
      <c r="AH127" s="142"/>
      <c r="AI127" s="143"/>
      <c r="AJ127" s="143"/>
      <c r="AK127" s="143"/>
      <c r="AL127" s="143"/>
      <c r="AM127" s="143"/>
      <c r="AN127" s="143"/>
      <c r="AO127" s="143"/>
      <c r="AP127" s="143"/>
      <c r="AQ127" s="143"/>
      <c r="AR127" s="143"/>
      <c r="AS127" s="143"/>
      <c r="AT127" s="143"/>
      <c r="AU127" s="143"/>
      <c r="AV127" s="143"/>
      <c r="AW127" s="144"/>
      <c r="AX127" s="616" t="e">
        <f ca="1">"Further increases your "&amp;G127&amp;" skill from "&amp;INDIRECT(SUBSTITUTE(G127," ",""))&amp;" to "&amp;INDIRECT(SUBSTITUTE(G127," ",""))+1</f>
        <v>#REF!</v>
      </c>
      <c r="AY127" s="616"/>
      <c r="AZ127" s="616"/>
      <c r="BA127" s="616"/>
      <c r="BB127" s="616"/>
      <c r="BC127" s="616"/>
      <c r="BD127" s="616"/>
      <c r="BE127" s="616"/>
      <c r="BF127" s="616"/>
      <c r="BG127" s="616"/>
      <c r="BH127" s="616"/>
      <c r="BI127" s="616"/>
      <c r="BJ127" s="616"/>
      <c r="BK127" s="616"/>
      <c r="BL127" s="616"/>
      <c r="BM127" s="616"/>
      <c r="BN127" s="616"/>
      <c r="BO127" s="616"/>
      <c r="BP127" s="616"/>
      <c r="BQ127" s="616"/>
      <c r="BR127" s="616"/>
      <c r="BS127" s="616"/>
      <c r="BT127" s="616"/>
      <c r="BU127" s="616"/>
      <c r="BV127" s="616"/>
      <c r="BW127" s="616"/>
      <c r="BX127" s="616"/>
      <c r="BY127" s="616"/>
      <c r="BZ127" s="616"/>
      <c r="CA127" s="616"/>
      <c r="CB127" s="616"/>
      <c r="CC127" s="616"/>
      <c r="CD127" s="616"/>
      <c r="CE127" s="616"/>
      <c r="CF127" s="616"/>
      <c r="CG127" s="616"/>
      <c r="CH127" s="616"/>
      <c r="CI127" s="616"/>
      <c r="CJ127" s="616"/>
      <c r="CK127" s="616"/>
      <c r="CL127" s="616"/>
      <c r="CM127" s="616"/>
      <c r="CN127" s="616"/>
      <c r="CO127" s="616"/>
      <c r="CP127" s="616"/>
      <c r="CQ127" s="616"/>
      <c r="CR127" s="616"/>
      <c r="CS127" s="616"/>
      <c r="CT127" s="616"/>
      <c r="CU127" s="616"/>
      <c r="CV127" s="616"/>
      <c r="CW127" s="616"/>
      <c r="CX127" s="616"/>
      <c r="CY127" s="616"/>
      <c r="CZ127" s="616"/>
      <c r="DA127" s="616"/>
      <c r="DB127" s="616"/>
      <c r="DC127" s="616"/>
      <c r="DD127" s="616"/>
      <c r="DE127" s="616"/>
      <c r="DF127" s="616"/>
      <c r="DG127" s="616"/>
      <c r="DH127" s="616"/>
      <c r="DI127" s="616"/>
      <c r="DJ127" s="616"/>
      <c r="DK127" s="616"/>
      <c r="DL127" s="616"/>
      <c r="DM127" s="616"/>
      <c r="DN127" s="616"/>
      <c r="DO127" s="616"/>
      <c r="DP127" s="616"/>
      <c r="DQ127" s="617"/>
      <c r="DR127" s="229"/>
    </row>
    <row r="128" spans="1:122" ht="7.5" customHeight="1" x14ac:dyDescent="0.25">
      <c r="A128" s="591"/>
      <c r="B128" s="592"/>
      <c r="C128" s="592"/>
      <c r="D128" s="592"/>
      <c r="E128" s="593"/>
      <c r="F128" s="145"/>
      <c r="G128" s="598"/>
      <c r="H128" s="598"/>
      <c r="I128" s="598"/>
      <c r="J128" s="598"/>
      <c r="K128" s="598"/>
      <c r="L128" s="598"/>
      <c r="M128" s="598"/>
      <c r="N128" s="598"/>
      <c r="O128" s="598"/>
      <c r="P128" s="598"/>
      <c r="Q128" s="598"/>
      <c r="R128" s="598"/>
      <c r="S128" s="598"/>
      <c r="T128" s="598"/>
      <c r="U128" s="598"/>
      <c r="V128" s="598"/>
      <c r="W128" s="598"/>
      <c r="X128" s="598"/>
      <c r="Y128" s="598"/>
      <c r="Z128" s="602"/>
      <c r="AA128" s="602"/>
      <c r="AB128" s="602"/>
      <c r="AC128" s="602"/>
      <c r="AD128" s="602"/>
      <c r="AE128" s="602"/>
      <c r="AF128" s="602"/>
      <c r="AG128" s="635"/>
      <c r="AH128" s="132"/>
      <c r="AI128" s="129"/>
      <c r="AJ128" s="129"/>
      <c r="AK128" s="129"/>
      <c r="AL128" s="129"/>
      <c r="AM128" s="129"/>
      <c r="AN128" s="129"/>
      <c r="AO128" s="129"/>
      <c r="AP128" s="129"/>
      <c r="AQ128" s="129"/>
      <c r="AR128" s="129"/>
      <c r="AS128" s="129"/>
      <c r="AT128" s="129"/>
      <c r="AU128" s="129"/>
      <c r="AV128" s="129"/>
      <c r="AW128" s="145"/>
      <c r="AX128" s="619"/>
      <c r="AY128" s="619"/>
      <c r="AZ128" s="619"/>
      <c r="BA128" s="619"/>
      <c r="BB128" s="619"/>
      <c r="BC128" s="619"/>
      <c r="BD128" s="619"/>
      <c r="BE128" s="619"/>
      <c r="BF128" s="619"/>
      <c r="BG128" s="619"/>
      <c r="BH128" s="619"/>
      <c r="BI128" s="619"/>
      <c r="BJ128" s="619"/>
      <c r="BK128" s="619"/>
      <c r="BL128" s="619"/>
      <c r="BM128" s="619"/>
      <c r="BN128" s="619"/>
      <c r="BO128" s="619"/>
      <c r="BP128" s="619"/>
      <c r="BQ128" s="619"/>
      <c r="BR128" s="619"/>
      <c r="BS128" s="619"/>
      <c r="BT128" s="619"/>
      <c r="BU128" s="619"/>
      <c r="BV128" s="619"/>
      <c r="BW128" s="619"/>
      <c r="BX128" s="619"/>
      <c r="BY128" s="619"/>
      <c r="BZ128" s="619"/>
      <c r="CA128" s="619"/>
      <c r="CB128" s="619"/>
      <c r="CC128" s="619"/>
      <c r="CD128" s="619"/>
      <c r="CE128" s="619"/>
      <c r="CF128" s="619"/>
      <c r="CG128" s="619"/>
      <c r="CH128" s="619"/>
      <c r="CI128" s="619"/>
      <c r="CJ128" s="619"/>
      <c r="CK128" s="619"/>
      <c r="CL128" s="619"/>
      <c r="CM128" s="619"/>
      <c r="CN128" s="619"/>
      <c r="CO128" s="619"/>
      <c r="CP128" s="619"/>
      <c r="CQ128" s="619"/>
      <c r="CR128" s="619"/>
      <c r="CS128" s="619"/>
      <c r="CT128" s="619"/>
      <c r="CU128" s="619"/>
      <c r="CV128" s="619"/>
      <c r="CW128" s="619"/>
      <c r="CX128" s="619"/>
      <c r="CY128" s="619"/>
      <c r="CZ128" s="619"/>
      <c r="DA128" s="619"/>
      <c r="DB128" s="619"/>
      <c r="DC128" s="619"/>
      <c r="DD128" s="619"/>
      <c r="DE128" s="619"/>
      <c r="DF128" s="619"/>
      <c r="DG128" s="619"/>
      <c r="DH128" s="619"/>
      <c r="DI128" s="619"/>
      <c r="DJ128" s="619"/>
      <c r="DK128" s="619"/>
      <c r="DL128" s="619"/>
      <c r="DM128" s="619"/>
      <c r="DN128" s="619"/>
      <c r="DO128" s="619"/>
      <c r="DP128" s="619"/>
      <c r="DQ128" s="639"/>
      <c r="DR128" s="229"/>
    </row>
    <row r="129" spans="1:122" ht="7.5" customHeight="1" x14ac:dyDescent="0.25">
      <c r="A129" s="594"/>
      <c r="B129" s="595"/>
      <c r="C129" s="595"/>
      <c r="D129" s="595"/>
      <c r="E129" s="596"/>
      <c r="G129" s="599"/>
      <c r="H129" s="599"/>
      <c r="I129" s="599"/>
      <c r="J129" s="599"/>
      <c r="K129" s="599"/>
      <c r="L129" s="599"/>
      <c r="M129" s="599"/>
      <c r="N129" s="599"/>
      <c r="O129" s="599"/>
      <c r="P129" s="599"/>
      <c r="Q129" s="599"/>
      <c r="R129" s="599"/>
      <c r="S129" s="599"/>
      <c r="T129" s="599"/>
      <c r="U129" s="599"/>
      <c r="V129" s="599"/>
      <c r="W129" s="599"/>
      <c r="X129" s="599"/>
      <c r="Y129" s="599"/>
      <c r="Z129" s="602"/>
      <c r="AA129" s="602"/>
      <c r="AB129" s="602"/>
      <c r="AC129" s="602"/>
      <c r="AD129" s="602"/>
      <c r="AE129" s="602"/>
      <c r="AF129" s="602"/>
      <c r="AG129" s="636"/>
      <c r="AH129" s="132"/>
      <c r="AI129" s="129"/>
      <c r="AJ129" s="129"/>
      <c r="AK129" s="129"/>
      <c r="AL129" s="129"/>
      <c r="AM129" s="129"/>
      <c r="AN129" s="129"/>
      <c r="AO129" s="129"/>
      <c r="AP129" s="129"/>
      <c r="AQ129" s="129"/>
      <c r="AR129" s="129"/>
      <c r="AS129" s="129"/>
      <c r="AT129" s="129"/>
      <c r="AU129" s="129"/>
      <c r="AV129" s="129"/>
      <c r="AW129" s="146"/>
      <c r="AX129" s="619"/>
      <c r="AY129" s="619"/>
      <c r="AZ129" s="619"/>
      <c r="BA129" s="619"/>
      <c r="BB129" s="619"/>
      <c r="BC129" s="619"/>
      <c r="BD129" s="619"/>
      <c r="BE129" s="619"/>
      <c r="BF129" s="619"/>
      <c r="BG129" s="619"/>
      <c r="BH129" s="619"/>
      <c r="BI129" s="619"/>
      <c r="BJ129" s="619"/>
      <c r="BK129" s="619"/>
      <c r="BL129" s="619"/>
      <c r="BM129" s="619"/>
      <c r="BN129" s="619"/>
      <c r="BO129" s="619"/>
      <c r="BP129" s="619"/>
      <c r="BQ129" s="619"/>
      <c r="BR129" s="619"/>
      <c r="BS129" s="619"/>
      <c r="BT129" s="619"/>
      <c r="BU129" s="619"/>
      <c r="BV129" s="619"/>
      <c r="BW129" s="619"/>
      <c r="BX129" s="619"/>
      <c r="BY129" s="619"/>
      <c r="BZ129" s="619"/>
      <c r="CA129" s="619"/>
      <c r="CB129" s="619"/>
      <c r="CC129" s="619"/>
      <c r="CD129" s="619"/>
      <c r="CE129" s="619"/>
      <c r="CF129" s="619"/>
      <c r="CG129" s="619"/>
      <c r="CH129" s="619"/>
      <c r="CI129" s="619"/>
      <c r="CJ129" s="619"/>
      <c r="CK129" s="619"/>
      <c r="CL129" s="619"/>
      <c r="CM129" s="619"/>
      <c r="CN129" s="619"/>
      <c r="CO129" s="619"/>
      <c r="CP129" s="619"/>
      <c r="CQ129" s="619"/>
      <c r="CR129" s="619"/>
      <c r="CS129" s="619"/>
      <c r="CT129" s="619"/>
      <c r="CU129" s="619"/>
      <c r="CV129" s="619"/>
      <c r="CW129" s="619"/>
      <c r="CX129" s="619"/>
      <c r="CY129" s="619"/>
      <c r="CZ129" s="619"/>
      <c r="DA129" s="619"/>
      <c r="DB129" s="619"/>
      <c r="DC129" s="619"/>
      <c r="DD129" s="619"/>
      <c r="DE129" s="619"/>
      <c r="DF129" s="619"/>
      <c r="DG129" s="619"/>
      <c r="DH129" s="619"/>
      <c r="DI129" s="619"/>
      <c r="DJ129" s="619"/>
      <c r="DK129" s="619"/>
      <c r="DL129" s="619"/>
      <c r="DM129" s="619"/>
      <c r="DN129" s="619"/>
      <c r="DO129" s="619"/>
      <c r="DP129" s="619"/>
      <c r="DQ129" s="640"/>
      <c r="DR129" s="229"/>
    </row>
    <row r="130" spans="1:122" ht="7.5" customHeight="1" x14ac:dyDescent="0.25">
      <c r="A130" s="119"/>
      <c r="B130" s="119"/>
      <c r="C130" s="119"/>
      <c r="D130" s="119"/>
      <c r="E130" s="119"/>
      <c r="F130" s="653" t="str">
        <f>G127</f>
        <v>Comprehension</v>
      </c>
      <c r="G130" s="653"/>
      <c r="H130" s="653"/>
      <c r="I130" s="653"/>
      <c r="J130" s="653"/>
      <c r="K130" s="625" t="e">
        <f ca="1">(FLOOR(INDIRECT(SUBSTITUTE(G127," ",""))/5,1)*(FLOOR(INDIRECT(SUBSTITUTE(G127," ",""))/5,1)+1)/2)*50+MOD(INDIRECT(SUBSTITUTE(G127," ","")),5)*CEILING(INDIRECT(SUBSTITUTE(G127," ",""))/5,1)*10-((FLOOR(INDIRECT("Base"&amp;SUBSTITUTE(G127," ",""))/5,1)*(FLOOR(INDIRECT("Base"&amp;SUBSTITUTE(G127," ",""))/5,1)+1)/2)*50+MOD(INDIRECT("Base"&amp;SUBSTITUTE(G127," ","")),5)*CEILING(INDIRECT("Base"&amp;SUBSTITUTE(G127," ",""))/5,1)*10)</f>
        <v>#REF!</v>
      </c>
      <c r="L130" s="625"/>
      <c r="M130" s="625"/>
      <c r="N130" s="626" t="b">
        <f>IF(AH123&lt;&gt;"",VLOOKUP($G127,'Merit Data'!A:BW,MATCH('Merit Data'!$B$3,'Merit Data'!$3:$3,0),0),TRUE)</f>
        <v>1</v>
      </c>
      <c r="O130" s="626"/>
      <c r="P130" s="626"/>
      <c r="Q130" s="140"/>
      <c r="R130" s="140"/>
      <c r="S130" s="140"/>
      <c r="T130" s="140"/>
      <c r="U130" s="140"/>
      <c r="V130" s="238"/>
      <c r="W130" s="238"/>
      <c r="X130" s="627" t="str">
        <f>IF(F130&gt;0,HYPERLINK("http://wiki.project-saros.com/w/"&amp;F130,"Info"),"")</f>
        <v>Info</v>
      </c>
      <c r="Y130" s="628"/>
      <c r="Z130" s="637"/>
      <c r="AA130" s="637"/>
      <c r="AB130" s="637"/>
      <c r="AC130" s="637"/>
      <c r="AD130" s="637"/>
      <c r="AE130" s="637"/>
      <c r="AF130" s="637"/>
      <c r="AG130" s="638"/>
      <c r="AH130" s="148"/>
      <c r="AI130" s="131"/>
      <c r="AJ130" s="131"/>
      <c r="AK130" s="149"/>
      <c r="AL130" s="149"/>
      <c r="AM130" s="149"/>
      <c r="AN130" s="149"/>
      <c r="AO130" s="149"/>
      <c r="AP130" s="149"/>
      <c r="AQ130" s="149"/>
      <c r="AR130" s="149"/>
      <c r="AS130" s="131"/>
      <c r="AT130" s="131"/>
      <c r="AU130" s="131"/>
      <c r="AV130" s="131"/>
      <c r="AW130" s="150"/>
      <c r="AX130" s="641"/>
      <c r="AY130" s="641"/>
      <c r="AZ130" s="641"/>
      <c r="BA130" s="641"/>
      <c r="BB130" s="641"/>
      <c r="BC130" s="641"/>
      <c r="BD130" s="641"/>
      <c r="BE130" s="641"/>
      <c r="BF130" s="641"/>
      <c r="BG130" s="641"/>
      <c r="BH130" s="641"/>
      <c r="BI130" s="641"/>
      <c r="BJ130" s="641"/>
      <c r="BK130" s="641"/>
      <c r="BL130" s="641"/>
      <c r="BM130" s="641"/>
      <c r="BN130" s="641"/>
      <c r="BO130" s="641"/>
      <c r="BP130" s="641"/>
      <c r="BQ130" s="641"/>
      <c r="BR130" s="641"/>
      <c r="BS130" s="641"/>
      <c r="BT130" s="641"/>
      <c r="BU130" s="641"/>
      <c r="BV130" s="641"/>
      <c r="BW130" s="641"/>
      <c r="BX130" s="641"/>
      <c r="BY130" s="641"/>
      <c r="BZ130" s="641"/>
      <c r="CA130" s="641"/>
      <c r="CB130" s="641"/>
      <c r="CC130" s="641"/>
      <c r="CD130" s="641"/>
      <c r="CE130" s="641"/>
      <c r="CF130" s="641"/>
      <c r="CG130" s="641"/>
      <c r="CH130" s="641"/>
      <c r="CI130" s="641"/>
      <c r="CJ130" s="641"/>
      <c r="CK130" s="641"/>
      <c r="CL130" s="641"/>
      <c r="CM130" s="641"/>
      <c r="CN130" s="641"/>
      <c r="CO130" s="641"/>
      <c r="CP130" s="641"/>
      <c r="CQ130" s="641"/>
      <c r="CR130" s="641"/>
      <c r="CS130" s="641"/>
      <c r="CT130" s="641"/>
      <c r="CU130" s="641"/>
      <c r="CV130" s="641"/>
      <c r="CW130" s="641"/>
      <c r="CX130" s="641"/>
      <c r="CY130" s="641"/>
      <c r="CZ130" s="641"/>
      <c r="DA130" s="641"/>
      <c r="DB130" s="641"/>
      <c r="DC130" s="641"/>
      <c r="DD130" s="641"/>
      <c r="DE130" s="641"/>
      <c r="DF130" s="641"/>
      <c r="DG130" s="641"/>
      <c r="DH130" s="641"/>
      <c r="DI130" s="641"/>
      <c r="DJ130" s="641"/>
      <c r="DK130" s="641"/>
      <c r="DL130" s="641"/>
      <c r="DM130" s="641"/>
      <c r="DN130" s="641"/>
      <c r="DO130" s="641"/>
      <c r="DP130" s="641"/>
      <c r="DQ130" s="642"/>
      <c r="DR130" s="229"/>
    </row>
    <row r="131" spans="1:122" ht="7.5" customHeight="1" x14ac:dyDescent="0.25">
      <c r="A131" s="588">
        <v>0</v>
      </c>
      <c r="B131" s="589"/>
      <c r="C131" s="589"/>
      <c r="D131" s="589"/>
      <c r="E131" s="590"/>
      <c r="G131" s="597" t="s">
        <v>278</v>
      </c>
      <c r="H131" s="597"/>
      <c r="I131" s="597"/>
      <c r="J131" s="597"/>
      <c r="K131" s="597"/>
      <c r="L131" s="597"/>
      <c r="M131" s="597"/>
      <c r="N131" s="597"/>
      <c r="O131" s="597"/>
      <c r="P131" s="597"/>
      <c r="Q131" s="597"/>
      <c r="R131" s="597"/>
      <c r="S131" s="597"/>
      <c r="T131" s="597"/>
      <c r="U131" s="597"/>
      <c r="V131" s="597"/>
      <c r="W131" s="597"/>
      <c r="X131" s="597"/>
      <c r="Y131" s="597"/>
      <c r="Z131" s="600" t="e">
        <f ca="1">FLOOR(INDIRECT(G131)/5+1,1)*10</f>
        <v>#REF!</v>
      </c>
      <c r="AA131" s="600"/>
      <c r="AB131" s="600"/>
      <c r="AC131" s="600"/>
      <c r="AD131" s="600"/>
      <c r="AE131" s="600"/>
      <c r="AF131" s="600"/>
      <c r="AG131" s="601"/>
      <c r="AH131" s="142"/>
      <c r="AI131" s="143"/>
      <c r="AJ131" s="143"/>
      <c r="AK131" s="143"/>
      <c r="AL131" s="143"/>
      <c r="AM131" s="143"/>
      <c r="AN131" s="143"/>
      <c r="AO131" s="143"/>
      <c r="AP131" s="143"/>
      <c r="AQ131" s="143"/>
      <c r="AR131" s="143"/>
      <c r="AS131" s="143"/>
      <c r="AT131" s="143"/>
      <c r="AU131" s="143"/>
      <c r="AV131" s="143"/>
      <c r="AW131" s="144"/>
      <c r="AX131" s="616" t="e">
        <f ca="1">"Further increases your "&amp;G131&amp;" skill from "&amp;INDIRECT(SUBSTITUTE(G131," ",""))&amp;" to "&amp;INDIRECT(SUBSTITUTE(G131," ",""))+1</f>
        <v>#REF!</v>
      </c>
      <c r="AY131" s="616"/>
      <c r="AZ131" s="616"/>
      <c r="BA131" s="616"/>
      <c r="BB131" s="616"/>
      <c r="BC131" s="616"/>
      <c r="BD131" s="616"/>
      <c r="BE131" s="616"/>
      <c r="BF131" s="616"/>
      <c r="BG131" s="616"/>
      <c r="BH131" s="616"/>
      <c r="BI131" s="616"/>
      <c r="BJ131" s="616"/>
      <c r="BK131" s="616"/>
      <c r="BL131" s="616"/>
      <c r="BM131" s="616"/>
      <c r="BN131" s="616"/>
      <c r="BO131" s="616"/>
      <c r="BP131" s="616"/>
      <c r="BQ131" s="616"/>
      <c r="BR131" s="616"/>
      <c r="BS131" s="616"/>
      <c r="BT131" s="616"/>
      <c r="BU131" s="616"/>
      <c r="BV131" s="616"/>
      <c r="BW131" s="616"/>
      <c r="BX131" s="616"/>
      <c r="BY131" s="616"/>
      <c r="BZ131" s="616"/>
      <c r="CA131" s="616"/>
      <c r="CB131" s="616"/>
      <c r="CC131" s="616"/>
      <c r="CD131" s="616"/>
      <c r="CE131" s="616"/>
      <c r="CF131" s="616"/>
      <c r="CG131" s="616"/>
      <c r="CH131" s="616"/>
      <c r="CI131" s="616"/>
      <c r="CJ131" s="616"/>
      <c r="CK131" s="616"/>
      <c r="CL131" s="616"/>
      <c r="CM131" s="616"/>
      <c r="CN131" s="616"/>
      <c r="CO131" s="616"/>
      <c r="CP131" s="616"/>
      <c r="CQ131" s="616"/>
      <c r="CR131" s="616"/>
      <c r="CS131" s="616"/>
      <c r="CT131" s="616"/>
      <c r="CU131" s="616"/>
      <c r="CV131" s="616"/>
      <c r="CW131" s="616"/>
      <c r="CX131" s="616"/>
      <c r="CY131" s="616"/>
      <c r="CZ131" s="616"/>
      <c r="DA131" s="616"/>
      <c r="DB131" s="616"/>
      <c r="DC131" s="616"/>
      <c r="DD131" s="616"/>
      <c r="DE131" s="616"/>
      <c r="DF131" s="616"/>
      <c r="DG131" s="616"/>
      <c r="DH131" s="616"/>
      <c r="DI131" s="616"/>
      <c r="DJ131" s="616"/>
      <c r="DK131" s="616"/>
      <c r="DL131" s="616"/>
      <c r="DM131" s="616"/>
      <c r="DN131" s="616"/>
      <c r="DO131" s="616"/>
      <c r="DP131" s="616"/>
      <c r="DQ131" s="617"/>
      <c r="DR131" s="229"/>
    </row>
    <row r="132" spans="1:122" ht="7.5" customHeight="1" x14ac:dyDescent="0.25">
      <c r="A132" s="591"/>
      <c r="B132" s="592"/>
      <c r="C132" s="592"/>
      <c r="D132" s="592"/>
      <c r="E132" s="593"/>
      <c r="F132" s="145"/>
      <c r="G132" s="598"/>
      <c r="H132" s="598"/>
      <c r="I132" s="598"/>
      <c r="J132" s="598"/>
      <c r="K132" s="598"/>
      <c r="L132" s="598"/>
      <c r="M132" s="598"/>
      <c r="N132" s="598"/>
      <c r="O132" s="598"/>
      <c r="P132" s="598"/>
      <c r="Q132" s="598"/>
      <c r="R132" s="598"/>
      <c r="S132" s="598"/>
      <c r="T132" s="598"/>
      <c r="U132" s="598"/>
      <c r="V132" s="598"/>
      <c r="W132" s="598"/>
      <c r="X132" s="598"/>
      <c r="Y132" s="598"/>
      <c r="Z132" s="602"/>
      <c r="AA132" s="602"/>
      <c r="AB132" s="602"/>
      <c r="AC132" s="602"/>
      <c r="AD132" s="602"/>
      <c r="AE132" s="602"/>
      <c r="AF132" s="602"/>
      <c r="AG132" s="635"/>
      <c r="AH132" s="132"/>
      <c r="AI132" s="129"/>
      <c r="AJ132" s="129"/>
      <c r="AK132" s="129"/>
      <c r="AL132" s="129"/>
      <c r="AM132" s="129"/>
      <c r="AN132" s="129"/>
      <c r="AO132" s="129"/>
      <c r="AP132" s="129"/>
      <c r="AQ132" s="129"/>
      <c r="AR132" s="129"/>
      <c r="AS132" s="129"/>
      <c r="AT132" s="129"/>
      <c r="AU132" s="129"/>
      <c r="AV132" s="129"/>
      <c r="AW132" s="145"/>
      <c r="AX132" s="619"/>
      <c r="AY132" s="619"/>
      <c r="AZ132" s="619"/>
      <c r="BA132" s="619"/>
      <c r="BB132" s="619"/>
      <c r="BC132" s="619"/>
      <c r="BD132" s="619"/>
      <c r="BE132" s="619"/>
      <c r="BF132" s="619"/>
      <c r="BG132" s="619"/>
      <c r="BH132" s="619"/>
      <c r="BI132" s="619"/>
      <c r="BJ132" s="619"/>
      <c r="BK132" s="619"/>
      <c r="BL132" s="619"/>
      <c r="BM132" s="619"/>
      <c r="BN132" s="619"/>
      <c r="BO132" s="619"/>
      <c r="BP132" s="619"/>
      <c r="BQ132" s="619"/>
      <c r="BR132" s="619"/>
      <c r="BS132" s="619"/>
      <c r="BT132" s="619"/>
      <c r="BU132" s="619"/>
      <c r="BV132" s="619"/>
      <c r="BW132" s="619"/>
      <c r="BX132" s="619"/>
      <c r="BY132" s="619"/>
      <c r="BZ132" s="619"/>
      <c r="CA132" s="619"/>
      <c r="CB132" s="619"/>
      <c r="CC132" s="619"/>
      <c r="CD132" s="619"/>
      <c r="CE132" s="619"/>
      <c r="CF132" s="619"/>
      <c r="CG132" s="619"/>
      <c r="CH132" s="619"/>
      <c r="CI132" s="619"/>
      <c r="CJ132" s="619"/>
      <c r="CK132" s="619"/>
      <c r="CL132" s="619"/>
      <c r="CM132" s="619"/>
      <c r="CN132" s="619"/>
      <c r="CO132" s="619"/>
      <c r="CP132" s="619"/>
      <c r="CQ132" s="619"/>
      <c r="CR132" s="619"/>
      <c r="CS132" s="619"/>
      <c r="CT132" s="619"/>
      <c r="CU132" s="619"/>
      <c r="CV132" s="619"/>
      <c r="CW132" s="619"/>
      <c r="CX132" s="619"/>
      <c r="CY132" s="619"/>
      <c r="CZ132" s="619"/>
      <c r="DA132" s="619"/>
      <c r="DB132" s="619"/>
      <c r="DC132" s="619"/>
      <c r="DD132" s="619"/>
      <c r="DE132" s="619"/>
      <c r="DF132" s="619"/>
      <c r="DG132" s="619"/>
      <c r="DH132" s="619"/>
      <c r="DI132" s="619"/>
      <c r="DJ132" s="619"/>
      <c r="DK132" s="619"/>
      <c r="DL132" s="619"/>
      <c r="DM132" s="619"/>
      <c r="DN132" s="619"/>
      <c r="DO132" s="619"/>
      <c r="DP132" s="619"/>
      <c r="DQ132" s="639"/>
      <c r="DR132" s="229"/>
    </row>
    <row r="133" spans="1:122" ht="7.5" customHeight="1" x14ac:dyDescent="0.25">
      <c r="A133" s="594"/>
      <c r="B133" s="595"/>
      <c r="C133" s="595"/>
      <c r="D133" s="595"/>
      <c r="E133" s="596"/>
      <c r="G133" s="599"/>
      <c r="H133" s="599"/>
      <c r="I133" s="599"/>
      <c r="J133" s="599"/>
      <c r="K133" s="599"/>
      <c r="L133" s="599"/>
      <c r="M133" s="599"/>
      <c r="N133" s="599"/>
      <c r="O133" s="599"/>
      <c r="P133" s="599"/>
      <c r="Q133" s="599"/>
      <c r="R133" s="599"/>
      <c r="S133" s="599"/>
      <c r="T133" s="599"/>
      <c r="U133" s="599"/>
      <c r="V133" s="599"/>
      <c r="W133" s="599"/>
      <c r="X133" s="599"/>
      <c r="Y133" s="599"/>
      <c r="Z133" s="602"/>
      <c r="AA133" s="602"/>
      <c r="AB133" s="602"/>
      <c r="AC133" s="602"/>
      <c r="AD133" s="602"/>
      <c r="AE133" s="602"/>
      <c r="AF133" s="602"/>
      <c r="AG133" s="636"/>
      <c r="AH133" s="132"/>
      <c r="AI133" s="129"/>
      <c r="AJ133" s="129"/>
      <c r="AK133" s="129"/>
      <c r="AL133" s="129"/>
      <c r="AM133" s="129"/>
      <c r="AN133" s="129"/>
      <c r="AO133" s="129"/>
      <c r="AP133" s="129"/>
      <c r="AQ133" s="129"/>
      <c r="AR133" s="129"/>
      <c r="AS133" s="129"/>
      <c r="AT133" s="129"/>
      <c r="AU133" s="129"/>
      <c r="AV133" s="129"/>
      <c r="AW133" s="146"/>
      <c r="AX133" s="619"/>
      <c r="AY133" s="619"/>
      <c r="AZ133" s="619"/>
      <c r="BA133" s="619"/>
      <c r="BB133" s="619"/>
      <c r="BC133" s="619"/>
      <c r="BD133" s="619"/>
      <c r="BE133" s="619"/>
      <c r="BF133" s="619"/>
      <c r="BG133" s="619"/>
      <c r="BH133" s="619"/>
      <c r="BI133" s="619"/>
      <c r="BJ133" s="619"/>
      <c r="BK133" s="619"/>
      <c r="BL133" s="619"/>
      <c r="BM133" s="619"/>
      <c r="BN133" s="619"/>
      <c r="BO133" s="619"/>
      <c r="BP133" s="619"/>
      <c r="BQ133" s="619"/>
      <c r="BR133" s="619"/>
      <c r="BS133" s="619"/>
      <c r="BT133" s="619"/>
      <c r="BU133" s="619"/>
      <c r="BV133" s="619"/>
      <c r="BW133" s="619"/>
      <c r="BX133" s="619"/>
      <c r="BY133" s="619"/>
      <c r="BZ133" s="619"/>
      <c r="CA133" s="619"/>
      <c r="CB133" s="619"/>
      <c r="CC133" s="619"/>
      <c r="CD133" s="619"/>
      <c r="CE133" s="619"/>
      <c r="CF133" s="619"/>
      <c r="CG133" s="619"/>
      <c r="CH133" s="619"/>
      <c r="CI133" s="619"/>
      <c r="CJ133" s="619"/>
      <c r="CK133" s="619"/>
      <c r="CL133" s="619"/>
      <c r="CM133" s="619"/>
      <c r="CN133" s="619"/>
      <c r="CO133" s="619"/>
      <c r="CP133" s="619"/>
      <c r="CQ133" s="619"/>
      <c r="CR133" s="619"/>
      <c r="CS133" s="619"/>
      <c r="CT133" s="619"/>
      <c r="CU133" s="619"/>
      <c r="CV133" s="619"/>
      <c r="CW133" s="619"/>
      <c r="CX133" s="619"/>
      <c r="CY133" s="619"/>
      <c r="CZ133" s="619"/>
      <c r="DA133" s="619"/>
      <c r="DB133" s="619"/>
      <c r="DC133" s="619"/>
      <c r="DD133" s="619"/>
      <c r="DE133" s="619"/>
      <c r="DF133" s="619"/>
      <c r="DG133" s="619"/>
      <c r="DH133" s="619"/>
      <c r="DI133" s="619"/>
      <c r="DJ133" s="619"/>
      <c r="DK133" s="619"/>
      <c r="DL133" s="619"/>
      <c r="DM133" s="619"/>
      <c r="DN133" s="619"/>
      <c r="DO133" s="619"/>
      <c r="DP133" s="619"/>
      <c r="DQ133" s="640"/>
      <c r="DR133" s="229"/>
    </row>
    <row r="134" spans="1:122" ht="7.5" customHeight="1" x14ac:dyDescent="0.25">
      <c r="A134" s="119"/>
      <c r="B134" s="119"/>
      <c r="C134" s="119"/>
      <c r="D134" s="119"/>
      <c r="E134" s="119"/>
      <c r="F134" s="653" t="str">
        <f>G131</f>
        <v>Expression</v>
      </c>
      <c r="G134" s="653"/>
      <c r="H134" s="653"/>
      <c r="I134" s="653"/>
      <c r="J134" s="653"/>
      <c r="K134" s="625" t="e">
        <f ca="1">(FLOOR(INDIRECT(SUBSTITUTE(G131," ",""))/5,1)*(FLOOR(INDIRECT(SUBSTITUTE(G131," ",""))/5,1)+1)/2)*50+MOD(INDIRECT(SUBSTITUTE(G131," ","")),5)*CEILING(INDIRECT(SUBSTITUTE(G131," ",""))/5,1)*10-((FLOOR(INDIRECT("Base"&amp;SUBSTITUTE(G131," ",""))/5,1)*(FLOOR(INDIRECT("Base"&amp;SUBSTITUTE(G131," ",""))/5,1)+1)/2)*50+MOD(INDIRECT("Base"&amp;SUBSTITUTE(G131," ","")),5)*CEILING(INDIRECT("Base"&amp;SUBSTITUTE(G131," ",""))/5,1)*10)</f>
        <v>#REF!</v>
      </c>
      <c r="L134" s="625"/>
      <c r="M134" s="625"/>
      <c r="N134" s="626" t="b">
        <f>IF(AH127&lt;&gt;"",VLOOKUP($G131,'Merit Data'!A:BW,MATCH('Merit Data'!$B$3,'Merit Data'!$3:$3,0),0),TRUE)</f>
        <v>1</v>
      </c>
      <c r="O134" s="626"/>
      <c r="P134" s="626"/>
      <c r="Q134" s="140"/>
      <c r="R134" s="140"/>
      <c r="S134" s="140"/>
      <c r="T134" s="140"/>
      <c r="U134" s="140"/>
      <c r="V134" s="238"/>
      <c r="W134" s="238"/>
      <c r="X134" s="627" t="str">
        <f>IF(F134&gt;0,HYPERLINK("http://wiki.project-saros.com/w/"&amp;F134,"Info"),"")</f>
        <v>Info</v>
      </c>
      <c r="Y134" s="628"/>
      <c r="Z134" s="637"/>
      <c r="AA134" s="637"/>
      <c r="AB134" s="637"/>
      <c r="AC134" s="637"/>
      <c r="AD134" s="637"/>
      <c r="AE134" s="637"/>
      <c r="AF134" s="637"/>
      <c r="AG134" s="638"/>
      <c r="AH134" s="148"/>
      <c r="AI134" s="131"/>
      <c r="AJ134" s="131"/>
      <c r="AK134" s="149"/>
      <c r="AL134" s="149"/>
      <c r="AM134" s="149"/>
      <c r="AN134" s="149"/>
      <c r="AO134" s="149"/>
      <c r="AP134" s="149"/>
      <c r="AQ134" s="149"/>
      <c r="AR134" s="149"/>
      <c r="AS134" s="131"/>
      <c r="AT134" s="131"/>
      <c r="AU134" s="131"/>
      <c r="AV134" s="131"/>
      <c r="AW134" s="150"/>
      <c r="AX134" s="641"/>
      <c r="AY134" s="641"/>
      <c r="AZ134" s="641"/>
      <c r="BA134" s="641"/>
      <c r="BB134" s="641"/>
      <c r="BC134" s="641"/>
      <c r="BD134" s="641"/>
      <c r="BE134" s="641"/>
      <c r="BF134" s="641"/>
      <c r="BG134" s="641"/>
      <c r="BH134" s="641"/>
      <c r="BI134" s="641"/>
      <c r="BJ134" s="641"/>
      <c r="BK134" s="641"/>
      <c r="BL134" s="641"/>
      <c r="BM134" s="641"/>
      <c r="BN134" s="641"/>
      <c r="BO134" s="641"/>
      <c r="BP134" s="641"/>
      <c r="BQ134" s="641"/>
      <c r="BR134" s="641"/>
      <c r="BS134" s="641"/>
      <c r="BT134" s="641"/>
      <c r="BU134" s="641"/>
      <c r="BV134" s="641"/>
      <c r="BW134" s="641"/>
      <c r="BX134" s="641"/>
      <c r="BY134" s="641"/>
      <c r="BZ134" s="641"/>
      <c r="CA134" s="641"/>
      <c r="CB134" s="641"/>
      <c r="CC134" s="641"/>
      <c r="CD134" s="641"/>
      <c r="CE134" s="641"/>
      <c r="CF134" s="641"/>
      <c r="CG134" s="641"/>
      <c r="CH134" s="641"/>
      <c r="CI134" s="641"/>
      <c r="CJ134" s="641"/>
      <c r="CK134" s="641"/>
      <c r="CL134" s="641"/>
      <c r="CM134" s="641"/>
      <c r="CN134" s="641"/>
      <c r="CO134" s="641"/>
      <c r="CP134" s="641"/>
      <c r="CQ134" s="641"/>
      <c r="CR134" s="641"/>
      <c r="CS134" s="641"/>
      <c r="CT134" s="641"/>
      <c r="CU134" s="641"/>
      <c r="CV134" s="641"/>
      <c r="CW134" s="641"/>
      <c r="CX134" s="641"/>
      <c r="CY134" s="641"/>
      <c r="CZ134" s="641"/>
      <c r="DA134" s="641"/>
      <c r="DB134" s="641"/>
      <c r="DC134" s="641"/>
      <c r="DD134" s="641"/>
      <c r="DE134" s="641"/>
      <c r="DF134" s="641"/>
      <c r="DG134" s="641"/>
      <c r="DH134" s="641"/>
      <c r="DI134" s="641"/>
      <c r="DJ134" s="641"/>
      <c r="DK134" s="641"/>
      <c r="DL134" s="641"/>
      <c r="DM134" s="641"/>
      <c r="DN134" s="641"/>
      <c r="DO134" s="641"/>
      <c r="DP134" s="641"/>
      <c r="DQ134" s="642"/>
      <c r="DR134" s="229"/>
    </row>
    <row r="135" spans="1:122" ht="7.5" customHeight="1" x14ac:dyDescent="0.25">
      <c r="A135" s="588">
        <v>0</v>
      </c>
      <c r="B135" s="589"/>
      <c r="C135" s="589"/>
      <c r="D135" s="589"/>
      <c r="E135" s="590"/>
      <c r="G135" s="597" t="s">
        <v>279</v>
      </c>
      <c r="H135" s="597"/>
      <c r="I135" s="597"/>
      <c r="J135" s="597"/>
      <c r="K135" s="597"/>
      <c r="L135" s="597"/>
      <c r="M135" s="597"/>
      <c r="N135" s="597"/>
      <c r="O135" s="597"/>
      <c r="P135" s="597"/>
      <c r="Q135" s="597"/>
      <c r="R135" s="597"/>
      <c r="S135" s="597"/>
      <c r="T135" s="597"/>
      <c r="U135" s="597"/>
      <c r="V135" s="597"/>
      <c r="W135" s="597"/>
      <c r="X135" s="597"/>
      <c r="Y135" s="597"/>
      <c r="Z135" s="600" t="e">
        <f ca="1">FLOOR(INDIRECT(G135)/5+1,1)*10</f>
        <v>#REF!</v>
      </c>
      <c r="AA135" s="600"/>
      <c r="AB135" s="600"/>
      <c r="AC135" s="600"/>
      <c r="AD135" s="600"/>
      <c r="AE135" s="600"/>
      <c r="AF135" s="600"/>
      <c r="AG135" s="601"/>
      <c r="AH135" s="142"/>
      <c r="AI135" s="143"/>
      <c r="AJ135" s="143"/>
      <c r="AK135" s="143"/>
      <c r="AL135" s="143"/>
      <c r="AM135" s="143"/>
      <c r="AN135" s="143"/>
      <c r="AO135" s="143"/>
      <c r="AP135" s="143"/>
      <c r="AQ135" s="143"/>
      <c r="AR135" s="143"/>
      <c r="AS135" s="143"/>
      <c r="AT135" s="143"/>
      <c r="AU135" s="143"/>
      <c r="AV135" s="143"/>
      <c r="AW135" s="144"/>
      <c r="AX135" s="616" t="e">
        <f ca="1">"Further increases your "&amp;G135&amp;" skill from "&amp;INDIRECT(SUBSTITUTE(G135," ",""))&amp;" to "&amp;INDIRECT(SUBSTITUTE(G135," ",""))+1</f>
        <v>#REF!</v>
      </c>
      <c r="AY135" s="616"/>
      <c r="AZ135" s="616"/>
      <c r="BA135" s="616"/>
      <c r="BB135" s="616"/>
      <c r="BC135" s="616"/>
      <c r="BD135" s="616"/>
      <c r="BE135" s="616"/>
      <c r="BF135" s="616"/>
      <c r="BG135" s="616"/>
      <c r="BH135" s="616"/>
      <c r="BI135" s="616"/>
      <c r="BJ135" s="616"/>
      <c r="BK135" s="616"/>
      <c r="BL135" s="616"/>
      <c r="BM135" s="616"/>
      <c r="BN135" s="616"/>
      <c r="BO135" s="616"/>
      <c r="BP135" s="616"/>
      <c r="BQ135" s="616"/>
      <c r="BR135" s="616"/>
      <c r="BS135" s="616"/>
      <c r="BT135" s="616"/>
      <c r="BU135" s="616"/>
      <c r="BV135" s="616"/>
      <c r="BW135" s="616"/>
      <c r="BX135" s="616"/>
      <c r="BY135" s="616"/>
      <c r="BZ135" s="616"/>
      <c r="CA135" s="616"/>
      <c r="CB135" s="616"/>
      <c r="CC135" s="616"/>
      <c r="CD135" s="616"/>
      <c r="CE135" s="616"/>
      <c r="CF135" s="616"/>
      <c r="CG135" s="616"/>
      <c r="CH135" s="616"/>
      <c r="CI135" s="616"/>
      <c r="CJ135" s="616"/>
      <c r="CK135" s="616"/>
      <c r="CL135" s="616"/>
      <c r="CM135" s="616"/>
      <c r="CN135" s="616"/>
      <c r="CO135" s="616"/>
      <c r="CP135" s="616"/>
      <c r="CQ135" s="616"/>
      <c r="CR135" s="616"/>
      <c r="CS135" s="616"/>
      <c r="CT135" s="616"/>
      <c r="CU135" s="616"/>
      <c r="CV135" s="616"/>
      <c r="CW135" s="616"/>
      <c r="CX135" s="616"/>
      <c r="CY135" s="616"/>
      <c r="CZ135" s="616"/>
      <c r="DA135" s="616"/>
      <c r="DB135" s="616"/>
      <c r="DC135" s="616"/>
      <c r="DD135" s="616"/>
      <c r="DE135" s="616"/>
      <c r="DF135" s="616"/>
      <c r="DG135" s="616"/>
      <c r="DH135" s="616"/>
      <c r="DI135" s="616"/>
      <c r="DJ135" s="616"/>
      <c r="DK135" s="616"/>
      <c r="DL135" s="616"/>
      <c r="DM135" s="616"/>
      <c r="DN135" s="616"/>
      <c r="DO135" s="616"/>
      <c r="DP135" s="616"/>
      <c r="DQ135" s="617"/>
      <c r="DR135" s="229"/>
    </row>
    <row r="136" spans="1:122" ht="7.5" customHeight="1" x14ac:dyDescent="0.25">
      <c r="A136" s="591"/>
      <c r="B136" s="592"/>
      <c r="C136" s="592"/>
      <c r="D136" s="592"/>
      <c r="E136" s="593"/>
      <c r="F136" s="145"/>
      <c r="G136" s="598"/>
      <c r="H136" s="598"/>
      <c r="I136" s="598"/>
      <c r="J136" s="598"/>
      <c r="K136" s="598"/>
      <c r="L136" s="598"/>
      <c r="M136" s="598"/>
      <c r="N136" s="598"/>
      <c r="O136" s="598"/>
      <c r="P136" s="598"/>
      <c r="Q136" s="598"/>
      <c r="R136" s="598"/>
      <c r="S136" s="598"/>
      <c r="T136" s="598"/>
      <c r="U136" s="598"/>
      <c r="V136" s="598"/>
      <c r="W136" s="598"/>
      <c r="X136" s="598"/>
      <c r="Y136" s="598"/>
      <c r="Z136" s="602"/>
      <c r="AA136" s="602"/>
      <c r="AB136" s="602"/>
      <c r="AC136" s="602"/>
      <c r="AD136" s="602"/>
      <c r="AE136" s="602"/>
      <c r="AF136" s="602"/>
      <c r="AG136" s="635"/>
      <c r="AH136" s="132"/>
      <c r="AI136" s="129"/>
      <c r="AJ136" s="129"/>
      <c r="AK136" s="129"/>
      <c r="AL136" s="129"/>
      <c r="AM136" s="129"/>
      <c r="AN136" s="129"/>
      <c r="AO136" s="129"/>
      <c r="AP136" s="129"/>
      <c r="AQ136" s="129"/>
      <c r="AR136" s="129"/>
      <c r="AS136" s="129"/>
      <c r="AT136" s="129"/>
      <c r="AU136" s="129"/>
      <c r="AV136" s="129"/>
      <c r="AW136" s="145"/>
      <c r="AX136" s="619"/>
      <c r="AY136" s="619"/>
      <c r="AZ136" s="619"/>
      <c r="BA136" s="619"/>
      <c r="BB136" s="619"/>
      <c r="BC136" s="619"/>
      <c r="BD136" s="619"/>
      <c r="BE136" s="619"/>
      <c r="BF136" s="619"/>
      <c r="BG136" s="619"/>
      <c r="BH136" s="619"/>
      <c r="BI136" s="619"/>
      <c r="BJ136" s="619"/>
      <c r="BK136" s="619"/>
      <c r="BL136" s="619"/>
      <c r="BM136" s="619"/>
      <c r="BN136" s="619"/>
      <c r="BO136" s="619"/>
      <c r="BP136" s="619"/>
      <c r="BQ136" s="619"/>
      <c r="BR136" s="619"/>
      <c r="BS136" s="619"/>
      <c r="BT136" s="619"/>
      <c r="BU136" s="619"/>
      <c r="BV136" s="619"/>
      <c r="BW136" s="619"/>
      <c r="BX136" s="619"/>
      <c r="BY136" s="619"/>
      <c r="BZ136" s="619"/>
      <c r="CA136" s="619"/>
      <c r="CB136" s="619"/>
      <c r="CC136" s="619"/>
      <c r="CD136" s="619"/>
      <c r="CE136" s="619"/>
      <c r="CF136" s="619"/>
      <c r="CG136" s="619"/>
      <c r="CH136" s="619"/>
      <c r="CI136" s="619"/>
      <c r="CJ136" s="619"/>
      <c r="CK136" s="619"/>
      <c r="CL136" s="619"/>
      <c r="CM136" s="619"/>
      <c r="CN136" s="619"/>
      <c r="CO136" s="619"/>
      <c r="CP136" s="619"/>
      <c r="CQ136" s="619"/>
      <c r="CR136" s="619"/>
      <c r="CS136" s="619"/>
      <c r="CT136" s="619"/>
      <c r="CU136" s="619"/>
      <c r="CV136" s="619"/>
      <c r="CW136" s="619"/>
      <c r="CX136" s="619"/>
      <c r="CY136" s="619"/>
      <c r="CZ136" s="619"/>
      <c r="DA136" s="619"/>
      <c r="DB136" s="619"/>
      <c r="DC136" s="619"/>
      <c r="DD136" s="619"/>
      <c r="DE136" s="619"/>
      <c r="DF136" s="619"/>
      <c r="DG136" s="619"/>
      <c r="DH136" s="619"/>
      <c r="DI136" s="619"/>
      <c r="DJ136" s="619"/>
      <c r="DK136" s="619"/>
      <c r="DL136" s="619"/>
      <c r="DM136" s="619"/>
      <c r="DN136" s="619"/>
      <c r="DO136" s="619"/>
      <c r="DP136" s="619"/>
      <c r="DQ136" s="639"/>
      <c r="DR136" s="229"/>
    </row>
    <row r="137" spans="1:122" ht="7.5" customHeight="1" x14ac:dyDescent="0.25">
      <c r="A137" s="594"/>
      <c r="B137" s="595"/>
      <c r="C137" s="595"/>
      <c r="D137" s="595"/>
      <c r="E137" s="596"/>
      <c r="G137" s="599"/>
      <c r="H137" s="599"/>
      <c r="I137" s="599"/>
      <c r="J137" s="599"/>
      <c r="K137" s="599"/>
      <c r="L137" s="599"/>
      <c r="M137" s="599"/>
      <c r="N137" s="599"/>
      <c r="O137" s="599"/>
      <c r="P137" s="599"/>
      <c r="Q137" s="599"/>
      <c r="R137" s="599"/>
      <c r="S137" s="599"/>
      <c r="T137" s="599"/>
      <c r="U137" s="599"/>
      <c r="V137" s="599"/>
      <c r="W137" s="599"/>
      <c r="X137" s="599"/>
      <c r="Y137" s="599"/>
      <c r="Z137" s="602"/>
      <c r="AA137" s="602"/>
      <c r="AB137" s="602"/>
      <c r="AC137" s="602"/>
      <c r="AD137" s="602"/>
      <c r="AE137" s="602"/>
      <c r="AF137" s="602"/>
      <c r="AG137" s="636"/>
      <c r="AH137" s="132"/>
      <c r="AI137" s="129"/>
      <c r="AJ137" s="129"/>
      <c r="AK137" s="129"/>
      <c r="AL137" s="129"/>
      <c r="AM137" s="129"/>
      <c r="AN137" s="129"/>
      <c r="AO137" s="129"/>
      <c r="AP137" s="129"/>
      <c r="AQ137" s="129"/>
      <c r="AR137" s="129"/>
      <c r="AS137" s="129"/>
      <c r="AT137" s="129"/>
      <c r="AU137" s="129"/>
      <c r="AV137" s="129"/>
      <c r="AW137" s="146"/>
      <c r="AX137" s="619"/>
      <c r="AY137" s="619"/>
      <c r="AZ137" s="619"/>
      <c r="BA137" s="619"/>
      <c r="BB137" s="619"/>
      <c r="BC137" s="619"/>
      <c r="BD137" s="619"/>
      <c r="BE137" s="619"/>
      <c r="BF137" s="619"/>
      <c r="BG137" s="619"/>
      <c r="BH137" s="619"/>
      <c r="BI137" s="619"/>
      <c r="BJ137" s="619"/>
      <c r="BK137" s="619"/>
      <c r="BL137" s="619"/>
      <c r="BM137" s="619"/>
      <c r="BN137" s="619"/>
      <c r="BO137" s="619"/>
      <c r="BP137" s="619"/>
      <c r="BQ137" s="619"/>
      <c r="BR137" s="619"/>
      <c r="BS137" s="619"/>
      <c r="BT137" s="619"/>
      <c r="BU137" s="619"/>
      <c r="BV137" s="619"/>
      <c r="BW137" s="619"/>
      <c r="BX137" s="619"/>
      <c r="BY137" s="619"/>
      <c r="BZ137" s="619"/>
      <c r="CA137" s="619"/>
      <c r="CB137" s="619"/>
      <c r="CC137" s="619"/>
      <c r="CD137" s="619"/>
      <c r="CE137" s="619"/>
      <c r="CF137" s="619"/>
      <c r="CG137" s="619"/>
      <c r="CH137" s="619"/>
      <c r="CI137" s="619"/>
      <c r="CJ137" s="619"/>
      <c r="CK137" s="619"/>
      <c r="CL137" s="619"/>
      <c r="CM137" s="619"/>
      <c r="CN137" s="619"/>
      <c r="CO137" s="619"/>
      <c r="CP137" s="619"/>
      <c r="CQ137" s="619"/>
      <c r="CR137" s="619"/>
      <c r="CS137" s="619"/>
      <c r="CT137" s="619"/>
      <c r="CU137" s="619"/>
      <c r="CV137" s="619"/>
      <c r="CW137" s="619"/>
      <c r="CX137" s="619"/>
      <c r="CY137" s="619"/>
      <c r="CZ137" s="619"/>
      <c r="DA137" s="619"/>
      <c r="DB137" s="619"/>
      <c r="DC137" s="619"/>
      <c r="DD137" s="619"/>
      <c r="DE137" s="619"/>
      <c r="DF137" s="619"/>
      <c r="DG137" s="619"/>
      <c r="DH137" s="619"/>
      <c r="DI137" s="619"/>
      <c r="DJ137" s="619"/>
      <c r="DK137" s="619"/>
      <c r="DL137" s="619"/>
      <c r="DM137" s="619"/>
      <c r="DN137" s="619"/>
      <c r="DO137" s="619"/>
      <c r="DP137" s="619"/>
      <c r="DQ137" s="640"/>
      <c r="DR137" s="229"/>
    </row>
    <row r="138" spans="1:122" ht="7.5" customHeight="1" x14ac:dyDescent="0.25">
      <c r="A138" s="119"/>
      <c r="B138" s="119"/>
      <c r="C138" s="119"/>
      <c r="D138" s="119"/>
      <c r="E138" s="119"/>
      <c r="F138" s="653" t="str">
        <f>G135</f>
        <v>Perception</v>
      </c>
      <c r="G138" s="653"/>
      <c r="H138" s="653"/>
      <c r="I138" s="653"/>
      <c r="J138" s="653"/>
      <c r="K138" s="625" t="e">
        <f ca="1">(FLOOR(INDIRECT(SUBSTITUTE(G135," ",""))/5,1)*(FLOOR(INDIRECT(SUBSTITUTE(G135," ",""))/5,1)+1)/2)*50+MOD(INDIRECT(SUBSTITUTE(G135," ","")),5)*CEILING(INDIRECT(SUBSTITUTE(G135," ",""))/5,1)*10-((FLOOR(INDIRECT("Base"&amp;SUBSTITUTE(G135," ",""))/5,1)*(FLOOR(INDIRECT("Base"&amp;SUBSTITUTE(G135," ",""))/5,1)+1)/2)*50+MOD(INDIRECT("Base"&amp;SUBSTITUTE(G135," ","")),5)*CEILING(INDIRECT("Base"&amp;SUBSTITUTE(G135," ",""))/5,1)*10)</f>
        <v>#REF!</v>
      </c>
      <c r="L138" s="625"/>
      <c r="M138" s="625"/>
      <c r="N138" s="626" t="b">
        <f>IF(AH131&lt;&gt;"",VLOOKUP($G135,'Merit Data'!A:BW,MATCH('Merit Data'!$B$3,'Merit Data'!$3:$3,0),0),TRUE)</f>
        <v>1</v>
      </c>
      <c r="O138" s="626"/>
      <c r="P138" s="626"/>
      <c r="Q138" s="140"/>
      <c r="R138" s="140"/>
      <c r="S138" s="140"/>
      <c r="T138" s="140"/>
      <c r="U138" s="140"/>
      <c r="V138" s="238"/>
      <c r="W138" s="238"/>
      <c r="X138" s="627" t="str">
        <f>IF(F138&gt;0,HYPERLINK("http://wiki.project-saros.com/w/"&amp;F138,"Info"),"")</f>
        <v>Info</v>
      </c>
      <c r="Y138" s="628"/>
      <c r="Z138" s="637"/>
      <c r="AA138" s="637"/>
      <c r="AB138" s="637"/>
      <c r="AC138" s="637"/>
      <c r="AD138" s="637"/>
      <c r="AE138" s="637"/>
      <c r="AF138" s="637"/>
      <c r="AG138" s="638"/>
      <c r="AH138" s="148"/>
      <c r="AI138" s="131"/>
      <c r="AJ138" s="131"/>
      <c r="AK138" s="149"/>
      <c r="AL138" s="149"/>
      <c r="AM138" s="149"/>
      <c r="AN138" s="149"/>
      <c r="AO138" s="149"/>
      <c r="AP138" s="149"/>
      <c r="AQ138" s="149"/>
      <c r="AR138" s="149"/>
      <c r="AS138" s="131"/>
      <c r="AT138" s="131"/>
      <c r="AU138" s="131"/>
      <c r="AV138" s="131"/>
      <c r="AW138" s="150"/>
      <c r="AX138" s="641"/>
      <c r="AY138" s="641"/>
      <c r="AZ138" s="641"/>
      <c r="BA138" s="641"/>
      <c r="BB138" s="641"/>
      <c r="BC138" s="641"/>
      <c r="BD138" s="641"/>
      <c r="BE138" s="641"/>
      <c r="BF138" s="641"/>
      <c r="BG138" s="641"/>
      <c r="BH138" s="641"/>
      <c r="BI138" s="641"/>
      <c r="BJ138" s="641"/>
      <c r="BK138" s="641"/>
      <c r="BL138" s="641"/>
      <c r="BM138" s="641"/>
      <c r="BN138" s="641"/>
      <c r="BO138" s="641"/>
      <c r="BP138" s="641"/>
      <c r="BQ138" s="641"/>
      <c r="BR138" s="641"/>
      <c r="BS138" s="641"/>
      <c r="BT138" s="641"/>
      <c r="BU138" s="641"/>
      <c r="BV138" s="641"/>
      <c r="BW138" s="641"/>
      <c r="BX138" s="641"/>
      <c r="BY138" s="641"/>
      <c r="BZ138" s="641"/>
      <c r="CA138" s="641"/>
      <c r="CB138" s="641"/>
      <c r="CC138" s="641"/>
      <c r="CD138" s="641"/>
      <c r="CE138" s="641"/>
      <c r="CF138" s="641"/>
      <c r="CG138" s="641"/>
      <c r="CH138" s="641"/>
      <c r="CI138" s="641"/>
      <c r="CJ138" s="641"/>
      <c r="CK138" s="641"/>
      <c r="CL138" s="641"/>
      <c r="CM138" s="641"/>
      <c r="CN138" s="641"/>
      <c r="CO138" s="641"/>
      <c r="CP138" s="641"/>
      <c r="CQ138" s="641"/>
      <c r="CR138" s="641"/>
      <c r="CS138" s="641"/>
      <c r="CT138" s="641"/>
      <c r="CU138" s="641"/>
      <c r="CV138" s="641"/>
      <c r="CW138" s="641"/>
      <c r="CX138" s="641"/>
      <c r="CY138" s="641"/>
      <c r="CZ138" s="641"/>
      <c r="DA138" s="641"/>
      <c r="DB138" s="641"/>
      <c r="DC138" s="641"/>
      <c r="DD138" s="641"/>
      <c r="DE138" s="641"/>
      <c r="DF138" s="641"/>
      <c r="DG138" s="641"/>
      <c r="DH138" s="641"/>
      <c r="DI138" s="641"/>
      <c r="DJ138" s="641"/>
      <c r="DK138" s="641"/>
      <c r="DL138" s="641"/>
      <c r="DM138" s="641"/>
      <c r="DN138" s="641"/>
      <c r="DO138" s="641"/>
      <c r="DP138" s="641"/>
      <c r="DQ138" s="642"/>
      <c r="DR138" s="229"/>
    </row>
    <row r="139" spans="1:122" ht="7.5" customHeight="1" x14ac:dyDescent="0.25">
      <c r="A139" s="588">
        <v>0</v>
      </c>
      <c r="B139" s="589"/>
      <c r="C139" s="589"/>
      <c r="D139" s="589"/>
      <c r="E139" s="590"/>
      <c r="G139" s="597" t="s">
        <v>280</v>
      </c>
      <c r="H139" s="597"/>
      <c r="I139" s="597"/>
      <c r="J139" s="597"/>
      <c r="K139" s="597"/>
      <c r="L139" s="597"/>
      <c r="M139" s="597"/>
      <c r="N139" s="597"/>
      <c r="O139" s="597"/>
      <c r="P139" s="597"/>
      <c r="Q139" s="597"/>
      <c r="R139" s="597"/>
      <c r="S139" s="597"/>
      <c r="T139" s="597"/>
      <c r="U139" s="597"/>
      <c r="V139" s="597"/>
      <c r="W139" s="597"/>
      <c r="X139" s="597"/>
      <c r="Y139" s="597"/>
      <c r="Z139" s="600" t="e">
        <f ca="1">FLOOR(INDIRECT(G139)/5+1,1)*10</f>
        <v>#REF!</v>
      </c>
      <c r="AA139" s="600"/>
      <c r="AB139" s="600"/>
      <c r="AC139" s="600"/>
      <c r="AD139" s="600"/>
      <c r="AE139" s="600"/>
      <c r="AF139" s="600"/>
      <c r="AG139" s="601"/>
      <c r="AH139" s="142"/>
      <c r="AI139" s="143"/>
      <c r="AJ139" s="143"/>
      <c r="AK139" s="143"/>
      <c r="AL139" s="143"/>
      <c r="AM139" s="143"/>
      <c r="AN139" s="143"/>
      <c r="AO139" s="143"/>
      <c r="AP139" s="143"/>
      <c r="AQ139" s="143"/>
      <c r="AR139" s="143"/>
      <c r="AS139" s="143"/>
      <c r="AT139" s="143"/>
      <c r="AU139" s="143"/>
      <c r="AV139" s="143"/>
      <c r="AW139" s="144"/>
      <c r="AX139" s="616" t="e">
        <f ca="1">"Further increases your "&amp;G139&amp;" skill from "&amp;INDIRECT(SUBSTITUTE(G139," ",""))&amp;" to "&amp;INDIRECT(SUBSTITUTE(G139," ",""))+1</f>
        <v>#REF!</v>
      </c>
      <c r="AY139" s="616"/>
      <c r="AZ139" s="616"/>
      <c r="BA139" s="616"/>
      <c r="BB139" s="616"/>
      <c r="BC139" s="616"/>
      <c r="BD139" s="616"/>
      <c r="BE139" s="616"/>
      <c r="BF139" s="616"/>
      <c r="BG139" s="616"/>
      <c r="BH139" s="616"/>
      <c r="BI139" s="616"/>
      <c r="BJ139" s="616"/>
      <c r="BK139" s="616"/>
      <c r="BL139" s="616"/>
      <c r="BM139" s="616"/>
      <c r="BN139" s="616"/>
      <c r="BO139" s="616"/>
      <c r="BP139" s="616"/>
      <c r="BQ139" s="616"/>
      <c r="BR139" s="616"/>
      <c r="BS139" s="616"/>
      <c r="BT139" s="616"/>
      <c r="BU139" s="616"/>
      <c r="BV139" s="616"/>
      <c r="BW139" s="616"/>
      <c r="BX139" s="616"/>
      <c r="BY139" s="616"/>
      <c r="BZ139" s="616"/>
      <c r="CA139" s="616"/>
      <c r="CB139" s="616"/>
      <c r="CC139" s="616"/>
      <c r="CD139" s="616"/>
      <c r="CE139" s="616"/>
      <c r="CF139" s="616"/>
      <c r="CG139" s="616"/>
      <c r="CH139" s="616"/>
      <c r="CI139" s="616"/>
      <c r="CJ139" s="616"/>
      <c r="CK139" s="616"/>
      <c r="CL139" s="616"/>
      <c r="CM139" s="616"/>
      <c r="CN139" s="616"/>
      <c r="CO139" s="616"/>
      <c r="CP139" s="616"/>
      <c r="CQ139" s="616"/>
      <c r="CR139" s="616"/>
      <c r="CS139" s="616"/>
      <c r="CT139" s="616"/>
      <c r="CU139" s="616"/>
      <c r="CV139" s="616"/>
      <c r="CW139" s="616"/>
      <c r="CX139" s="616"/>
      <c r="CY139" s="616"/>
      <c r="CZ139" s="616"/>
      <c r="DA139" s="616"/>
      <c r="DB139" s="616"/>
      <c r="DC139" s="616"/>
      <c r="DD139" s="616"/>
      <c r="DE139" s="616"/>
      <c r="DF139" s="616"/>
      <c r="DG139" s="616"/>
      <c r="DH139" s="616"/>
      <c r="DI139" s="616"/>
      <c r="DJ139" s="616"/>
      <c r="DK139" s="616"/>
      <c r="DL139" s="616"/>
      <c r="DM139" s="616"/>
      <c r="DN139" s="616"/>
      <c r="DO139" s="616"/>
      <c r="DP139" s="616"/>
      <c r="DQ139" s="617"/>
      <c r="DR139" s="229"/>
    </row>
    <row r="140" spans="1:122" ht="7.5" customHeight="1" x14ac:dyDescent="0.25">
      <c r="A140" s="591"/>
      <c r="B140" s="592"/>
      <c r="C140" s="592"/>
      <c r="D140" s="592"/>
      <c r="E140" s="593"/>
      <c r="F140" s="145"/>
      <c r="G140" s="598"/>
      <c r="H140" s="598"/>
      <c r="I140" s="598"/>
      <c r="J140" s="598"/>
      <c r="K140" s="598"/>
      <c r="L140" s="598"/>
      <c r="M140" s="598"/>
      <c r="N140" s="598"/>
      <c r="O140" s="598"/>
      <c r="P140" s="598"/>
      <c r="Q140" s="598"/>
      <c r="R140" s="598"/>
      <c r="S140" s="598"/>
      <c r="T140" s="598"/>
      <c r="U140" s="598"/>
      <c r="V140" s="598"/>
      <c r="W140" s="598"/>
      <c r="X140" s="598"/>
      <c r="Y140" s="598"/>
      <c r="Z140" s="602"/>
      <c r="AA140" s="602"/>
      <c r="AB140" s="602"/>
      <c r="AC140" s="602"/>
      <c r="AD140" s="602"/>
      <c r="AE140" s="602"/>
      <c r="AF140" s="602"/>
      <c r="AG140" s="635"/>
      <c r="AH140" s="132"/>
      <c r="AI140" s="129"/>
      <c r="AJ140" s="129"/>
      <c r="AK140" s="129"/>
      <c r="AL140" s="129"/>
      <c r="AM140" s="129"/>
      <c r="AN140" s="129"/>
      <c r="AO140" s="129"/>
      <c r="AP140" s="129"/>
      <c r="AQ140" s="129"/>
      <c r="AR140" s="129"/>
      <c r="AS140" s="129"/>
      <c r="AT140" s="129"/>
      <c r="AU140" s="129"/>
      <c r="AV140" s="129"/>
      <c r="AW140" s="145"/>
      <c r="AX140" s="619"/>
      <c r="AY140" s="619"/>
      <c r="AZ140" s="619"/>
      <c r="BA140" s="619"/>
      <c r="BB140" s="619"/>
      <c r="BC140" s="619"/>
      <c r="BD140" s="619"/>
      <c r="BE140" s="619"/>
      <c r="BF140" s="619"/>
      <c r="BG140" s="619"/>
      <c r="BH140" s="619"/>
      <c r="BI140" s="619"/>
      <c r="BJ140" s="619"/>
      <c r="BK140" s="619"/>
      <c r="BL140" s="619"/>
      <c r="BM140" s="619"/>
      <c r="BN140" s="619"/>
      <c r="BO140" s="619"/>
      <c r="BP140" s="619"/>
      <c r="BQ140" s="619"/>
      <c r="BR140" s="619"/>
      <c r="BS140" s="619"/>
      <c r="BT140" s="619"/>
      <c r="BU140" s="619"/>
      <c r="BV140" s="619"/>
      <c r="BW140" s="619"/>
      <c r="BX140" s="619"/>
      <c r="BY140" s="619"/>
      <c r="BZ140" s="619"/>
      <c r="CA140" s="619"/>
      <c r="CB140" s="619"/>
      <c r="CC140" s="619"/>
      <c r="CD140" s="619"/>
      <c r="CE140" s="619"/>
      <c r="CF140" s="619"/>
      <c r="CG140" s="619"/>
      <c r="CH140" s="619"/>
      <c r="CI140" s="619"/>
      <c r="CJ140" s="619"/>
      <c r="CK140" s="619"/>
      <c r="CL140" s="619"/>
      <c r="CM140" s="619"/>
      <c r="CN140" s="619"/>
      <c r="CO140" s="619"/>
      <c r="CP140" s="619"/>
      <c r="CQ140" s="619"/>
      <c r="CR140" s="619"/>
      <c r="CS140" s="619"/>
      <c r="CT140" s="619"/>
      <c r="CU140" s="619"/>
      <c r="CV140" s="619"/>
      <c r="CW140" s="619"/>
      <c r="CX140" s="619"/>
      <c r="CY140" s="619"/>
      <c r="CZ140" s="619"/>
      <c r="DA140" s="619"/>
      <c r="DB140" s="619"/>
      <c r="DC140" s="619"/>
      <c r="DD140" s="619"/>
      <c r="DE140" s="619"/>
      <c r="DF140" s="619"/>
      <c r="DG140" s="619"/>
      <c r="DH140" s="619"/>
      <c r="DI140" s="619"/>
      <c r="DJ140" s="619"/>
      <c r="DK140" s="619"/>
      <c r="DL140" s="619"/>
      <c r="DM140" s="619"/>
      <c r="DN140" s="619"/>
      <c r="DO140" s="619"/>
      <c r="DP140" s="619"/>
      <c r="DQ140" s="639"/>
      <c r="DR140" s="229"/>
    </row>
    <row r="141" spans="1:122" ht="7.5" customHeight="1" x14ac:dyDescent="0.25">
      <c r="A141" s="594"/>
      <c r="B141" s="595"/>
      <c r="C141" s="595"/>
      <c r="D141" s="595"/>
      <c r="E141" s="596"/>
      <c r="G141" s="599"/>
      <c r="H141" s="599"/>
      <c r="I141" s="599"/>
      <c r="J141" s="599"/>
      <c r="K141" s="599"/>
      <c r="L141" s="599"/>
      <c r="M141" s="599"/>
      <c r="N141" s="599"/>
      <c r="O141" s="599"/>
      <c r="P141" s="599"/>
      <c r="Q141" s="599"/>
      <c r="R141" s="599"/>
      <c r="S141" s="599"/>
      <c r="T141" s="599"/>
      <c r="U141" s="599"/>
      <c r="V141" s="599"/>
      <c r="W141" s="599"/>
      <c r="X141" s="599"/>
      <c r="Y141" s="599"/>
      <c r="Z141" s="602"/>
      <c r="AA141" s="602"/>
      <c r="AB141" s="602"/>
      <c r="AC141" s="602"/>
      <c r="AD141" s="602"/>
      <c r="AE141" s="602"/>
      <c r="AF141" s="602"/>
      <c r="AG141" s="636"/>
      <c r="AH141" s="132"/>
      <c r="AI141" s="129"/>
      <c r="AJ141" s="129"/>
      <c r="AK141" s="129"/>
      <c r="AL141" s="129"/>
      <c r="AM141" s="129"/>
      <c r="AN141" s="129"/>
      <c r="AO141" s="129"/>
      <c r="AP141" s="129"/>
      <c r="AQ141" s="129"/>
      <c r="AR141" s="129"/>
      <c r="AS141" s="129"/>
      <c r="AT141" s="129"/>
      <c r="AU141" s="129"/>
      <c r="AV141" s="129"/>
      <c r="AW141" s="146"/>
      <c r="AX141" s="619"/>
      <c r="AY141" s="619"/>
      <c r="AZ141" s="619"/>
      <c r="BA141" s="619"/>
      <c r="BB141" s="619"/>
      <c r="BC141" s="619"/>
      <c r="BD141" s="619"/>
      <c r="BE141" s="619"/>
      <c r="BF141" s="619"/>
      <c r="BG141" s="619"/>
      <c r="BH141" s="619"/>
      <c r="BI141" s="619"/>
      <c r="BJ141" s="619"/>
      <c r="BK141" s="619"/>
      <c r="BL141" s="619"/>
      <c r="BM141" s="619"/>
      <c r="BN141" s="619"/>
      <c r="BO141" s="619"/>
      <c r="BP141" s="619"/>
      <c r="BQ141" s="619"/>
      <c r="BR141" s="619"/>
      <c r="BS141" s="619"/>
      <c r="BT141" s="619"/>
      <c r="BU141" s="619"/>
      <c r="BV141" s="619"/>
      <c r="BW141" s="619"/>
      <c r="BX141" s="619"/>
      <c r="BY141" s="619"/>
      <c r="BZ141" s="619"/>
      <c r="CA141" s="619"/>
      <c r="CB141" s="619"/>
      <c r="CC141" s="619"/>
      <c r="CD141" s="619"/>
      <c r="CE141" s="619"/>
      <c r="CF141" s="619"/>
      <c r="CG141" s="619"/>
      <c r="CH141" s="619"/>
      <c r="CI141" s="619"/>
      <c r="CJ141" s="619"/>
      <c r="CK141" s="619"/>
      <c r="CL141" s="619"/>
      <c r="CM141" s="619"/>
      <c r="CN141" s="619"/>
      <c r="CO141" s="619"/>
      <c r="CP141" s="619"/>
      <c r="CQ141" s="619"/>
      <c r="CR141" s="619"/>
      <c r="CS141" s="619"/>
      <c r="CT141" s="619"/>
      <c r="CU141" s="619"/>
      <c r="CV141" s="619"/>
      <c r="CW141" s="619"/>
      <c r="CX141" s="619"/>
      <c r="CY141" s="619"/>
      <c r="CZ141" s="619"/>
      <c r="DA141" s="619"/>
      <c r="DB141" s="619"/>
      <c r="DC141" s="619"/>
      <c r="DD141" s="619"/>
      <c r="DE141" s="619"/>
      <c r="DF141" s="619"/>
      <c r="DG141" s="619"/>
      <c r="DH141" s="619"/>
      <c r="DI141" s="619"/>
      <c r="DJ141" s="619"/>
      <c r="DK141" s="619"/>
      <c r="DL141" s="619"/>
      <c r="DM141" s="619"/>
      <c r="DN141" s="619"/>
      <c r="DO141" s="619"/>
      <c r="DP141" s="619"/>
      <c r="DQ141" s="640"/>
      <c r="DR141" s="229"/>
    </row>
    <row r="142" spans="1:122" ht="7.5" customHeight="1" x14ac:dyDescent="0.25">
      <c r="A142" s="119"/>
      <c r="B142" s="119"/>
      <c r="C142" s="119"/>
      <c r="D142" s="119"/>
      <c r="E142" s="119"/>
      <c r="F142" s="653" t="str">
        <f>G139</f>
        <v>Security</v>
      </c>
      <c r="G142" s="653"/>
      <c r="H142" s="653"/>
      <c r="I142" s="653"/>
      <c r="J142" s="653"/>
      <c r="K142" s="625" t="e">
        <f ca="1">(FLOOR(INDIRECT(SUBSTITUTE(G139," ",""))/5,1)*(FLOOR(INDIRECT(SUBSTITUTE(G139," ",""))/5,1)+1)/2)*50+MOD(INDIRECT(SUBSTITUTE(G139," ","")),5)*CEILING(INDIRECT(SUBSTITUTE(G139," ",""))/5,1)*10-((FLOOR(INDIRECT("Base"&amp;SUBSTITUTE(G139," ",""))/5,1)*(FLOOR(INDIRECT("Base"&amp;SUBSTITUTE(G139," ",""))/5,1)+1)/2)*50+MOD(INDIRECT("Base"&amp;SUBSTITUTE(G139," ","")),5)*CEILING(INDIRECT("Base"&amp;SUBSTITUTE(G139," ",""))/5,1)*10)</f>
        <v>#REF!</v>
      </c>
      <c r="L142" s="625"/>
      <c r="M142" s="625"/>
      <c r="N142" s="626" t="b">
        <f>IF(AH135&lt;&gt;"",VLOOKUP($G139,'Merit Data'!A:BW,MATCH('Merit Data'!$B$3,'Merit Data'!$3:$3,0),0),TRUE)</f>
        <v>1</v>
      </c>
      <c r="O142" s="626"/>
      <c r="P142" s="626"/>
      <c r="Q142" s="140"/>
      <c r="R142" s="140"/>
      <c r="S142" s="140"/>
      <c r="T142" s="140"/>
      <c r="U142" s="140"/>
      <c r="V142" s="238"/>
      <c r="W142" s="238"/>
      <c r="X142" s="627" t="str">
        <f>IF(F142&gt;0,HYPERLINK("http://wiki.project-saros.com/w/"&amp;F142,"Info"),"")</f>
        <v>Info</v>
      </c>
      <c r="Y142" s="628"/>
      <c r="Z142" s="637"/>
      <c r="AA142" s="637"/>
      <c r="AB142" s="637"/>
      <c r="AC142" s="637"/>
      <c r="AD142" s="637"/>
      <c r="AE142" s="637"/>
      <c r="AF142" s="637"/>
      <c r="AG142" s="638"/>
      <c r="AH142" s="148"/>
      <c r="AI142" s="131"/>
      <c r="AJ142" s="131"/>
      <c r="AK142" s="149"/>
      <c r="AL142" s="149"/>
      <c r="AM142" s="149"/>
      <c r="AN142" s="149"/>
      <c r="AO142" s="149"/>
      <c r="AP142" s="149"/>
      <c r="AQ142" s="149"/>
      <c r="AR142" s="149"/>
      <c r="AS142" s="131"/>
      <c r="AT142" s="131"/>
      <c r="AU142" s="131"/>
      <c r="AV142" s="131"/>
      <c r="AW142" s="150"/>
      <c r="AX142" s="641"/>
      <c r="AY142" s="641"/>
      <c r="AZ142" s="641"/>
      <c r="BA142" s="641"/>
      <c r="BB142" s="641"/>
      <c r="BC142" s="641"/>
      <c r="BD142" s="641"/>
      <c r="BE142" s="641"/>
      <c r="BF142" s="641"/>
      <c r="BG142" s="641"/>
      <c r="BH142" s="641"/>
      <c r="BI142" s="641"/>
      <c r="BJ142" s="641"/>
      <c r="BK142" s="641"/>
      <c r="BL142" s="641"/>
      <c r="BM142" s="641"/>
      <c r="BN142" s="641"/>
      <c r="BO142" s="641"/>
      <c r="BP142" s="641"/>
      <c r="BQ142" s="641"/>
      <c r="BR142" s="641"/>
      <c r="BS142" s="641"/>
      <c r="BT142" s="641"/>
      <c r="BU142" s="641"/>
      <c r="BV142" s="641"/>
      <c r="BW142" s="641"/>
      <c r="BX142" s="641"/>
      <c r="BY142" s="641"/>
      <c r="BZ142" s="641"/>
      <c r="CA142" s="641"/>
      <c r="CB142" s="641"/>
      <c r="CC142" s="641"/>
      <c r="CD142" s="641"/>
      <c r="CE142" s="641"/>
      <c r="CF142" s="641"/>
      <c r="CG142" s="641"/>
      <c r="CH142" s="641"/>
      <c r="CI142" s="641"/>
      <c r="CJ142" s="641"/>
      <c r="CK142" s="641"/>
      <c r="CL142" s="641"/>
      <c r="CM142" s="641"/>
      <c r="CN142" s="641"/>
      <c r="CO142" s="641"/>
      <c r="CP142" s="641"/>
      <c r="CQ142" s="641"/>
      <c r="CR142" s="641"/>
      <c r="CS142" s="641"/>
      <c r="CT142" s="641"/>
      <c r="CU142" s="641"/>
      <c r="CV142" s="641"/>
      <c r="CW142" s="641"/>
      <c r="CX142" s="641"/>
      <c r="CY142" s="641"/>
      <c r="CZ142" s="641"/>
      <c r="DA142" s="641"/>
      <c r="DB142" s="641"/>
      <c r="DC142" s="641"/>
      <c r="DD142" s="641"/>
      <c r="DE142" s="641"/>
      <c r="DF142" s="641"/>
      <c r="DG142" s="641"/>
      <c r="DH142" s="641"/>
      <c r="DI142" s="641"/>
      <c r="DJ142" s="641"/>
      <c r="DK142" s="641"/>
      <c r="DL142" s="641"/>
      <c r="DM142" s="641"/>
      <c r="DN142" s="641"/>
      <c r="DO142" s="641"/>
      <c r="DP142" s="641"/>
      <c r="DQ142" s="642"/>
      <c r="DR142" s="229"/>
    </row>
    <row r="143" spans="1:122" ht="7.5" customHeight="1" x14ac:dyDescent="0.25">
      <c r="A143" s="588">
        <v>0</v>
      </c>
      <c r="B143" s="589"/>
      <c r="C143" s="589"/>
      <c r="D143" s="589"/>
      <c r="E143" s="590"/>
      <c r="G143" s="597" t="s">
        <v>281</v>
      </c>
      <c r="H143" s="597"/>
      <c r="I143" s="597"/>
      <c r="J143" s="597"/>
      <c r="K143" s="597"/>
      <c r="L143" s="597"/>
      <c r="M143" s="597"/>
      <c r="N143" s="597"/>
      <c r="O143" s="597"/>
      <c r="P143" s="597"/>
      <c r="Q143" s="597"/>
      <c r="R143" s="597"/>
      <c r="S143" s="597"/>
      <c r="T143" s="597"/>
      <c r="U143" s="597"/>
      <c r="V143" s="597"/>
      <c r="W143" s="597"/>
      <c r="X143" s="597"/>
      <c r="Y143" s="597"/>
      <c r="Z143" s="600" t="e">
        <f ca="1">FLOOR(INDIRECT(SUBSTITUTE(G143," ",""))/5+1,1)*10</f>
        <v>#REF!</v>
      </c>
      <c r="AA143" s="600"/>
      <c r="AB143" s="600"/>
      <c r="AC143" s="600"/>
      <c r="AD143" s="600"/>
      <c r="AE143" s="600"/>
      <c r="AF143" s="600"/>
      <c r="AG143" s="601"/>
      <c r="AH143" s="142"/>
      <c r="AI143" s="143"/>
      <c r="AJ143" s="143"/>
      <c r="AK143" s="143"/>
      <c r="AL143" s="143"/>
      <c r="AM143" s="143"/>
      <c r="AN143" s="143"/>
      <c r="AO143" s="143"/>
      <c r="AP143" s="143"/>
      <c r="AQ143" s="143"/>
      <c r="AR143" s="143"/>
      <c r="AS143" s="143"/>
      <c r="AT143" s="143"/>
      <c r="AU143" s="143"/>
      <c r="AV143" s="143"/>
      <c r="AW143" s="144"/>
      <c r="AX143" s="616" t="e">
        <f ca="1">"Further increases your "&amp;G143&amp;" skill from "&amp;INDIRECT(SUBSTITUTE(G143," ",""))&amp;" to "&amp;INDIRECT(SUBSTITUTE(G143," ",""))+1</f>
        <v>#REF!</v>
      </c>
      <c r="AY143" s="616"/>
      <c r="AZ143" s="616"/>
      <c r="BA143" s="616"/>
      <c r="BB143" s="616"/>
      <c r="BC143" s="616"/>
      <c r="BD143" s="616"/>
      <c r="BE143" s="616"/>
      <c r="BF143" s="616"/>
      <c r="BG143" s="616"/>
      <c r="BH143" s="616"/>
      <c r="BI143" s="616"/>
      <c r="BJ143" s="616"/>
      <c r="BK143" s="616"/>
      <c r="BL143" s="616"/>
      <c r="BM143" s="616"/>
      <c r="BN143" s="616"/>
      <c r="BO143" s="616"/>
      <c r="BP143" s="616"/>
      <c r="BQ143" s="616"/>
      <c r="BR143" s="616"/>
      <c r="BS143" s="616"/>
      <c r="BT143" s="616"/>
      <c r="BU143" s="616"/>
      <c r="BV143" s="616"/>
      <c r="BW143" s="616"/>
      <c r="BX143" s="616"/>
      <c r="BY143" s="616"/>
      <c r="BZ143" s="616"/>
      <c r="CA143" s="616"/>
      <c r="CB143" s="616"/>
      <c r="CC143" s="616"/>
      <c r="CD143" s="616"/>
      <c r="CE143" s="616"/>
      <c r="CF143" s="616"/>
      <c r="CG143" s="616"/>
      <c r="CH143" s="616"/>
      <c r="CI143" s="616"/>
      <c r="CJ143" s="616"/>
      <c r="CK143" s="616"/>
      <c r="CL143" s="616"/>
      <c r="CM143" s="616"/>
      <c r="CN143" s="616"/>
      <c r="CO143" s="616"/>
      <c r="CP143" s="616"/>
      <c r="CQ143" s="616"/>
      <c r="CR143" s="616"/>
      <c r="CS143" s="616"/>
      <c r="CT143" s="616"/>
      <c r="CU143" s="616"/>
      <c r="CV143" s="616"/>
      <c r="CW143" s="616"/>
      <c r="CX143" s="616"/>
      <c r="CY143" s="616"/>
      <c r="CZ143" s="616"/>
      <c r="DA143" s="616"/>
      <c r="DB143" s="616"/>
      <c r="DC143" s="616"/>
      <c r="DD143" s="616"/>
      <c r="DE143" s="616"/>
      <c r="DF143" s="616"/>
      <c r="DG143" s="616"/>
      <c r="DH143" s="616"/>
      <c r="DI143" s="616"/>
      <c r="DJ143" s="616"/>
      <c r="DK143" s="616"/>
      <c r="DL143" s="616"/>
      <c r="DM143" s="616"/>
      <c r="DN143" s="616"/>
      <c r="DO143" s="616"/>
      <c r="DP143" s="616"/>
      <c r="DQ143" s="617"/>
      <c r="DR143" s="229"/>
    </row>
    <row r="144" spans="1:122" ht="7.5" customHeight="1" x14ac:dyDescent="0.25">
      <c r="A144" s="591"/>
      <c r="B144" s="592"/>
      <c r="C144" s="592"/>
      <c r="D144" s="592"/>
      <c r="E144" s="593"/>
      <c r="F144" s="145"/>
      <c r="G144" s="598"/>
      <c r="H144" s="598"/>
      <c r="I144" s="598"/>
      <c r="J144" s="598"/>
      <c r="K144" s="598"/>
      <c r="L144" s="598"/>
      <c r="M144" s="598"/>
      <c r="N144" s="598"/>
      <c r="O144" s="598"/>
      <c r="P144" s="598"/>
      <c r="Q144" s="598"/>
      <c r="R144" s="598"/>
      <c r="S144" s="598"/>
      <c r="T144" s="598"/>
      <c r="U144" s="598"/>
      <c r="V144" s="598"/>
      <c r="W144" s="598"/>
      <c r="X144" s="598"/>
      <c r="Y144" s="598"/>
      <c r="Z144" s="602"/>
      <c r="AA144" s="602"/>
      <c r="AB144" s="602"/>
      <c r="AC144" s="602"/>
      <c r="AD144" s="602"/>
      <c r="AE144" s="602"/>
      <c r="AF144" s="602"/>
      <c r="AG144" s="635"/>
      <c r="AH144" s="132"/>
      <c r="AI144" s="129"/>
      <c r="AJ144" s="129"/>
      <c r="AK144" s="129"/>
      <c r="AL144" s="129"/>
      <c r="AM144" s="129"/>
      <c r="AN144" s="129"/>
      <c r="AO144" s="129"/>
      <c r="AP144" s="129"/>
      <c r="AQ144" s="129"/>
      <c r="AR144" s="129"/>
      <c r="AS144" s="129"/>
      <c r="AT144" s="129"/>
      <c r="AU144" s="129"/>
      <c r="AV144" s="129"/>
      <c r="AW144" s="145"/>
      <c r="AX144" s="619"/>
      <c r="AY144" s="619"/>
      <c r="AZ144" s="619"/>
      <c r="BA144" s="619"/>
      <c r="BB144" s="619"/>
      <c r="BC144" s="619"/>
      <c r="BD144" s="619"/>
      <c r="BE144" s="619"/>
      <c r="BF144" s="619"/>
      <c r="BG144" s="619"/>
      <c r="BH144" s="619"/>
      <c r="BI144" s="619"/>
      <c r="BJ144" s="619"/>
      <c r="BK144" s="619"/>
      <c r="BL144" s="619"/>
      <c r="BM144" s="619"/>
      <c r="BN144" s="619"/>
      <c r="BO144" s="619"/>
      <c r="BP144" s="619"/>
      <c r="BQ144" s="619"/>
      <c r="BR144" s="619"/>
      <c r="BS144" s="619"/>
      <c r="BT144" s="619"/>
      <c r="BU144" s="619"/>
      <c r="BV144" s="619"/>
      <c r="BW144" s="619"/>
      <c r="BX144" s="619"/>
      <c r="BY144" s="619"/>
      <c r="BZ144" s="619"/>
      <c r="CA144" s="619"/>
      <c r="CB144" s="619"/>
      <c r="CC144" s="619"/>
      <c r="CD144" s="619"/>
      <c r="CE144" s="619"/>
      <c r="CF144" s="619"/>
      <c r="CG144" s="619"/>
      <c r="CH144" s="619"/>
      <c r="CI144" s="619"/>
      <c r="CJ144" s="619"/>
      <c r="CK144" s="619"/>
      <c r="CL144" s="619"/>
      <c r="CM144" s="619"/>
      <c r="CN144" s="619"/>
      <c r="CO144" s="619"/>
      <c r="CP144" s="619"/>
      <c r="CQ144" s="619"/>
      <c r="CR144" s="619"/>
      <c r="CS144" s="619"/>
      <c r="CT144" s="619"/>
      <c r="CU144" s="619"/>
      <c r="CV144" s="619"/>
      <c r="CW144" s="619"/>
      <c r="CX144" s="619"/>
      <c r="CY144" s="619"/>
      <c r="CZ144" s="619"/>
      <c r="DA144" s="619"/>
      <c r="DB144" s="619"/>
      <c r="DC144" s="619"/>
      <c r="DD144" s="619"/>
      <c r="DE144" s="619"/>
      <c r="DF144" s="619"/>
      <c r="DG144" s="619"/>
      <c r="DH144" s="619"/>
      <c r="DI144" s="619"/>
      <c r="DJ144" s="619"/>
      <c r="DK144" s="619"/>
      <c r="DL144" s="619"/>
      <c r="DM144" s="619"/>
      <c r="DN144" s="619"/>
      <c r="DO144" s="619"/>
      <c r="DP144" s="619"/>
      <c r="DQ144" s="639"/>
      <c r="DR144" s="229"/>
    </row>
    <row r="145" spans="1:122" ht="7.5" customHeight="1" x14ac:dyDescent="0.25">
      <c r="A145" s="594"/>
      <c r="B145" s="595"/>
      <c r="C145" s="595"/>
      <c r="D145" s="595"/>
      <c r="E145" s="596"/>
      <c r="G145" s="599"/>
      <c r="H145" s="599"/>
      <c r="I145" s="599"/>
      <c r="J145" s="599"/>
      <c r="K145" s="599"/>
      <c r="L145" s="599"/>
      <c r="M145" s="599"/>
      <c r="N145" s="599"/>
      <c r="O145" s="599"/>
      <c r="P145" s="599"/>
      <c r="Q145" s="599"/>
      <c r="R145" s="599"/>
      <c r="S145" s="599"/>
      <c r="T145" s="599"/>
      <c r="U145" s="599"/>
      <c r="V145" s="599"/>
      <c r="W145" s="599"/>
      <c r="X145" s="599"/>
      <c r="Y145" s="599"/>
      <c r="Z145" s="602"/>
      <c r="AA145" s="602"/>
      <c r="AB145" s="602"/>
      <c r="AC145" s="602"/>
      <c r="AD145" s="602"/>
      <c r="AE145" s="602"/>
      <c r="AF145" s="602"/>
      <c r="AG145" s="636"/>
      <c r="AH145" s="132"/>
      <c r="AI145" s="129"/>
      <c r="AJ145" s="129"/>
      <c r="AK145" s="129"/>
      <c r="AL145" s="129"/>
      <c r="AM145" s="129"/>
      <c r="AN145" s="129"/>
      <c r="AO145" s="129"/>
      <c r="AP145" s="129"/>
      <c r="AQ145" s="129"/>
      <c r="AR145" s="129"/>
      <c r="AS145" s="129"/>
      <c r="AT145" s="129"/>
      <c r="AU145" s="129"/>
      <c r="AV145" s="129"/>
      <c r="AW145" s="146"/>
      <c r="AX145" s="619"/>
      <c r="AY145" s="619"/>
      <c r="AZ145" s="619"/>
      <c r="BA145" s="619"/>
      <c r="BB145" s="619"/>
      <c r="BC145" s="619"/>
      <c r="BD145" s="619"/>
      <c r="BE145" s="619"/>
      <c r="BF145" s="619"/>
      <c r="BG145" s="619"/>
      <c r="BH145" s="619"/>
      <c r="BI145" s="619"/>
      <c r="BJ145" s="619"/>
      <c r="BK145" s="619"/>
      <c r="BL145" s="619"/>
      <c r="BM145" s="619"/>
      <c r="BN145" s="619"/>
      <c r="BO145" s="619"/>
      <c r="BP145" s="619"/>
      <c r="BQ145" s="619"/>
      <c r="BR145" s="619"/>
      <c r="BS145" s="619"/>
      <c r="BT145" s="619"/>
      <c r="BU145" s="619"/>
      <c r="BV145" s="619"/>
      <c r="BW145" s="619"/>
      <c r="BX145" s="619"/>
      <c r="BY145" s="619"/>
      <c r="BZ145" s="619"/>
      <c r="CA145" s="619"/>
      <c r="CB145" s="619"/>
      <c r="CC145" s="619"/>
      <c r="CD145" s="619"/>
      <c r="CE145" s="619"/>
      <c r="CF145" s="619"/>
      <c r="CG145" s="619"/>
      <c r="CH145" s="619"/>
      <c r="CI145" s="619"/>
      <c r="CJ145" s="619"/>
      <c r="CK145" s="619"/>
      <c r="CL145" s="619"/>
      <c r="CM145" s="619"/>
      <c r="CN145" s="619"/>
      <c r="CO145" s="619"/>
      <c r="CP145" s="619"/>
      <c r="CQ145" s="619"/>
      <c r="CR145" s="619"/>
      <c r="CS145" s="619"/>
      <c r="CT145" s="619"/>
      <c r="CU145" s="619"/>
      <c r="CV145" s="619"/>
      <c r="CW145" s="619"/>
      <c r="CX145" s="619"/>
      <c r="CY145" s="619"/>
      <c r="CZ145" s="619"/>
      <c r="DA145" s="619"/>
      <c r="DB145" s="619"/>
      <c r="DC145" s="619"/>
      <c r="DD145" s="619"/>
      <c r="DE145" s="619"/>
      <c r="DF145" s="619"/>
      <c r="DG145" s="619"/>
      <c r="DH145" s="619"/>
      <c r="DI145" s="619"/>
      <c r="DJ145" s="619"/>
      <c r="DK145" s="619"/>
      <c r="DL145" s="619"/>
      <c r="DM145" s="619"/>
      <c r="DN145" s="619"/>
      <c r="DO145" s="619"/>
      <c r="DP145" s="619"/>
      <c r="DQ145" s="640"/>
      <c r="DR145" s="229"/>
    </row>
    <row r="146" spans="1:122" ht="7.5" customHeight="1" x14ac:dyDescent="0.25">
      <c r="A146" s="119"/>
      <c r="B146" s="119"/>
      <c r="C146" s="119"/>
      <c r="D146" s="119"/>
      <c r="E146" s="119"/>
      <c r="F146" s="653" t="str">
        <f>G143</f>
        <v>Stealth</v>
      </c>
      <c r="G146" s="653"/>
      <c r="H146" s="653"/>
      <c r="I146" s="653"/>
      <c r="J146" s="653"/>
      <c r="K146" s="625" t="e">
        <f ca="1">(FLOOR(INDIRECT(SUBSTITUTE(G143," ",""))/5,1)*(FLOOR(INDIRECT(SUBSTITUTE(G143," ",""))/5,1)+1)/2)*50+MOD(INDIRECT(SUBSTITUTE(G143," ","")),5)*CEILING(INDIRECT(SUBSTITUTE(G143," ",""))/5,1)*10-((FLOOR(INDIRECT("Base"&amp;SUBSTITUTE(G143," ",""))/5,1)*(FLOOR(INDIRECT("Base"&amp;SUBSTITUTE(G143," ",""))/5,1)+1)/2)*50+MOD(INDIRECT("Base"&amp;SUBSTITUTE(G143," ","")),5)*CEILING(INDIRECT("Base"&amp;SUBSTITUTE(G143," ",""))/5,1)*10)</f>
        <v>#REF!</v>
      </c>
      <c r="L146" s="625"/>
      <c r="M146" s="625"/>
      <c r="N146" s="626" t="b">
        <f>IF(AH139&lt;&gt;"",VLOOKUP($G143,'Merit Data'!A:BW,MATCH('Merit Data'!$B$3,'Merit Data'!$3:$3,0),0),TRUE)</f>
        <v>1</v>
      </c>
      <c r="O146" s="626"/>
      <c r="P146" s="626"/>
      <c r="Q146" s="140"/>
      <c r="R146" s="140"/>
      <c r="S146" s="140"/>
      <c r="T146" s="140"/>
      <c r="U146" s="140"/>
      <c r="V146" s="238"/>
      <c r="W146" s="238"/>
      <c r="X146" s="627" t="str">
        <f>IF(F146&gt;0,HYPERLINK("http://wiki.project-saros.com/w/"&amp;F146,"Info"),"")</f>
        <v>Info</v>
      </c>
      <c r="Y146" s="628"/>
      <c r="Z146" s="637"/>
      <c r="AA146" s="637"/>
      <c r="AB146" s="637"/>
      <c r="AC146" s="637"/>
      <c r="AD146" s="637"/>
      <c r="AE146" s="637"/>
      <c r="AF146" s="637"/>
      <c r="AG146" s="638"/>
      <c r="AH146" s="148"/>
      <c r="AI146" s="131"/>
      <c r="AJ146" s="131"/>
      <c r="AK146" s="149"/>
      <c r="AL146" s="149"/>
      <c r="AM146" s="149"/>
      <c r="AN146" s="149"/>
      <c r="AO146" s="149"/>
      <c r="AP146" s="149"/>
      <c r="AQ146" s="149"/>
      <c r="AR146" s="149"/>
      <c r="AS146" s="131"/>
      <c r="AT146" s="131"/>
      <c r="AU146" s="131"/>
      <c r="AV146" s="131"/>
      <c r="AW146" s="150"/>
      <c r="AX146" s="641"/>
      <c r="AY146" s="641"/>
      <c r="AZ146" s="641"/>
      <c r="BA146" s="641"/>
      <c r="BB146" s="641"/>
      <c r="BC146" s="641"/>
      <c r="BD146" s="641"/>
      <c r="BE146" s="641"/>
      <c r="BF146" s="641"/>
      <c r="BG146" s="641"/>
      <c r="BH146" s="641"/>
      <c r="BI146" s="641"/>
      <c r="BJ146" s="641"/>
      <c r="BK146" s="641"/>
      <c r="BL146" s="641"/>
      <c r="BM146" s="641"/>
      <c r="BN146" s="641"/>
      <c r="BO146" s="641"/>
      <c r="BP146" s="641"/>
      <c r="BQ146" s="641"/>
      <c r="BR146" s="641"/>
      <c r="BS146" s="641"/>
      <c r="BT146" s="641"/>
      <c r="BU146" s="641"/>
      <c r="BV146" s="641"/>
      <c r="BW146" s="641"/>
      <c r="BX146" s="641"/>
      <c r="BY146" s="641"/>
      <c r="BZ146" s="641"/>
      <c r="CA146" s="641"/>
      <c r="CB146" s="641"/>
      <c r="CC146" s="641"/>
      <c r="CD146" s="641"/>
      <c r="CE146" s="641"/>
      <c r="CF146" s="641"/>
      <c r="CG146" s="641"/>
      <c r="CH146" s="641"/>
      <c r="CI146" s="641"/>
      <c r="CJ146" s="641"/>
      <c r="CK146" s="641"/>
      <c r="CL146" s="641"/>
      <c r="CM146" s="641"/>
      <c r="CN146" s="641"/>
      <c r="CO146" s="641"/>
      <c r="CP146" s="641"/>
      <c r="CQ146" s="641"/>
      <c r="CR146" s="641"/>
      <c r="CS146" s="641"/>
      <c r="CT146" s="641"/>
      <c r="CU146" s="641"/>
      <c r="CV146" s="641"/>
      <c r="CW146" s="641"/>
      <c r="CX146" s="641"/>
      <c r="CY146" s="641"/>
      <c r="CZ146" s="641"/>
      <c r="DA146" s="641"/>
      <c r="DB146" s="641"/>
      <c r="DC146" s="641"/>
      <c r="DD146" s="641"/>
      <c r="DE146" s="641"/>
      <c r="DF146" s="641"/>
      <c r="DG146" s="641"/>
      <c r="DH146" s="641"/>
      <c r="DI146" s="641"/>
      <c r="DJ146" s="641"/>
      <c r="DK146" s="641"/>
      <c r="DL146" s="641"/>
      <c r="DM146" s="641"/>
      <c r="DN146" s="641"/>
      <c r="DO146" s="641"/>
      <c r="DP146" s="641"/>
      <c r="DQ146" s="642"/>
      <c r="DR146" s="229"/>
    </row>
    <row r="147" spans="1:122" ht="7.5" customHeight="1" x14ac:dyDescent="0.25">
      <c r="A147" s="588">
        <v>0</v>
      </c>
      <c r="B147" s="589"/>
      <c r="C147" s="589"/>
      <c r="D147" s="589"/>
      <c r="E147" s="590"/>
      <c r="G147" s="597" t="s">
        <v>282</v>
      </c>
      <c r="H147" s="597"/>
      <c r="I147" s="597"/>
      <c r="J147" s="597"/>
      <c r="K147" s="597"/>
      <c r="L147" s="597"/>
      <c r="M147" s="597"/>
      <c r="N147" s="597"/>
      <c r="O147" s="597"/>
      <c r="P147" s="597"/>
      <c r="Q147" s="597"/>
      <c r="R147" s="597"/>
      <c r="S147" s="597"/>
      <c r="T147" s="597"/>
      <c r="U147" s="597"/>
      <c r="V147" s="597"/>
      <c r="W147" s="597"/>
      <c r="X147" s="597"/>
      <c r="Y147" s="597"/>
      <c r="Z147" s="600" t="e">
        <f ca="1">FLOOR(INDIRECT(SUBSTITUTE(G147," ",""))/5+1,1)*10</f>
        <v>#REF!</v>
      </c>
      <c r="AA147" s="600"/>
      <c r="AB147" s="600"/>
      <c r="AC147" s="600"/>
      <c r="AD147" s="600"/>
      <c r="AE147" s="600"/>
      <c r="AF147" s="600"/>
      <c r="AG147" s="601"/>
      <c r="AH147" s="142"/>
      <c r="AI147" s="143"/>
      <c r="AJ147" s="143"/>
      <c r="AK147" s="143"/>
      <c r="AL147" s="143"/>
      <c r="AM147" s="143"/>
      <c r="AN147" s="143"/>
      <c r="AO147" s="143"/>
      <c r="AP147" s="143"/>
      <c r="AQ147" s="143"/>
      <c r="AR147" s="143"/>
      <c r="AS147" s="143"/>
      <c r="AT147" s="143"/>
      <c r="AU147" s="143"/>
      <c r="AV147" s="143"/>
      <c r="AW147" s="144"/>
      <c r="AX147" s="616" t="e">
        <f ca="1">"Further increases your "&amp;G147&amp;" skill from "&amp;INDIRECT(SUBSTITUTE(G147," ",""))&amp;" to "&amp;INDIRECT(SUBSTITUTE(G147," ",""))+1</f>
        <v>#REF!</v>
      </c>
      <c r="AY147" s="616"/>
      <c r="AZ147" s="616"/>
      <c r="BA147" s="616"/>
      <c r="BB147" s="616"/>
      <c r="BC147" s="616"/>
      <c r="BD147" s="616"/>
      <c r="BE147" s="616"/>
      <c r="BF147" s="616"/>
      <c r="BG147" s="616"/>
      <c r="BH147" s="616"/>
      <c r="BI147" s="616"/>
      <c r="BJ147" s="616"/>
      <c r="BK147" s="616"/>
      <c r="BL147" s="616"/>
      <c r="BM147" s="616"/>
      <c r="BN147" s="616"/>
      <c r="BO147" s="616"/>
      <c r="BP147" s="616"/>
      <c r="BQ147" s="616"/>
      <c r="BR147" s="616"/>
      <c r="BS147" s="616"/>
      <c r="BT147" s="616"/>
      <c r="BU147" s="616"/>
      <c r="BV147" s="616"/>
      <c r="BW147" s="616"/>
      <c r="BX147" s="616"/>
      <c r="BY147" s="616"/>
      <c r="BZ147" s="616"/>
      <c r="CA147" s="616"/>
      <c r="CB147" s="616"/>
      <c r="CC147" s="616"/>
      <c r="CD147" s="616"/>
      <c r="CE147" s="616"/>
      <c r="CF147" s="616"/>
      <c r="CG147" s="616"/>
      <c r="CH147" s="616"/>
      <c r="CI147" s="616"/>
      <c r="CJ147" s="616"/>
      <c r="CK147" s="616"/>
      <c r="CL147" s="616"/>
      <c r="CM147" s="616"/>
      <c r="CN147" s="616"/>
      <c r="CO147" s="616"/>
      <c r="CP147" s="616"/>
      <c r="CQ147" s="616"/>
      <c r="CR147" s="616"/>
      <c r="CS147" s="616"/>
      <c r="CT147" s="616"/>
      <c r="CU147" s="616"/>
      <c r="CV147" s="616"/>
      <c r="CW147" s="616"/>
      <c r="CX147" s="616"/>
      <c r="CY147" s="616"/>
      <c r="CZ147" s="616"/>
      <c r="DA147" s="616"/>
      <c r="DB147" s="616"/>
      <c r="DC147" s="616"/>
      <c r="DD147" s="616"/>
      <c r="DE147" s="616"/>
      <c r="DF147" s="616"/>
      <c r="DG147" s="616"/>
      <c r="DH147" s="616"/>
      <c r="DI147" s="616"/>
      <c r="DJ147" s="616"/>
      <c r="DK147" s="616"/>
      <c r="DL147" s="616"/>
      <c r="DM147" s="616"/>
      <c r="DN147" s="616"/>
      <c r="DO147" s="616"/>
      <c r="DP147" s="616"/>
      <c r="DQ147" s="617"/>
      <c r="DR147" s="229"/>
    </row>
    <row r="148" spans="1:122" ht="7.5" customHeight="1" x14ac:dyDescent="0.25">
      <c r="A148" s="591"/>
      <c r="B148" s="592"/>
      <c r="C148" s="592"/>
      <c r="D148" s="592"/>
      <c r="E148" s="593"/>
      <c r="F148" s="145"/>
      <c r="G148" s="598"/>
      <c r="H148" s="598"/>
      <c r="I148" s="598"/>
      <c r="J148" s="598"/>
      <c r="K148" s="598"/>
      <c r="L148" s="598"/>
      <c r="M148" s="598"/>
      <c r="N148" s="598"/>
      <c r="O148" s="598"/>
      <c r="P148" s="598"/>
      <c r="Q148" s="598"/>
      <c r="R148" s="598"/>
      <c r="S148" s="598"/>
      <c r="T148" s="598"/>
      <c r="U148" s="598"/>
      <c r="V148" s="598"/>
      <c r="W148" s="598"/>
      <c r="X148" s="598"/>
      <c r="Y148" s="598"/>
      <c r="Z148" s="602"/>
      <c r="AA148" s="602"/>
      <c r="AB148" s="602"/>
      <c r="AC148" s="602"/>
      <c r="AD148" s="602"/>
      <c r="AE148" s="602"/>
      <c r="AF148" s="602"/>
      <c r="AG148" s="635"/>
      <c r="AH148" s="132"/>
      <c r="AI148" s="129"/>
      <c r="AJ148" s="129"/>
      <c r="AK148" s="129"/>
      <c r="AL148" s="129"/>
      <c r="AM148" s="129"/>
      <c r="AN148" s="129"/>
      <c r="AO148" s="129"/>
      <c r="AP148" s="129"/>
      <c r="AQ148" s="129"/>
      <c r="AR148" s="129"/>
      <c r="AS148" s="129"/>
      <c r="AT148" s="129"/>
      <c r="AU148" s="129"/>
      <c r="AV148" s="129"/>
      <c r="AW148" s="145"/>
      <c r="AX148" s="619"/>
      <c r="AY148" s="619"/>
      <c r="AZ148" s="619"/>
      <c r="BA148" s="619"/>
      <c r="BB148" s="619"/>
      <c r="BC148" s="619"/>
      <c r="BD148" s="619"/>
      <c r="BE148" s="619"/>
      <c r="BF148" s="619"/>
      <c r="BG148" s="619"/>
      <c r="BH148" s="619"/>
      <c r="BI148" s="619"/>
      <c r="BJ148" s="619"/>
      <c r="BK148" s="619"/>
      <c r="BL148" s="619"/>
      <c r="BM148" s="619"/>
      <c r="BN148" s="619"/>
      <c r="BO148" s="619"/>
      <c r="BP148" s="619"/>
      <c r="BQ148" s="619"/>
      <c r="BR148" s="619"/>
      <c r="BS148" s="619"/>
      <c r="BT148" s="619"/>
      <c r="BU148" s="619"/>
      <c r="BV148" s="619"/>
      <c r="BW148" s="619"/>
      <c r="BX148" s="619"/>
      <c r="BY148" s="619"/>
      <c r="BZ148" s="619"/>
      <c r="CA148" s="619"/>
      <c r="CB148" s="619"/>
      <c r="CC148" s="619"/>
      <c r="CD148" s="619"/>
      <c r="CE148" s="619"/>
      <c r="CF148" s="619"/>
      <c r="CG148" s="619"/>
      <c r="CH148" s="619"/>
      <c r="CI148" s="619"/>
      <c r="CJ148" s="619"/>
      <c r="CK148" s="619"/>
      <c r="CL148" s="619"/>
      <c r="CM148" s="619"/>
      <c r="CN148" s="619"/>
      <c r="CO148" s="619"/>
      <c r="CP148" s="619"/>
      <c r="CQ148" s="619"/>
      <c r="CR148" s="619"/>
      <c r="CS148" s="619"/>
      <c r="CT148" s="619"/>
      <c r="CU148" s="619"/>
      <c r="CV148" s="619"/>
      <c r="CW148" s="619"/>
      <c r="CX148" s="619"/>
      <c r="CY148" s="619"/>
      <c r="CZ148" s="619"/>
      <c r="DA148" s="619"/>
      <c r="DB148" s="619"/>
      <c r="DC148" s="619"/>
      <c r="DD148" s="619"/>
      <c r="DE148" s="619"/>
      <c r="DF148" s="619"/>
      <c r="DG148" s="619"/>
      <c r="DH148" s="619"/>
      <c r="DI148" s="619"/>
      <c r="DJ148" s="619"/>
      <c r="DK148" s="619"/>
      <c r="DL148" s="619"/>
      <c r="DM148" s="619"/>
      <c r="DN148" s="619"/>
      <c r="DO148" s="619"/>
      <c r="DP148" s="619"/>
      <c r="DQ148" s="639"/>
      <c r="DR148" s="229"/>
    </row>
    <row r="149" spans="1:122" ht="7.5" customHeight="1" x14ac:dyDescent="0.25">
      <c r="A149" s="594"/>
      <c r="B149" s="595"/>
      <c r="C149" s="595"/>
      <c r="D149" s="595"/>
      <c r="E149" s="596"/>
      <c r="G149" s="599"/>
      <c r="H149" s="599"/>
      <c r="I149" s="599"/>
      <c r="J149" s="599"/>
      <c r="K149" s="599"/>
      <c r="L149" s="599"/>
      <c r="M149" s="599"/>
      <c r="N149" s="599"/>
      <c r="O149" s="599"/>
      <c r="P149" s="599"/>
      <c r="Q149" s="599"/>
      <c r="R149" s="599"/>
      <c r="S149" s="599"/>
      <c r="T149" s="599"/>
      <c r="U149" s="599"/>
      <c r="V149" s="599"/>
      <c r="W149" s="599"/>
      <c r="X149" s="599"/>
      <c r="Y149" s="599"/>
      <c r="Z149" s="602"/>
      <c r="AA149" s="602"/>
      <c r="AB149" s="602"/>
      <c r="AC149" s="602"/>
      <c r="AD149" s="602"/>
      <c r="AE149" s="602"/>
      <c r="AF149" s="602"/>
      <c r="AG149" s="636"/>
      <c r="AH149" s="132"/>
      <c r="AI149" s="129"/>
      <c r="AJ149" s="129"/>
      <c r="AK149" s="129"/>
      <c r="AL149" s="129"/>
      <c r="AM149" s="129"/>
      <c r="AN149" s="129"/>
      <c r="AO149" s="129"/>
      <c r="AP149" s="129"/>
      <c r="AQ149" s="129"/>
      <c r="AR149" s="129"/>
      <c r="AS149" s="129"/>
      <c r="AT149" s="129"/>
      <c r="AU149" s="129"/>
      <c r="AV149" s="129"/>
      <c r="AW149" s="146"/>
      <c r="AX149" s="619"/>
      <c r="AY149" s="619"/>
      <c r="AZ149" s="619"/>
      <c r="BA149" s="619"/>
      <c r="BB149" s="619"/>
      <c r="BC149" s="619"/>
      <c r="BD149" s="619"/>
      <c r="BE149" s="619"/>
      <c r="BF149" s="619"/>
      <c r="BG149" s="619"/>
      <c r="BH149" s="619"/>
      <c r="BI149" s="619"/>
      <c r="BJ149" s="619"/>
      <c r="BK149" s="619"/>
      <c r="BL149" s="619"/>
      <c r="BM149" s="619"/>
      <c r="BN149" s="619"/>
      <c r="BO149" s="619"/>
      <c r="BP149" s="619"/>
      <c r="BQ149" s="619"/>
      <c r="BR149" s="619"/>
      <c r="BS149" s="619"/>
      <c r="BT149" s="619"/>
      <c r="BU149" s="619"/>
      <c r="BV149" s="619"/>
      <c r="BW149" s="619"/>
      <c r="BX149" s="619"/>
      <c r="BY149" s="619"/>
      <c r="BZ149" s="619"/>
      <c r="CA149" s="619"/>
      <c r="CB149" s="619"/>
      <c r="CC149" s="619"/>
      <c r="CD149" s="619"/>
      <c r="CE149" s="619"/>
      <c r="CF149" s="619"/>
      <c r="CG149" s="619"/>
      <c r="CH149" s="619"/>
      <c r="CI149" s="619"/>
      <c r="CJ149" s="619"/>
      <c r="CK149" s="619"/>
      <c r="CL149" s="619"/>
      <c r="CM149" s="619"/>
      <c r="CN149" s="619"/>
      <c r="CO149" s="619"/>
      <c r="CP149" s="619"/>
      <c r="CQ149" s="619"/>
      <c r="CR149" s="619"/>
      <c r="CS149" s="619"/>
      <c r="CT149" s="619"/>
      <c r="CU149" s="619"/>
      <c r="CV149" s="619"/>
      <c r="CW149" s="619"/>
      <c r="CX149" s="619"/>
      <c r="CY149" s="619"/>
      <c r="CZ149" s="619"/>
      <c r="DA149" s="619"/>
      <c r="DB149" s="619"/>
      <c r="DC149" s="619"/>
      <c r="DD149" s="619"/>
      <c r="DE149" s="619"/>
      <c r="DF149" s="619"/>
      <c r="DG149" s="619"/>
      <c r="DH149" s="619"/>
      <c r="DI149" s="619"/>
      <c r="DJ149" s="619"/>
      <c r="DK149" s="619"/>
      <c r="DL149" s="619"/>
      <c r="DM149" s="619"/>
      <c r="DN149" s="619"/>
      <c r="DO149" s="619"/>
      <c r="DP149" s="619"/>
      <c r="DQ149" s="640"/>
      <c r="DR149" s="229"/>
    </row>
    <row r="150" spans="1:122" ht="7.5" customHeight="1" x14ac:dyDescent="0.25">
      <c r="A150" s="119"/>
      <c r="B150" s="119"/>
      <c r="C150" s="119"/>
      <c r="D150" s="119"/>
      <c r="E150" s="119"/>
      <c r="F150" s="653" t="str">
        <f>G147</f>
        <v>Streetwise</v>
      </c>
      <c r="G150" s="653"/>
      <c r="H150" s="653"/>
      <c r="I150" s="653"/>
      <c r="J150" s="653"/>
      <c r="K150" s="625" t="e">
        <f ca="1">(FLOOR(INDIRECT(SUBSTITUTE(G147," ",""))/5,1)*(FLOOR(INDIRECT(SUBSTITUTE(G147," ",""))/5,1)+1)/2)*50+MOD(INDIRECT(SUBSTITUTE(G147," ","")),5)*CEILING(INDIRECT(SUBSTITUTE(G147," ",""))/5,1)*10-((FLOOR(INDIRECT("Base"&amp;SUBSTITUTE(G147," ",""))/5,1)*(FLOOR(INDIRECT("Base"&amp;SUBSTITUTE(G147," ",""))/5,1)+1)/2)*50+MOD(INDIRECT("Base"&amp;SUBSTITUTE(G147," ","")),5)*CEILING(INDIRECT("Base"&amp;SUBSTITUTE(G147," ",""))/5,1)*10)</f>
        <v>#REF!</v>
      </c>
      <c r="L150" s="625"/>
      <c r="M150" s="625"/>
      <c r="N150" s="626" t="b">
        <f>IF(AH143&lt;&gt;"",VLOOKUP($G147,'Merit Data'!A:BW,MATCH('Merit Data'!$B$3,'Merit Data'!$3:$3,0),0),TRUE)</f>
        <v>1</v>
      </c>
      <c r="O150" s="626"/>
      <c r="P150" s="626"/>
      <c r="Q150" s="140"/>
      <c r="R150" s="140"/>
      <c r="S150" s="140"/>
      <c r="T150" s="140"/>
      <c r="U150" s="140"/>
      <c r="V150" s="238"/>
      <c r="W150" s="238"/>
      <c r="X150" s="627" t="str">
        <f>IF(F150&gt;0,HYPERLINK("http://wiki.project-saros.com/w/"&amp;F150,"Info"),"")</f>
        <v>Info</v>
      </c>
      <c r="Y150" s="628"/>
      <c r="Z150" s="637"/>
      <c r="AA150" s="637"/>
      <c r="AB150" s="637"/>
      <c r="AC150" s="637"/>
      <c r="AD150" s="637"/>
      <c r="AE150" s="637"/>
      <c r="AF150" s="637"/>
      <c r="AG150" s="638"/>
      <c r="AH150" s="148"/>
      <c r="AI150" s="131"/>
      <c r="AJ150" s="131"/>
      <c r="AK150" s="149"/>
      <c r="AL150" s="149"/>
      <c r="AM150" s="149"/>
      <c r="AN150" s="149"/>
      <c r="AO150" s="149"/>
      <c r="AP150" s="149"/>
      <c r="AQ150" s="149"/>
      <c r="AR150" s="149"/>
      <c r="AS150" s="131"/>
      <c r="AT150" s="131"/>
      <c r="AU150" s="131"/>
      <c r="AV150" s="131"/>
      <c r="AW150" s="150"/>
      <c r="AX150" s="641"/>
      <c r="AY150" s="641"/>
      <c r="AZ150" s="641"/>
      <c r="BA150" s="641"/>
      <c r="BB150" s="641"/>
      <c r="BC150" s="641"/>
      <c r="BD150" s="641"/>
      <c r="BE150" s="641"/>
      <c r="BF150" s="641"/>
      <c r="BG150" s="641"/>
      <c r="BH150" s="641"/>
      <c r="BI150" s="641"/>
      <c r="BJ150" s="641"/>
      <c r="BK150" s="641"/>
      <c r="BL150" s="641"/>
      <c r="BM150" s="641"/>
      <c r="BN150" s="641"/>
      <c r="BO150" s="641"/>
      <c r="BP150" s="641"/>
      <c r="BQ150" s="641"/>
      <c r="BR150" s="641"/>
      <c r="BS150" s="641"/>
      <c r="BT150" s="641"/>
      <c r="BU150" s="641"/>
      <c r="BV150" s="641"/>
      <c r="BW150" s="641"/>
      <c r="BX150" s="641"/>
      <c r="BY150" s="641"/>
      <c r="BZ150" s="641"/>
      <c r="CA150" s="641"/>
      <c r="CB150" s="641"/>
      <c r="CC150" s="641"/>
      <c r="CD150" s="641"/>
      <c r="CE150" s="641"/>
      <c r="CF150" s="641"/>
      <c r="CG150" s="641"/>
      <c r="CH150" s="641"/>
      <c r="CI150" s="641"/>
      <c r="CJ150" s="641"/>
      <c r="CK150" s="641"/>
      <c r="CL150" s="641"/>
      <c r="CM150" s="641"/>
      <c r="CN150" s="641"/>
      <c r="CO150" s="641"/>
      <c r="CP150" s="641"/>
      <c r="CQ150" s="641"/>
      <c r="CR150" s="641"/>
      <c r="CS150" s="641"/>
      <c r="CT150" s="641"/>
      <c r="CU150" s="641"/>
      <c r="CV150" s="641"/>
      <c r="CW150" s="641"/>
      <c r="CX150" s="641"/>
      <c r="CY150" s="641"/>
      <c r="CZ150" s="641"/>
      <c r="DA150" s="641"/>
      <c r="DB150" s="641"/>
      <c r="DC150" s="641"/>
      <c r="DD150" s="641"/>
      <c r="DE150" s="641"/>
      <c r="DF150" s="641"/>
      <c r="DG150" s="641"/>
      <c r="DH150" s="641"/>
      <c r="DI150" s="641"/>
      <c r="DJ150" s="641"/>
      <c r="DK150" s="641"/>
      <c r="DL150" s="641"/>
      <c r="DM150" s="641"/>
      <c r="DN150" s="641"/>
      <c r="DO150" s="641"/>
      <c r="DP150" s="641"/>
      <c r="DQ150" s="642"/>
      <c r="DR150" s="229"/>
    </row>
    <row r="151" spans="1:122" ht="7.5" customHeight="1" x14ac:dyDescent="0.25">
      <c r="A151" s="588">
        <v>0</v>
      </c>
      <c r="B151" s="589"/>
      <c r="C151" s="589"/>
      <c r="D151" s="589"/>
      <c r="E151" s="590"/>
      <c r="F151" s="129"/>
      <c r="G151" s="597" t="s">
        <v>283</v>
      </c>
      <c r="H151" s="597"/>
      <c r="I151" s="597"/>
      <c r="J151" s="597"/>
      <c r="K151" s="597"/>
      <c r="L151" s="597"/>
      <c r="M151" s="597"/>
      <c r="N151" s="597"/>
      <c r="O151" s="597"/>
      <c r="P151" s="597"/>
      <c r="Q151" s="597"/>
      <c r="R151" s="597"/>
      <c r="S151" s="597"/>
      <c r="T151" s="597"/>
      <c r="U151" s="597"/>
      <c r="V151" s="597"/>
      <c r="W151" s="597"/>
      <c r="X151" s="597"/>
      <c r="Y151" s="597"/>
      <c r="Z151" s="600" t="e">
        <f ca="1">FLOOR(INDIRECT(SUBSTITUTE(G151," ",""))/5+1,1)*10</f>
        <v>#REF!</v>
      </c>
      <c r="AA151" s="600"/>
      <c r="AB151" s="600"/>
      <c r="AC151" s="600"/>
      <c r="AD151" s="600"/>
      <c r="AE151" s="600"/>
      <c r="AF151" s="600"/>
      <c r="AG151" s="601"/>
      <c r="AH151" s="643"/>
      <c r="AI151" s="644"/>
      <c r="AJ151" s="644"/>
      <c r="AK151" s="644"/>
      <c r="AL151" s="644"/>
      <c r="AM151" s="644"/>
      <c r="AN151" s="644"/>
      <c r="AO151" s="644"/>
      <c r="AP151" s="644"/>
      <c r="AQ151" s="644"/>
      <c r="AR151" s="644"/>
      <c r="AS151" s="644"/>
      <c r="AT151" s="644"/>
      <c r="AU151" s="644"/>
      <c r="AV151" s="644"/>
      <c r="AW151" s="645"/>
      <c r="AX151" s="616" t="e">
        <f ca="1">"Further increases your "&amp;G151&amp;" skill from "&amp;INDIRECT(SUBSTITUTE(G151," ",""))&amp;" to "&amp;INDIRECT(SUBSTITUTE(G151," ",""))+1</f>
        <v>#REF!</v>
      </c>
      <c r="AY151" s="616"/>
      <c r="AZ151" s="616"/>
      <c r="BA151" s="616"/>
      <c r="BB151" s="616"/>
      <c r="BC151" s="616"/>
      <c r="BD151" s="616"/>
      <c r="BE151" s="616"/>
      <c r="BF151" s="616"/>
      <c r="BG151" s="616"/>
      <c r="BH151" s="616"/>
      <c r="BI151" s="616"/>
      <c r="BJ151" s="616"/>
      <c r="BK151" s="616"/>
      <c r="BL151" s="616"/>
      <c r="BM151" s="616"/>
      <c r="BN151" s="616"/>
      <c r="BO151" s="616"/>
      <c r="BP151" s="616"/>
      <c r="BQ151" s="616"/>
      <c r="BR151" s="616"/>
      <c r="BS151" s="616"/>
      <c r="BT151" s="616"/>
      <c r="BU151" s="616"/>
      <c r="BV151" s="616"/>
      <c r="BW151" s="616"/>
      <c r="BX151" s="616"/>
      <c r="BY151" s="616"/>
      <c r="BZ151" s="616"/>
      <c r="CA151" s="616"/>
      <c r="CB151" s="616"/>
      <c r="CC151" s="616"/>
      <c r="CD151" s="616"/>
      <c r="CE151" s="616"/>
      <c r="CF151" s="616"/>
      <c r="CG151" s="616"/>
      <c r="CH151" s="616"/>
      <c r="CI151" s="616"/>
      <c r="CJ151" s="616"/>
      <c r="CK151" s="616"/>
      <c r="CL151" s="616"/>
      <c r="CM151" s="616"/>
      <c r="CN151" s="616"/>
      <c r="CO151" s="616"/>
      <c r="CP151" s="616"/>
      <c r="CQ151" s="616"/>
      <c r="CR151" s="616"/>
      <c r="CS151" s="616"/>
      <c r="CT151" s="616"/>
      <c r="CU151" s="616"/>
      <c r="CV151" s="616"/>
      <c r="CW151" s="616"/>
      <c r="CX151" s="616"/>
      <c r="CY151" s="616"/>
      <c r="CZ151" s="616"/>
      <c r="DA151" s="616"/>
      <c r="DB151" s="616"/>
      <c r="DC151" s="616"/>
      <c r="DD151" s="616"/>
      <c r="DE151" s="616"/>
      <c r="DF151" s="616"/>
      <c r="DG151" s="616"/>
      <c r="DH151" s="616"/>
      <c r="DI151" s="616"/>
      <c r="DJ151" s="616"/>
      <c r="DK151" s="616"/>
      <c r="DL151" s="616"/>
      <c r="DM151" s="616"/>
      <c r="DN151" s="616"/>
      <c r="DO151" s="616"/>
      <c r="DP151" s="616"/>
      <c r="DQ151" s="617"/>
      <c r="DR151" s="229"/>
    </row>
    <row r="152" spans="1:122" ht="7.5" customHeight="1" x14ac:dyDescent="0.25">
      <c r="A152" s="591"/>
      <c r="B152" s="592"/>
      <c r="C152" s="592"/>
      <c r="D152" s="592"/>
      <c r="E152" s="593"/>
      <c r="F152" s="129"/>
      <c r="G152" s="598"/>
      <c r="H152" s="598"/>
      <c r="I152" s="598"/>
      <c r="J152" s="598"/>
      <c r="K152" s="598"/>
      <c r="L152" s="598"/>
      <c r="M152" s="598"/>
      <c r="N152" s="598"/>
      <c r="O152" s="598"/>
      <c r="P152" s="598"/>
      <c r="Q152" s="598"/>
      <c r="R152" s="598"/>
      <c r="S152" s="598"/>
      <c r="T152" s="598"/>
      <c r="U152" s="598"/>
      <c r="V152" s="598"/>
      <c r="W152" s="598"/>
      <c r="X152" s="598"/>
      <c r="Y152" s="598"/>
      <c r="Z152" s="602"/>
      <c r="AA152" s="602"/>
      <c r="AB152" s="602"/>
      <c r="AC152" s="602"/>
      <c r="AD152" s="602"/>
      <c r="AE152" s="602"/>
      <c r="AF152" s="602"/>
      <c r="AG152" s="635"/>
      <c r="AH152" s="646"/>
      <c r="AI152" s="449"/>
      <c r="AJ152" s="449"/>
      <c r="AK152" s="449"/>
      <c r="AL152" s="449"/>
      <c r="AM152" s="449"/>
      <c r="AN152" s="449"/>
      <c r="AO152" s="449"/>
      <c r="AP152" s="449"/>
      <c r="AQ152" s="449"/>
      <c r="AR152" s="449"/>
      <c r="AS152" s="449"/>
      <c r="AT152" s="449"/>
      <c r="AU152" s="449"/>
      <c r="AV152" s="449"/>
      <c r="AW152" s="647"/>
      <c r="AX152" s="619"/>
      <c r="AY152" s="619"/>
      <c r="AZ152" s="619"/>
      <c r="BA152" s="619"/>
      <c r="BB152" s="619"/>
      <c r="BC152" s="619"/>
      <c r="BD152" s="619"/>
      <c r="BE152" s="619"/>
      <c r="BF152" s="619"/>
      <c r="BG152" s="619"/>
      <c r="BH152" s="619"/>
      <c r="BI152" s="619"/>
      <c r="BJ152" s="619"/>
      <c r="BK152" s="619"/>
      <c r="BL152" s="619"/>
      <c r="BM152" s="619"/>
      <c r="BN152" s="619"/>
      <c r="BO152" s="619"/>
      <c r="BP152" s="619"/>
      <c r="BQ152" s="619"/>
      <c r="BR152" s="619"/>
      <c r="BS152" s="619"/>
      <c r="BT152" s="619"/>
      <c r="BU152" s="619"/>
      <c r="BV152" s="619"/>
      <c r="BW152" s="619"/>
      <c r="BX152" s="619"/>
      <c r="BY152" s="619"/>
      <c r="BZ152" s="619"/>
      <c r="CA152" s="619"/>
      <c r="CB152" s="619"/>
      <c r="CC152" s="619"/>
      <c r="CD152" s="619"/>
      <c r="CE152" s="619"/>
      <c r="CF152" s="619"/>
      <c r="CG152" s="619"/>
      <c r="CH152" s="619"/>
      <c r="CI152" s="619"/>
      <c r="CJ152" s="619"/>
      <c r="CK152" s="619"/>
      <c r="CL152" s="619"/>
      <c r="CM152" s="619"/>
      <c r="CN152" s="619"/>
      <c r="CO152" s="619"/>
      <c r="CP152" s="619"/>
      <c r="CQ152" s="619"/>
      <c r="CR152" s="619"/>
      <c r="CS152" s="619"/>
      <c r="CT152" s="619"/>
      <c r="CU152" s="619"/>
      <c r="CV152" s="619"/>
      <c r="CW152" s="619"/>
      <c r="CX152" s="619"/>
      <c r="CY152" s="619"/>
      <c r="CZ152" s="619"/>
      <c r="DA152" s="619"/>
      <c r="DB152" s="619"/>
      <c r="DC152" s="619"/>
      <c r="DD152" s="619"/>
      <c r="DE152" s="619"/>
      <c r="DF152" s="619"/>
      <c r="DG152" s="619"/>
      <c r="DH152" s="619"/>
      <c r="DI152" s="619"/>
      <c r="DJ152" s="619"/>
      <c r="DK152" s="619"/>
      <c r="DL152" s="619"/>
      <c r="DM152" s="619"/>
      <c r="DN152" s="619"/>
      <c r="DO152" s="619"/>
      <c r="DP152" s="619"/>
      <c r="DQ152" s="639"/>
      <c r="DR152" s="229"/>
    </row>
    <row r="153" spans="1:122" ht="7.5" customHeight="1" x14ac:dyDescent="0.25">
      <c r="A153" s="594"/>
      <c r="B153" s="595"/>
      <c r="C153" s="595"/>
      <c r="D153" s="595"/>
      <c r="E153" s="596"/>
      <c r="F153" s="129"/>
      <c r="G153" s="599"/>
      <c r="H153" s="599"/>
      <c r="I153" s="599"/>
      <c r="J153" s="599"/>
      <c r="K153" s="599"/>
      <c r="L153" s="599"/>
      <c r="M153" s="599"/>
      <c r="N153" s="599"/>
      <c r="O153" s="599"/>
      <c r="P153" s="599"/>
      <c r="Q153" s="599"/>
      <c r="R153" s="599"/>
      <c r="S153" s="599"/>
      <c r="T153" s="599"/>
      <c r="U153" s="599"/>
      <c r="V153" s="599"/>
      <c r="W153" s="599"/>
      <c r="X153" s="599"/>
      <c r="Y153" s="599"/>
      <c r="Z153" s="602"/>
      <c r="AA153" s="602"/>
      <c r="AB153" s="602"/>
      <c r="AC153" s="602"/>
      <c r="AD153" s="602"/>
      <c r="AE153" s="602"/>
      <c r="AF153" s="602"/>
      <c r="AG153" s="636"/>
      <c r="AH153" s="646"/>
      <c r="AI153" s="449"/>
      <c r="AJ153" s="449"/>
      <c r="AK153" s="449"/>
      <c r="AL153" s="449"/>
      <c r="AM153" s="449"/>
      <c r="AN153" s="449"/>
      <c r="AO153" s="449"/>
      <c r="AP153" s="449"/>
      <c r="AQ153" s="449"/>
      <c r="AR153" s="449"/>
      <c r="AS153" s="449"/>
      <c r="AT153" s="449"/>
      <c r="AU153" s="449"/>
      <c r="AV153" s="449"/>
      <c r="AW153" s="648"/>
      <c r="AX153" s="619"/>
      <c r="AY153" s="619"/>
      <c r="AZ153" s="619"/>
      <c r="BA153" s="619"/>
      <c r="BB153" s="619"/>
      <c r="BC153" s="619"/>
      <c r="BD153" s="619"/>
      <c r="BE153" s="619"/>
      <c r="BF153" s="619"/>
      <c r="BG153" s="619"/>
      <c r="BH153" s="619"/>
      <c r="BI153" s="619"/>
      <c r="BJ153" s="619"/>
      <c r="BK153" s="619"/>
      <c r="BL153" s="619"/>
      <c r="BM153" s="619"/>
      <c r="BN153" s="619"/>
      <c r="BO153" s="619"/>
      <c r="BP153" s="619"/>
      <c r="BQ153" s="619"/>
      <c r="BR153" s="619"/>
      <c r="BS153" s="619"/>
      <c r="BT153" s="619"/>
      <c r="BU153" s="619"/>
      <c r="BV153" s="619"/>
      <c r="BW153" s="619"/>
      <c r="BX153" s="619"/>
      <c r="BY153" s="619"/>
      <c r="BZ153" s="619"/>
      <c r="CA153" s="619"/>
      <c r="CB153" s="619"/>
      <c r="CC153" s="619"/>
      <c r="CD153" s="619"/>
      <c r="CE153" s="619"/>
      <c r="CF153" s="619"/>
      <c r="CG153" s="619"/>
      <c r="CH153" s="619"/>
      <c r="CI153" s="619"/>
      <c r="CJ153" s="619"/>
      <c r="CK153" s="619"/>
      <c r="CL153" s="619"/>
      <c r="CM153" s="619"/>
      <c r="CN153" s="619"/>
      <c r="CO153" s="619"/>
      <c r="CP153" s="619"/>
      <c r="CQ153" s="619"/>
      <c r="CR153" s="619"/>
      <c r="CS153" s="619"/>
      <c r="CT153" s="619"/>
      <c r="CU153" s="619"/>
      <c r="CV153" s="619"/>
      <c r="CW153" s="619"/>
      <c r="CX153" s="619"/>
      <c r="CY153" s="619"/>
      <c r="CZ153" s="619"/>
      <c r="DA153" s="619"/>
      <c r="DB153" s="619"/>
      <c r="DC153" s="619"/>
      <c r="DD153" s="619"/>
      <c r="DE153" s="619"/>
      <c r="DF153" s="619"/>
      <c r="DG153" s="619"/>
      <c r="DH153" s="619"/>
      <c r="DI153" s="619"/>
      <c r="DJ153" s="619"/>
      <c r="DK153" s="619"/>
      <c r="DL153" s="619"/>
      <c r="DM153" s="619"/>
      <c r="DN153" s="619"/>
      <c r="DO153" s="619"/>
      <c r="DP153" s="619"/>
      <c r="DQ153" s="640"/>
      <c r="DR153" s="229"/>
    </row>
    <row r="154" spans="1:122" ht="7.5" customHeight="1" x14ac:dyDescent="0.25">
      <c r="A154" s="119"/>
      <c r="B154" s="119"/>
      <c r="C154" s="119"/>
      <c r="D154" s="119"/>
      <c r="E154" s="119"/>
      <c r="F154" s="653" t="str">
        <f>G151</f>
        <v>Subterfuge</v>
      </c>
      <c r="G154" s="653"/>
      <c r="H154" s="653"/>
      <c r="I154" s="653"/>
      <c r="J154" s="653"/>
      <c r="K154" s="625" t="e">
        <f ca="1">(FLOOR(INDIRECT(SUBSTITUTE(G151," ",""))/5,1)*(FLOOR(INDIRECT(SUBSTITUTE(G151," ",""))/5,1)+1)/2)*50+MOD(INDIRECT(SUBSTITUTE(G151," ","")),5)*CEILING(INDIRECT(SUBSTITUTE(G151," ",""))/5,1)*10-((FLOOR(INDIRECT("Base"&amp;SUBSTITUTE(G151," ",""))/5,1)*(FLOOR(INDIRECT("Base"&amp;SUBSTITUTE(G151," ",""))/5,1)+1)/2)*50+MOD(INDIRECT("Base"&amp;SUBSTITUTE(G151," ","")),5)*CEILING(INDIRECT("Base"&amp;SUBSTITUTE(G151," ",""))/5,1)*10)</f>
        <v>#REF!</v>
      </c>
      <c r="L154" s="625"/>
      <c r="M154" s="625"/>
      <c r="N154" s="626" t="b">
        <f>IF(AH147&lt;&gt;"",VLOOKUP($G151,'Merit Data'!A:BW,MATCH('Merit Data'!$B$3,'Merit Data'!$3:$3,0),0),TRUE)</f>
        <v>1</v>
      </c>
      <c r="O154" s="626"/>
      <c r="P154" s="626"/>
      <c r="Q154" s="140"/>
      <c r="R154" s="140"/>
      <c r="S154" s="140"/>
      <c r="T154" s="140"/>
      <c r="U154" s="140"/>
      <c r="V154" s="238"/>
      <c r="W154" s="238"/>
      <c r="X154" s="627" t="str">
        <f>IF(F154&gt;0,HYPERLINK("http://wiki.project-saros.com/w/"&amp;F154,"Info"),"")</f>
        <v>Info</v>
      </c>
      <c r="Y154" s="628"/>
      <c r="Z154" s="637"/>
      <c r="AA154" s="637"/>
      <c r="AB154" s="637"/>
      <c r="AC154" s="637"/>
      <c r="AD154" s="637"/>
      <c r="AE154" s="637"/>
      <c r="AF154" s="637"/>
      <c r="AG154" s="638"/>
      <c r="AH154" s="649"/>
      <c r="AI154" s="650"/>
      <c r="AJ154" s="650"/>
      <c r="AK154" s="651"/>
      <c r="AL154" s="651"/>
      <c r="AM154" s="651"/>
      <c r="AN154" s="651"/>
      <c r="AO154" s="651"/>
      <c r="AP154" s="651"/>
      <c r="AQ154" s="651"/>
      <c r="AR154" s="651"/>
      <c r="AS154" s="650"/>
      <c r="AT154" s="650"/>
      <c r="AU154" s="650"/>
      <c r="AV154" s="650"/>
      <c r="AW154" s="652"/>
      <c r="AX154" s="641"/>
      <c r="AY154" s="641"/>
      <c r="AZ154" s="641"/>
      <c r="BA154" s="641"/>
      <c r="BB154" s="641"/>
      <c r="BC154" s="641"/>
      <c r="BD154" s="641"/>
      <c r="BE154" s="641"/>
      <c r="BF154" s="641"/>
      <c r="BG154" s="641"/>
      <c r="BH154" s="641"/>
      <c r="BI154" s="641"/>
      <c r="BJ154" s="641"/>
      <c r="BK154" s="641"/>
      <c r="BL154" s="641"/>
      <c r="BM154" s="641"/>
      <c r="BN154" s="641"/>
      <c r="BO154" s="641"/>
      <c r="BP154" s="641"/>
      <c r="BQ154" s="641"/>
      <c r="BR154" s="641"/>
      <c r="BS154" s="641"/>
      <c r="BT154" s="641"/>
      <c r="BU154" s="641"/>
      <c r="BV154" s="641"/>
      <c r="BW154" s="641"/>
      <c r="BX154" s="641"/>
      <c r="BY154" s="641"/>
      <c r="BZ154" s="641"/>
      <c r="CA154" s="641"/>
      <c r="CB154" s="641"/>
      <c r="CC154" s="641"/>
      <c r="CD154" s="641"/>
      <c r="CE154" s="641"/>
      <c r="CF154" s="641"/>
      <c r="CG154" s="641"/>
      <c r="CH154" s="641"/>
      <c r="CI154" s="641"/>
      <c r="CJ154" s="641"/>
      <c r="CK154" s="641"/>
      <c r="CL154" s="641"/>
      <c r="CM154" s="641"/>
      <c r="CN154" s="641"/>
      <c r="CO154" s="641"/>
      <c r="CP154" s="641"/>
      <c r="CQ154" s="641"/>
      <c r="CR154" s="641"/>
      <c r="CS154" s="641"/>
      <c r="CT154" s="641"/>
      <c r="CU154" s="641"/>
      <c r="CV154" s="641"/>
      <c r="CW154" s="641"/>
      <c r="CX154" s="641"/>
      <c r="CY154" s="641"/>
      <c r="CZ154" s="641"/>
      <c r="DA154" s="641"/>
      <c r="DB154" s="641"/>
      <c r="DC154" s="641"/>
      <c r="DD154" s="641"/>
      <c r="DE154" s="641"/>
      <c r="DF154" s="641"/>
      <c r="DG154" s="641"/>
      <c r="DH154" s="641"/>
      <c r="DI154" s="641"/>
      <c r="DJ154" s="641"/>
      <c r="DK154" s="641"/>
      <c r="DL154" s="641"/>
      <c r="DM154" s="641"/>
      <c r="DN154" s="641"/>
      <c r="DO154" s="641"/>
      <c r="DP154" s="641"/>
      <c r="DQ154" s="642"/>
      <c r="DR154" s="229"/>
    </row>
    <row r="155" spans="1:122" ht="7.5" customHeight="1" x14ac:dyDescent="0.25">
      <c r="A155" s="588">
        <v>0</v>
      </c>
      <c r="B155" s="589"/>
      <c r="C155" s="589"/>
      <c r="D155" s="589"/>
      <c r="E155" s="590"/>
      <c r="G155" s="597" t="s">
        <v>284</v>
      </c>
      <c r="H155" s="597"/>
      <c r="I155" s="597"/>
      <c r="J155" s="597"/>
      <c r="K155" s="597"/>
      <c r="L155" s="597"/>
      <c r="M155" s="597"/>
      <c r="N155" s="597"/>
      <c r="O155" s="597"/>
      <c r="P155" s="597"/>
      <c r="Q155" s="597"/>
      <c r="R155" s="597"/>
      <c r="S155" s="597"/>
      <c r="T155" s="597"/>
      <c r="U155" s="597"/>
      <c r="V155" s="597"/>
      <c r="W155" s="597"/>
      <c r="X155" s="597"/>
      <c r="Y155" s="597"/>
      <c r="Z155" s="600" t="e">
        <f ca="1">FLOOR(INDIRECT(SUBSTITUTE(G155," ",""))/5+1,1)*10</f>
        <v>#REF!</v>
      </c>
      <c r="AA155" s="600"/>
      <c r="AB155" s="600"/>
      <c r="AC155" s="600"/>
      <c r="AD155" s="600"/>
      <c r="AE155" s="600"/>
      <c r="AF155" s="600"/>
      <c r="AG155" s="601"/>
      <c r="AH155" s="142"/>
      <c r="AI155" s="143"/>
      <c r="AJ155" s="143"/>
      <c r="AK155" s="143"/>
      <c r="AL155" s="143"/>
      <c r="AM155" s="143"/>
      <c r="AN155" s="143"/>
      <c r="AO155" s="143"/>
      <c r="AP155" s="143"/>
      <c r="AQ155" s="143"/>
      <c r="AR155" s="143"/>
      <c r="AS155" s="143"/>
      <c r="AT155" s="143"/>
      <c r="AU155" s="143"/>
      <c r="AV155" s="143"/>
      <c r="AW155" s="144"/>
      <c r="AX155" s="616" t="e">
        <f ca="1">"Further increases your "&amp;G155&amp;" skill from "&amp;INDIRECT(SUBSTITUTE(G155," ",""))&amp;" to "&amp;INDIRECT(SUBSTITUTE(G155," ",""))+1</f>
        <v>#REF!</v>
      </c>
      <c r="AY155" s="616"/>
      <c r="AZ155" s="616"/>
      <c r="BA155" s="616"/>
      <c r="BB155" s="616"/>
      <c r="BC155" s="616"/>
      <c r="BD155" s="616"/>
      <c r="BE155" s="616"/>
      <c r="BF155" s="616"/>
      <c r="BG155" s="616"/>
      <c r="BH155" s="616"/>
      <c r="BI155" s="616"/>
      <c r="BJ155" s="616"/>
      <c r="BK155" s="616"/>
      <c r="BL155" s="616"/>
      <c r="BM155" s="616"/>
      <c r="BN155" s="616"/>
      <c r="BO155" s="616"/>
      <c r="BP155" s="616"/>
      <c r="BQ155" s="616"/>
      <c r="BR155" s="616"/>
      <c r="BS155" s="616"/>
      <c r="BT155" s="616"/>
      <c r="BU155" s="616"/>
      <c r="BV155" s="616"/>
      <c r="BW155" s="616"/>
      <c r="BX155" s="616"/>
      <c r="BY155" s="616"/>
      <c r="BZ155" s="616"/>
      <c r="CA155" s="616"/>
      <c r="CB155" s="616"/>
      <c r="CC155" s="616"/>
      <c r="CD155" s="616"/>
      <c r="CE155" s="616"/>
      <c r="CF155" s="616"/>
      <c r="CG155" s="616"/>
      <c r="CH155" s="616"/>
      <c r="CI155" s="616"/>
      <c r="CJ155" s="616"/>
      <c r="CK155" s="616"/>
      <c r="CL155" s="616"/>
      <c r="CM155" s="616"/>
      <c r="CN155" s="616"/>
      <c r="CO155" s="616"/>
      <c r="CP155" s="616"/>
      <c r="CQ155" s="616"/>
      <c r="CR155" s="616"/>
      <c r="CS155" s="616"/>
      <c r="CT155" s="616"/>
      <c r="CU155" s="616"/>
      <c r="CV155" s="616"/>
      <c r="CW155" s="616"/>
      <c r="CX155" s="616"/>
      <c r="CY155" s="616"/>
      <c r="CZ155" s="616"/>
      <c r="DA155" s="616"/>
      <c r="DB155" s="616"/>
      <c r="DC155" s="616"/>
      <c r="DD155" s="616"/>
      <c r="DE155" s="616"/>
      <c r="DF155" s="616"/>
      <c r="DG155" s="616"/>
      <c r="DH155" s="616"/>
      <c r="DI155" s="616"/>
      <c r="DJ155" s="616"/>
      <c r="DK155" s="616"/>
      <c r="DL155" s="616"/>
      <c r="DM155" s="616"/>
      <c r="DN155" s="616"/>
      <c r="DO155" s="616"/>
      <c r="DP155" s="616"/>
      <c r="DQ155" s="617"/>
      <c r="DR155" s="229"/>
    </row>
    <row r="156" spans="1:122" ht="7.5" customHeight="1" x14ac:dyDescent="0.25">
      <c r="A156" s="591"/>
      <c r="B156" s="592"/>
      <c r="C156" s="592"/>
      <c r="D156" s="592"/>
      <c r="E156" s="593"/>
      <c r="F156" s="145"/>
      <c r="G156" s="598"/>
      <c r="H156" s="598"/>
      <c r="I156" s="598"/>
      <c r="J156" s="598"/>
      <c r="K156" s="598"/>
      <c r="L156" s="598"/>
      <c r="M156" s="598"/>
      <c r="N156" s="598"/>
      <c r="O156" s="598"/>
      <c r="P156" s="598"/>
      <c r="Q156" s="598"/>
      <c r="R156" s="598"/>
      <c r="S156" s="598"/>
      <c r="T156" s="598"/>
      <c r="U156" s="598"/>
      <c r="V156" s="598"/>
      <c r="W156" s="598"/>
      <c r="X156" s="598"/>
      <c r="Y156" s="598"/>
      <c r="Z156" s="602"/>
      <c r="AA156" s="602"/>
      <c r="AB156" s="602"/>
      <c r="AC156" s="602"/>
      <c r="AD156" s="602"/>
      <c r="AE156" s="602"/>
      <c r="AF156" s="602"/>
      <c r="AG156" s="635"/>
      <c r="AH156" s="132"/>
      <c r="AI156" s="129"/>
      <c r="AJ156" s="129"/>
      <c r="AK156" s="129"/>
      <c r="AL156" s="129"/>
      <c r="AM156" s="129"/>
      <c r="AN156" s="129"/>
      <c r="AO156" s="129"/>
      <c r="AP156" s="129"/>
      <c r="AQ156" s="129"/>
      <c r="AR156" s="129"/>
      <c r="AS156" s="129"/>
      <c r="AT156" s="129"/>
      <c r="AU156" s="129"/>
      <c r="AV156" s="129"/>
      <c r="AW156" s="145"/>
      <c r="AX156" s="619"/>
      <c r="AY156" s="619"/>
      <c r="AZ156" s="619"/>
      <c r="BA156" s="619"/>
      <c r="BB156" s="619"/>
      <c r="BC156" s="619"/>
      <c r="BD156" s="619"/>
      <c r="BE156" s="619"/>
      <c r="BF156" s="619"/>
      <c r="BG156" s="619"/>
      <c r="BH156" s="619"/>
      <c r="BI156" s="619"/>
      <c r="BJ156" s="619"/>
      <c r="BK156" s="619"/>
      <c r="BL156" s="619"/>
      <c r="BM156" s="619"/>
      <c r="BN156" s="619"/>
      <c r="BO156" s="619"/>
      <c r="BP156" s="619"/>
      <c r="BQ156" s="619"/>
      <c r="BR156" s="619"/>
      <c r="BS156" s="619"/>
      <c r="BT156" s="619"/>
      <c r="BU156" s="619"/>
      <c r="BV156" s="619"/>
      <c r="BW156" s="619"/>
      <c r="BX156" s="619"/>
      <c r="BY156" s="619"/>
      <c r="BZ156" s="619"/>
      <c r="CA156" s="619"/>
      <c r="CB156" s="619"/>
      <c r="CC156" s="619"/>
      <c r="CD156" s="619"/>
      <c r="CE156" s="619"/>
      <c r="CF156" s="619"/>
      <c r="CG156" s="619"/>
      <c r="CH156" s="619"/>
      <c r="CI156" s="619"/>
      <c r="CJ156" s="619"/>
      <c r="CK156" s="619"/>
      <c r="CL156" s="619"/>
      <c r="CM156" s="619"/>
      <c r="CN156" s="619"/>
      <c r="CO156" s="619"/>
      <c r="CP156" s="619"/>
      <c r="CQ156" s="619"/>
      <c r="CR156" s="619"/>
      <c r="CS156" s="619"/>
      <c r="CT156" s="619"/>
      <c r="CU156" s="619"/>
      <c r="CV156" s="619"/>
      <c r="CW156" s="619"/>
      <c r="CX156" s="619"/>
      <c r="CY156" s="619"/>
      <c r="CZ156" s="619"/>
      <c r="DA156" s="619"/>
      <c r="DB156" s="619"/>
      <c r="DC156" s="619"/>
      <c r="DD156" s="619"/>
      <c r="DE156" s="619"/>
      <c r="DF156" s="619"/>
      <c r="DG156" s="619"/>
      <c r="DH156" s="619"/>
      <c r="DI156" s="619"/>
      <c r="DJ156" s="619"/>
      <c r="DK156" s="619"/>
      <c r="DL156" s="619"/>
      <c r="DM156" s="619"/>
      <c r="DN156" s="619"/>
      <c r="DO156" s="619"/>
      <c r="DP156" s="619"/>
      <c r="DQ156" s="639"/>
      <c r="DR156" s="229"/>
    </row>
    <row r="157" spans="1:122" ht="7.5" customHeight="1" x14ac:dyDescent="0.25">
      <c r="A157" s="594"/>
      <c r="B157" s="595"/>
      <c r="C157" s="595"/>
      <c r="D157" s="595"/>
      <c r="E157" s="596"/>
      <c r="G157" s="599"/>
      <c r="H157" s="599"/>
      <c r="I157" s="599"/>
      <c r="J157" s="599"/>
      <c r="K157" s="599"/>
      <c r="L157" s="599"/>
      <c r="M157" s="599"/>
      <c r="N157" s="599"/>
      <c r="O157" s="599"/>
      <c r="P157" s="599"/>
      <c r="Q157" s="599"/>
      <c r="R157" s="599"/>
      <c r="S157" s="599"/>
      <c r="T157" s="599"/>
      <c r="U157" s="599"/>
      <c r="V157" s="599"/>
      <c r="W157" s="599"/>
      <c r="X157" s="599"/>
      <c r="Y157" s="599"/>
      <c r="Z157" s="602"/>
      <c r="AA157" s="602"/>
      <c r="AB157" s="602"/>
      <c r="AC157" s="602"/>
      <c r="AD157" s="602"/>
      <c r="AE157" s="602"/>
      <c r="AF157" s="602"/>
      <c r="AG157" s="636"/>
      <c r="AH157" s="132"/>
      <c r="AI157" s="129"/>
      <c r="AJ157" s="129"/>
      <c r="AK157" s="129"/>
      <c r="AL157" s="129"/>
      <c r="AM157" s="129"/>
      <c r="AN157" s="129"/>
      <c r="AO157" s="129"/>
      <c r="AP157" s="129"/>
      <c r="AQ157" s="129"/>
      <c r="AR157" s="129"/>
      <c r="AS157" s="129"/>
      <c r="AT157" s="129"/>
      <c r="AU157" s="129"/>
      <c r="AV157" s="129"/>
      <c r="AW157" s="146"/>
      <c r="AX157" s="619"/>
      <c r="AY157" s="619"/>
      <c r="AZ157" s="619"/>
      <c r="BA157" s="619"/>
      <c r="BB157" s="619"/>
      <c r="BC157" s="619"/>
      <c r="BD157" s="619"/>
      <c r="BE157" s="619"/>
      <c r="BF157" s="619"/>
      <c r="BG157" s="619"/>
      <c r="BH157" s="619"/>
      <c r="BI157" s="619"/>
      <c r="BJ157" s="619"/>
      <c r="BK157" s="619"/>
      <c r="BL157" s="619"/>
      <c r="BM157" s="619"/>
      <c r="BN157" s="619"/>
      <c r="BO157" s="619"/>
      <c r="BP157" s="619"/>
      <c r="BQ157" s="619"/>
      <c r="BR157" s="619"/>
      <c r="BS157" s="619"/>
      <c r="BT157" s="619"/>
      <c r="BU157" s="619"/>
      <c r="BV157" s="619"/>
      <c r="BW157" s="619"/>
      <c r="BX157" s="619"/>
      <c r="BY157" s="619"/>
      <c r="BZ157" s="619"/>
      <c r="CA157" s="619"/>
      <c r="CB157" s="619"/>
      <c r="CC157" s="619"/>
      <c r="CD157" s="619"/>
      <c r="CE157" s="619"/>
      <c r="CF157" s="619"/>
      <c r="CG157" s="619"/>
      <c r="CH157" s="619"/>
      <c r="CI157" s="619"/>
      <c r="CJ157" s="619"/>
      <c r="CK157" s="619"/>
      <c r="CL157" s="619"/>
      <c r="CM157" s="619"/>
      <c r="CN157" s="619"/>
      <c r="CO157" s="619"/>
      <c r="CP157" s="619"/>
      <c r="CQ157" s="619"/>
      <c r="CR157" s="619"/>
      <c r="CS157" s="619"/>
      <c r="CT157" s="619"/>
      <c r="CU157" s="619"/>
      <c r="CV157" s="619"/>
      <c r="CW157" s="619"/>
      <c r="CX157" s="619"/>
      <c r="CY157" s="619"/>
      <c r="CZ157" s="619"/>
      <c r="DA157" s="619"/>
      <c r="DB157" s="619"/>
      <c r="DC157" s="619"/>
      <c r="DD157" s="619"/>
      <c r="DE157" s="619"/>
      <c r="DF157" s="619"/>
      <c r="DG157" s="619"/>
      <c r="DH157" s="619"/>
      <c r="DI157" s="619"/>
      <c r="DJ157" s="619"/>
      <c r="DK157" s="619"/>
      <c r="DL157" s="619"/>
      <c r="DM157" s="619"/>
      <c r="DN157" s="619"/>
      <c r="DO157" s="619"/>
      <c r="DP157" s="619"/>
      <c r="DQ157" s="640"/>
      <c r="DR157" s="229"/>
    </row>
    <row r="158" spans="1:122" ht="7.5" customHeight="1" x14ac:dyDescent="0.25">
      <c r="A158" s="119"/>
      <c r="B158" s="119"/>
      <c r="C158" s="119"/>
      <c r="D158" s="119"/>
      <c r="E158" s="119"/>
      <c r="F158" s="653" t="str">
        <f>G155</f>
        <v>Survival</v>
      </c>
      <c r="G158" s="653"/>
      <c r="H158" s="653"/>
      <c r="I158" s="653"/>
      <c r="J158" s="653"/>
      <c r="K158" s="625" t="e">
        <f ca="1">(FLOOR(INDIRECT(SUBSTITUTE(G155," ",""))/5,1)*(FLOOR(INDIRECT(SUBSTITUTE(G155," ",""))/5,1)+1)/2)*50+MOD(INDIRECT(SUBSTITUTE(G155," ","")),5)*CEILING(INDIRECT(SUBSTITUTE(G155," ",""))/5,1)*10-((FLOOR(INDIRECT("Base"&amp;SUBSTITUTE(G155," ",""))/5,1)*(FLOOR(INDIRECT("Base"&amp;SUBSTITUTE(G155," ",""))/5,1)+1)/2)*50+MOD(INDIRECT("Base"&amp;SUBSTITUTE(G155," ","")),5)*CEILING(INDIRECT("Base"&amp;SUBSTITUTE(G155," ",""))/5,1)*10)</f>
        <v>#REF!</v>
      </c>
      <c r="L158" s="625"/>
      <c r="M158" s="625"/>
      <c r="N158" s="626" t="b">
        <f>IF(AH151&lt;&gt;"",VLOOKUP($G155,'Merit Data'!A:BW,MATCH('Merit Data'!$B$3,'Merit Data'!$3:$3,0),0),TRUE)</f>
        <v>1</v>
      </c>
      <c r="O158" s="626"/>
      <c r="P158" s="626"/>
      <c r="Q158" s="140"/>
      <c r="R158" s="140"/>
      <c r="S158" s="140"/>
      <c r="T158" s="140"/>
      <c r="U158" s="140"/>
      <c r="V158" s="238"/>
      <c r="W158" s="238"/>
      <c r="X158" s="627" t="str">
        <f>IF(F158&gt;0,HYPERLINK("http://wiki.project-saros.com/w/"&amp;F158,"Info"),"")</f>
        <v>Info</v>
      </c>
      <c r="Y158" s="628"/>
      <c r="Z158" s="637"/>
      <c r="AA158" s="637"/>
      <c r="AB158" s="637"/>
      <c r="AC158" s="637"/>
      <c r="AD158" s="637"/>
      <c r="AE158" s="637"/>
      <c r="AF158" s="637"/>
      <c r="AG158" s="638"/>
      <c r="AH158" s="148"/>
      <c r="AI158" s="131"/>
      <c r="AJ158" s="131"/>
      <c r="AK158" s="149"/>
      <c r="AL158" s="149"/>
      <c r="AM158" s="149"/>
      <c r="AN158" s="149"/>
      <c r="AO158" s="149"/>
      <c r="AP158" s="149"/>
      <c r="AQ158" s="149"/>
      <c r="AR158" s="149"/>
      <c r="AS158" s="131"/>
      <c r="AT158" s="131"/>
      <c r="AU158" s="131"/>
      <c r="AV158" s="131"/>
      <c r="AW158" s="150"/>
      <c r="AX158" s="641"/>
      <c r="AY158" s="641"/>
      <c r="AZ158" s="641"/>
      <c r="BA158" s="641"/>
      <c r="BB158" s="641"/>
      <c r="BC158" s="641"/>
      <c r="BD158" s="641"/>
      <c r="BE158" s="641"/>
      <c r="BF158" s="641"/>
      <c r="BG158" s="641"/>
      <c r="BH158" s="641"/>
      <c r="BI158" s="641"/>
      <c r="BJ158" s="641"/>
      <c r="BK158" s="641"/>
      <c r="BL158" s="641"/>
      <c r="BM158" s="641"/>
      <c r="BN158" s="641"/>
      <c r="BO158" s="641"/>
      <c r="BP158" s="641"/>
      <c r="BQ158" s="641"/>
      <c r="BR158" s="641"/>
      <c r="BS158" s="641"/>
      <c r="BT158" s="641"/>
      <c r="BU158" s="641"/>
      <c r="BV158" s="641"/>
      <c r="BW158" s="641"/>
      <c r="BX158" s="641"/>
      <c r="BY158" s="641"/>
      <c r="BZ158" s="641"/>
      <c r="CA158" s="641"/>
      <c r="CB158" s="641"/>
      <c r="CC158" s="641"/>
      <c r="CD158" s="641"/>
      <c r="CE158" s="641"/>
      <c r="CF158" s="641"/>
      <c r="CG158" s="641"/>
      <c r="CH158" s="641"/>
      <c r="CI158" s="641"/>
      <c r="CJ158" s="641"/>
      <c r="CK158" s="641"/>
      <c r="CL158" s="641"/>
      <c r="CM158" s="641"/>
      <c r="CN158" s="641"/>
      <c r="CO158" s="641"/>
      <c r="CP158" s="641"/>
      <c r="CQ158" s="641"/>
      <c r="CR158" s="641"/>
      <c r="CS158" s="641"/>
      <c r="CT158" s="641"/>
      <c r="CU158" s="641"/>
      <c r="CV158" s="641"/>
      <c r="CW158" s="641"/>
      <c r="CX158" s="641"/>
      <c r="CY158" s="641"/>
      <c r="CZ158" s="641"/>
      <c r="DA158" s="641"/>
      <c r="DB158" s="641"/>
      <c r="DC158" s="641"/>
      <c r="DD158" s="641"/>
      <c r="DE158" s="641"/>
      <c r="DF158" s="641"/>
      <c r="DG158" s="641"/>
      <c r="DH158" s="641"/>
      <c r="DI158" s="641"/>
      <c r="DJ158" s="641"/>
      <c r="DK158" s="641"/>
      <c r="DL158" s="641"/>
      <c r="DM158" s="641"/>
      <c r="DN158" s="641"/>
      <c r="DO158" s="641"/>
      <c r="DP158" s="641"/>
      <c r="DQ158" s="642"/>
      <c r="DR158" s="229"/>
    </row>
    <row r="159" spans="1:122" ht="7.5" customHeight="1" x14ac:dyDescent="0.25">
      <c r="A159" s="631" t="s">
        <v>270</v>
      </c>
      <c r="B159" s="631"/>
      <c r="C159" s="631"/>
      <c r="D159" s="631"/>
      <c r="E159" s="631"/>
      <c r="F159" s="631"/>
      <c r="G159" s="631"/>
      <c r="H159" s="631"/>
      <c r="I159" s="631"/>
      <c r="J159" s="631"/>
      <c r="K159" s="631"/>
      <c r="L159" s="631"/>
      <c r="M159" s="631"/>
      <c r="N159" s="631"/>
      <c r="O159" s="631"/>
      <c r="P159" s="631"/>
      <c r="Q159" s="631"/>
      <c r="R159" s="631"/>
      <c r="S159" s="631"/>
      <c r="T159" s="631"/>
      <c r="U159" s="631"/>
      <c r="V159" s="631"/>
      <c r="W159" s="631"/>
      <c r="X159" s="631"/>
      <c r="Y159" s="631"/>
      <c r="Z159" s="631"/>
      <c r="AA159" s="631"/>
      <c r="AB159" s="631"/>
      <c r="AC159" s="631"/>
      <c r="AD159" s="631"/>
      <c r="AE159" s="631"/>
      <c r="AF159" s="631"/>
      <c r="AG159" s="633"/>
      <c r="AH159" s="135"/>
      <c r="AI159" s="135"/>
      <c r="AJ159" s="135"/>
      <c r="AK159" s="135"/>
      <c r="AL159" s="135"/>
      <c r="AM159" s="135"/>
      <c r="AN159" s="135"/>
      <c r="AO159" s="135"/>
      <c r="AP159" s="135"/>
      <c r="AQ159" s="135"/>
      <c r="AR159" s="135"/>
      <c r="AS159" s="135"/>
      <c r="AT159" s="135"/>
      <c r="AU159" s="135"/>
      <c r="AV159" s="135"/>
      <c r="AW159" s="135"/>
      <c r="AX159" s="136"/>
      <c r="AY159" s="136"/>
      <c r="AZ159" s="136"/>
      <c r="BA159" s="136"/>
      <c r="BB159" s="136"/>
      <c r="BC159" s="136"/>
      <c r="BD159" s="136"/>
      <c r="BE159" s="136"/>
      <c r="BF159" s="136"/>
      <c r="BG159" s="136"/>
      <c r="BH159" s="136"/>
      <c r="BI159" s="136"/>
      <c r="BJ159" s="136"/>
      <c r="BK159" s="136"/>
      <c r="BL159" s="136"/>
      <c r="BM159" s="136"/>
      <c r="BN159" s="136"/>
      <c r="BO159" s="136"/>
      <c r="BP159" s="136"/>
      <c r="BQ159" s="136"/>
      <c r="BR159" s="136"/>
      <c r="BS159" s="136"/>
      <c r="BT159" s="136"/>
      <c r="BU159" s="136"/>
      <c r="BV159" s="136"/>
      <c r="BW159" s="136"/>
      <c r="BX159" s="136"/>
      <c r="BY159" s="136"/>
      <c r="BZ159" s="136"/>
      <c r="CA159" s="136"/>
      <c r="CB159" s="136"/>
      <c r="CC159" s="136"/>
      <c r="CD159" s="136"/>
      <c r="CE159" s="136"/>
      <c r="CF159" s="136"/>
      <c r="CG159" s="136"/>
      <c r="CH159" s="136"/>
      <c r="CI159" s="136"/>
      <c r="CJ159" s="136"/>
      <c r="CK159" s="136"/>
      <c r="CL159" s="136"/>
      <c r="CM159" s="136"/>
      <c r="CN159" s="136"/>
      <c r="CO159" s="136"/>
      <c r="CP159" s="136"/>
      <c r="CQ159" s="136"/>
      <c r="CR159" s="136"/>
      <c r="CS159" s="136"/>
      <c r="CT159" s="136"/>
      <c r="CU159" s="136"/>
      <c r="CV159" s="136"/>
      <c r="CW159" s="136"/>
      <c r="CX159" s="136"/>
      <c r="CY159" s="136"/>
      <c r="CZ159" s="136"/>
      <c r="DA159" s="136"/>
      <c r="DB159" s="136"/>
      <c r="DC159" s="136"/>
      <c r="DD159" s="136"/>
      <c r="DE159" s="136"/>
      <c r="DF159" s="136"/>
      <c r="DG159" s="136"/>
      <c r="DH159" s="136"/>
      <c r="DI159" s="136"/>
      <c r="DJ159" s="136"/>
      <c r="DK159" s="136"/>
      <c r="DL159" s="136"/>
      <c r="DM159" s="136"/>
      <c r="DN159" s="136"/>
      <c r="DO159" s="136"/>
      <c r="DP159" s="136"/>
      <c r="DQ159" s="136"/>
      <c r="DR159" s="228"/>
    </row>
    <row r="160" spans="1:122" ht="7.5" customHeight="1" x14ac:dyDescent="0.25">
      <c r="A160" s="632"/>
      <c r="B160" s="632"/>
      <c r="C160" s="632"/>
      <c r="D160" s="632"/>
      <c r="E160" s="632"/>
      <c r="F160" s="632"/>
      <c r="G160" s="632"/>
      <c r="H160" s="632"/>
      <c r="I160" s="632"/>
      <c r="J160" s="632"/>
      <c r="K160" s="632"/>
      <c r="L160" s="632"/>
      <c r="M160" s="632"/>
      <c r="N160" s="632"/>
      <c r="O160" s="632"/>
      <c r="P160" s="632"/>
      <c r="Q160" s="632"/>
      <c r="R160" s="632"/>
      <c r="S160" s="632"/>
      <c r="T160" s="632"/>
      <c r="U160" s="632"/>
      <c r="V160" s="632"/>
      <c r="W160" s="632"/>
      <c r="X160" s="632"/>
      <c r="Y160" s="632"/>
      <c r="Z160" s="632"/>
      <c r="AA160" s="632"/>
      <c r="AB160" s="632"/>
      <c r="AC160" s="632"/>
      <c r="AD160" s="632"/>
      <c r="AE160" s="632"/>
      <c r="AF160" s="632"/>
      <c r="AG160" s="634"/>
      <c r="AH160" s="138"/>
      <c r="AI160" s="138"/>
      <c r="AJ160" s="138"/>
      <c r="AK160" s="138"/>
      <c r="AL160" s="138"/>
      <c r="AM160" s="138"/>
      <c r="AN160" s="138"/>
      <c r="AO160" s="138"/>
      <c r="AP160" s="138"/>
      <c r="AQ160" s="138"/>
      <c r="AR160" s="138"/>
      <c r="AS160" s="138"/>
      <c r="AT160" s="138"/>
      <c r="AU160" s="138"/>
      <c r="AV160" s="138"/>
      <c r="AW160" s="138"/>
      <c r="AX160" s="136"/>
      <c r="AY160" s="136"/>
      <c r="AZ160" s="136"/>
      <c r="BA160" s="136"/>
      <c r="BB160" s="136"/>
      <c r="BC160" s="136"/>
      <c r="BD160" s="136"/>
      <c r="BE160" s="136"/>
      <c r="BF160" s="136"/>
      <c r="BG160" s="136"/>
      <c r="BH160" s="136"/>
      <c r="BI160" s="136"/>
      <c r="BJ160" s="136"/>
      <c r="BK160" s="136"/>
      <c r="BL160" s="136"/>
      <c r="BM160" s="136"/>
      <c r="BN160" s="136"/>
      <c r="BO160" s="136"/>
      <c r="BP160" s="136"/>
      <c r="BQ160" s="136"/>
      <c r="BR160" s="136"/>
      <c r="BS160" s="136"/>
      <c r="BT160" s="136"/>
      <c r="BU160" s="136"/>
      <c r="BV160" s="136"/>
      <c r="BW160" s="136"/>
      <c r="BX160" s="136"/>
      <c r="BY160" s="136"/>
      <c r="BZ160" s="136"/>
      <c r="CA160" s="136"/>
      <c r="CB160" s="136"/>
      <c r="CC160" s="136"/>
      <c r="CD160" s="136"/>
      <c r="CE160" s="136"/>
      <c r="CF160" s="136"/>
      <c r="CG160" s="136"/>
      <c r="CH160" s="136"/>
      <c r="CI160" s="136"/>
      <c r="CJ160" s="136"/>
      <c r="CK160" s="136"/>
      <c r="CL160" s="136"/>
      <c r="CM160" s="136"/>
      <c r="CN160" s="136"/>
      <c r="CO160" s="136"/>
      <c r="CP160" s="136"/>
      <c r="CQ160" s="136"/>
      <c r="CR160" s="136"/>
      <c r="CS160" s="136"/>
      <c r="CT160" s="136"/>
      <c r="CU160" s="136"/>
      <c r="CV160" s="136"/>
      <c r="CW160" s="136"/>
      <c r="CX160" s="136"/>
      <c r="CY160" s="136"/>
      <c r="CZ160" s="136"/>
      <c r="DA160" s="136"/>
      <c r="DB160" s="136"/>
      <c r="DC160" s="136"/>
      <c r="DD160" s="136"/>
      <c r="DE160" s="136"/>
      <c r="DF160" s="136"/>
      <c r="DG160" s="136"/>
      <c r="DH160" s="136"/>
      <c r="DI160" s="136"/>
      <c r="DJ160" s="136"/>
      <c r="DK160" s="136"/>
      <c r="DL160" s="136"/>
      <c r="DM160" s="136"/>
      <c r="DN160" s="136"/>
      <c r="DO160" s="136"/>
      <c r="DP160" s="136"/>
      <c r="DQ160" s="136"/>
      <c r="DR160" s="228"/>
    </row>
    <row r="161" spans="1:122" ht="7.5" customHeight="1" x14ac:dyDescent="0.25">
      <c r="A161" s="632"/>
      <c r="B161" s="632"/>
      <c r="C161" s="632"/>
      <c r="D161" s="632"/>
      <c r="E161" s="632"/>
      <c r="F161" s="632"/>
      <c r="G161" s="632"/>
      <c r="H161" s="632"/>
      <c r="I161" s="632"/>
      <c r="J161" s="632"/>
      <c r="K161" s="632"/>
      <c r="L161" s="632"/>
      <c r="M161" s="632"/>
      <c r="N161" s="632"/>
      <c r="O161" s="632"/>
      <c r="P161" s="632"/>
      <c r="Q161" s="632"/>
      <c r="R161" s="632"/>
      <c r="S161" s="632"/>
      <c r="T161" s="632"/>
      <c r="U161" s="632"/>
      <c r="V161" s="632"/>
      <c r="W161" s="632"/>
      <c r="X161" s="632"/>
      <c r="Y161" s="632"/>
      <c r="Z161" s="632"/>
      <c r="AA161" s="632"/>
      <c r="AB161" s="632"/>
      <c r="AC161" s="632"/>
      <c r="AD161" s="632"/>
      <c r="AE161" s="632"/>
      <c r="AF161" s="632"/>
      <c r="AG161" s="634"/>
      <c r="AH161" s="139"/>
      <c r="AI161" s="139"/>
      <c r="AJ161" s="139"/>
      <c r="AK161" s="139"/>
      <c r="AL161" s="139"/>
      <c r="AM161" s="139"/>
      <c r="AN161" s="139"/>
      <c r="AO161" s="139"/>
      <c r="AP161" s="139"/>
      <c r="AQ161" s="139"/>
      <c r="AR161" s="139"/>
      <c r="AS161" s="139"/>
      <c r="AT161" s="139"/>
      <c r="AU161" s="139"/>
      <c r="AV161" s="139"/>
      <c r="AW161" s="139"/>
      <c r="AX161" s="136"/>
      <c r="AY161" s="136"/>
      <c r="AZ161" s="136"/>
      <c r="BA161" s="136"/>
      <c r="BB161" s="136"/>
      <c r="BC161" s="136"/>
      <c r="BD161" s="136"/>
      <c r="BE161" s="136"/>
      <c r="BF161" s="136"/>
      <c r="BG161" s="136"/>
      <c r="BH161" s="136"/>
      <c r="BI161" s="136"/>
      <c r="BJ161" s="136"/>
      <c r="BK161" s="136"/>
      <c r="BL161" s="136"/>
      <c r="BM161" s="136"/>
      <c r="BN161" s="136"/>
      <c r="BO161" s="136"/>
      <c r="BP161" s="136"/>
      <c r="BQ161" s="136"/>
      <c r="BR161" s="136"/>
      <c r="BS161" s="136"/>
      <c r="BT161" s="136"/>
      <c r="BU161" s="136"/>
      <c r="BV161" s="136"/>
      <c r="BW161" s="136"/>
      <c r="BX161" s="136"/>
      <c r="BY161" s="136"/>
      <c r="BZ161" s="136"/>
      <c r="CA161" s="136"/>
      <c r="CB161" s="136"/>
      <c r="CC161" s="136"/>
      <c r="CD161" s="136"/>
      <c r="CE161" s="136"/>
      <c r="CF161" s="136"/>
      <c r="CG161" s="136"/>
      <c r="CH161" s="136"/>
      <c r="CI161" s="136"/>
      <c r="CJ161" s="136"/>
      <c r="CK161" s="136"/>
      <c r="CL161" s="136"/>
      <c r="CM161" s="136"/>
      <c r="CN161" s="136"/>
      <c r="CO161" s="136"/>
      <c r="CP161" s="136"/>
      <c r="CQ161" s="136"/>
      <c r="CR161" s="136"/>
      <c r="CS161" s="136"/>
      <c r="CT161" s="136"/>
      <c r="CU161" s="136"/>
      <c r="CV161" s="136"/>
      <c r="CW161" s="136"/>
      <c r="CX161" s="136"/>
      <c r="CY161" s="136"/>
      <c r="CZ161" s="136"/>
      <c r="DA161" s="136"/>
      <c r="DB161" s="136"/>
      <c r="DC161" s="136"/>
      <c r="DD161" s="136"/>
      <c r="DE161" s="136"/>
      <c r="DF161" s="136"/>
      <c r="DG161" s="136"/>
      <c r="DH161" s="136"/>
      <c r="DI161" s="136"/>
      <c r="DJ161" s="136"/>
      <c r="DK161" s="136"/>
      <c r="DL161" s="136"/>
      <c r="DM161" s="136"/>
      <c r="DN161" s="136"/>
      <c r="DO161" s="136"/>
      <c r="DP161" s="136"/>
      <c r="DQ161" s="136"/>
      <c r="DR161" s="228"/>
    </row>
    <row r="162" spans="1:122" ht="7.5" customHeight="1" x14ac:dyDescent="0.25">
      <c r="A162" s="588">
        <v>0</v>
      </c>
      <c r="B162" s="589"/>
      <c r="C162" s="589"/>
      <c r="D162" s="589"/>
      <c r="E162" s="590"/>
      <c r="F162" s="129"/>
      <c r="G162" s="597" t="s">
        <v>259</v>
      </c>
      <c r="H162" s="597"/>
      <c r="I162" s="597"/>
      <c r="J162" s="597"/>
      <c r="K162" s="597"/>
      <c r="L162" s="597"/>
      <c r="M162" s="597"/>
      <c r="N162" s="597"/>
      <c r="O162" s="597"/>
      <c r="P162" s="597"/>
      <c r="Q162" s="597"/>
      <c r="R162" s="597"/>
      <c r="S162" s="597"/>
      <c r="T162" s="597"/>
      <c r="U162" s="597"/>
      <c r="V162" s="597"/>
      <c r="W162" s="597"/>
      <c r="X162" s="597"/>
      <c r="Y162" s="597"/>
      <c r="Z162" s="600" t="e">
        <f ca="1">FLOOR(INDIRECT(SUBSTITUTE(G162," ",""))/5+1,1)*10</f>
        <v>#REF!</v>
      </c>
      <c r="AA162" s="600"/>
      <c r="AB162" s="600"/>
      <c r="AC162" s="600"/>
      <c r="AD162" s="600"/>
      <c r="AE162" s="600"/>
      <c r="AF162" s="600"/>
      <c r="AG162" s="601"/>
      <c r="AH162" s="643"/>
      <c r="AI162" s="644"/>
      <c r="AJ162" s="644"/>
      <c r="AK162" s="644"/>
      <c r="AL162" s="644"/>
      <c r="AM162" s="644"/>
      <c r="AN162" s="644"/>
      <c r="AO162" s="644"/>
      <c r="AP162" s="644"/>
      <c r="AQ162" s="644"/>
      <c r="AR162" s="644"/>
      <c r="AS162" s="644"/>
      <c r="AT162" s="644"/>
      <c r="AU162" s="644"/>
      <c r="AV162" s="644"/>
      <c r="AW162" s="645"/>
      <c r="AX162" s="616" t="e">
        <f ca="1">"Further increases your "&amp;G162&amp;" skill from "&amp;INDIRECT(SUBSTITUTE(G162," ",""))&amp;" to "&amp;INDIRECT(SUBSTITUTE(G162," ",""))+1</f>
        <v>#REF!</v>
      </c>
      <c r="AY162" s="616"/>
      <c r="AZ162" s="616"/>
      <c r="BA162" s="616"/>
      <c r="BB162" s="616"/>
      <c r="BC162" s="616"/>
      <c r="BD162" s="616"/>
      <c r="BE162" s="616"/>
      <c r="BF162" s="616"/>
      <c r="BG162" s="616"/>
      <c r="BH162" s="616"/>
      <c r="BI162" s="616"/>
      <c r="BJ162" s="616"/>
      <c r="BK162" s="616"/>
      <c r="BL162" s="616"/>
      <c r="BM162" s="616"/>
      <c r="BN162" s="616"/>
      <c r="BO162" s="616"/>
      <c r="BP162" s="616"/>
      <c r="BQ162" s="616"/>
      <c r="BR162" s="616"/>
      <c r="BS162" s="616"/>
      <c r="BT162" s="616"/>
      <c r="BU162" s="616"/>
      <c r="BV162" s="616"/>
      <c r="BW162" s="616"/>
      <c r="BX162" s="616"/>
      <c r="BY162" s="616"/>
      <c r="BZ162" s="616"/>
      <c r="CA162" s="616"/>
      <c r="CB162" s="616"/>
      <c r="CC162" s="616"/>
      <c r="CD162" s="616"/>
      <c r="CE162" s="616"/>
      <c r="CF162" s="616"/>
      <c r="CG162" s="616"/>
      <c r="CH162" s="616"/>
      <c r="CI162" s="616"/>
      <c r="CJ162" s="616"/>
      <c r="CK162" s="616"/>
      <c r="CL162" s="616"/>
      <c r="CM162" s="616"/>
      <c r="CN162" s="616"/>
      <c r="CO162" s="616"/>
      <c r="CP162" s="616"/>
      <c r="CQ162" s="616"/>
      <c r="CR162" s="616"/>
      <c r="CS162" s="616"/>
      <c r="CT162" s="616"/>
      <c r="CU162" s="616"/>
      <c r="CV162" s="616"/>
      <c r="CW162" s="616"/>
      <c r="CX162" s="616"/>
      <c r="CY162" s="616"/>
      <c r="CZ162" s="616"/>
      <c r="DA162" s="616"/>
      <c r="DB162" s="616"/>
      <c r="DC162" s="616"/>
      <c r="DD162" s="616"/>
      <c r="DE162" s="616"/>
      <c r="DF162" s="616"/>
      <c r="DG162" s="616"/>
      <c r="DH162" s="616"/>
      <c r="DI162" s="616"/>
      <c r="DJ162" s="616"/>
      <c r="DK162" s="616"/>
      <c r="DL162" s="616"/>
      <c r="DM162" s="616"/>
      <c r="DN162" s="616"/>
      <c r="DO162" s="616"/>
      <c r="DP162" s="616"/>
      <c r="DQ162" s="617"/>
      <c r="DR162" s="229"/>
    </row>
    <row r="163" spans="1:122" ht="7.5" customHeight="1" x14ac:dyDescent="0.25">
      <c r="A163" s="591"/>
      <c r="B163" s="592"/>
      <c r="C163" s="592"/>
      <c r="D163" s="592"/>
      <c r="E163" s="593"/>
      <c r="F163" s="129"/>
      <c r="G163" s="598"/>
      <c r="H163" s="598"/>
      <c r="I163" s="598"/>
      <c r="J163" s="598"/>
      <c r="K163" s="598"/>
      <c r="L163" s="598"/>
      <c r="M163" s="598"/>
      <c r="N163" s="598"/>
      <c r="O163" s="598"/>
      <c r="P163" s="598"/>
      <c r="Q163" s="598"/>
      <c r="R163" s="598"/>
      <c r="S163" s="598"/>
      <c r="T163" s="598"/>
      <c r="U163" s="598"/>
      <c r="V163" s="598"/>
      <c r="W163" s="598"/>
      <c r="X163" s="598"/>
      <c r="Y163" s="598"/>
      <c r="Z163" s="602"/>
      <c r="AA163" s="602"/>
      <c r="AB163" s="602"/>
      <c r="AC163" s="602"/>
      <c r="AD163" s="602"/>
      <c r="AE163" s="602"/>
      <c r="AF163" s="602"/>
      <c r="AG163" s="635"/>
      <c r="AH163" s="646"/>
      <c r="AI163" s="449"/>
      <c r="AJ163" s="449"/>
      <c r="AK163" s="449"/>
      <c r="AL163" s="449"/>
      <c r="AM163" s="449"/>
      <c r="AN163" s="449"/>
      <c r="AO163" s="449"/>
      <c r="AP163" s="449"/>
      <c r="AQ163" s="449"/>
      <c r="AR163" s="449"/>
      <c r="AS163" s="449"/>
      <c r="AT163" s="449"/>
      <c r="AU163" s="449"/>
      <c r="AV163" s="449"/>
      <c r="AW163" s="647"/>
      <c r="AX163" s="619"/>
      <c r="AY163" s="619"/>
      <c r="AZ163" s="619"/>
      <c r="BA163" s="619"/>
      <c r="BB163" s="619"/>
      <c r="BC163" s="619"/>
      <c r="BD163" s="619"/>
      <c r="BE163" s="619"/>
      <c r="BF163" s="619"/>
      <c r="BG163" s="619"/>
      <c r="BH163" s="619"/>
      <c r="BI163" s="619"/>
      <c r="BJ163" s="619"/>
      <c r="BK163" s="619"/>
      <c r="BL163" s="619"/>
      <c r="BM163" s="619"/>
      <c r="BN163" s="619"/>
      <c r="BO163" s="619"/>
      <c r="BP163" s="619"/>
      <c r="BQ163" s="619"/>
      <c r="BR163" s="619"/>
      <c r="BS163" s="619"/>
      <c r="BT163" s="619"/>
      <c r="BU163" s="619"/>
      <c r="BV163" s="619"/>
      <c r="BW163" s="619"/>
      <c r="BX163" s="619"/>
      <c r="BY163" s="619"/>
      <c r="BZ163" s="619"/>
      <c r="CA163" s="619"/>
      <c r="CB163" s="619"/>
      <c r="CC163" s="619"/>
      <c r="CD163" s="619"/>
      <c r="CE163" s="619"/>
      <c r="CF163" s="619"/>
      <c r="CG163" s="619"/>
      <c r="CH163" s="619"/>
      <c r="CI163" s="619"/>
      <c r="CJ163" s="619"/>
      <c r="CK163" s="619"/>
      <c r="CL163" s="619"/>
      <c r="CM163" s="619"/>
      <c r="CN163" s="619"/>
      <c r="CO163" s="619"/>
      <c r="CP163" s="619"/>
      <c r="CQ163" s="619"/>
      <c r="CR163" s="619"/>
      <c r="CS163" s="619"/>
      <c r="CT163" s="619"/>
      <c r="CU163" s="619"/>
      <c r="CV163" s="619"/>
      <c r="CW163" s="619"/>
      <c r="CX163" s="619"/>
      <c r="CY163" s="619"/>
      <c r="CZ163" s="619"/>
      <c r="DA163" s="619"/>
      <c r="DB163" s="619"/>
      <c r="DC163" s="619"/>
      <c r="DD163" s="619"/>
      <c r="DE163" s="619"/>
      <c r="DF163" s="619"/>
      <c r="DG163" s="619"/>
      <c r="DH163" s="619"/>
      <c r="DI163" s="619"/>
      <c r="DJ163" s="619"/>
      <c r="DK163" s="619"/>
      <c r="DL163" s="619"/>
      <c r="DM163" s="619"/>
      <c r="DN163" s="619"/>
      <c r="DO163" s="619"/>
      <c r="DP163" s="619"/>
      <c r="DQ163" s="639"/>
      <c r="DR163" s="229"/>
    </row>
    <row r="164" spans="1:122" ht="7.5" customHeight="1" x14ac:dyDescent="0.25">
      <c r="A164" s="594"/>
      <c r="B164" s="595"/>
      <c r="C164" s="595"/>
      <c r="D164" s="595"/>
      <c r="E164" s="596"/>
      <c r="F164" s="129"/>
      <c r="G164" s="599"/>
      <c r="H164" s="599"/>
      <c r="I164" s="599"/>
      <c r="J164" s="599"/>
      <c r="K164" s="599"/>
      <c r="L164" s="599"/>
      <c r="M164" s="599"/>
      <c r="N164" s="599"/>
      <c r="O164" s="599"/>
      <c r="P164" s="599"/>
      <c r="Q164" s="599"/>
      <c r="R164" s="599"/>
      <c r="S164" s="599"/>
      <c r="T164" s="599"/>
      <c r="U164" s="599"/>
      <c r="V164" s="599"/>
      <c r="W164" s="599"/>
      <c r="X164" s="599"/>
      <c r="Y164" s="599"/>
      <c r="Z164" s="602"/>
      <c r="AA164" s="602"/>
      <c r="AB164" s="602"/>
      <c r="AC164" s="602"/>
      <c r="AD164" s="602"/>
      <c r="AE164" s="602"/>
      <c r="AF164" s="602"/>
      <c r="AG164" s="636"/>
      <c r="AH164" s="646"/>
      <c r="AI164" s="449"/>
      <c r="AJ164" s="449"/>
      <c r="AK164" s="449"/>
      <c r="AL164" s="449"/>
      <c r="AM164" s="449"/>
      <c r="AN164" s="449"/>
      <c r="AO164" s="449"/>
      <c r="AP164" s="449"/>
      <c r="AQ164" s="449"/>
      <c r="AR164" s="449"/>
      <c r="AS164" s="449"/>
      <c r="AT164" s="449"/>
      <c r="AU164" s="449"/>
      <c r="AV164" s="449"/>
      <c r="AW164" s="648"/>
      <c r="AX164" s="619"/>
      <c r="AY164" s="619"/>
      <c r="AZ164" s="619"/>
      <c r="BA164" s="619"/>
      <c r="BB164" s="619"/>
      <c r="BC164" s="619"/>
      <c r="BD164" s="619"/>
      <c r="BE164" s="619"/>
      <c r="BF164" s="619"/>
      <c r="BG164" s="619"/>
      <c r="BH164" s="619"/>
      <c r="BI164" s="619"/>
      <c r="BJ164" s="619"/>
      <c r="BK164" s="619"/>
      <c r="BL164" s="619"/>
      <c r="BM164" s="619"/>
      <c r="BN164" s="619"/>
      <c r="BO164" s="619"/>
      <c r="BP164" s="619"/>
      <c r="BQ164" s="619"/>
      <c r="BR164" s="619"/>
      <c r="BS164" s="619"/>
      <c r="BT164" s="619"/>
      <c r="BU164" s="619"/>
      <c r="BV164" s="619"/>
      <c r="BW164" s="619"/>
      <c r="BX164" s="619"/>
      <c r="BY164" s="619"/>
      <c r="BZ164" s="619"/>
      <c r="CA164" s="619"/>
      <c r="CB164" s="619"/>
      <c r="CC164" s="619"/>
      <c r="CD164" s="619"/>
      <c r="CE164" s="619"/>
      <c r="CF164" s="619"/>
      <c r="CG164" s="619"/>
      <c r="CH164" s="619"/>
      <c r="CI164" s="619"/>
      <c r="CJ164" s="619"/>
      <c r="CK164" s="619"/>
      <c r="CL164" s="619"/>
      <c r="CM164" s="619"/>
      <c r="CN164" s="619"/>
      <c r="CO164" s="619"/>
      <c r="CP164" s="619"/>
      <c r="CQ164" s="619"/>
      <c r="CR164" s="619"/>
      <c r="CS164" s="619"/>
      <c r="CT164" s="619"/>
      <c r="CU164" s="619"/>
      <c r="CV164" s="619"/>
      <c r="CW164" s="619"/>
      <c r="CX164" s="619"/>
      <c r="CY164" s="619"/>
      <c r="CZ164" s="619"/>
      <c r="DA164" s="619"/>
      <c r="DB164" s="619"/>
      <c r="DC164" s="619"/>
      <c r="DD164" s="619"/>
      <c r="DE164" s="619"/>
      <c r="DF164" s="619"/>
      <c r="DG164" s="619"/>
      <c r="DH164" s="619"/>
      <c r="DI164" s="619"/>
      <c r="DJ164" s="619"/>
      <c r="DK164" s="619"/>
      <c r="DL164" s="619"/>
      <c r="DM164" s="619"/>
      <c r="DN164" s="619"/>
      <c r="DO164" s="619"/>
      <c r="DP164" s="619"/>
      <c r="DQ164" s="640"/>
      <c r="DR164" s="229"/>
    </row>
    <row r="165" spans="1:122" ht="7.5" customHeight="1" x14ac:dyDescent="0.25">
      <c r="A165" s="119"/>
      <c r="B165" s="119"/>
      <c r="C165" s="119"/>
      <c r="D165" s="119"/>
      <c r="E165" s="119"/>
      <c r="F165" s="653" t="str">
        <f>G162</f>
        <v>Alchemy</v>
      </c>
      <c r="G165" s="653"/>
      <c r="H165" s="653"/>
      <c r="I165" s="653"/>
      <c r="J165" s="653"/>
      <c r="K165" s="625" t="e">
        <f ca="1">(FLOOR(INDIRECT(SUBSTITUTE(G162," ",""))/5,1)*(FLOOR(INDIRECT(SUBSTITUTE(G162," ",""))/5,1)+1)/2)*50+MOD(INDIRECT(SUBSTITUTE(G162," ","")),5)*CEILING(INDIRECT(SUBSTITUTE(G162," ",""))/5,1)*10-((FLOOR(INDIRECT("Base"&amp;SUBSTITUTE(G162," ",""))/5,1)*(FLOOR(INDIRECT("Base"&amp;SUBSTITUTE(G162," ",""))/5,1)+1)/2)*50+MOD(INDIRECT("Base"&amp;SUBSTITUTE(G162," ","")),5)*CEILING(INDIRECT("Base"&amp;SUBSTITUTE(G162," ",""))/5,1)*10)</f>
        <v>#REF!</v>
      </c>
      <c r="L165" s="625"/>
      <c r="M165" s="625"/>
      <c r="N165" s="626" t="b">
        <f>IF(AH158&lt;&gt;"",VLOOKUP($G162,'Merit Data'!A:BW,MATCH('Merit Data'!$B$3,'Merit Data'!$3:$3,0),0),TRUE)</f>
        <v>1</v>
      </c>
      <c r="O165" s="626"/>
      <c r="P165" s="626"/>
      <c r="Q165" s="140"/>
      <c r="R165" s="140"/>
      <c r="S165" s="140"/>
      <c r="T165" s="140"/>
      <c r="U165" s="140"/>
      <c r="V165" s="238"/>
      <c r="W165" s="238"/>
      <c r="X165" s="627" t="str">
        <f>IF(F165&gt;0,HYPERLINK("http://wiki.project-saros.com/w/"&amp;F165,"Info"),"")</f>
        <v>Info</v>
      </c>
      <c r="Y165" s="628"/>
      <c r="Z165" s="637"/>
      <c r="AA165" s="637"/>
      <c r="AB165" s="637"/>
      <c r="AC165" s="637"/>
      <c r="AD165" s="637"/>
      <c r="AE165" s="637"/>
      <c r="AF165" s="637"/>
      <c r="AG165" s="638"/>
      <c r="AH165" s="649"/>
      <c r="AI165" s="650"/>
      <c r="AJ165" s="650"/>
      <c r="AK165" s="651"/>
      <c r="AL165" s="651"/>
      <c r="AM165" s="651"/>
      <c r="AN165" s="651"/>
      <c r="AO165" s="651"/>
      <c r="AP165" s="651"/>
      <c r="AQ165" s="651"/>
      <c r="AR165" s="651"/>
      <c r="AS165" s="650"/>
      <c r="AT165" s="650"/>
      <c r="AU165" s="650"/>
      <c r="AV165" s="650"/>
      <c r="AW165" s="652"/>
      <c r="AX165" s="641"/>
      <c r="AY165" s="641"/>
      <c r="AZ165" s="641"/>
      <c r="BA165" s="641"/>
      <c r="BB165" s="641"/>
      <c r="BC165" s="641"/>
      <c r="BD165" s="641"/>
      <c r="BE165" s="641"/>
      <c r="BF165" s="641"/>
      <c r="BG165" s="641"/>
      <c r="BH165" s="641"/>
      <c r="BI165" s="641"/>
      <c r="BJ165" s="641"/>
      <c r="BK165" s="641"/>
      <c r="BL165" s="641"/>
      <c r="BM165" s="641"/>
      <c r="BN165" s="641"/>
      <c r="BO165" s="641"/>
      <c r="BP165" s="641"/>
      <c r="BQ165" s="641"/>
      <c r="BR165" s="641"/>
      <c r="BS165" s="641"/>
      <c r="BT165" s="641"/>
      <c r="BU165" s="641"/>
      <c r="BV165" s="641"/>
      <c r="BW165" s="641"/>
      <c r="BX165" s="641"/>
      <c r="BY165" s="641"/>
      <c r="BZ165" s="641"/>
      <c r="CA165" s="641"/>
      <c r="CB165" s="641"/>
      <c r="CC165" s="641"/>
      <c r="CD165" s="641"/>
      <c r="CE165" s="641"/>
      <c r="CF165" s="641"/>
      <c r="CG165" s="641"/>
      <c r="CH165" s="641"/>
      <c r="CI165" s="641"/>
      <c r="CJ165" s="641"/>
      <c r="CK165" s="641"/>
      <c r="CL165" s="641"/>
      <c r="CM165" s="641"/>
      <c r="CN165" s="641"/>
      <c r="CO165" s="641"/>
      <c r="CP165" s="641"/>
      <c r="CQ165" s="641"/>
      <c r="CR165" s="641"/>
      <c r="CS165" s="641"/>
      <c r="CT165" s="641"/>
      <c r="CU165" s="641"/>
      <c r="CV165" s="641"/>
      <c r="CW165" s="641"/>
      <c r="CX165" s="641"/>
      <c r="CY165" s="641"/>
      <c r="CZ165" s="641"/>
      <c r="DA165" s="641"/>
      <c r="DB165" s="641"/>
      <c r="DC165" s="641"/>
      <c r="DD165" s="641"/>
      <c r="DE165" s="641"/>
      <c r="DF165" s="641"/>
      <c r="DG165" s="641"/>
      <c r="DH165" s="641"/>
      <c r="DI165" s="641"/>
      <c r="DJ165" s="641"/>
      <c r="DK165" s="641"/>
      <c r="DL165" s="641"/>
      <c r="DM165" s="641"/>
      <c r="DN165" s="641"/>
      <c r="DO165" s="641"/>
      <c r="DP165" s="641"/>
      <c r="DQ165" s="642"/>
      <c r="DR165" s="229"/>
    </row>
    <row r="166" spans="1:122" ht="7.5" customHeight="1" x14ac:dyDescent="0.25">
      <c r="A166" s="588">
        <v>0</v>
      </c>
      <c r="B166" s="589"/>
      <c r="C166" s="589"/>
      <c r="D166" s="589"/>
      <c r="E166" s="590"/>
      <c r="G166" s="597" t="s">
        <v>260</v>
      </c>
      <c r="H166" s="597"/>
      <c r="I166" s="597"/>
      <c r="J166" s="597"/>
      <c r="K166" s="597"/>
      <c r="L166" s="597"/>
      <c r="M166" s="597"/>
      <c r="N166" s="597"/>
      <c r="O166" s="597"/>
      <c r="P166" s="597"/>
      <c r="Q166" s="597"/>
      <c r="R166" s="597"/>
      <c r="S166" s="597"/>
      <c r="T166" s="597"/>
      <c r="U166" s="597"/>
      <c r="V166" s="597"/>
      <c r="W166" s="597"/>
      <c r="X166" s="597"/>
      <c r="Y166" s="597"/>
      <c r="Z166" s="600" t="e">
        <f ca="1">FLOOR(INDIRECT(SUBSTITUTE(G166," ",""))/5+1,1)*10</f>
        <v>#REF!</v>
      </c>
      <c r="AA166" s="600"/>
      <c r="AB166" s="600"/>
      <c r="AC166" s="600"/>
      <c r="AD166" s="600"/>
      <c r="AE166" s="600"/>
      <c r="AF166" s="600"/>
      <c r="AG166" s="601"/>
      <c r="AH166" s="142"/>
      <c r="AI166" s="143"/>
      <c r="AJ166" s="143"/>
      <c r="AK166" s="143"/>
      <c r="AL166" s="143"/>
      <c r="AM166" s="143"/>
      <c r="AN166" s="143"/>
      <c r="AO166" s="143"/>
      <c r="AP166" s="143"/>
      <c r="AQ166" s="143"/>
      <c r="AR166" s="143"/>
      <c r="AS166" s="143"/>
      <c r="AT166" s="143"/>
      <c r="AU166" s="143"/>
      <c r="AV166" s="143"/>
      <c r="AW166" s="144"/>
      <c r="AX166" s="616" t="e">
        <f ca="1">"Further increases your "&amp;G166&amp;" skill from "&amp;INDIRECT(SUBSTITUTE(G166," ",""))&amp;" to "&amp;INDIRECT(SUBSTITUTE(G166," ",""))+1</f>
        <v>#REF!</v>
      </c>
      <c r="AY166" s="616"/>
      <c r="AZ166" s="616"/>
      <c r="BA166" s="616"/>
      <c r="BB166" s="616"/>
      <c r="BC166" s="616"/>
      <c r="BD166" s="616"/>
      <c r="BE166" s="616"/>
      <c r="BF166" s="616"/>
      <c r="BG166" s="616"/>
      <c r="BH166" s="616"/>
      <c r="BI166" s="616"/>
      <c r="BJ166" s="616"/>
      <c r="BK166" s="616"/>
      <c r="BL166" s="616"/>
      <c r="BM166" s="616"/>
      <c r="BN166" s="616"/>
      <c r="BO166" s="616"/>
      <c r="BP166" s="616"/>
      <c r="BQ166" s="616"/>
      <c r="BR166" s="616"/>
      <c r="BS166" s="616"/>
      <c r="BT166" s="616"/>
      <c r="BU166" s="616"/>
      <c r="BV166" s="616"/>
      <c r="BW166" s="616"/>
      <c r="BX166" s="616"/>
      <c r="BY166" s="616"/>
      <c r="BZ166" s="616"/>
      <c r="CA166" s="616"/>
      <c r="CB166" s="616"/>
      <c r="CC166" s="616"/>
      <c r="CD166" s="616"/>
      <c r="CE166" s="616"/>
      <c r="CF166" s="616"/>
      <c r="CG166" s="616"/>
      <c r="CH166" s="616"/>
      <c r="CI166" s="616"/>
      <c r="CJ166" s="616"/>
      <c r="CK166" s="616"/>
      <c r="CL166" s="616"/>
      <c r="CM166" s="616"/>
      <c r="CN166" s="616"/>
      <c r="CO166" s="616"/>
      <c r="CP166" s="616"/>
      <c r="CQ166" s="616"/>
      <c r="CR166" s="616"/>
      <c r="CS166" s="616"/>
      <c r="CT166" s="616"/>
      <c r="CU166" s="616"/>
      <c r="CV166" s="616"/>
      <c r="CW166" s="616"/>
      <c r="CX166" s="616"/>
      <c r="CY166" s="616"/>
      <c r="CZ166" s="616"/>
      <c r="DA166" s="616"/>
      <c r="DB166" s="616"/>
      <c r="DC166" s="616"/>
      <c r="DD166" s="616"/>
      <c r="DE166" s="616"/>
      <c r="DF166" s="616"/>
      <c r="DG166" s="616"/>
      <c r="DH166" s="616"/>
      <c r="DI166" s="616"/>
      <c r="DJ166" s="616"/>
      <c r="DK166" s="616"/>
      <c r="DL166" s="616"/>
      <c r="DM166" s="616"/>
      <c r="DN166" s="616"/>
      <c r="DO166" s="616"/>
      <c r="DP166" s="616"/>
      <c r="DQ166" s="617"/>
      <c r="DR166" s="229"/>
    </row>
    <row r="167" spans="1:122" ht="7.5" customHeight="1" x14ac:dyDescent="0.25">
      <c r="A167" s="591"/>
      <c r="B167" s="592"/>
      <c r="C167" s="592"/>
      <c r="D167" s="592"/>
      <c r="E167" s="593"/>
      <c r="F167" s="145"/>
      <c r="G167" s="598"/>
      <c r="H167" s="598"/>
      <c r="I167" s="598"/>
      <c r="J167" s="598"/>
      <c r="K167" s="598"/>
      <c r="L167" s="598"/>
      <c r="M167" s="598"/>
      <c r="N167" s="598"/>
      <c r="O167" s="598"/>
      <c r="P167" s="598"/>
      <c r="Q167" s="598"/>
      <c r="R167" s="598"/>
      <c r="S167" s="598"/>
      <c r="T167" s="598"/>
      <c r="U167" s="598"/>
      <c r="V167" s="598"/>
      <c r="W167" s="598"/>
      <c r="X167" s="598"/>
      <c r="Y167" s="598"/>
      <c r="Z167" s="602"/>
      <c r="AA167" s="602"/>
      <c r="AB167" s="602"/>
      <c r="AC167" s="602"/>
      <c r="AD167" s="602"/>
      <c r="AE167" s="602"/>
      <c r="AF167" s="602"/>
      <c r="AG167" s="635"/>
      <c r="AH167" s="132"/>
      <c r="AI167" s="129"/>
      <c r="AJ167" s="129"/>
      <c r="AK167" s="129"/>
      <c r="AL167" s="129"/>
      <c r="AM167" s="129"/>
      <c r="AN167" s="129"/>
      <c r="AO167" s="129"/>
      <c r="AP167" s="129"/>
      <c r="AQ167" s="129"/>
      <c r="AR167" s="129"/>
      <c r="AS167" s="129"/>
      <c r="AT167" s="129"/>
      <c r="AU167" s="129"/>
      <c r="AV167" s="129"/>
      <c r="AW167" s="145"/>
      <c r="AX167" s="619"/>
      <c r="AY167" s="619"/>
      <c r="AZ167" s="619"/>
      <c r="BA167" s="619"/>
      <c r="BB167" s="619"/>
      <c r="BC167" s="619"/>
      <c r="BD167" s="619"/>
      <c r="BE167" s="619"/>
      <c r="BF167" s="619"/>
      <c r="BG167" s="619"/>
      <c r="BH167" s="619"/>
      <c r="BI167" s="619"/>
      <c r="BJ167" s="619"/>
      <c r="BK167" s="619"/>
      <c r="BL167" s="619"/>
      <c r="BM167" s="619"/>
      <c r="BN167" s="619"/>
      <c r="BO167" s="619"/>
      <c r="BP167" s="619"/>
      <c r="BQ167" s="619"/>
      <c r="BR167" s="619"/>
      <c r="BS167" s="619"/>
      <c r="BT167" s="619"/>
      <c r="BU167" s="619"/>
      <c r="BV167" s="619"/>
      <c r="BW167" s="619"/>
      <c r="BX167" s="619"/>
      <c r="BY167" s="619"/>
      <c r="BZ167" s="619"/>
      <c r="CA167" s="619"/>
      <c r="CB167" s="619"/>
      <c r="CC167" s="619"/>
      <c r="CD167" s="619"/>
      <c r="CE167" s="619"/>
      <c r="CF167" s="619"/>
      <c r="CG167" s="619"/>
      <c r="CH167" s="619"/>
      <c r="CI167" s="619"/>
      <c r="CJ167" s="619"/>
      <c r="CK167" s="619"/>
      <c r="CL167" s="619"/>
      <c r="CM167" s="619"/>
      <c r="CN167" s="619"/>
      <c r="CO167" s="619"/>
      <c r="CP167" s="619"/>
      <c r="CQ167" s="619"/>
      <c r="CR167" s="619"/>
      <c r="CS167" s="619"/>
      <c r="CT167" s="619"/>
      <c r="CU167" s="619"/>
      <c r="CV167" s="619"/>
      <c r="CW167" s="619"/>
      <c r="CX167" s="619"/>
      <c r="CY167" s="619"/>
      <c r="CZ167" s="619"/>
      <c r="DA167" s="619"/>
      <c r="DB167" s="619"/>
      <c r="DC167" s="619"/>
      <c r="DD167" s="619"/>
      <c r="DE167" s="619"/>
      <c r="DF167" s="619"/>
      <c r="DG167" s="619"/>
      <c r="DH167" s="619"/>
      <c r="DI167" s="619"/>
      <c r="DJ167" s="619"/>
      <c r="DK167" s="619"/>
      <c r="DL167" s="619"/>
      <c r="DM167" s="619"/>
      <c r="DN167" s="619"/>
      <c r="DO167" s="619"/>
      <c r="DP167" s="619"/>
      <c r="DQ167" s="639"/>
      <c r="DR167" s="229"/>
    </row>
    <row r="168" spans="1:122" ht="7.5" customHeight="1" x14ac:dyDescent="0.25">
      <c r="A168" s="594"/>
      <c r="B168" s="595"/>
      <c r="C168" s="595"/>
      <c r="D168" s="595"/>
      <c r="E168" s="596"/>
      <c r="G168" s="599"/>
      <c r="H168" s="599"/>
      <c r="I168" s="599"/>
      <c r="J168" s="599"/>
      <c r="K168" s="599"/>
      <c r="L168" s="599"/>
      <c r="M168" s="599"/>
      <c r="N168" s="599"/>
      <c r="O168" s="599"/>
      <c r="P168" s="599"/>
      <c r="Q168" s="599"/>
      <c r="R168" s="599"/>
      <c r="S168" s="599"/>
      <c r="T168" s="599"/>
      <c r="U168" s="599"/>
      <c r="V168" s="599"/>
      <c r="W168" s="599"/>
      <c r="X168" s="599"/>
      <c r="Y168" s="599"/>
      <c r="Z168" s="602"/>
      <c r="AA168" s="602"/>
      <c r="AB168" s="602"/>
      <c r="AC168" s="602"/>
      <c r="AD168" s="602"/>
      <c r="AE168" s="602"/>
      <c r="AF168" s="602"/>
      <c r="AG168" s="636"/>
      <c r="AH168" s="132"/>
      <c r="AI168" s="129"/>
      <c r="AJ168" s="129"/>
      <c r="AK168" s="129"/>
      <c r="AL168" s="129"/>
      <c r="AM168" s="129"/>
      <c r="AN168" s="129"/>
      <c r="AO168" s="129"/>
      <c r="AP168" s="129"/>
      <c r="AQ168" s="129"/>
      <c r="AR168" s="129"/>
      <c r="AS168" s="129"/>
      <c r="AT168" s="129"/>
      <c r="AU168" s="129"/>
      <c r="AV168" s="129"/>
      <c r="AW168" s="146"/>
      <c r="AX168" s="619"/>
      <c r="AY168" s="619"/>
      <c r="AZ168" s="619"/>
      <c r="BA168" s="619"/>
      <c r="BB168" s="619"/>
      <c r="BC168" s="619"/>
      <c r="BD168" s="619"/>
      <c r="BE168" s="619"/>
      <c r="BF168" s="619"/>
      <c r="BG168" s="619"/>
      <c r="BH168" s="619"/>
      <c r="BI168" s="619"/>
      <c r="BJ168" s="619"/>
      <c r="BK168" s="619"/>
      <c r="BL168" s="619"/>
      <c r="BM168" s="619"/>
      <c r="BN168" s="619"/>
      <c r="BO168" s="619"/>
      <c r="BP168" s="619"/>
      <c r="BQ168" s="619"/>
      <c r="BR168" s="619"/>
      <c r="BS168" s="619"/>
      <c r="BT168" s="619"/>
      <c r="BU168" s="619"/>
      <c r="BV168" s="619"/>
      <c r="BW168" s="619"/>
      <c r="BX168" s="619"/>
      <c r="BY168" s="619"/>
      <c r="BZ168" s="619"/>
      <c r="CA168" s="619"/>
      <c r="CB168" s="619"/>
      <c r="CC168" s="619"/>
      <c r="CD168" s="619"/>
      <c r="CE168" s="619"/>
      <c r="CF168" s="619"/>
      <c r="CG168" s="619"/>
      <c r="CH168" s="619"/>
      <c r="CI168" s="619"/>
      <c r="CJ168" s="619"/>
      <c r="CK168" s="619"/>
      <c r="CL168" s="619"/>
      <c r="CM168" s="619"/>
      <c r="CN168" s="619"/>
      <c r="CO168" s="619"/>
      <c r="CP168" s="619"/>
      <c r="CQ168" s="619"/>
      <c r="CR168" s="619"/>
      <c r="CS168" s="619"/>
      <c r="CT168" s="619"/>
      <c r="CU168" s="619"/>
      <c r="CV168" s="619"/>
      <c r="CW168" s="619"/>
      <c r="CX168" s="619"/>
      <c r="CY168" s="619"/>
      <c r="CZ168" s="619"/>
      <c r="DA168" s="619"/>
      <c r="DB168" s="619"/>
      <c r="DC168" s="619"/>
      <c r="DD168" s="619"/>
      <c r="DE168" s="619"/>
      <c r="DF168" s="619"/>
      <c r="DG168" s="619"/>
      <c r="DH168" s="619"/>
      <c r="DI168" s="619"/>
      <c r="DJ168" s="619"/>
      <c r="DK168" s="619"/>
      <c r="DL168" s="619"/>
      <c r="DM168" s="619"/>
      <c r="DN168" s="619"/>
      <c r="DO168" s="619"/>
      <c r="DP168" s="619"/>
      <c r="DQ168" s="640"/>
      <c r="DR168" s="229"/>
    </row>
    <row r="169" spans="1:122" ht="7.5" customHeight="1" x14ac:dyDescent="0.25">
      <c r="A169" s="119"/>
      <c r="B169" s="119"/>
      <c r="C169" s="119"/>
      <c r="D169" s="119"/>
      <c r="E169" s="119"/>
      <c r="F169" s="653" t="str">
        <f>G166</f>
        <v>Animal Handling</v>
      </c>
      <c r="G169" s="653"/>
      <c r="H169" s="653"/>
      <c r="I169" s="653"/>
      <c r="J169" s="653"/>
      <c r="K169" s="625" t="e">
        <f ca="1">(FLOOR(INDIRECT(SUBSTITUTE(G166," ",""))/5,1)*(FLOOR(INDIRECT(SUBSTITUTE(G166," ",""))/5,1)+1)/2)*50+MOD(INDIRECT(SUBSTITUTE(G166," ","")),5)*CEILING(INDIRECT(SUBSTITUTE(G166," ",""))/5,1)*10-((FLOOR(INDIRECT("Base"&amp;SUBSTITUTE(G166," ",""))/5,1)*(FLOOR(INDIRECT("Base"&amp;SUBSTITUTE(G166," ",""))/5,1)+1)/2)*50+MOD(INDIRECT("Base"&amp;SUBSTITUTE(G166," ","")),5)*CEILING(INDIRECT("Base"&amp;SUBSTITUTE(G166," ",""))/5,1)*10)</f>
        <v>#REF!</v>
      </c>
      <c r="L169" s="625"/>
      <c r="M169" s="625"/>
      <c r="N169" s="626" t="b">
        <f>IF(AH162&lt;&gt;"",VLOOKUP($G166,'Merit Data'!A:BW,MATCH('Merit Data'!$B$3,'Merit Data'!$3:$3,0),0),TRUE)</f>
        <v>1</v>
      </c>
      <c r="O169" s="626"/>
      <c r="P169" s="626"/>
      <c r="Q169" s="140"/>
      <c r="R169" s="140"/>
      <c r="S169" s="140"/>
      <c r="T169" s="140"/>
      <c r="U169" s="140"/>
      <c r="V169" s="238"/>
      <c r="W169" s="238"/>
      <c r="X169" s="627" t="str">
        <f>IF(F169&gt;0,HYPERLINK("http://wiki.project-saros.com/w/"&amp;F169,"Info"),"")</f>
        <v>Info</v>
      </c>
      <c r="Y169" s="628"/>
      <c r="Z169" s="637"/>
      <c r="AA169" s="637"/>
      <c r="AB169" s="637"/>
      <c r="AC169" s="637"/>
      <c r="AD169" s="637"/>
      <c r="AE169" s="637"/>
      <c r="AF169" s="637"/>
      <c r="AG169" s="638"/>
      <c r="AH169" s="148"/>
      <c r="AI169" s="131"/>
      <c r="AJ169" s="131"/>
      <c r="AK169" s="149"/>
      <c r="AL169" s="149"/>
      <c r="AM169" s="149"/>
      <c r="AN169" s="149"/>
      <c r="AO169" s="149"/>
      <c r="AP169" s="149"/>
      <c r="AQ169" s="149"/>
      <c r="AR169" s="149"/>
      <c r="AS169" s="131"/>
      <c r="AT169" s="131"/>
      <c r="AU169" s="131"/>
      <c r="AV169" s="131"/>
      <c r="AW169" s="150"/>
      <c r="AX169" s="641"/>
      <c r="AY169" s="641"/>
      <c r="AZ169" s="641"/>
      <c r="BA169" s="641"/>
      <c r="BB169" s="641"/>
      <c r="BC169" s="641"/>
      <c r="BD169" s="641"/>
      <c r="BE169" s="641"/>
      <c r="BF169" s="641"/>
      <c r="BG169" s="641"/>
      <c r="BH169" s="641"/>
      <c r="BI169" s="641"/>
      <c r="BJ169" s="641"/>
      <c r="BK169" s="641"/>
      <c r="BL169" s="641"/>
      <c r="BM169" s="641"/>
      <c r="BN169" s="641"/>
      <c r="BO169" s="641"/>
      <c r="BP169" s="641"/>
      <c r="BQ169" s="641"/>
      <c r="BR169" s="641"/>
      <c r="BS169" s="641"/>
      <c r="BT169" s="641"/>
      <c r="BU169" s="641"/>
      <c r="BV169" s="641"/>
      <c r="BW169" s="641"/>
      <c r="BX169" s="641"/>
      <c r="BY169" s="641"/>
      <c r="BZ169" s="641"/>
      <c r="CA169" s="641"/>
      <c r="CB169" s="641"/>
      <c r="CC169" s="641"/>
      <c r="CD169" s="641"/>
      <c r="CE169" s="641"/>
      <c r="CF169" s="641"/>
      <c r="CG169" s="641"/>
      <c r="CH169" s="641"/>
      <c r="CI169" s="641"/>
      <c r="CJ169" s="641"/>
      <c r="CK169" s="641"/>
      <c r="CL169" s="641"/>
      <c r="CM169" s="641"/>
      <c r="CN169" s="641"/>
      <c r="CO169" s="641"/>
      <c r="CP169" s="641"/>
      <c r="CQ169" s="641"/>
      <c r="CR169" s="641"/>
      <c r="CS169" s="641"/>
      <c r="CT169" s="641"/>
      <c r="CU169" s="641"/>
      <c r="CV169" s="641"/>
      <c r="CW169" s="641"/>
      <c r="CX169" s="641"/>
      <c r="CY169" s="641"/>
      <c r="CZ169" s="641"/>
      <c r="DA169" s="641"/>
      <c r="DB169" s="641"/>
      <c r="DC169" s="641"/>
      <c r="DD169" s="641"/>
      <c r="DE169" s="641"/>
      <c r="DF169" s="641"/>
      <c r="DG169" s="641"/>
      <c r="DH169" s="641"/>
      <c r="DI169" s="641"/>
      <c r="DJ169" s="641"/>
      <c r="DK169" s="641"/>
      <c r="DL169" s="641"/>
      <c r="DM169" s="641"/>
      <c r="DN169" s="641"/>
      <c r="DO169" s="641"/>
      <c r="DP169" s="641"/>
      <c r="DQ169" s="642"/>
      <c r="DR169" s="229"/>
    </row>
    <row r="170" spans="1:122" ht="7.5" customHeight="1" x14ac:dyDescent="0.25">
      <c r="A170" s="588">
        <v>0</v>
      </c>
      <c r="B170" s="589"/>
      <c r="C170" s="589"/>
      <c r="D170" s="589"/>
      <c r="E170" s="590"/>
      <c r="G170" s="597" t="s">
        <v>261</v>
      </c>
      <c r="H170" s="597"/>
      <c r="I170" s="597"/>
      <c r="J170" s="597"/>
      <c r="K170" s="597"/>
      <c r="L170" s="597"/>
      <c r="M170" s="597"/>
      <c r="N170" s="597"/>
      <c r="O170" s="597"/>
      <c r="P170" s="597"/>
      <c r="Q170" s="597"/>
      <c r="R170" s="597"/>
      <c r="S170" s="597"/>
      <c r="T170" s="597"/>
      <c r="U170" s="597"/>
      <c r="V170" s="597"/>
      <c r="W170" s="597"/>
      <c r="X170" s="597"/>
      <c r="Y170" s="597"/>
      <c r="Z170" s="600" t="e">
        <f ca="1">FLOOR(INDIRECT(SUBSTITUTE(G170," ",""))/5+1,1)*10</f>
        <v>#REF!</v>
      </c>
      <c r="AA170" s="600"/>
      <c r="AB170" s="600"/>
      <c r="AC170" s="600"/>
      <c r="AD170" s="600"/>
      <c r="AE170" s="600"/>
      <c r="AF170" s="600"/>
      <c r="AG170" s="601"/>
      <c r="AH170" s="142"/>
      <c r="AI170" s="143"/>
      <c r="AJ170" s="143"/>
      <c r="AK170" s="143"/>
      <c r="AL170" s="143"/>
      <c r="AM170" s="143"/>
      <c r="AN170" s="143"/>
      <c r="AO170" s="143"/>
      <c r="AP170" s="143"/>
      <c r="AQ170" s="143"/>
      <c r="AR170" s="143"/>
      <c r="AS170" s="143"/>
      <c r="AT170" s="143"/>
      <c r="AU170" s="143"/>
      <c r="AV170" s="143"/>
      <c r="AW170" s="144"/>
      <c r="AX170" s="616" t="e">
        <f ca="1">"Further increases your "&amp;G170&amp;" skill from "&amp;INDIRECT(SUBSTITUTE(G170," ",""))&amp;" to "&amp;INDIRECT(SUBSTITUTE(G170," ",""))+1</f>
        <v>#REF!</v>
      </c>
      <c r="AY170" s="616"/>
      <c r="AZ170" s="616"/>
      <c r="BA170" s="616"/>
      <c r="BB170" s="616"/>
      <c r="BC170" s="616"/>
      <c r="BD170" s="616"/>
      <c r="BE170" s="616"/>
      <c r="BF170" s="616"/>
      <c r="BG170" s="616"/>
      <c r="BH170" s="616"/>
      <c r="BI170" s="616"/>
      <c r="BJ170" s="616"/>
      <c r="BK170" s="616"/>
      <c r="BL170" s="616"/>
      <c r="BM170" s="616"/>
      <c r="BN170" s="616"/>
      <c r="BO170" s="616"/>
      <c r="BP170" s="616"/>
      <c r="BQ170" s="616"/>
      <c r="BR170" s="616"/>
      <c r="BS170" s="616"/>
      <c r="BT170" s="616"/>
      <c r="BU170" s="616"/>
      <c r="BV170" s="616"/>
      <c r="BW170" s="616"/>
      <c r="BX170" s="616"/>
      <c r="BY170" s="616"/>
      <c r="BZ170" s="616"/>
      <c r="CA170" s="616"/>
      <c r="CB170" s="616"/>
      <c r="CC170" s="616"/>
      <c r="CD170" s="616"/>
      <c r="CE170" s="616"/>
      <c r="CF170" s="616"/>
      <c r="CG170" s="616"/>
      <c r="CH170" s="616"/>
      <c r="CI170" s="616"/>
      <c r="CJ170" s="616"/>
      <c r="CK170" s="616"/>
      <c r="CL170" s="616"/>
      <c r="CM170" s="616"/>
      <c r="CN170" s="616"/>
      <c r="CO170" s="616"/>
      <c r="CP170" s="616"/>
      <c r="CQ170" s="616"/>
      <c r="CR170" s="616"/>
      <c r="CS170" s="616"/>
      <c r="CT170" s="616"/>
      <c r="CU170" s="616"/>
      <c r="CV170" s="616"/>
      <c r="CW170" s="616"/>
      <c r="CX170" s="616"/>
      <c r="CY170" s="616"/>
      <c r="CZ170" s="616"/>
      <c r="DA170" s="616"/>
      <c r="DB170" s="616"/>
      <c r="DC170" s="616"/>
      <c r="DD170" s="616"/>
      <c r="DE170" s="616"/>
      <c r="DF170" s="616"/>
      <c r="DG170" s="616"/>
      <c r="DH170" s="616"/>
      <c r="DI170" s="616"/>
      <c r="DJ170" s="616"/>
      <c r="DK170" s="616"/>
      <c r="DL170" s="616"/>
      <c r="DM170" s="616"/>
      <c r="DN170" s="616"/>
      <c r="DO170" s="616"/>
      <c r="DP170" s="616"/>
      <c r="DQ170" s="617"/>
      <c r="DR170" s="229"/>
    </row>
    <row r="171" spans="1:122" ht="7.5" customHeight="1" x14ac:dyDescent="0.25">
      <c r="A171" s="591"/>
      <c r="B171" s="592"/>
      <c r="C171" s="592"/>
      <c r="D171" s="592"/>
      <c r="E171" s="593"/>
      <c r="F171" s="145"/>
      <c r="G171" s="598"/>
      <c r="H171" s="598"/>
      <c r="I171" s="598"/>
      <c r="J171" s="598"/>
      <c r="K171" s="598"/>
      <c r="L171" s="598"/>
      <c r="M171" s="598"/>
      <c r="N171" s="598"/>
      <c r="O171" s="598"/>
      <c r="P171" s="598"/>
      <c r="Q171" s="598"/>
      <c r="R171" s="598"/>
      <c r="S171" s="598"/>
      <c r="T171" s="598"/>
      <c r="U171" s="598"/>
      <c r="V171" s="598"/>
      <c r="W171" s="598"/>
      <c r="X171" s="598"/>
      <c r="Y171" s="598"/>
      <c r="Z171" s="602"/>
      <c r="AA171" s="602"/>
      <c r="AB171" s="602"/>
      <c r="AC171" s="602"/>
      <c r="AD171" s="602"/>
      <c r="AE171" s="602"/>
      <c r="AF171" s="602"/>
      <c r="AG171" s="635"/>
      <c r="AH171" s="132"/>
      <c r="AI171" s="129"/>
      <c r="AJ171" s="129"/>
      <c r="AK171" s="129"/>
      <c r="AL171" s="129"/>
      <c r="AM171" s="129"/>
      <c r="AN171" s="129"/>
      <c r="AO171" s="129"/>
      <c r="AP171" s="129"/>
      <c r="AQ171" s="129"/>
      <c r="AR171" s="129"/>
      <c r="AS171" s="129"/>
      <c r="AT171" s="129"/>
      <c r="AU171" s="129"/>
      <c r="AV171" s="129"/>
      <c r="AW171" s="145"/>
      <c r="AX171" s="619"/>
      <c r="AY171" s="619"/>
      <c r="AZ171" s="619"/>
      <c r="BA171" s="619"/>
      <c r="BB171" s="619"/>
      <c r="BC171" s="619"/>
      <c r="BD171" s="619"/>
      <c r="BE171" s="619"/>
      <c r="BF171" s="619"/>
      <c r="BG171" s="619"/>
      <c r="BH171" s="619"/>
      <c r="BI171" s="619"/>
      <c r="BJ171" s="619"/>
      <c r="BK171" s="619"/>
      <c r="BL171" s="619"/>
      <c r="BM171" s="619"/>
      <c r="BN171" s="619"/>
      <c r="BO171" s="619"/>
      <c r="BP171" s="619"/>
      <c r="BQ171" s="619"/>
      <c r="BR171" s="619"/>
      <c r="BS171" s="619"/>
      <c r="BT171" s="619"/>
      <c r="BU171" s="619"/>
      <c r="BV171" s="619"/>
      <c r="BW171" s="619"/>
      <c r="BX171" s="619"/>
      <c r="BY171" s="619"/>
      <c r="BZ171" s="619"/>
      <c r="CA171" s="619"/>
      <c r="CB171" s="619"/>
      <c r="CC171" s="619"/>
      <c r="CD171" s="619"/>
      <c r="CE171" s="619"/>
      <c r="CF171" s="619"/>
      <c r="CG171" s="619"/>
      <c r="CH171" s="619"/>
      <c r="CI171" s="619"/>
      <c r="CJ171" s="619"/>
      <c r="CK171" s="619"/>
      <c r="CL171" s="619"/>
      <c r="CM171" s="619"/>
      <c r="CN171" s="619"/>
      <c r="CO171" s="619"/>
      <c r="CP171" s="619"/>
      <c r="CQ171" s="619"/>
      <c r="CR171" s="619"/>
      <c r="CS171" s="619"/>
      <c r="CT171" s="619"/>
      <c r="CU171" s="619"/>
      <c r="CV171" s="619"/>
      <c r="CW171" s="619"/>
      <c r="CX171" s="619"/>
      <c r="CY171" s="619"/>
      <c r="CZ171" s="619"/>
      <c r="DA171" s="619"/>
      <c r="DB171" s="619"/>
      <c r="DC171" s="619"/>
      <c r="DD171" s="619"/>
      <c r="DE171" s="619"/>
      <c r="DF171" s="619"/>
      <c r="DG171" s="619"/>
      <c r="DH171" s="619"/>
      <c r="DI171" s="619"/>
      <c r="DJ171" s="619"/>
      <c r="DK171" s="619"/>
      <c r="DL171" s="619"/>
      <c r="DM171" s="619"/>
      <c r="DN171" s="619"/>
      <c r="DO171" s="619"/>
      <c r="DP171" s="619"/>
      <c r="DQ171" s="639"/>
      <c r="DR171" s="229"/>
    </row>
    <row r="172" spans="1:122" ht="7.5" customHeight="1" x14ac:dyDescent="0.25">
      <c r="A172" s="594"/>
      <c r="B172" s="595"/>
      <c r="C172" s="595"/>
      <c r="D172" s="595"/>
      <c r="E172" s="596"/>
      <c r="G172" s="599"/>
      <c r="H172" s="599"/>
      <c r="I172" s="599"/>
      <c r="J172" s="599"/>
      <c r="K172" s="599"/>
      <c r="L172" s="599"/>
      <c r="M172" s="599"/>
      <c r="N172" s="599"/>
      <c r="O172" s="599"/>
      <c r="P172" s="599"/>
      <c r="Q172" s="599"/>
      <c r="R172" s="599"/>
      <c r="S172" s="599"/>
      <c r="T172" s="599"/>
      <c r="U172" s="599"/>
      <c r="V172" s="599"/>
      <c r="W172" s="599"/>
      <c r="X172" s="599"/>
      <c r="Y172" s="599"/>
      <c r="Z172" s="602"/>
      <c r="AA172" s="602"/>
      <c r="AB172" s="602"/>
      <c r="AC172" s="602"/>
      <c r="AD172" s="602"/>
      <c r="AE172" s="602"/>
      <c r="AF172" s="602"/>
      <c r="AG172" s="636"/>
      <c r="AH172" s="132"/>
      <c r="AI172" s="129"/>
      <c r="AJ172" s="129"/>
      <c r="AK172" s="129"/>
      <c r="AL172" s="129"/>
      <c r="AM172" s="129"/>
      <c r="AN172" s="129"/>
      <c r="AO172" s="129"/>
      <c r="AP172" s="129"/>
      <c r="AQ172" s="129"/>
      <c r="AR172" s="129"/>
      <c r="AS172" s="129"/>
      <c r="AT172" s="129"/>
      <c r="AU172" s="129"/>
      <c r="AV172" s="129"/>
      <c r="AW172" s="146"/>
      <c r="AX172" s="619"/>
      <c r="AY172" s="619"/>
      <c r="AZ172" s="619"/>
      <c r="BA172" s="619"/>
      <c r="BB172" s="619"/>
      <c r="BC172" s="619"/>
      <c r="BD172" s="619"/>
      <c r="BE172" s="619"/>
      <c r="BF172" s="619"/>
      <c r="BG172" s="619"/>
      <c r="BH172" s="619"/>
      <c r="BI172" s="619"/>
      <c r="BJ172" s="619"/>
      <c r="BK172" s="619"/>
      <c r="BL172" s="619"/>
      <c r="BM172" s="619"/>
      <c r="BN172" s="619"/>
      <c r="BO172" s="619"/>
      <c r="BP172" s="619"/>
      <c r="BQ172" s="619"/>
      <c r="BR172" s="619"/>
      <c r="BS172" s="619"/>
      <c r="BT172" s="619"/>
      <c r="BU172" s="619"/>
      <c r="BV172" s="619"/>
      <c r="BW172" s="619"/>
      <c r="BX172" s="619"/>
      <c r="BY172" s="619"/>
      <c r="BZ172" s="619"/>
      <c r="CA172" s="619"/>
      <c r="CB172" s="619"/>
      <c r="CC172" s="619"/>
      <c r="CD172" s="619"/>
      <c r="CE172" s="619"/>
      <c r="CF172" s="619"/>
      <c r="CG172" s="619"/>
      <c r="CH172" s="619"/>
      <c r="CI172" s="619"/>
      <c r="CJ172" s="619"/>
      <c r="CK172" s="619"/>
      <c r="CL172" s="619"/>
      <c r="CM172" s="619"/>
      <c r="CN172" s="619"/>
      <c r="CO172" s="619"/>
      <c r="CP172" s="619"/>
      <c r="CQ172" s="619"/>
      <c r="CR172" s="619"/>
      <c r="CS172" s="619"/>
      <c r="CT172" s="619"/>
      <c r="CU172" s="619"/>
      <c r="CV172" s="619"/>
      <c r="CW172" s="619"/>
      <c r="CX172" s="619"/>
      <c r="CY172" s="619"/>
      <c r="CZ172" s="619"/>
      <c r="DA172" s="619"/>
      <c r="DB172" s="619"/>
      <c r="DC172" s="619"/>
      <c r="DD172" s="619"/>
      <c r="DE172" s="619"/>
      <c r="DF172" s="619"/>
      <c r="DG172" s="619"/>
      <c r="DH172" s="619"/>
      <c r="DI172" s="619"/>
      <c r="DJ172" s="619"/>
      <c r="DK172" s="619"/>
      <c r="DL172" s="619"/>
      <c r="DM172" s="619"/>
      <c r="DN172" s="619"/>
      <c r="DO172" s="619"/>
      <c r="DP172" s="619"/>
      <c r="DQ172" s="640"/>
      <c r="DR172" s="229"/>
    </row>
    <row r="173" spans="1:122" ht="7.5" customHeight="1" x14ac:dyDescent="0.25">
      <c r="A173" s="119"/>
      <c r="B173" s="119"/>
      <c r="C173" s="119"/>
      <c r="D173" s="119"/>
      <c r="E173" s="119"/>
      <c r="F173" s="653" t="str">
        <f>G170</f>
        <v>Arcana</v>
      </c>
      <c r="G173" s="653"/>
      <c r="H173" s="653"/>
      <c r="I173" s="653"/>
      <c r="J173" s="653"/>
      <c r="K173" s="625" t="e">
        <f ca="1">(FLOOR(INDIRECT(SUBSTITUTE(G170," ",""))/5,1)*(FLOOR(INDIRECT(SUBSTITUTE(G170," ",""))/5,1)+1)/2)*50+MOD(INDIRECT(SUBSTITUTE(G170," ","")),5)*CEILING(INDIRECT(SUBSTITUTE(G170," ",""))/5,1)*10-((FLOOR(INDIRECT("Base"&amp;SUBSTITUTE(G170," ",""))/5,1)*(FLOOR(INDIRECT("Base"&amp;SUBSTITUTE(G170," ",""))/5,1)+1)/2)*50+MOD(INDIRECT("Base"&amp;SUBSTITUTE(G170," ","")),5)*CEILING(INDIRECT("Base"&amp;SUBSTITUTE(G170," ",""))/5,1)*10)</f>
        <v>#REF!</v>
      </c>
      <c r="L173" s="625"/>
      <c r="M173" s="625"/>
      <c r="N173" s="626" t="b">
        <f>IF(AH166&lt;&gt;"",VLOOKUP($G170,'Merit Data'!A:BW,MATCH('Merit Data'!$B$3,'Merit Data'!$3:$3,0),0),TRUE)</f>
        <v>1</v>
      </c>
      <c r="O173" s="626"/>
      <c r="P173" s="626"/>
      <c r="Q173" s="140"/>
      <c r="R173" s="140"/>
      <c r="S173" s="140"/>
      <c r="T173" s="140"/>
      <c r="U173" s="140"/>
      <c r="V173" s="238"/>
      <c r="W173" s="238"/>
      <c r="X173" s="627" t="str">
        <f>IF(F173&gt;0,HYPERLINK("http://wiki.project-saros.com/w/"&amp;F173,"Info"),"")</f>
        <v>Info</v>
      </c>
      <c r="Y173" s="628"/>
      <c r="Z173" s="637"/>
      <c r="AA173" s="637"/>
      <c r="AB173" s="637"/>
      <c r="AC173" s="637"/>
      <c r="AD173" s="637"/>
      <c r="AE173" s="637"/>
      <c r="AF173" s="637"/>
      <c r="AG173" s="638"/>
      <c r="AH173" s="148"/>
      <c r="AI173" s="131"/>
      <c r="AJ173" s="131"/>
      <c r="AK173" s="149"/>
      <c r="AL173" s="149"/>
      <c r="AM173" s="149"/>
      <c r="AN173" s="149"/>
      <c r="AO173" s="149"/>
      <c r="AP173" s="149"/>
      <c r="AQ173" s="149"/>
      <c r="AR173" s="149"/>
      <c r="AS173" s="131"/>
      <c r="AT173" s="131"/>
      <c r="AU173" s="131"/>
      <c r="AV173" s="131"/>
      <c r="AW173" s="150"/>
      <c r="AX173" s="641"/>
      <c r="AY173" s="641"/>
      <c r="AZ173" s="641"/>
      <c r="BA173" s="641"/>
      <c r="BB173" s="641"/>
      <c r="BC173" s="641"/>
      <c r="BD173" s="641"/>
      <c r="BE173" s="641"/>
      <c r="BF173" s="641"/>
      <c r="BG173" s="641"/>
      <c r="BH173" s="641"/>
      <c r="BI173" s="641"/>
      <c r="BJ173" s="641"/>
      <c r="BK173" s="641"/>
      <c r="BL173" s="641"/>
      <c r="BM173" s="641"/>
      <c r="BN173" s="641"/>
      <c r="BO173" s="641"/>
      <c r="BP173" s="641"/>
      <c r="BQ173" s="641"/>
      <c r="BR173" s="641"/>
      <c r="BS173" s="641"/>
      <c r="BT173" s="641"/>
      <c r="BU173" s="641"/>
      <c r="BV173" s="641"/>
      <c r="BW173" s="641"/>
      <c r="BX173" s="641"/>
      <c r="BY173" s="641"/>
      <c r="BZ173" s="641"/>
      <c r="CA173" s="641"/>
      <c r="CB173" s="641"/>
      <c r="CC173" s="641"/>
      <c r="CD173" s="641"/>
      <c r="CE173" s="641"/>
      <c r="CF173" s="641"/>
      <c r="CG173" s="641"/>
      <c r="CH173" s="641"/>
      <c r="CI173" s="641"/>
      <c r="CJ173" s="641"/>
      <c r="CK173" s="641"/>
      <c r="CL173" s="641"/>
      <c r="CM173" s="641"/>
      <c r="CN173" s="641"/>
      <c r="CO173" s="641"/>
      <c r="CP173" s="641"/>
      <c r="CQ173" s="641"/>
      <c r="CR173" s="641"/>
      <c r="CS173" s="641"/>
      <c r="CT173" s="641"/>
      <c r="CU173" s="641"/>
      <c r="CV173" s="641"/>
      <c r="CW173" s="641"/>
      <c r="CX173" s="641"/>
      <c r="CY173" s="641"/>
      <c r="CZ173" s="641"/>
      <c r="DA173" s="641"/>
      <c r="DB173" s="641"/>
      <c r="DC173" s="641"/>
      <c r="DD173" s="641"/>
      <c r="DE173" s="641"/>
      <c r="DF173" s="641"/>
      <c r="DG173" s="641"/>
      <c r="DH173" s="641"/>
      <c r="DI173" s="641"/>
      <c r="DJ173" s="641"/>
      <c r="DK173" s="641"/>
      <c r="DL173" s="641"/>
      <c r="DM173" s="641"/>
      <c r="DN173" s="641"/>
      <c r="DO173" s="641"/>
      <c r="DP173" s="641"/>
      <c r="DQ173" s="642"/>
      <c r="DR173" s="229"/>
    </row>
    <row r="174" spans="1:122" ht="7.5" customHeight="1" x14ac:dyDescent="0.25">
      <c r="A174" s="588">
        <v>0</v>
      </c>
      <c r="B174" s="589"/>
      <c r="C174" s="589"/>
      <c r="D174" s="589"/>
      <c r="E174" s="590"/>
      <c r="G174" s="597" t="s">
        <v>262</v>
      </c>
      <c r="H174" s="597"/>
      <c r="I174" s="597"/>
      <c r="J174" s="597"/>
      <c r="K174" s="597"/>
      <c r="L174" s="597"/>
      <c r="M174" s="597"/>
      <c r="N174" s="597"/>
      <c r="O174" s="597"/>
      <c r="P174" s="597"/>
      <c r="Q174" s="597"/>
      <c r="R174" s="597"/>
      <c r="S174" s="597"/>
      <c r="T174" s="597"/>
      <c r="U174" s="597"/>
      <c r="V174" s="597"/>
      <c r="W174" s="597"/>
      <c r="X174" s="597"/>
      <c r="Y174" s="597"/>
      <c r="Z174" s="600" t="e">
        <f ca="1">FLOOR(INDIRECT(SUBSTITUTE(G174," ",""))/5+1,1)*10</f>
        <v>#REF!</v>
      </c>
      <c r="AA174" s="600"/>
      <c r="AB174" s="600"/>
      <c r="AC174" s="600"/>
      <c r="AD174" s="600"/>
      <c r="AE174" s="600"/>
      <c r="AF174" s="600"/>
      <c r="AG174" s="601"/>
      <c r="AH174" s="142"/>
      <c r="AI174" s="143"/>
      <c r="AJ174" s="143"/>
      <c r="AK174" s="143"/>
      <c r="AL174" s="143"/>
      <c r="AM174" s="143"/>
      <c r="AN174" s="143"/>
      <c r="AO174" s="143"/>
      <c r="AP174" s="143"/>
      <c r="AQ174" s="143"/>
      <c r="AR174" s="143"/>
      <c r="AS174" s="143"/>
      <c r="AT174" s="143"/>
      <c r="AU174" s="143"/>
      <c r="AV174" s="143"/>
      <c r="AW174" s="144"/>
      <c r="AX174" s="616" t="e">
        <f ca="1">"Further increases your "&amp;G174&amp;" skill from "&amp;INDIRECT(SUBSTITUTE(G174," ",""))&amp;" to "&amp;INDIRECT(SUBSTITUTE(G174," ",""))+1</f>
        <v>#REF!</v>
      </c>
      <c r="AY174" s="616"/>
      <c r="AZ174" s="616"/>
      <c r="BA174" s="616"/>
      <c r="BB174" s="616"/>
      <c r="BC174" s="616"/>
      <c r="BD174" s="616"/>
      <c r="BE174" s="616"/>
      <c r="BF174" s="616"/>
      <c r="BG174" s="616"/>
      <c r="BH174" s="616"/>
      <c r="BI174" s="616"/>
      <c r="BJ174" s="616"/>
      <c r="BK174" s="616"/>
      <c r="BL174" s="616"/>
      <c r="BM174" s="616"/>
      <c r="BN174" s="616"/>
      <c r="BO174" s="616"/>
      <c r="BP174" s="616"/>
      <c r="BQ174" s="616"/>
      <c r="BR174" s="616"/>
      <c r="BS174" s="616"/>
      <c r="BT174" s="616"/>
      <c r="BU174" s="616"/>
      <c r="BV174" s="616"/>
      <c r="BW174" s="616"/>
      <c r="BX174" s="616"/>
      <c r="BY174" s="616"/>
      <c r="BZ174" s="616"/>
      <c r="CA174" s="616"/>
      <c r="CB174" s="616"/>
      <c r="CC174" s="616"/>
      <c r="CD174" s="616"/>
      <c r="CE174" s="616"/>
      <c r="CF174" s="616"/>
      <c r="CG174" s="616"/>
      <c r="CH174" s="616"/>
      <c r="CI174" s="616"/>
      <c r="CJ174" s="616"/>
      <c r="CK174" s="616"/>
      <c r="CL174" s="616"/>
      <c r="CM174" s="616"/>
      <c r="CN174" s="616"/>
      <c r="CO174" s="616"/>
      <c r="CP174" s="616"/>
      <c r="CQ174" s="616"/>
      <c r="CR174" s="616"/>
      <c r="CS174" s="616"/>
      <c r="CT174" s="616"/>
      <c r="CU174" s="616"/>
      <c r="CV174" s="616"/>
      <c r="CW174" s="616"/>
      <c r="CX174" s="616"/>
      <c r="CY174" s="616"/>
      <c r="CZ174" s="616"/>
      <c r="DA174" s="616"/>
      <c r="DB174" s="616"/>
      <c r="DC174" s="616"/>
      <c r="DD174" s="616"/>
      <c r="DE174" s="616"/>
      <c r="DF174" s="616"/>
      <c r="DG174" s="616"/>
      <c r="DH174" s="616"/>
      <c r="DI174" s="616"/>
      <c r="DJ174" s="616"/>
      <c r="DK174" s="616"/>
      <c r="DL174" s="616"/>
      <c r="DM174" s="616"/>
      <c r="DN174" s="616"/>
      <c r="DO174" s="616"/>
      <c r="DP174" s="616"/>
      <c r="DQ174" s="617"/>
      <c r="DR174" s="229"/>
    </row>
    <row r="175" spans="1:122" ht="7.5" customHeight="1" x14ac:dyDescent="0.25">
      <c r="A175" s="591"/>
      <c r="B175" s="592"/>
      <c r="C175" s="592"/>
      <c r="D175" s="592"/>
      <c r="E175" s="593"/>
      <c r="F175" s="145"/>
      <c r="G175" s="598"/>
      <c r="H175" s="598"/>
      <c r="I175" s="598"/>
      <c r="J175" s="598"/>
      <c r="K175" s="598"/>
      <c r="L175" s="598"/>
      <c r="M175" s="598"/>
      <c r="N175" s="598"/>
      <c r="O175" s="598"/>
      <c r="P175" s="598"/>
      <c r="Q175" s="598"/>
      <c r="R175" s="598"/>
      <c r="S175" s="598"/>
      <c r="T175" s="598"/>
      <c r="U175" s="598"/>
      <c r="V175" s="598"/>
      <c r="W175" s="598"/>
      <c r="X175" s="598"/>
      <c r="Y175" s="598"/>
      <c r="Z175" s="602"/>
      <c r="AA175" s="602"/>
      <c r="AB175" s="602"/>
      <c r="AC175" s="602"/>
      <c r="AD175" s="602"/>
      <c r="AE175" s="602"/>
      <c r="AF175" s="602"/>
      <c r="AG175" s="635"/>
      <c r="AH175" s="132"/>
      <c r="AI175" s="129"/>
      <c r="AJ175" s="129"/>
      <c r="AK175" s="129"/>
      <c r="AL175" s="129"/>
      <c r="AM175" s="129"/>
      <c r="AN175" s="129"/>
      <c r="AO175" s="129"/>
      <c r="AP175" s="129"/>
      <c r="AQ175" s="129"/>
      <c r="AR175" s="129"/>
      <c r="AS175" s="129"/>
      <c r="AT175" s="129"/>
      <c r="AU175" s="129"/>
      <c r="AV175" s="129"/>
      <c r="AW175" s="145"/>
      <c r="AX175" s="619"/>
      <c r="AY175" s="619"/>
      <c r="AZ175" s="619"/>
      <c r="BA175" s="619"/>
      <c r="BB175" s="619"/>
      <c r="BC175" s="619"/>
      <c r="BD175" s="619"/>
      <c r="BE175" s="619"/>
      <c r="BF175" s="619"/>
      <c r="BG175" s="619"/>
      <c r="BH175" s="619"/>
      <c r="BI175" s="619"/>
      <c r="BJ175" s="619"/>
      <c r="BK175" s="619"/>
      <c r="BL175" s="619"/>
      <c r="BM175" s="619"/>
      <c r="BN175" s="619"/>
      <c r="BO175" s="619"/>
      <c r="BP175" s="619"/>
      <c r="BQ175" s="619"/>
      <c r="BR175" s="619"/>
      <c r="BS175" s="619"/>
      <c r="BT175" s="619"/>
      <c r="BU175" s="619"/>
      <c r="BV175" s="619"/>
      <c r="BW175" s="619"/>
      <c r="BX175" s="619"/>
      <c r="BY175" s="619"/>
      <c r="BZ175" s="619"/>
      <c r="CA175" s="619"/>
      <c r="CB175" s="619"/>
      <c r="CC175" s="619"/>
      <c r="CD175" s="619"/>
      <c r="CE175" s="619"/>
      <c r="CF175" s="619"/>
      <c r="CG175" s="619"/>
      <c r="CH175" s="619"/>
      <c r="CI175" s="619"/>
      <c r="CJ175" s="619"/>
      <c r="CK175" s="619"/>
      <c r="CL175" s="619"/>
      <c r="CM175" s="619"/>
      <c r="CN175" s="619"/>
      <c r="CO175" s="619"/>
      <c r="CP175" s="619"/>
      <c r="CQ175" s="619"/>
      <c r="CR175" s="619"/>
      <c r="CS175" s="619"/>
      <c r="CT175" s="619"/>
      <c r="CU175" s="619"/>
      <c r="CV175" s="619"/>
      <c r="CW175" s="619"/>
      <c r="CX175" s="619"/>
      <c r="CY175" s="619"/>
      <c r="CZ175" s="619"/>
      <c r="DA175" s="619"/>
      <c r="DB175" s="619"/>
      <c r="DC175" s="619"/>
      <c r="DD175" s="619"/>
      <c r="DE175" s="619"/>
      <c r="DF175" s="619"/>
      <c r="DG175" s="619"/>
      <c r="DH175" s="619"/>
      <c r="DI175" s="619"/>
      <c r="DJ175" s="619"/>
      <c r="DK175" s="619"/>
      <c r="DL175" s="619"/>
      <c r="DM175" s="619"/>
      <c r="DN175" s="619"/>
      <c r="DO175" s="619"/>
      <c r="DP175" s="619"/>
      <c r="DQ175" s="639"/>
      <c r="DR175" s="229"/>
    </row>
    <row r="176" spans="1:122" ht="7.5" customHeight="1" x14ac:dyDescent="0.25">
      <c r="A176" s="594"/>
      <c r="B176" s="595"/>
      <c r="C176" s="595"/>
      <c r="D176" s="595"/>
      <c r="E176" s="596"/>
      <c r="G176" s="599"/>
      <c r="H176" s="599"/>
      <c r="I176" s="599"/>
      <c r="J176" s="599"/>
      <c r="K176" s="599"/>
      <c r="L176" s="599"/>
      <c r="M176" s="599"/>
      <c r="N176" s="599"/>
      <c r="O176" s="599"/>
      <c r="P176" s="599"/>
      <c r="Q176" s="599"/>
      <c r="R176" s="599"/>
      <c r="S176" s="599"/>
      <c r="T176" s="599"/>
      <c r="U176" s="599"/>
      <c r="V176" s="599"/>
      <c r="W176" s="599"/>
      <c r="X176" s="599"/>
      <c r="Y176" s="599"/>
      <c r="Z176" s="602"/>
      <c r="AA176" s="602"/>
      <c r="AB176" s="602"/>
      <c r="AC176" s="602"/>
      <c r="AD176" s="602"/>
      <c r="AE176" s="602"/>
      <c r="AF176" s="602"/>
      <c r="AG176" s="636"/>
      <c r="AH176" s="132"/>
      <c r="AI176" s="129"/>
      <c r="AJ176" s="129"/>
      <c r="AK176" s="129"/>
      <c r="AL176" s="129"/>
      <c r="AM176" s="129"/>
      <c r="AN176" s="129"/>
      <c r="AO176" s="129"/>
      <c r="AP176" s="129"/>
      <c r="AQ176" s="129"/>
      <c r="AR176" s="129"/>
      <c r="AS176" s="129"/>
      <c r="AT176" s="129"/>
      <c r="AU176" s="129"/>
      <c r="AV176" s="129"/>
      <c r="AW176" s="146"/>
      <c r="AX176" s="619"/>
      <c r="AY176" s="619"/>
      <c r="AZ176" s="619"/>
      <c r="BA176" s="619"/>
      <c r="BB176" s="619"/>
      <c r="BC176" s="619"/>
      <c r="BD176" s="619"/>
      <c r="BE176" s="619"/>
      <c r="BF176" s="619"/>
      <c r="BG176" s="619"/>
      <c r="BH176" s="619"/>
      <c r="BI176" s="619"/>
      <c r="BJ176" s="619"/>
      <c r="BK176" s="619"/>
      <c r="BL176" s="619"/>
      <c r="BM176" s="619"/>
      <c r="BN176" s="619"/>
      <c r="BO176" s="619"/>
      <c r="BP176" s="619"/>
      <c r="BQ176" s="619"/>
      <c r="BR176" s="619"/>
      <c r="BS176" s="619"/>
      <c r="BT176" s="619"/>
      <c r="BU176" s="619"/>
      <c r="BV176" s="619"/>
      <c r="BW176" s="619"/>
      <c r="BX176" s="619"/>
      <c r="BY176" s="619"/>
      <c r="BZ176" s="619"/>
      <c r="CA176" s="619"/>
      <c r="CB176" s="619"/>
      <c r="CC176" s="619"/>
      <c r="CD176" s="619"/>
      <c r="CE176" s="619"/>
      <c r="CF176" s="619"/>
      <c r="CG176" s="619"/>
      <c r="CH176" s="619"/>
      <c r="CI176" s="619"/>
      <c r="CJ176" s="619"/>
      <c r="CK176" s="619"/>
      <c r="CL176" s="619"/>
      <c r="CM176" s="619"/>
      <c r="CN176" s="619"/>
      <c r="CO176" s="619"/>
      <c r="CP176" s="619"/>
      <c r="CQ176" s="619"/>
      <c r="CR176" s="619"/>
      <c r="CS176" s="619"/>
      <c r="CT176" s="619"/>
      <c r="CU176" s="619"/>
      <c r="CV176" s="619"/>
      <c r="CW176" s="619"/>
      <c r="CX176" s="619"/>
      <c r="CY176" s="619"/>
      <c r="CZ176" s="619"/>
      <c r="DA176" s="619"/>
      <c r="DB176" s="619"/>
      <c r="DC176" s="619"/>
      <c r="DD176" s="619"/>
      <c r="DE176" s="619"/>
      <c r="DF176" s="619"/>
      <c r="DG176" s="619"/>
      <c r="DH176" s="619"/>
      <c r="DI176" s="619"/>
      <c r="DJ176" s="619"/>
      <c r="DK176" s="619"/>
      <c r="DL176" s="619"/>
      <c r="DM176" s="619"/>
      <c r="DN176" s="619"/>
      <c r="DO176" s="619"/>
      <c r="DP176" s="619"/>
      <c r="DQ176" s="640"/>
      <c r="DR176" s="229"/>
    </row>
    <row r="177" spans="1:122" ht="7.5" customHeight="1" x14ac:dyDescent="0.25">
      <c r="A177" s="119"/>
      <c r="B177" s="119"/>
      <c r="C177" s="119"/>
      <c r="D177" s="119"/>
      <c r="E177" s="119"/>
      <c r="F177" s="653" t="str">
        <f>G174</f>
        <v>Fletching</v>
      </c>
      <c r="G177" s="653"/>
      <c r="H177" s="653"/>
      <c r="I177" s="653"/>
      <c r="J177" s="653"/>
      <c r="K177" s="625" t="e">
        <f ca="1">(FLOOR(INDIRECT(SUBSTITUTE(G174," ",""))/5,1)*(FLOOR(INDIRECT(SUBSTITUTE(G174," ",""))/5,1)+1)/2)*50+MOD(INDIRECT(SUBSTITUTE(G174," ","")),5)*CEILING(INDIRECT(SUBSTITUTE(G174," ",""))/5,1)*10-((FLOOR(INDIRECT("Base"&amp;SUBSTITUTE(G174," ",""))/5,1)*(FLOOR(INDIRECT("Base"&amp;SUBSTITUTE(G174," ",""))/5,1)+1)/2)*50+MOD(INDIRECT("Base"&amp;SUBSTITUTE(G174," ","")),5)*CEILING(INDIRECT("Base"&amp;SUBSTITUTE(G174," ",""))/5,1)*10)</f>
        <v>#REF!</v>
      </c>
      <c r="L177" s="625"/>
      <c r="M177" s="625"/>
      <c r="N177" s="626" t="b">
        <f>IF(AH170&lt;&gt;"",VLOOKUP($G174,'Merit Data'!A:BW,MATCH('Merit Data'!$B$3,'Merit Data'!$3:$3,0),0),TRUE)</f>
        <v>1</v>
      </c>
      <c r="O177" s="626"/>
      <c r="P177" s="626"/>
      <c r="Q177" s="140"/>
      <c r="R177" s="140"/>
      <c r="S177" s="140"/>
      <c r="T177" s="140"/>
      <c r="U177" s="140"/>
      <c r="V177" s="238"/>
      <c r="W177" s="238"/>
      <c r="X177" s="627" t="str">
        <f>IF(F177&gt;0,HYPERLINK("http://wiki.project-saros.com/w/"&amp;F177,"Info"),"")</f>
        <v>Info</v>
      </c>
      <c r="Y177" s="628"/>
      <c r="Z177" s="637"/>
      <c r="AA177" s="637"/>
      <c r="AB177" s="637"/>
      <c r="AC177" s="637"/>
      <c r="AD177" s="637"/>
      <c r="AE177" s="637"/>
      <c r="AF177" s="637"/>
      <c r="AG177" s="638"/>
      <c r="AH177" s="148"/>
      <c r="AI177" s="131"/>
      <c r="AJ177" s="131"/>
      <c r="AK177" s="149"/>
      <c r="AL177" s="149"/>
      <c r="AM177" s="149"/>
      <c r="AN177" s="149"/>
      <c r="AO177" s="149"/>
      <c r="AP177" s="149"/>
      <c r="AQ177" s="149"/>
      <c r="AR177" s="149"/>
      <c r="AS177" s="131"/>
      <c r="AT177" s="131"/>
      <c r="AU177" s="131"/>
      <c r="AV177" s="131"/>
      <c r="AW177" s="150"/>
      <c r="AX177" s="641"/>
      <c r="AY177" s="641"/>
      <c r="AZ177" s="641"/>
      <c r="BA177" s="641"/>
      <c r="BB177" s="641"/>
      <c r="BC177" s="641"/>
      <c r="BD177" s="641"/>
      <c r="BE177" s="641"/>
      <c r="BF177" s="641"/>
      <c r="BG177" s="641"/>
      <c r="BH177" s="641"/>
      <c r="BI177" s="641"/>
      <c r="BJ177" s="641"/>
      <c r="BK177" s="641"/>
      <c r="BL177" s="641"/>
      <c r="BM177" s="641"/>
      <c r="BN177" s="641"/>
      <c r="BO177" s="641"/>
      <c r="BP177" s="641"/>
      <c r="BQ177" s="641"/>
      <c r="BR177" s="641"/>
      <c r="BS177" s="641"/>
      <c r="BT177" s="641"/>
      <c r="BU177" s="641"/>
      <c r="BV177" s="641"/>
      <c r="BW177" s="641"/>
      <c r="BX177" s="641"/>
      <c r="BY177" s="641"/>
      <c r="BZ177" s="641"/>
      <c r="CA177" s="641"/>
      <c r="CB177" s="641"/>
      <c r="CC177" s="641"/>
      <c r="CD177" s="641"/>
      <c r="CE177" s="641"/>
      <c r="CF177" s="641"/>
      <c r="CG177" s="641"/>
      <c r="CH177" s="641"/>
      <c r="CI177" s="641"/>
      <c r="CJ177" s="641"/>
      <c r="CK177" s="641"/>
      <c r="CL177" s="641"/>
      <c r="CM177" s="641"/>
      <c r="CN177" s="641"/>
      <c r="CO177" s="641"/>
      <c r="CP177" s="641"/>
      <c r="CQ177" s="641"/>
      <c r="CR177" s="641"/>
      <c r="CS177" s="641"/>
      <c r="CT177" s="641"/>
      <c r="CU177" s="641"/>
      <c r="CV177" s="641"/>
      <c r="CW177" s="641"/>
      <c r="CX177" s="641"/>
      <c r="CY177" s="641"/>
      <c r="CZ177" s="641"/>
      <c r="DA177" s="641"/>
      <c r="DB177" s="641"/>
      <c r="DC177" s="641"/>
      <c r="DD177" s="641"/>
      <c r="DE177" s="641"/>
      <c r="DF177" s="641"/>
      <c r="DG177" s="641"/>
      <c r="DH177" s="641"/>
      <c r="DI177" s="641"/>
      <c r="DJ177" s="641"/>
      <c r="DK177" s="641"/>
      <c r="DL177" s="641"/>
      <c r="DM177" s="641"/>
      <c r="DN177" s="641"/>
      <c r="DO177" s="641"/>
      <c r="DP177" s="641"/>
      <c r="DQ177" s="642"/>
      <c r="DR177" s="229"/>
    </row>
    <row r="178" spans="1:122" ht="7.5" customHeight="1" x14ac:dyDescent="0.25">
      <c r="A178" s="588">
        <v>0</v>
      </c>
      <c r="B178" s="589"/>
      <c r="C178" s="589"/>
      <c r="D178" s="589"/>
      <c r="E178" s="590"/>
      <c r="G178" s="597" t="s">
        <v>263</v>
      </c>
      <c r="H178" s="597"/>
      <c r="I178" s="597"/>
      <c r="J178" s="597"/>
      <c r="K178" s="597"/>
      <c r="L178" s="597"/>
      <c r="M178" s="597"/>
      <c r="N178" s="597"/>
      <c r="O178" s="597"/>
      <c r="P178" s="597"/>
      <c r="Q178" s="597"/>
      <c r="R178" s="597"/>
      <c r="S178" s="597"/>
      <c r="T178" s="597"/>
      <c r="U178" s="597"/>
      <c r="V178" s="597"/>
      <c r="W178" s="597"/>
      <c r="X178" s="597"/>
      <c r="Y178" s="597"/>
      <c r="Z178" s="600" t="e">
        <f ca="1">FLOOR(INDIRECT(SUBSTITUTE(G178," ",""))/5+1,1)*10</f>
        <v>#REF!</v>
      </c>
      <c r="AA178" s="600"/>
      <c r="AB178" s="600"/>
      <c r="AC178" s="600"/>
      <c r="AD178" s="600"/>
      <c r="AE178" s="600"/>
      <c r="AF178" s="600"/>
      <c r="AG178" s="601"/>
      <c r="AH178" s="142"/>
      <c r="AI178" s="143"/>
      <c r="AJ178" s="143"/>
      <c r="AK178" s="143"/>
      <c r="AL178" s="143"/>
      <c r="AM178" s="143"/>
      <c r="AN178" s="143"/>
      <c r="AO178" s="143"/>
      <c r="AP178" s="143"/>
      <c r="AQ178" s="143"/>
      <c r="AR178" s="143"/>
      <c r="AS178" s="143"/>
      <c r="AT178" s="143"/>
      <c r="AU178" s="143"/>
      <c r="AV178" s="143"/>
      <c r="AW178" s="144"/>
      <c r="AX178" s="616" t="e">
        <f ca="1">"Further increases your "&amp;G178&amp;" skill from "&amp;INDIRECT(SUBSTITUTE(G178," ",""))&amp;" to "&amp;INDIRECT(SUBSTITUTE(G178," ",""))+1</f>
        <v>#REF!</v>
      </c>
      <c r="AY178" s="616"/>
      <c r="AZ178" s="616"/>
      <c r="BA178" s="616"/>
      <c r="BB178" s="616"/>
      <c r="BC178" s="616"/>
      <c r="BD178" s="616"/>
      <c r="BE178" s="616"/>
      <c r="BF178" s="616"/>
      <c r="BG178" s="616"/>
      <c r="BH178" s="616"/>
      <c r="BI178" s="616"/>
      <c r="BJ178" s="616"/>
      <c r="BK178" s="616"/>
      <c r="BL178" s="616"/>
      <c r="BM178" s="616"/>
      <c r="BN178" s="616"/>
      <c r="BO178" s="616"/>
      <c r="BP178" s="616"/>
      <c r="BQ178" s="616"/>
      <c r="BR178" s="616"/>
      <c r="BS178" s="616"/>
      <c r="BT178" s="616"/>
      <c r="BU178" s="616"/>
      <c r="BV178" s="616"/>
      <c r="BW178" s="616"/>
      <c r="BX178" s="616"/>
      <c r="BY178" s="616"/>
      <c r="BZ178" s="616"/>
      <c r="CA178" s="616"/>
      <c r="CB178" s="616"/>
      <c r="CC178" s="616"/>
      <c r="CD178" s="616"/>
      <c r="CE178" s="616"/>
      <c r="CF178" s="616"/>
      <c r="CG178" s="616"/>
      <c r="CH178" s="616"/>
      <c r="CI178" s="616"/>
      <c r="CJ178" s="616"/>
      <c r="CK178" s="616"/>
      <c r="CL178" s="616"/>
      <c r="CM178" s="616"/>
      <c r="CN178" s="616"/>
      <c r="CO178" s="616"/>
      <c r="CP178" s="616"/>
      <c r="CQ178" s="616"/>
      <c r="CR178" s="616"/>
      <c r="CS178" s="616"/>
      <c r="CT178" s="616"/>
      <c r="CU178" s="616"/>
      <c r="CV178" s="616"/>
      <c r="CW178" s="616"/>
      <c r="CX178" s="616"/>
      <c r="CY178" s="616"/>
      <c r="CZ178" s="616"/>
      <c r="DA178" s="616"/>
      <c r="DB178" s="616"/>
      <c r="DC178" s="616"/>
      <c r="DD178" s="616"/>
      <c r="DE178" s="616"/>
      <c r="DF178" s="616"/>
      <c r="DG178" s="616"/>
      <c r="DH178" s="616"/>
      <c r="DI178" s="616"/>
      <c r="DJ178" s="616"/>
      <c r="DK178" s="616"/>
      <c r="DL178" s="616"/>
      <c r="DM178" s="616"/>
      <c r="DN178" s="616"/>
      <c r="DO178" s="616"/>
      <c r="DP178" s="616"/>
      <c r="DQ178" s="617"/>
      <c r="DR178" s="229"/>
    </row>
    <row r="179" spans="1:122" ht="7.5" customHeight="1" x14ac:dyDescent="0.25">
      <c r="A179" s="591"/>
      <c r="B179" s="592"/>
      <c r="C179" s="592"/>
      <c r="D179" s="592"/>
      <c r="E179" s="593"/>
      <c r="F179" s="145"/>
      <c r="G179" s="598"/>
      <c r="H179" s="598"/>
      <c r="I179" s="598"/>
      <c r="J179" s="598"/>
      <c r="K179" s="598"/>
      <c r="L179" s="598"/>
      <c r="M179" s="598"/>
      <c r="N179" s="598"/>
      <c r="O179" s="598"/>
      <c r="P179" s="598"/>
      <c r="Q179" s="598"/>
      <c r="R179" s="598"/>
      <c r="S179" s="598"/>
      <c r="T179" s="598"/>
      <c r="U179" s="598"/>
      <c r="V179" s="598"/>
      <c r="W179" s="598"/>
      <c r="X179" s="598"/>
      <c r="Y179" s="598"/>
      <c r="Z179" s="602"/>
      <c r="AA179" s="602"/>
      <c r="AB179" s="602"/>
      <c r="AC179" s="602"/>
      <c r="AD179" s="602"/>
      <c r="AE179" s="602"/>
      <c r="AF179" s="602"/>
      <c r="AG179" s="635"/>
      <c r="AH179" s="132"/>
      <c r="AI179" s="129"/>
      <c r="AJ179" s="129"/>
      <c r="AK179" s="129"/>
      <c r="AL179" s="129"/>
      <c r="AM179" s="129"/>
      <c r="AN179" s="129"/>
      <c r="AO179" s="129"/>
      <c r="AP179" s="129"/>
      <c r="AQ179" s="129"/>
      <c r="AR179" s="129"/>
      <c r="AS179" s="129"/>
      <c r="AT179" s="129"/>
      <c r="AU179" s="129"/>
      <c r="AV179" s="129"/>
      <c r="AW179" s="145"/>
      <c r="AX179" s="619"/>
      <c r="AY179" s="619"/>
      <c r="AZ179" s="619"/>
      <c r="BA179" s="619"/>
      <c r="BB179" s="619"/>
      <c r="BC179" s="619"/>
      <c r="BD179" s="619"/>
      <c r="BE179" s="619"/>
      <c r="BF179" s="619"/>
      <c r="BG179" s="619"/>
      <c r="BH179" s="619"/>
      <c r="BI179" s="619"/>
      <c r="BJ179" s="619"/>
      <c r="BK179" s="619"/>
      <c r="BL179" s="619"/>
      <c r="BM179" s="619"/>
      <c r="BN179" s="619"/>
      <c r="BO179" s="619"/>
      <c r="BP179" s="619"/>
      <c r="BQ179" s="619"/>
      <c r="BR179" s="619"/>
      <c r="BS179" s="619"/>
      <c r="BT179" s="619"/>
      <c r="BU179" s="619"/>
      <c r="BV179" s="619"/>
      <c r="BW179" s="619"/>
      <c r="BX179" s="619"/>
      <c r="BY179" s="619"/>
      <c r="BZ179" s="619"/>
      <c r="CA179" s="619"/>
      <c r="CB179" s="619"/>
      <c r="CC179" s="619"/>
      <c r="CD179" s="619"/>
      <c r="CE179" s="619"/>
      <c r="CF179" s="619"/>
      <c r="CG179" s="619"/>
      <c r="CH179" s="619"/>
      <c r="CI179" s="619"/>
      <c r="CJ179" s="619"/>
      <c r="CK179" s="619"/>
      <c r="CL179" s="619"/>
      <c r="CM179" s="619"/>
      <c r="CN179" s="619"/>
      <c r="CO179" s="619"/>
      <c r="CP179" s="619"/>
      <c r="CQ179" s="619"/>
      <c r="CR179" s="619"/>
      <c r="CS179" s="619"/>
      <c r="CT179" s="619"/>
      <c r="CU179" s="619"/>
      <c r="CV179" s="619"/>
      <c r="CW179" s="619"/>
      <c r="CX179" s="619"/>
      <c r="CY179" s="619"/>
      <c r="CZ179" s="619"/>
      <c r="DA179" s="619"/>
      <c r="DB179" s="619"/>
      <c r="DC179" s="619"/>
      <c r="DD179" s="619"/>
      <c r="DE179" s="619"/>
      <c r="DF179" s="619"/>
      <c r="DG179" s="619"/>
      <c r="DH179" s="619"/>
      <c r="DI179" s="619"/>
      <c r="DJ179" s="619"/>
      <c r="DK179" s="619"/>
      <c r="DL179" s="619"/>
      <c r="DM179" s="619"/>
      <c r="DN179" s="619"/>
      <c r="DO179" s="619"/>
      <c r="DP179" s="619"/>
      <c r="DQ179" s="639"/>
      <c r="DR179" s="229"/>
    </row>
    <row r="180" spans="1:122" ht="7.5" customHeight="1" x14ac:dyDescent="0.25">
      <c r="A180" s="594"/>
      <c r="B180" s="595"/>
      <c r="C180" s="595"/>
      <c r="D180" s="595"/>
      <c r="E180" s="596"/>
      <c r="G180" s="599"/>
      <c r="H180" s="599"/>
      <c r="I180" s="599"/>
      <c r="J180" s="599"/>
      <c r="K180" s="599"/>
      <c r="L180" s="599"/>
      <c r="M180" s="599"/>
      <c r="N180" s="599"/>
      <c r="O180" s="599"/>
      <c r="P180" s="599"/>
      <c r="Q180" s="599"/>
      <c r="R180" s="599"/>
      <c r="S180" s="599"/>
      <c r="T180" s="599"/>
      <c r="U180" s="599"/>
      <c r="V180" s="599"/>
      <c r="W180" s="599"/>
      <c r="X180" s="599"/>
      <c r="Y180" s="599"/>
      <c r="Z180" s="602"/>
      <c r="AA180" s="602"/>
      <c r="AB180" s="602"/>
      <c r="AC180" s="602"/>
      <c r="AD180" s="602"/>
      <c r="AE180" s="602"/>
      <c r="AF180" s="602"/>
      <c r="AG180" s="636"/>
      <c r="AH180" s="132"/>
      <c r="AI180" s="129"/>
      <c r="AJ180" s="129"/>
      <c r="AK180" s="129"/>
      <c r="AL180" s="129"/>
      <c r="AM180" s="129"/>
      <c r="AN180" s="129"/>
      <c r="AO180" s="129"/>
      <c r="AP180" s="129"/>
      <c r="AQ180" s="129"/>
      <c r="AR180" s="129"/>
      <c r="AS180" s="129"/>
      <c r="AT180" s="129"/>
      <c r="AU180" s="129"/>
      <c r="AV180" s="129"/>
      <c r="AW180" s="146"/>
      <c r="AX180" s="619"/>
      <c r="AY180" s="619"/>
      <c r="AZ180" s="619"/>
      <c r="BA180" s="619"/>
      <c r="BB180" s="619"/>
      <c r="BC180" s="619"/>
      <c r="BD180" s="619"/>
      <c r="BE180" s="619"/>
      <c r="BF180" s="619"/>
      <c r="BG180" s="619"/>
      <c r="BH180" s="619"/>
      <c r="BI180" s="619"/>
      <c r="BJ180" s="619"/>
      <c r="BK180" s="619"/>
      <c r="BL180" s="619"/>
      <c r="BM180" s="619"/>
      <c r="BN180" s="619"/>
      <c r="BO180" s="619"/>
      <c r="BP180" s="619"/>
      <c r="BQ180" s="619"/>
      <c r="BR180" s="619"/>
      <c r="BS180" s="619"/>
      <c r="BT180" s="619"/>
      <c r="BU180" s="619"/>
      <c r="BV180" s="619"/>
      <c r="BW180" s="619"/>
      <c r="BX180" s="619"/>
      <c r="BY180" s="619"/>
      <c r="BZ180" s="619"/>
      <c r="CA180" s="619"/>
      <c r="CB180" s="619"/>
      <c r="CC180" s="619"/>
      <c r="CD180" s="619"/>
      <c r="CE180" s="619"/>
      <c r="CF180" s="619"/>
      <c r="CG180" s="619"/>
      <c r="CH180" s="619"/>
      <c r="CI180" s="619"/>
      <c r="CJ180" s="619"/>
      <c r="CK180" s="619"/>
      <c r="CL180" s="619"/>
      <c r="CM180" s="619"/>
      <c r="CN180" s="619"/>
      <c r="CO180" s="619"/>
      <c r="CP180" s="619"/>
      <c r="CQ180" s="619"/>
      <c r="CR180" s="619"/>
      <c r="CS180" s="619"/>
      <c r="CT180" s="619"/>
      <c r="CU180" s="619"/>
      <c r="CV180" s="619"/>
      <c r="CW180" s="619"/>
      <c r="CX180" s="619"/>
      <c r="CY180" s="619"/>
      <c r="CZ180" s="619"/>
      <c r="DA180" s="619"/>
      <c r="DB180" s="619"/>
      <c r="DC180" s="619"/>
      <c r="DD180" s="619"/>
      <c r="DE180" s="619"/>
      <c r="DF180" s="619"/>
      <c r="DG180" s="619"/>
      <c r="DH180" s="619"/>
      <c r="DI180" s="619"/>
      <c r="DJ180" s="619"/>
      <c r="DK180" s="619"/>
      <c r="DL180" s="619"/>
      <c r="DM180" s="619"/>
      <c r="DN180" s="619"/>
      <c r="DO180" s="619"/>
      <c r="DP180" s="619"/>
      <c r="DQ180" s="640"/>
      <c r="DR180" s="229"/>
    </row>
    <row r="181" spans="1:122" ht="7.5" customHeight="1" x14ac:dyDescent="0.25">
      <c r="A181" s="119"/>
      <c r="B181" s="119"/>
      <c r="C181" s="119"/>
      <c r="D181" s="119"/>
      <c r="E181" s="119"/>
      <c r="F181" s="653" t="str">
        <f>G178</f>
        <v>Leatherworking</v>
      </c>
      <c r="G181" s="653"/>
      <c r="H181" s="653"/>
      <c r="I181" s="653"/>
      <c r="J181" s="653"/>
      <c r="K181" s="625" t="e">
        <f ca="1">(FLOOR(INDIRECT(SUBSTITUTE(G178," ",""))/5,1)*(FLOOR(INDIRECT(SUBSTITUTE(G178," ",""))/5,1)+1)/2)*50+MOD(INDIRECT(SUBSTITUTE(G178," ","")),5)*CEILING(INDIRECT(SUBSTITUTE(G178," ",""))/5,1)*10-((FLOOR(INDIRECT("Base"&amp;SUBSTITUTE(G178," ",""))/5,1)*(FLOOR(INDIRECT("Base"&amp;SUBSTITUTE(G178," ",""))/5,1)+1)/2)*50+MOD(INDIRECT("Base"&amp;SUBSTITUTE(G178," ","")),5)*CEILING(INDIRECT("Base"&amp;SUBSTITUTE(G178," ",""))/5,1)*10)</f>
        <v>#REF!</v>
      </c>
      <c r="L181" s="625"/>
      <c r="M181" s="625"/>
      <c r="N181" s="626" t="b">
        <f>IF(AH174&lt;&gt;"",VLOOKUP($G178,'Merit Data'!A:BW,MATCH('Merit Data'!$B$3,'Merit Data'!$3:$3,0),0),TRUE)</f>
        <v>1</v>
      </c>
      <c r="O181" s="626"/>
      <c r="P181" s="626"/>
      <c r="Q181" s="140"/>
      <c r="R181" s="140"/>
      <c r="S181" s="140"/>
      <c r="T181" s="140"/>
      <c r="U181" s="140"/>
      <c r="V181" s="238"/>
      <c r="W181" s="238"/>
      <c r="X181" s="627" t="str">
        <f>IF(F181&gt;0,HYPERLINK("http://wiki.project-saros.com/w/"&amp;F181,"Info"),"")</f>
        <v>Info</v>
      </c>
      <c r="Y181" s="628"/>
      <c r="Z181" s="637"/>
      <c r="AA181" s="637"/>
      <c r="AB181" s="637"/>
      <c r="AC181" s="637"/>
      <c r="AD181" s="637"/>
      <c r="AE181" s="637"/>
      <c r="AF181" s="637"/>
      <c r="AG181" s="638"/>
      <c r="AH181" s="148"/>
      <c r="AI181" s="131"/>
      <c r="AJ181" s="131"/>
      <c r="AK181" s="149"/>
      <c r="AL181" s="149"/>
      <c r="AM181" s="149"/>
      <c r="AN181" s="149"/>
      <c r="AO181" s="149"/>
      <c r="AP181" s="149"/>
      <c r="AQ181" s="149"/>
      <c r="AR181" s="149"/>
      <c r="AS181" s="131"/>
      <c r="AT181" s="131"/>
      <c r="AU181" s="131"/>
      <c r="AV181" s="131"/>
      <c r="AW181" s="150"/>
      <c r="AX181" s="641"/>
      <c r="AY181" s="641"/>
      <c r="AZ181" s="641"/>
      <c r="BA181" s="641"/>
      <c r="BB181" s="641"/>
      <c r="BC181" s="641"/>
      <c r="BD181" s="641"/>
      <c r="BE181" s="641"/>
      <c r="BF181" s="641"/>
      <c r="BG181" s="641"/>
      <c r="BH181" s="641"/>
      <c r="BI181" s="641"/>
      <c r="BJ181" s="641"/>
      <c r="BK181" s="641"/>
      <c r="BL181" s="641"/>
      <c r="BM181" s="641"/>
      <c r="BN181" s="641"/>
      <c r="BO181" s="641"/>
      <c r="BP181" s="641"/>
      <c r="BQ181" s="641"/>
      <c r="BR181" s="641"/>
      <c r="BS181" s="641"/>
      <c r="BT181" s="641"/>
      <c r="BU181" s="641"/>
      <c r="BV181" s="641"/>
      <c r="BW181" s="641"/>
      <c r="BX181" s="641"/>
      <c r="BY181" s="641"/>
      <c r="BZ181" s="641"/>
      <c r="CA181" s="641"/>
      <c r="CB181" s="641"/>
      <c r="CC181" s="641"/>
      <c r="CD181" s="641"/>
      <c r="CE181" s="641"/>
      <c r="CF181" s="641"/>
      <c r="CG181" s="641"/>
      <c r="CH181" s="641"/>
      <c r="CI181" s="641"/>
      <c r="CJ181" s="641"/>
      <c r="CK181" s="641"/>
      <c r="CL181" s="641"/>
      <c r="CM181" s="641"/>
      <c r="CN181" s="641"/>
      <c r="CO181" s="641"/>
      <c r="CP181" s="641"/>
      <c r="CQ181" s="641"/>
      <c r="CR181" s="641"/>
      <c r="CS181" s="641"/>
      <c r="CT181" s="641"/>
      <c r="CU181" s="641"/>
      <c r="CV181" s="641"/>
      <c r="CW181" s="641"/>
      <c r="CX181" s="641"/>
      <c r="CY181" s="641"/>
      <c r="CZ181" s="641"/>
      <c r="DA181" s="641"/>
      <c r="DB181" s="641"/>
      <c r="DC181" s="641"/>
      <c r="DD181" s="641"/>
      <c r="DE181" s="641"/>
      <c r="DF181" s="641"/>
      <c r="DG181" s="641"/>
      <c r="DH181" s="641"/>
      <c r="DI181" s="641"/>
      <c r="DJ181" s="641"/>
      <c r="DK181" s="641"/>
      <c r="DL181" s="641"/>
      <c r="DM181" s="641"/>
      <c r="DN181" s="641"/>
      <c r="DO181" s="641"/>
      <c r="DP181" s="641"/>
      <c r="DQ181" s="642"/>
      <c r="DR181" s="229"/>
    </row>
    <row r="182" spans="1:122" ht="7.5" customHeight="1" x14ac:dyDescent="0.25">
      <c r="A182" s="588">
        <v>0</v>
      </c>
      <c r="B182" s="589"/>
      <c r="C182" s="589"/>
      <c r="D182" s="589"/>
      <c r="E182" s="590"/>
      <c r="G182" s="597" t="s">
        <v>264</v>
      </c>
      <c r="H182" s="597"/>
      <c r="I182" s="597"/>
      <c r="J182" s="597"/>
      <c r="K182" s="597"/>
      <c r="L182" s="597"/>
      <c r="M182" s="597"/>
      <c r="N182" s="597"/>
      <c r="O182" s="597"/>
      <c r="P182" s="597"/>
      <c r="Q182" s="597"/>
      <c r="R182" s="597"/>
      <c r="S182" s="597"/>
      <c r="T182" s="597"/>
      <c r="U182" s="597"/>
      <c r="V182" s="597"/>
      <c r="W182" s="597"/>
      <c r="X182" s="597"/>
      <c r="Y182" s="597"/>
      <c r="Z182" s="600" t="e">
        <f ca="1">FLOOR(INDIRECT(SUBSTITUTE(G182," ",""))/5+1,1)*10</f>
        <v>#REF!</v>
      </c>
      <c r="AA182" s="600"/>
      <c r="AB182" s="600"/>
      <c r="AC182" s="600"/>
      <c r="AD182" s="600"/>
      <c r="AE182" s="600"/>
      <c r="AF182" s="600"/>
      <c r="AG182" s="601"/>
      <c r="AH182" s="142"/>
      <c r="AI182" s="143"/>
      <c r="AJ182" s="143"/>
      <c r="AK182" s="143"/>
      <c r="AL182" s="143"/>
      <c r="AM182" s="143"/>
      <c r="AN182" s="143"/>
      <c r="AO182" s="143"/>
      <c r="AP182" s="143"/>
      <c r="AQ182" s="143"/>
      <c r="AR182" s="143"/>
      <c r="AS182" s="143"/>
      <c r="AT182" s="143"/>
      <c r="AU182" s="143"/>
      <c r="AV182" s="143"/>
      <c r="AW182" s="144"/>
      <c r="AX182" s="616" t="e">
        <f ca="1">"Further increases your "&amp;G182&amp;" skill from "&amp;INDIRECT(SUBSTITUTE(G182," ",""))&amp;" to "&amp;INDIRECT(SUBSTITUTE(G182," ",""))+1</f>
        <v>#REF!</v>
      </c>
      <c r="AY182" s="616"/>
      <c r="AZ182" s="616"/>
      <c r="BA182" s="616"/>
      <c r="BB182" s="616"/>
      <c r="BC182" s="616"/>
      <c r="BD182" s="616"/>
      <c r="BE182" s="616"/>
      <c r="BF182" s="616"/>
      <c r="BG182" s="616"/>
      <c r="BH182" s="616"/>
      <c r="BI182" s="616"/>
      <c r="BJ182" s="616"/>
      <c r="BK182" s="616"/>
      <c r="BL182" s="616"/>
      <c r="BM182" s="616"/>
      <c r="BN182" s="616"/>
      <c r="BO182" s="616"/>
      <c r="BP182" s="616"/>
      <c r="BQ182" s="616"/>
      <c r="BR182" s="616"/>
      <c r="BS182" s="616"/>
      <c r="BT182" s="616"/>
      <c r="BU182" s="616"/>
      <c r="BV182" s="616"/>
      <c r="BW182" s="616"/>
      <c r="BX182" s="616"/>
      <c r="BY182" s="616"/>
      <c r="BZ182" s="616"/>
      <c r="CA182" s="616"/>
      <c r="CB182" s="616"/>
      <c r="CC182" s="616"/>
      <c r="CD182" s="616"/>
      <c r="CE182" s="616"/>
      <c r="CF182" s="616"/>
      <c r="CG182" s="616"/>
      <c r="CH182" s="616"/>
      <c r="CI182" s="616"/>
      <c r="CJ182" s="616"/>
      <c r="CK182" s="616"/>
      <c r="CL182" s="616"/>
      <c r="CM182" s="616"/>
      <c r="CN182" s="616"/>
      <c r="CO182" s="616"/>
      <c r="CP182" s="616"/>
      <c r="CQ182" s="616"/>
      <c r="CR182" s="616"/>
      <c r="CS182" s="616"/>
      <c r="CT182" s="616"/>
      <c r="CU182" s="616"/>
      <c r="CV182" s="616"/>
      <c r="CW182" s="616"/>
      <c r="CX182" s="616"/>
      <c r="CY182" s="616"/>
      <c r="CZ182" s="616"/>
      <c r="DA182" s="616"/>
      <c r="DB182" s="616"/>
      <c r="DC182" s="616"/>
      <c r="DD182" s="616"/>
      <c r="DE182" s="616"/>
      <c r="DF182" s="616"/>
      <c r="DG182" s="616"/>
      <c r="DH182" s="616"/>
      <c r="DI182" s="616"/>
      <c r="DJ182" s="616"/>
      <c r="DK182" s="616"/>
      <c r="DL182" s="616"/>
      <c r="DM182" s="616"/>
      <c r="DN182" s="616"/>
      <c r="DO182" s="616"/>
      <c r="DP182" s="616"/>
      <c r="DQ182" s="617"/>
      <c r="DR182" s="229"/>
    </row>
    <row r="183" spans="1:122" ht="7.5" customHeight="1" x14ac:dyDescent="0.25">
      <c r="A183" s="591"/>
      <c r="B183" s="592"/>
      <c r="C183" s="592"/>
      <c r="D183" s="592"/>
      <c r="E183" s="593"/>
      <c r="F183" s="145"/>
      <c r="G183" s="598"/>
      <c r="H183" s="598"/>
      <c r="I183" s="598"/>
      <c r="J183" s="598"/>
      <c r="K183" s="598"/>
      <c r="L183" s="598"/>
      <c r="M183" s="598"/>
      <c r="N183" s="598"/>
      <c r="O183" s="598"/>
      <c r="P183" s="598"/>
      <c r="Q183" s="598"/>
      <c r="R183" s="598"/>
      <c r="S183" s="598"/>
      <c r="T183" s="598"/>
      <c r="U183" s="598"/>
      <c r="V183" s="598"/>
      <c r="W183" s="598"/>
      <c r="X183" s="598"/>
      <c r="Y183" s="598"/>
      <c r="Z183" s="602"/>
      <c r="AA183" s="602"/>
      <c r="AB183" s="602"/>
      <c r="AC183" s="602"/>
      <c r="AD183" s="602"/>
      <c r="AE183" s="602"/>
      <c r="AF183" s="602"/>
      <c r="AG183" s="635"/>
      <c r="AH183" s="132"/>
      <c r="AI183" s="129"/>
      <c r="AJ183" s="129"/>
      <c r="AK183" s="129"/>
      <c r="AL183" s="129"/>
      <c r="AM183" s="129"/>
      <c r="AN183" s="129"/>
      <c r="AO183" s="129"/>
      <c r="AP183" s="129"/>
      <c r="AQ183" s="129"/>
      <c r="AR183" s="129"/>
      <c r="AS183" s="129"/>
      <c r="AT183" s="129"/>
      <c r="AU183" s="129"/>
      <c r="AV183" s="129"/>
      <c r="AW183" s="145"/>
      <c r="AX183" s="619"/>
      <c r="AY183" s="619"/>
      <c r="AZ183" s="619"/>
      <c r="BA183" s="619"/>
      <c r="BB183" s="619"/>
      <c r="BC183" s="619"/>
      <c r="BD183" s="619"/>
      <c r="BE183" s="619"/>
      <c r="BF183" s="619"/>
      <c r="BG183" s="619"/>
      <c r="BH183" s="619"/>
      <c r="BI183" s="619"/>
      <c r="BJ183" s="619"/>
      <c r="BK183" s="619"/>
      <c r="BL183" s="619"/>
      <c r="BM183" s="619"/>
      <c r="BN183" s="619"/>
      <c r="BO183" s="619"/>
      <c r="BP183" s="619"/>
      <c r="BQ183" s="619"/>
      <c r="BR183" s="619"/>
      <c r="BS183" s="619"/>
      <c r="BT183" s="619"/>
      <c r="BU183" s="619"/>
      <c r="BV183" s="619"/>
      <c r="BW183" s="619"/>
      <c r="BX183" s="619"/>
      <c r="BY183" s="619"/>
      <c r="BZ183" s="619"/>
      <c r="CA183" s="619"/>
      <c r="CB183" s="619"/>
      <c r="CC183" s="619"/>
      <c r="CD183" s="619"/>
      <c r="CE183" s="619"/>
      <c r="CF183" s="619"/>
      <c r="CG183" s="619"/>
      <c r="CH183" s="619"/>
      <c r="CI183" s="619"/>
      <c r="CJ183" s="619"/>
      <c r="CK183" s="619"/>
      <c r="CL183" s="619"/>
      <c r="CM183" s="619"/>
      <c r="CN183" s="619"/>
      <c r="CO183" s="619"/>
      <c r="CP183" s="619"/>
      <c r="CQ183" s="619"/>
      <c r="CR183" s="619"/>
      <c r="CS183" s="619"/>
      <c r="CT183" s="619"/>
      <c r="CU183" s="619"/>
      <c r="CV183" s="619"/>
      <c r="CW183" s="619"/>
      <c r="CX183" s="619"/>
      <c r="CY183" s="619"/>
      <c r="CZ183" s="619"/>
      <c r="DA183" s="619"/>
      <c r="DB183" s="619"/>
      <c r="DC183" s="619"/>
      <c r="DD183" s="619"/>
      <c r="DE183" s="619"/>
      <c r="DF183" s="619"/>
      <c r="DG183" s="619"/>
      <c r="DH183" s="619"/>
      <c r="DI183" s="619"/>
      <c r="DJ183" s="619"/>
      <c r="DK183" s="619"/>
      <c r="DL183" s="619"/>
      <c r="DM183" s="619"/>
      <c r="DN183" s="619"/>
      <c r="DO183" s="619"/>
      <c r="DP183" s="619"/>
      <c r="DQ183" s="639"/>
      <c r="DR183" s="229"/>
    </row>
    <row r="184" spans="1:122" ht="7.5" customHeight="1" x14ac:dyDescent="0.25">
      <c r="A184" s="594"/>
      <c r="B184" s="595"/>
      <c r="C184" s="595"/>
      <c r="D184" s="595"/>
      <c r="E184" s="596"/>
      <c r="G184" s="599"/>
      <c r="H184" s="599"/>
      <c r="I184" s="599"/>
      <c r="J184" s="599"/>
      <c r="K184" s="599"/>
      <c r="L184" s="599"/>
      <c r="M184" s="599"/>
      <c r="N184" s="599"/>
      <c r="O184" s="599"/>
      <c r="P184" s="599"/>
      <c r="Q184" s="599"/>
      <c r="R184" s="599"/>
      <c r="S184" s="599"/>
      <c r="T184" s="599"/>
      <c r="U184" s="599"/>
      <c r="V184" s="599"/>
      <c r="W184" s="599"/>
      <c r="X184" s="599"/>
      <c r="Y184" s="599"/>
      <c r="Z184" s="602"/>
      <c r="AA184" s="602"/>
      <c r="AB184" s="602"/>
      <c r="AC184" s="602"/>
      <c r="AD184" s="602"/>
      <c r="AE184" s="602"/>
      <c r="AF184" s="602"/>
      <c r="AG184" s="636"/>
      <c r="AH184" s="132"/>
      <c r="AI184" s="129"/>
      <c r="AJ184" s="129"/>
      <c r="AK184" s="129"/>
      <c r="AL184" s="129"/>
      <c r="AM184" s="129"/>
      <c r="AN184" s="129"/>
      <c r="AO184" s="129"/>
      <c r="AP184" s="129"/>
      <c r="AQ184" s="129"/>
      <c r="AR184" s="129"/>
      <c r="AS184" s="129"/>
      <c r="AT184" s="129"/>
      <c r="AU184" s="129"/>
      <c r="AV184" s="129"/>
      <c r="AW184" s="146"/>
      <c r="AX184" s="619"/>
      <c r="AY184" s="619"/>
      <c r="AZ184" s="619"/>
      <c r="BA184" s="619"/>
      <c r="BB184" s="619"/>
      <c r="BC184" s="619"/>
      <c r="BD184" s="619"/>
      <c r="BE184" s="619"/>
      <c r="BF184" s="619"/>
      <c r="BG184" s="619"/>
      <c r="BH184" s="619"/>
      <c r="BI184" s="619"/>
      <c r="BJ184" s="619"/>
      <c r="BK184" s="619"/>
      <c r="BL184" s="619"/>
      <c r="BM184" s="619"/>
      <c r="BN184" s="619"/>
      <c r="BO184" s="619"/>
      <c r="BP184" s="619"/>
      <c r="BQ184" s="619"/>
      <c r="BR184" s="619"/>
      <c r="BS184" s="619"/>
      <c r="BT184" s="619"/>
      <c r="BU184" s="619"/>
      <c r="BV184" s="619"/>
      <c r="BW184" s="619"/>
      <c r="BX184" s="619"/>
      <c r="BY184" s="619"/>
      <c r="BZ184" s="619"/>
      <c r="CA184" s="619"/>
      <c r="CB184" s="619"/>
      <c r="CC184" s="619"/>
      <c r="CD184" s="619"/>
      <c r="CE184" s="619"/>
      <c r="CF184" s="619"/>
      <c r="CG184" s="619"/>
      <c r="CH184" s="619"/>
      <c r="CI184" s="619"/>
      <c r="CJ184" s="619"/>
      <c r="CK184" s="619"/>
      <c r="CL184" s="619"/>
      <c r="CM184" s="619"/>
      <c r="CN184" s="619"/>
      <c r="CO184" s="619"/>
      <c r="CP184" s="619"/>
      <c r="CQ184" s="619"/>
      <c r="CR184" s="619"/>
      <c r="CS184" s="619"/>
      <c r="CT184" s="619"/>
      <c r="CU184" s="619"/>
      <c r="CV184" s="619"/>
      <c r="CW184" s="619"/>
      <c r="CX184" s="619"/>
      <c r="CY184" s="619"/>
      <c r="CZ184" s="619"/>
      <c r="DA184" s="619"/>
      <c r="DB184" s="619"/>
      <c r="DC184" s="619"/>
      <c r="DD184" s="619"/>
      <c r="DE184" s="619"/>
      <c r="DF184" s="619"/>
      <c r="DG184" s="619"/>
      <c r="DH184" s="619"/>
      <c r="DI184" s="619"/>
      <c r="DJ184" s="619"/>
      <c r="DK184" s="619"/>
      <c r="DL184" s="619"/>
      <c r="DM184" s="619"/>
      <c r="DN184" s="619"/>
      <c r="DO184" s="619"/>
      <c r="DP184" s="619"/>
      <c r="DQ184" s="640"/>
      <c r="DR184" s="229"/>
    </row>
    <row r="185" spans="1:122" ht="7.5" customHeight="1" x14ac:dyDescent="0.25">
      <c r="A185" s="119"/>
      <c r="B185" s="119"/>
      <c r="C185" s="119"/>
      <c r="D185" s="119"/>
      <c r="E185" s="119"/>
      <c r="F185" s="653" t="str">
        <f>G182</f>
        <v>Medicine</v>
      </c>
      <c r="G185" s="653"/>
      <c r="H185" s="653"/>
      <c r="I185" s="653"/>
      <c r="J185" s="653"/>
      <c r="K185" s="625" t="e">
        <f ca="1">(FLOOR(INDIRECT(SUBSTITUTE(G182," ",""))/5,1)*(FLOOR(INDIRECT(SUBSTITUTE(G182," ",""))/5,1)+1)/2)*50+MOD(INDIRECT(SUBSTITUTE(G182," ","")),5)*CEILING(INDIRECT(SUBSTITUTE(G182," ",""))/5,1)*10-((FLOOR(INDIRECT("Base"&amp;SUBSTITUTE(G182," ",""))/5,1)*(FLOOR(INDIRECT("Base"&amp;SUBSTITUTE(G182," ",""))/5,1)+1)/2)*50+MOD(INDIRECT("Base"&amp;SUBSTITUTE(G182," ","")),5)*CEILING(INDIRECT("Base"&amp;SUBSTITUTE(G182," ",""))/5,1)*10)</f>
        <v>#REF!</v>
      </c>
      <c r="L185" s="625"/>
      <c r="M185" s="625"/>
      <c r="N185" s="626" t="b">
        <f>IF(AH178&lt;&gt;"",VLOOKUP($G182,'Merit Data'!A:BW,MATCH('Merit Data'!$B$3,'Merit Data'!$3:$3,0),0),TRUE)</f>
        <v>1</v>
      </c>
      <c r="O185" s="626"/>
      <c r="P185" s="626"/>
      <c r="Q185" s="140"/>
      <c r="R185" s="140"/>
      <c r="S185" s="140"/>
      <c r="T185" s="140"/>
      <c r="U185" s="140"/>
      <c r="V185" s="238"/>
      <c r="W185" s="238"/>
      <c r="X185" s="627" t="str">
        <f>IF(F185&gt;0,HYPERLINK("http://wiki.project-saros.com/w/"&amp;F185,"Info"),"")</f>
        <v>Info</v>
      </c>
      <c r="Y185" s="628"/>
      <c r="Z185" s="637"/>
      <c r="AA185" s="637"/>
      <c r="AB185" s="637"/>
      <c r="AC185" s="637"/>
      <c r="AD185" s="637"/>
      <c r="AE185" s="637"/>
      <c r="AF185" s="637"/>
      <c r="AG185" s="638"/>
      <c r="AH185" s="148"/>
      <c r="AI185" s="131"/>
      <c r="AJ185" s="131"/>
      <c r="AK185" s="149"/>
      <c r="AL185" s="149"/>
      <c r="AM185" s="149"/>
      <c r="AN185" s="149"/>
      <c r="AO185" s="149"/>
      <c r="AP185" s="149"/>
      <c r="AQ185" s="149"/>
      <c r="AR185" s="149"/>
      <c r="AS185" s="131"/>
      <c r="AT185" s="131"/>
      <c r="AU185" s="131"/>
      <c r="AV185" s="131"/>
      <c r="AW185" s="150"/>
      <c r="AX185" s="641"/>
      <c r="AY185" s="641"/>
      <c r="AZ185" s="641"/>
      <c r="BA185" s="641"/>
      <c r="BB185" s="641"/>
      <c r="BC185" s="641"/>
      <c r="BD185" s="641"/>
      <c r="BE185" s="641"/>
      <c r="BF185" s="641"/>
      <c r="BG185" s="641"/>
      <c r="BH185" s="641"/>
      <c r="BI185" s="641"/>
      <c r="BJ185" s="641"/>
      <c r="BK185" s="641"/>
      <c r="BL185" s="641"/>
      <c r="BM185" s="641"/>
      <c r="BN185" s="641"/>
      <c r="BO185" s="641"/>
      <c r="BP185" s="641"/>
      <c r="BQ185" s="641"/>
      <c r="BR185" s="641"/>
      <c r="BS185" s="641"/>
      <c r="BT185" s="641"/>
      <c r="BU185" s="641"/>
      <c r="BV185" s="641"/>
      <c r="BW185" s="641"/>
      <c r="BX185" s="641"/>
      <c r="BY185" s="641"/>
      <c r="BZ185" s="641"/>
      <c r="CA185" s="641"/>
      <c r="CB185" s="641"/>
      <c r="CC185" s="641"/>
      <c r="CD185" s="641"/>
      <c r="CE185" s="641"/>
      <c r="CF185" s="641"/>
      <c r="CG185" s="641"/>
      <c r="CH185" s="641"/>
      <c r="CI185" s="641"/>
      <c r="CJ185" s="641"/>
      <c r="CK185" s="641"/>
      <c r="CL185" s="641"/>
      <c r="CM185" s="641"/>
      <c r="CN185" s="641"/>
      <c r="CO185" s="641"/>
      <c r="CP185" s="641"/>
      <c r="CQ185" s="641"/>
      <c r="CR185" s="641"/>
      <c r="CS185" s="641"/>
      <c r="CT185" s="641"/>
      <c r="CU185" s="641"/>
      <c r="CV185" s="641"/>
      <c r="CW185" s="641"/>
      <c r="CX185" s="641"/>
      <c r="CY185" s="641"/>
      <c r="CZ185" s="641"/>
      <c r="DA185" s="641"/>
      <c r="DB185" s="641"/>
      <c r="DC185" s="641"/>
      <c r="DD185" s="641"/>
      <c r="DE185" s="641"/>
      <c r="DF185" s="641"/>
      <c r="DG185" s="641"/>
      <c r="DH185" s="641"/>
      <c r="DI185" s="641"/>
      <c r="DJ185" s="641"/>
      <c r="DK185" s="641"/>
      <c r="DL185" s="641"/>
      <c r="DM185" s="641"/>
      <c r="DN185" s="641"/>
      <c r="DO185" s="641"/>
      <c r="DP185" s="641"/>
      <c r="DQ185" s="642"/>
      <c r="DR185" s="229"/>
    </row>
    <row r="186" spans="1:122" ht="7.5" customHeight="1" x14ac:dyDescent="0.25">
      <c r="A186" s="588">
        <v>0</v>
      </c>
      <c r="B186" s="589"/>
      <c r="C186" s="589"/>
      <c r="D186" s="589"/>
      <c r="E186" s="590"/>
      <c r="G186" s="597" t="s">
        <v>265</v>
      </c>
      <c r="H186" s="597"/>
      <c r="I186" s="597"/>
      <c r="J186" s="597"/>
      <c r="K186" s="597"/>
      <c r="L186" s="597"/>
      <c r="M186" s="597"/>
      <c r="N186" s="597"/>
      <c r="O186" s="597"/>
      <c r="P186" s="597"/>
      <c r="Q186" s="597"/>
      <c r="R186" s="597"/>
      <c r="S186" s="597"/>
      <c r="T186" s="597"/>
      <c r="U186" s="597"/>
      <c r="V186" s="597"/>
      <c r="W186" s="597"/>
      <c r="X186" s="597"/>
      <c r="Y186" s="597"/>
      <c r="Z186" s="600" t="e">
        <f ca="1">FLOOR(INDIRECT(SUBSTITUTE(G186," ",""))/5+1,1)*10</f>
        <v>#REF!</v>
      </c>
      <c r="AA186" s="600"/>
      <c r="AB186" s="600"/>
      <c r="AC186" s="600"/>
      <c r="AD186" s="600"/>
      <c r="AE186" s="600"/>
      <c r="AF186" s="600"/>
      <c r="AG186" s="601"/>
      <c r="AH186" s="142"/>
      <c r="AI186" s="143"/>
      <c r="AJ186" s="143"/>
      <c r="AK186" s="143"/>
      <c r="AL186" s="143"/>
      <c r="AM186" s="143"/>
      <c r="AN186" s="143"/>
      <c r="AO186" s="143"/>
      <c r="AP186" s="143"/>
      <c r="AQ186" s="143"/>
      <c r="AR186" s="143"/>
      <c r="AS186" s="143"/>
      <c r="AT186" s="143"/>
      <c r="AU186" s="143"/>
      <c r="AV186" s="143"/>
      <c r="AW186" s="144"/>
      <c r="AX186" s="616" t="e">
        <f ca="1">"Further increases your "&amp;G186&amp;" skill from "&amp;INDIRECT(SUBSTITUTE(G186," ",""))&amp;" to "&amp;INDIRECT(SUBSTITUTE(G186," ",""))+1</f>
        <v>#REF!</v>
      </c>
      <c r="AY186" s="616"/>
      <c r="AZ186" s="616"/>
      <c r="BA186" s="616"/>
      <c r="BB186" s="616"/>
      <c r="BC186" s="616"/>
      <c r="BD186" s="616"/>
      <c r="BE186" s="616"/>
      <c r="BF186" s="616"/>
      <c r="BG186" s="616"/>
      <c r="BH186" s="616"/>
      <c r="BI186" s="616"/>
      <c r="BJ186" s="616"/>
      <c r="BK186" s="616"/>
      <c r="BL186" s="616"/>
      <c r="BM186" s="616"/>
      <c r="BN186" s="616"/>
      <c r="BO186" s="616"/>
      <c r="BP186" s="616"/>
      <c r="BQ186" s="616"/>
      <c r="BR186" s="616"/>
      <c r="BS186" s="616"/>
      <c r="BT186" s="616"/>
      <c r="BU186" s="616"/>
      <c r="BV186" s="616"/>
      <c r="BW186" s="616"/>
      <c r="BX186" s="616"/>
      <c r="BY186" s="616"/>
      <c r="BZ186" s="616"/>
      <c r="CA186" s="616"/>
      <c r="CB186" s="616"/>
      <c r="CC186" s="616"/>
      <c r="CD186" s="616"/>
      <c r="CE186" s="616"/>
      <c r="CF186" s="616"/>
      <c r="CG186" s="616"/>
      <c r="CH186" s="616"/>
      <c r="CI186" s="616"/>
      <c r="CJ186" s="616"/>
      <c r="CK186" s="616"/>
      <c r="CL186" s="616"/>
      <c r="CM186" s="616"/>
      <c r="CN186" s="616"/>
      <c r="CO186" s="616"/>
      <c r="CP186" s="616"/>
      <c r="CQ186" s="616"/>
      <c r="CR186" s="616"/>
      <c r="CS186" s="616"/>
      <c r="CT186" s="616"/>
      <c r="CU186" s="616"/>
      <c r="CV186" s="616"/>
      <c r="CW186" s="616"/>
      <c r="CX186" s="616"/>
      <c r="CY186" s="616"/>
      <c r="CZ186" s="616"/>
      <c r="DA186" s="616"/>
      <c r="DB186" s="616"/>
      <c r="DC186" s="616"/>
      <c r="DD186" s="616"/>
      <c r="DE186" s="616"/>
      <c r="DF186" s="616"/>
      <c r="DG186" s="616"/>
      <c r="DH186" s="616"/>
      <c r="DI186" s="616"/>
      <c r="DJ186" s="616"/>
      <c r="DK186" s="616"/>
      <c r="DL186" s="616"/>
      <c r="DM186" s="616"/>
      <c r="DN186" s="616"/>
      <c r="DO186" s="616"/>
      <c r="DP186" s="616"/>
      <c r="DQ186" s="617"/>
      <c r="DR186" s="229"/>
    </row>
    <row r="187" spans="1:122" ht="7.5" customHeight="1" x14ac:dyDescent="0.25">
      <c r="A187" s="591"/>
      <c r="B187" s="592"/>
      <c r="C187" s="592"/>
      <c r="D187" s="592"/>
      <c r="E187" s="593"/>
      <c r="F187" s="145"/>
      <c r="G187" s="598"/>
      <c r="H187" s="598"/>
      <c r="I187" s="598"/>
      <c r="J187" s="598"/>
      <c r="K187" s="598"/>
      <c r="L187" s="598"/>
      <c r="M187" s="598"/>
      <c r="N187" s="598"/>
      <c r="O187" s="598"/>
      <c r="P187" s="598"/>
      <c r="Q187" s="598"/>
      <c r="R187" s="598"/>
      <c r="S187" s="598"/>
      <c r="T187" s="598"/>
      <c r="U187" s="598"/>
      <c r="V187" s="598"/>
      <c r="W187" s="598"/>
      <c r="X187" s="598"/>
      <c r="Y187" s="598"/>
      <c r="Z187" s="602"/>
      <c r="AA187" s="602"/>
      <c r="AB187" s="602"/>
      <c r="AC187" s="602"/>
      <c r="AD187" s="602"/>
      <c r="AE187" s="602"/>
      <c r="AF187" s="602"/>
      <c r="AG187" s="635"/>
      <c r="AH187" s="132"/>
      <c r="AI187" s="129"/>
      <c r="AJ187" s="129"/>
      <c r="AK187" s="129"/>
      <c r="AL187" s="129"/>
      <c r="AM187" s="129"/>
      <c r="AN187" s="129"/>
      <c r="AO187" s="129"/>
      <c r="AP187" s="129"/>
      <c r="AQ187" s="129"/>
      <c r="AR187" s="129"/>
      <c r="AS187" s="129"/>
      <c r="AT187" s="129"/>
      <c r="AU187" s="129"/>
      <c r="AV187" s="129"/>
      <c r="AW187" s="145"/>
      <c r="AX187" s="619"/>
      <c r="AY187" s="619"/>
      <c r="AZ187" s="619"/>
      <c r="BA187" s="619"/>
      <c r="BB187" s="619"/>
      <c r="BC187" s="619"/>
      <c r="BD187" s="619"/>
      <c r="BE187" s="619"/>
      <c r="BF187" s="619"/>
      <c r="BG187" s="619"/>
      <c r="BH187" s="619"/>
      <c r="BI187" s="619"/>
      <c r="BJ187" s="619"/>
      <c r="BK187" s="619"/>
      <c r="BL187" s="619"/>
      <c r="BM187" s="619"/>
      <c r="BN187" s="619"/>
      <c r="BO187" s="619"/>
      <c r="BP187" s="619"/>
      <c r="BQ187" s="619"/>
      <c r="BR187" s="619"/>
      <c r="BS187" s="619"/>
      <c r="BT187" s="619"/>
      <c r="BU187" s="619"/>
      <c r="BV187" s="619"/>
      <c r="BW187" s="619"/>
      <c r="BX187" s="619"/>
      <c r="BY187" s="619"/>
      <c r="BZ187" s="619"/>
      <c r="CA187" s="619"/>
      <c r="CB187" s="619"/>
      <c r="CC187" s="619"/>
      <c r="CD187" s="619"/>
      <c r="CE187" s="619"/>
      <c r="CF187" s="619"/>
      <c r="CG187" s="619"/>
      <c r="CH187" s="619"/>
      <c r="CI187" s="619"/>
      <c r="CJ187" s="619"/>
      <c r="CK187" s="619"/>
      <c r="CL187" s="619"/>
      <c r="CM187" s="619"/>
      <c r="CN187" s="619"/>
      <c r="CO187" s="619"/>
      <c r="CP187" s="619"/>
      <c r="CQ187" s="619"/>
      <c r="CR187" s="619"/>
      <c r="CS187" s="619"/>
      <c r="CT187" s="619"/>
      <c r="CU187" s="619"/>
      <c r="CV187" s="619"/>
      <c r="CW187" s="619"/>
      <c r="CX187" s="619"/>
      <c r="CY187" s="619"/>
      <c r="CZ187" s="619"/>
      <c r="DA187" s="619"/>
      <c r="DB187" s="619"/>
      <c r="DC187" s="619"/>
      <c r="DD187" s="619"/>
      <c r="DE187" s="619"/>
      <c r="DF187" s="619"/>
      <c r="DG187" s="619"/>
      <c r="DH187" s="619"/>
      <c r="DI187" s="619"/>
      <c r="DJ187" s="619"/>
      <c r="DK187" s="619"/>
      <c r="DL187" s="619"/>
      <c r="DM187" s="619"/>
      <c r="DN187" s="619"/>
      <c r="DO187" s="619"/>
      <c r="DP187" s="619"/>
      <c r="DQ187" s="639"/>
      <c r="DR187" s="229"/>
    </row>
    <row r="188" spans="1:122" ht="7.5" customHeight="1" x14ac:dyDescent="0.25">
      <c r="A188" s="594"/>
      <c r="B188" s="595"/>
      <c r="C188" s="595"/>
      <c r="D188" s="595"/>
      <c r="E188" s="596"/>
      <c r="G188" s="599"/>
      <c r="H188" s="599"/>
      <c r="I188" s="599"/>
      <c r="J188" s="599"/>
      <c r="K188" s="599"/>
      <c r="L188" s="599"/>
      <c r="M188" s="599"/>
      <c r="N188" s="599"/>
      <c r="O188" s="599"/>
      <c r="P188" s="599"/>
      <c r="Q188" s="599"/>
      <c r="R188" s="599"/>
      <c r="S188" s="599"/>
      <c r="T188" s="599"/>
      <c r="U188" s="599"/>
      <c r="V188" s="599"/>
      <c r="W188" s="599"/>
      <c r="X188" s="599"/>
      <c r="Y188" s="599"/>
      <c r="Z188" s="602"/>
      <c r="AA188" s="602"/>
      <c r="AB188" s="602"/>
      <c r="AC188" s="602"/>
      <c r="AD188" s="602"/>
      <c r="AE188" s="602"/>
      <c r="AF188" s="602"/>
      <c r="AG188" s="636"/>
      <c r="AH188" s="132"/>
      <c r="AI188" s="129"/>
      <c r="AJ188" s="129"/>
      <c r="AK188" s="129"/>
      <c r="AL188" s="129"/>
      <c r="AM188" s="129"/>
      <c r="AN188" s="129"/>
      <c r="AO188" s="129"/>
      <c r="AP188" s="129"/>
      <c r="AQ188" s="129"/>
      <c r="AR188" s="129"/>
      <c r="AS188" s="129"/>
      <c r="AT188" s="129"/>
      <c r="AU188" s="129"/>
      <c r="AV188" s="129"/>
      <c r="AW188" s="146"/>
      <c r="AX188" s="619"/>
      <c r="AY188" s="619"/>
      <c r="AZ188" s="619"/>
      <c r="BA188" s="619"/>
      <c r="BB188" s="619"/>
      <c r="BC188" s="619"/>
      <c r="BD188" s="619"/>
      <c r="BE188" s="619"/>
      <c r="BF188" s="619"/>
      <c r="BG188" s="619"/>
      <c r="BH188" s="619"/>
      <c r="BI188" s="619"/>
      <c r="BJ188" s="619"/>
      <c r="BK188" s="619"/>
      <c r="BL188" s="619"/>
      <c r="BM188" s="619"/>
      <c r="BN188" s="619"/>
      <c r="BO188" s="619"/>
      <c r="BP188" s="619"/>
      <c r="BQ188" s="619"/>
      <c r="BR188" s="619"/>
      <c r="BS188" s="619"/>
      <c r="BT188" s="619"/>
      <c r="BU188" s="619"/>
      <c r="BV188" s="619"/>
      <c r="BW188" s="619"/>
      <c r="BX188" s="619"/>
      <c r="BY188" s="619"/>
      <c r="BZ188" s="619"/>
      <c r="CA188" s="619"/>
      <c r="CB188" s="619"/>
      <c r="CC188" s="619"/>
      <c r="CD188" s="619"/>
      <c r="CE188" s="619"/>
      <c r="CF188" s="619"/>
      <c r="CG188" s="619"/>
      <c r="CH188" s="619"/>
      <c r="CI188" s="619"/>
      <c r="CJ188" s="619"/>
      <c r="CK188" s="619"/>
      <c r="CL188" s="619"/>
      <c r="CM188" s="619"/>
      <c r="CN188" s="619"/>
      <c r="CO188" s="619"/>
      <c r="CP188" s="619"/>
      <c r="CQ188" s="619"/>
      <c r="CR188" s="619"/>
      <c r="CS188" s="619"/>
      <c r="CT188" s="619"/>
      <c r="CU188" s="619"/>
      <c r="CV188" s="619"/>
      <c r="CW188" s="619"/>
      <c r="CX188" s="619"/>
      <c r="CY188" s="619"/>
      <c r="CZ188" s="619"/>
      <c r="DA188" s="619"/>
      <c r="DB188" s="619"/>
      <c r="DC188" s="619"/>
      <c r="DD188" s="619"/>
      <c r="DE188" s="619"/>
      <c r="DF188" s="619"/>
      <c r="DG188" s="619"/>
      <c r="DH188" s="619"/>
      <c r="DI188" s="619"/>
      <c r="DJ188" s="619"/>
      <c r="DK188" s="619"/>
      <c r="DL188" s="619"/>
      <c r="DM188" s="619"/>
      <c r="DN188" s="619"/>
      <c r="DO188" s="619"/>
      <c r="DP188" s="619"/>
      <c r="DQ188" s="640"/>
      <c r="DR188" s="229"/>
    </row>
    <row r="189" spans="1:122" ht="7.5" customHeight="1" x14ac:dyDescent="0.25">
      <c r="A189" s="119"/>
      <c r="B189" s="119"/>
      <c r="C189" s="119"/>
      <c r="D189" s="119"/>
      <c r="E189" s="119"/>
      <c r="F189" s="653" t="str">
        <f>G186</f>
        <v>Smithing</v>
      </c>
      <c r="G189" s="653"/>
      <c r="H189" s="653"/>
      <c r="I189" s="653"/>
      <c r="J189" s="653"/>
      <c r="K189" s="625" t="e">
        <f ca="1">(FLOOR(INDIRECT(SUBSTITUTE(G186," ",""))/5,1)*(FLOOR(INDIRECT(SUBSTITUTE(G186," ",""))/5,1)+1)/2)*50+MOD(INDIRECT(SUBSTITUTE(G186," ","")),5)*CEILING(INDIRECT(SUBSTITUTE(G186," ",""))/5,1)*10-((FLOOR(INDIRECT("Base"&amp;SUBSTITUTE(G186," ",""))/5,1)*(FLOOR(INDIRECT("Base"&amp;SUBSTITUTE(G186," ",""))/5,1)+1)/2)*50+MOD(INDIRECT("Base"&amp;SUBSTITUTE(G186," ","")),5)*CEILING(INDIRECT("Base"&amp;SUBSTITUTE(G186," ",""))/5,1)*10)</f>
        <v>#REF!</v>
      </c>
      <c r="L189" s="625"/>
      <c r="M189" s="625"/>
      <c r="N189" s="626" t="b">
        <f>IF(AH182&lt;&gt;"",VLOOKUP($G186,'Merit Data'!A:BW,MATCH('Merit Data'!$B$3,'Merit Data'!$3:$3,0),0),TRUE)</f>
        <v>1</v>
      </c>
      <c r="O189" s="626"/>
      <c r="P189" s="626"/>
      <c r="Q189" s="140"/>
      <c r="R189" s="140"/>
      <c r="S189" s="140"/>
      <c r="T189" s="140"/>
      <c r="U189" s="140"/>
      <c r="V189" s="238"/>
      <c r="W189" s="238"/>
      <c r="X189" s="627" t="str">
        <f>IF(F189&gt;0,HYPERLINK("http://wiki.project-saros.com/w/"&amp;F189,"Info"),"")</f>
        <v>Info</v>
      </c>
      <c r="Y189" s="628"/>
      <c r="Z189" s="637"/>
      <c r="AA189" s="637"/>
      <c r="AB189" s="637"/>
      <c r="AC189" s="637"/>
      <c r="AD189" s="637"/>
      <c r="AE189" s="637"/>
      <c r="AF189" s="637"/>
      <c r="AG189" s="638"/>
      <c r="AH189" s="148"/>
      <c r="AI189" s="131"/>
      <c r="AJ189" s="131"/>
      <c r="AK189" s="149"/>
      <c r="AL189" s="149"/>
      <c r="AM189" s="149"/>
      <c r="AN189" s="149"/>
      <c r="AO189" s="149"/>
      <c r="AP189" s="149"/>
      <c r="AQ189" s="149"/>
      <c r="AR189" s="149"/>
      <c r="AS189" s="131"/>
      <c r="AT189" s="131"/>
      <c r="AU189" s="131"/>
      <c r="AV189" s="131"/>
      <c r="AW189" s="150"/>
      <c r="AX189" s="641"/>
      <c r="AY189" s="641"/>
      <c r="AZ189" s="641"/>
      <c r="BA189" s="641"/>
      <c r="BB189" s="641"/>
      <c r="BC189" s="641"/>
      <c r="BD189" s="641"/>
      <c r="BE189" s="641"/>
      <c r="BF189" s="641"/>
      <c r="BG189" s="641"/>
      <c r="BH189" s="641"/>
      <c r="BI189" s="641"/>
      <c r="BJ189" s="641"/>
      <c r="BK189" s="641"/>
      <c r="BL189" s="641"/>
      <c r="BM189" s="641"/>
      <c r="BN189" s="641"/>
      <c r="BO189" s="641"/>
      <c r="BP189" s="641"/>
      <c r="BQ189" s="641"/>
      <c r="BR189" s="641"/>
      <c r="BS189" s="641"/>
      <c r="BT189" s="641"/>
      <c r="BU189" s="641"/>
      <c r="BV189" s="641"/>
      <c r="BW189" s="641"/>
      <c r="BX189" s="641"/>
      <c r="BY189" s="641"/>
      <c r="BZ189" s="641"/>
      <c r="CA189" s="641"/>
      <c r="CB189" s="641"/>
      <c r="CC189" s="641"/>
      <c r="CD189" s="641"/>
      <c r="CE189" s="641"/>
      <c r="CF189" s="641"/>
      <c r="CG189" s="641"/>
      <c r="CH189" s="641"/>
      <c r="CI189" s="641"/>
      <c r="CJ189" s="641"/>
      <c r="CK189" s="641"/>
      <c r="CL189" s="641"/>
      <c r="CM189" s="641"/>
      <c r="CN189" s="641"/>
      <c r="CO189" s="641"/>
      <c r="CP189" s="641"/>
      <c r="CQ189" s="641"/>
      <c r="CR189" s="641"/>
      <c r="CS189" s="641"/>
      <c r="CT189" s="641"/>
      <c r="CU189" s="641"/>
      <c r="CV189" s="641"/>
      <c r="CW189" s="641"/>
      <c r="CX189" s="641"/>
      <c r="CY189" s="641"/>
      <c r="CZ189" s="641"/>
      <c r="DA189" s="641"/>
      <c r="DB189" s="641"/>
      <c r="DC189" s="641"/>
      <c r="DD189" s="641"/>
      <c r="DE189" s="641"/>
      <c r="DF189" s="641"/>
      <c r="DG189" s="641"/>
      <c r="DH189" s="641"/>
      <c r="DI189" s="641"/>
      <c r="DJ189" s="641"/>
      <c r="DK189" s="641"/>
      <c r="DL189" s="641"/>
      <c r="DM189" s="641"/>
      <c r="DN189" s="641"/>
      <c r="DO189" s="641"/>
      <c r="DP189" s="641"/>
      <c r="DQ189" s="642"/>
      <c r="DR189" s="229"/>
    </row>
    <row r="190" spans="1:122" ht="7.5" customHeight="1" x14ac:dyDescent="0.25">
      <c r="A190" s="588">
        <v>0</v>
      </c>
      <c r="B190" s="589"/>
      <c r="C190" s="589"/>
      <c r="D190" s="589"/>
      <c r="E190" s="590"/>
      <c r="G190" s="597" t="s">
        <v>266</v>
      </c>
      <c r="H190" s="597"/>
      <c r="I190" s="597"/>
      <c r="J190" s="597"/>
      <c r="K190" s="597"/>
      <c r="L190" s="597"/>
      <c r="M190" s="597"/>
      <c r="N190" s="597"/>
      <c r="O190" s="597"/>
      <c r="P190" s="597"/>
      <c r="Q190" s="597"/>
      <c r="R190" s="597"/>
      <c r="S190" s="597"/>
      <c r="T190" s="597"/>
      <c r="U190" s="597"/>
      <c r="V190" s="597"/>
      <c r="W190" s="597"/>
      <c r="X190" s="597"/>
      <c r="Y190" s="597"/>
      <c r="Z190" s="600" t="e">
        <f ca="1">FLOOR(INDIRECT(SUBSTITUTE(G190," ",""))/5+1,1)*10</f>
        <v>#REF!</v>
      </c>
      <c r="AA190" s="600"/>
      <c r="AB190" s="600"/>
      <c r="AC190" s="600"/>
      <c r="AD190" s="600"/>
      <c r="AE190" s="600"/>
      <c r="AF190" s="600"/>
      <c r="AG190" s="601"/>
      <c r="AH190" s="142"/>
      <c r="AI190" s="143"/>
      <c r="AJ190" s="143"/>
      <c r="AK190" s="143"/>
      <c r="AL190" s="143"/>
      <c r="AM190" s="143"/>
      <c r="AN190" s="143"/>
      <c r="AO190" s="143"/>
      <c r="AP190" s="143"/>
      <c r="AQ190" s="143"/>
      <c r="AR190" s="143"/>
      <c r="AS190" s="143"/>
      <c r="AT190" s="143"/>
      <c r="AU190" s="143"/>
      <c r="AV190" s="143"/>
      <c r="AW190" s="144"/>
      <c r="AX190" s="616" t="e">
        <f ca="1">"Further increases your "&amp;G190&amp;" skill from "&amp;INDIRECT(SUBSTITUTE(G190," ",""))&amp;" to "&amp;INDIRECT(SUBSTITUTE(G190," ",""))+1</f>
        <v>#REF!</v>
      </c>
      <c r="AY190" s="616"/>
      <c r="AZ190" s="616"/>
      <c r="BA190" s="616"/>
      <c r="BB190" s="616"/>
      <c r="BC190" s="616"/>
      <c r="BD190" s="616"/>
      <c r="BE190" s="616"/>
      <c r="BF190" s="616"/>
      <c r="BG190" s="616"/>
      <c r="BH190" s="616"/>
      <c r="BI190" s="616"/>
      <c r="BJ190" s="616"/>
      <c r="BK190" s="616"/>
      <c r="BL190" s="616"/>
      <c r="BM190" s="616"/>
      <c r="BN190" s="616"/>
      <c r="BO190" s="616"/>
      <c r="BP190" s="616"/>
      <c r="BQ190" s="616"/>
      <c r="BR190" s="616"/>
      <c r="BS190" s="616"/>
      <c r="BT190" s="616"/>
      <c r="BU190" s="616"/>
      <c r="BV190" s="616"/>
      <c r="BW190" s="616"/>
      <c r="BX190" s="616"/>
      <c r="BY190" s="616"/>
      <c r="BZ190" s="616"/>
      <c r="CA190" s="616"/>
      <c r="CB190" s="616"/>
      <c r="CC190" s="616"/>
      <c r="CD190" s="616"/>
      <c r="CE190" s="616"/>
      <c r="CF190" s="616"/>
      <c r="CG190" s="616"/>
      <c r="CH190" s="616"/>
      <c r="CI190" s="616"/>
      <c r="CJ190" s="616"/>
      <c r="CK190" s="616"/>
      <c r="CL190" s="616"/>
      <c r="CM190" s="616"/>
      <c r="CN190" s="616"/>
      <c r="CO190" s="616"/>
      <c r="CP190" s="616"/>
      <c r="CQ190" s="616"/>
      <c r="CR190" s="616"/>
      <c r="CS190" s="616"/>
      <c r="CT190" s="616"/>
      <c r="CU190" s="616"/>
      <c r="CV190" s="616"/>
      <c r="CW190" s="616"/>
      <c r="CX190" s="616"/>
      <c r="CY190" s="616"/>
      <c r="CZ190" s="616"/>
      <c r="DA190" s="616"/>
      <c r="DB190" s="616"/>
      <c r="DC190" s="616"/>
      <c r="DD190" s="616"/>
      <c r="DE190" s="616"/>
      <c r="DF190" s="616"/>
      <c r="DG190" s="616"/>
      <c r="DH190" s="616"/>
      <c r="DI190" s="616"/>
      <c r="DJ190" s="616"/>
      <c r="DK190" s="616"/>
      <c r="DL190" s="616"/>
      <c r="DM190" s="616"/>
      <c r="DN190" s="616"/>
      <c r="DO190" s="616"/>
      <c r="DP190" s="616"/>
      <c r="DQ190" s="617"/>
      <c r="DR190" s="229"/>
    </row>
    <row r="191" spans="1:122" ht="7.5" customHeight="1" x14ac:dyDescent="0.25">
      <c r="A191" s="591"/>
      <c r="B191" s="592"/>
      <c r="C191" s="592"/>
      <c r="D191" s="592"/>
      <c r="E191" s="593"/>
      <c r="F191" s="145"/>
      <c r="G191" s="598"/>
      <c r="H191" s="598"/>
      <c r="I191" s="598"/>
      <c r="J191" s="598"/>
      <c r="K191" s="598"/>
      <c r="L191" s="598"/>
      <c r="M191" s="598"/>
      <c r="N191" s="598"/>
      <c r="O191" s="598"/>
      <c r="P191" s="598"/>
      <c r="Q191" s="598"/>
      <c r="R191" s="598"/>
      <c r="S191" s="598"/>
      <c r="T191" s="598"/>
      <c r="U191" s="598"/>
      <c r="V191" s="598"/>
      <c r="W191" s="598"/>
      <c r="X191" s="598"/>
      <c r="Y191" s="598"/>
      <c r="Z191" s="602"/>
      <c r="AA191" s="602"/>
      <c r="AB191" s="602"/>
      <c r="AC191" s="602"/>
      <c r="AD191" s="602"/>
      <c r="AE191" s="602"/>
      <c r="AF191" s="602"/>
      <c r="AG191" s="635"/>
      <c r="AH191" s="132"/>
      <c r="AI191" s="129"/>
      <c r="AJ191" s="129"/>
      <c r="AK191" s="129"/>
      <c r="AL191" s="129"/>
      <c r="AM191" s="129"/>
      <c r="AN191" s="129"/>
      <c r="AO191" s="129"/>
      <c r="AP191" s="129"/>
      <c r="AQ191" s="129"/>
      <c r="AR191" s="129"/>
      <c r="AS191" s="129"/>
      <c r="AT191" s="129"/>
      <c r="AU191" s="129"/>
      <c r="AV191" s="129"/>
      <c r="AW191" s="145"/>
      <c r="AX191" s="619"/>
      <c r="AY191" s="619"/>
      <c r="AZ191" s="619"/>
      <c r="BA191" s="619"/>
      <c r="BB191" s="619"/>
      <c r="BC191" s="619"/>
      <c r="BD191" s="619"/>
      <c r="BE191" s="619"/>
      <c r="BF191" s="619"/>
      <c r="BG191" s="619"/>
      <c r="BH191" s="619"/>
      <c r="BI191" s="619"/>
      <c r="BJ191" s="619"/>
      <c r="BK191" s="619"/>
      <c r="BL191" s="619"/>
      <c r="BM191" s="619"/>
      <c r="BN191" s="619"/>
      <c r="BO191" s="619"/>
      <c r="BP191" s="619"/>
      <c r="BQ191" s="619"/>
      <c r="BR191" s="619"/>
      <c r="BS191" s="619"/>
      <c r="BT191" s="619"/>
      <c r="BU191" s="619"/>
      <c r="BV191" s="619"/>
      <c r="BW191" s="619"/>
      <c r="BX191" s="619"/>
      <c r="BY191" s="619"/>
      <c r="BZ191" s="619"/>
      <c r="CA191" s="619"/>
      <c r="CB191" s="619"/>
      <c r="CC191" s="619"/>
      <c r="CD191" s="619"/>
      <c r="CE191" s="619"/>
      <c r="CF191" s="619"/>
      <c r="CG191" s="619"/>
      <c r="CH191" s="619"/>
      <c r="CI191" s="619"/>
      <c r="CJ191" s="619"/>
      <c r="CK191" s="619"/>
      <c r="CL191" s="619"/>
      <c r="CM191" s="619"/>
      <c r="CN191" s="619"/>
      <c r="CO191" s="619"/>
      <c r="CP191" s="619"/>
      <c r="CQ191" s="619"/>
      <c r="CR191" s="619"/>
      <c r="CS191" s="619"/>
      <c r="CT191" s="619"/>
      <c r="CU191" s="619"/>
      <c r="CV191" s="619"/>
      <c r="CW191" s="619"/>
      <c r="CX191" s="619"/>
      <c r="CY191" s="619"/>
      <c r="CZ191" s="619"/>
      <c r="DA191" s="619"/>
      <c r="DB191" s="619"/>
      <c r="DC191" s="619"/>
      <c r="DD191" s="619"/>
      <c r="DE191" s="619"/>
      <c r="DF191" s="619"/>
      <c r="DG191" s="619"/>
      <c r="DH191" s="619"/>
      <c r="DI191" s="619"/>
      <c r="DJ191" s="619"/>
      <c r="DK191" s="619"/>
      <c r="DL191" s="619"/>
      <c r="DM191" s="619"/>
      <c r="DN191" s="619"/>
      <c r="DO191" s="619"/>
      <c r="DP191" s="619"/>
      <c r="DQ191" s="639"/>
      <c r="DR191" s="229"/>
    </row>
    <row r="192" spans="1:122" ht="7.5" customHeight="1" x14ac:dyDescent="0.25">
      <c r="A192" s="594"/>
      <c r="B192" s="595"/>
      <c r="C192" s="595"/>
      <c r="D192" s="595"/>
      <c r="E192" s="596"/>
      <c r="G192" s="599"/>
      <c r="H192" s="599"/>
      <c r="I192" s="599"/>
      <c r="J192" s="599"/>
      <c r="K192" s="599"/>
      <c r="L192" s="599"/>
      <c r="M192" s="599"/>
      <c r="N192" s="599"/>
      <c r="O192" s="599"/>
      <c r="P192" s="599"/>
      <c r="Q192" s="599"/>
      <c r="R192" s="599"/>
      <c r="S192" s="599"/>
      <c r="T192" s="599"/>
      <c r="U192" s="599"/>
      <c r="V192" s="599"/>
      <c r="W192" s="599"/>
      <c r="X192" s="599"/>
      <c r="Y192" s="599"/>
      <c r="Z192" s="602"/>
      <c r="AA192" s="602"/>
      <c r="AB192" s="602"/>
      <c r="AC192" s="602"/>
      <c r="AD192" s="602"/>
      <c r="AE192" s="602"/>
      <c r="AF192" s="602"/>
      <c r="AG192" s="636"/>
      <c r="AH192" s="132"/>
      <c r="AI192" s="129"/>
      <c r="AJ192" s="129"/>
      <c r="AK192" s="129"/>
      <c r="AL192" s="129"/>
      <c r="AM192" s="129"/>
      <c r="AN192" s="129"/>
      <c r="AO192" s="129"/>
      <c r="AP192" s="129"/>
      <c r="AQ192" s="129"/>
      <c r="AR192" s="129"/>
      <c r="AS192" s="129"/>
      <c r="AT192" s="129"/>
      <c r="AU192" s="129"/>
      <c r="AV192" s="129"/>
      <c r="AW192" s="146"/>
      <c r="AX192" s="619"/>
      <c r="AY192" s="619"/>
      <c r="AZ192" s="619"/>
      <c r="BA192" s="619"/>
      <c r="BB192" s="619"/>
      <c r="BC192" s="619"/>
      <c r="BD192" s="619"/>
      <c r="BE192" s="619"/>
      <c r="BF192" s="619"/>
      <c r="BG192" s="619"/>
      <c r="BH192" s="619"/>
      <c r="BI192" s="619"/>
      <c r="BJ192" s="619"/>
      <c r="BK192" s="619"/>
      <c r="BL192" s="619"/>
      <c r="BM192" s="619"/>
      <c r="BN192" s="619"/>
      <c r="BO192" s="619"/>
      <c r="BP192" s="619"/>
      <c r="BQ192" s="619"/>
      <c r="BR192" s="619"/>
      <c r="BS192" s="619"/>
      <c r="BT192" s="619"/>
      <c r="BU192" s="619"/>
      <c r="BV192" s="619"/>
      <c r="BW192" s="619"/>
      <c r="BX192" s="619"/>
      <c r="BY192" s="619"/>
      <c r="BZ192" s="619"/>
      <c r="CA192" s="619"/>
      <c r="CB192" s="619"/>
      <c r="CC192" s="619"/>
      <c r="CD192" s="619"/>
      <c r="CE192" s="619"/>
      <c r="CF192" s="619"/>
      <c r="CG192" s="619"/>
      <c r="CH192" s="619"/>
      <c r="CI192" s="619"/>
      <c r="CJ192" s="619"/>
      <c r="CK192" s="619"/>
      <c r="CL192" s="619"/>
      <c r="CM192" s="619"/>
      <c r="CN192" s="619"/>
      <c r="CO192" s="619"/>
      <c r="CP192" s="619"/>
      <c r="CQ192" s="619"/>
      <c r="CR192" s="619"/>
      <c r="CS192" s="619"/>
      <c r="CT192" s="619"/>
      <c r="CU192" s="619"/>
      <c r="CV192" s="619"/>
      <c r="CW192" s="619"/>
      <c r="CX192" s="619"/>
      <c r="CY192" s="619"/>
      <c r="CZ192" s="619"/>
      <c r="DA192" s="619"/>
      <c r="DB192" s="619"/>
      <c r="DC192" s="619"/>
      <c r="DD192" s="619"/>
      <c r="DE192" s="619"/>
      <c r="DF192" s="619"/>
      <c r="DG192" s="619"/>
      <c r="DH192" s="619"/>
      <c r="DI192" s="619"/>
      <c r="DJ192" s="619"/>
      <c r="DK192" s="619"/>
      <c r="DL192" s="619"/>
      <c r="DM192" s="619"/>
      <c r="DN192" s="619"/>
      <c r="DO192" s="619"/>
      <c r="DP192" s="619"/>
      <c r="DQ192" s="640"/>
      <c r="DR192" s="229"/>
    </row>
    <row r="193" spans="1:122" ht="7.5" customHeight="1" x14ac:dyDescent="0.25">
      <c r="A193" s="119"/>
      <c r="B193" s="119"/>
      <c r="C193" s="119"/>
      <c r="D193" s="119"/>
      <c r="E193" s="119"/>
      <c r="F193" s="653" t="str">
        <f>G190</f>
        <v>Tailoring</v>
      </c>
      <c r="G193" s="653"/>
      <c r="H193" s="653"/>
      <c r="I193" s="653"/>
      <c r="J193" s="653"/>
      <c r="K193" s="625" t="e">
        <f ca="1">(FLOOR(INDIRECT(SUBSTITUTE(G190," ",""))/5,1)*(FLOOR(INDIRECT(SUBSTITUTE(G190," ",""))/5,1)+1)/2)*50+MOD(INDIRECT(SUBSTITUTE(G190," ","")),5)*CEILING(INDIRECT(SUBSTITUTE(G190," ",""))/5,1)*10-((FLOOR(INDIRECT("Base"&amp;SUBSTITUTE(G190," ",""))/5,1)*(FLOOR(INDIRECT("Base"&amp;SUBSTITUTE(G190," ",""))/5,1)+1)/2)*50+MOD(INDIRECT("Base"&amp;SUBSTITUTE(G190," ","")),5)*CEILING(INDIRECT("Base"&amp;SUBSTITUTE(G190," ",""))/5,1)*10)</f>
        <v>#REF!</v>
      </c>
      <c r="L193" s="625"/>
      <c r="M193" s="625"/>
      <c r="N193" s="626" t="b">
        <f>IF(AH186&lt;&gt;"",VLOOKUP($G190,'Merit Data'!A:BW,MATCH('Merit Data'!$B$3,'Merit Data'!$3:$3,0),0),TRUE)</f>
        <v>1</v>
      </c>
      <c r="O193" s="626"/>
      <c r="P193" s="626"/>
      <c r="Q193" s="140"/>
      <c r="R193" s="140"/>
      <c r="S193" s="140"/>
      <c r="T193" s="140"/>
      <c r="U193" s="140"/>
      <c r="V193" s="238"/>
      <c r="W193" s="238"/>
      <c r="X193" s="627" t="str">
        <f>IF(F193&gt;0,HYPERLINK("http://wiki.project-saros.com/w/"&amp;F193,"Info"),"")</f>
        <v>Info</v>
      </c>
      <c r="Y193" s="628"/>
      <c r="Z193" s="637"/>
      <c r="AA193" s="637"/>
      <c r="AB193" s="637"/>
      <c r="AC193" s="637"/>
      <c r="AD193" s="637"/>
      <c r="AE193" s="637"/>
      <c r="AF193" s="637"/>
      <c r="AG193" s="638"/>
      <c r="AH193" s="148"/>
      <c r="AI193" s="131"/>
      <c r="AJ193" s="131"/>
      <c r="AK193" s="149"/>
      <c r="AL193" s="149"/>
      <c r="AM193" s="149"/>
      <c r="AN193" s="149"/>
      <c r="AO193" s="149"/>
      <c r="AP193" s="149"/>
      <c r="AQ193" s="149"/>
      <c r="AR193" s="149"/>
      <c r="AS193" s="131"/>
      <c r="AT193" s="131"/>
      <c r="AU193" s="131"/>
      <c r="AV193" s="131"/>
      <c r="AW193" s="150"/>
      <c r="AX193" s="641"/>
      <c r="AY193" s="641"/>
      <c r="AZ193" s="641"/>
      <c r="BA193" s="641"/>
      <c r="BB193" s="641"/>
      <c r="BC193" s="641"/>
      <c r="BD193" s="641"/>
      <c r="BE193" s="641"/>
      <c r="BF193" s="641"/>
      <c r="BG193" s="641"/>
      <c r="BH193" s="641"/>
      <c r="BI193" s="641"/>
      <c r="BJ193" s="641"/>
      <c r="BK193" s="641"/>
      <c r="BL193" s="641"/>
      <c r="BM193" s="641"/>
      <c r="BN193" s="641"/>
      <c r="BO193" s="641"/>
      <c r="BP193" s="641"/>
      <c r="BQ193" s="641"/>
      <c r="BR193" s="641"/>
      <c r="BS193" s="641"/>
      <c r="BT193" s="641"/>
      <c r="BU193" s="641"/>
      <c r="BV193" s="641"/>
      <c r="BW193" s="641"/>
      <c r="BX193" s="641"/>
      <c r="BY193" s="641"/>
      <c r="BZ193" s="641"/>
      <c r="CA193" s="641"/>
      <c r="CB193" s="641"/>
      <c r="CC193" s="641"/>
      <c r="CD193" s="641"/>
      <c r="CE193" s="641"/>
      <c r="CF193" s="641"/>
      <c r="CG193" s="641"/>
      <c r="CH193" s="641"/>
      <c r="CI193" s="641"/>
      <c r="CJ193" s="641"/>
      <c r="CK193" s="641"/>
      <c r="CL193" s="641"/>
      <c r="CM193" s="641"/>
      <c r="CN193" s="641"/>
      <c r="CO193" s="641"/>
      <c r="CP193" s="641"/>
      <c r="CQ193" s="641"/>
      <c r="CR193" s="641"/>
      <c r="CS193" s="641"/>
      <c r="CT193" s="641"/>
      <c r="CU193" s="641"/>
      <c r="CV193" s="641"/>
      <c r="CW193" s="641"/>
      <c r="CX193" s="641"/>
      <c r="CY193" s="641"/>
      <c r="CZ193" s="641"/>
      <c r="DA193" s="641"/>
      <c r="DB193" s="641"/>
      <c r="DC193" s="641"/>
      <c r="DD193" s="641"/>
      <c r="DE193" s="641"/>
      <c r="DF193" s="641"/>
      <c r="DG193" s="641"/>
      <c r="DH193" s="641"/>
      <c r="DI193" s="641"/>
      <c r="DJ193" s="641"/>
      <c r="DK193" s="641"/>
      <c r="DL193" s="641"/>
      <c r="DM193" s="641"/>
      <c r="DN193" s="641"/>
      <c r="DO193" s="641"/>
      <c r="DP193" s="641"/>
      <c r="DQ193" s="642"/>
      <c r="DR193" s="229"/>
    </row>
    <row r="194" spans="1:122" ht="7.5" customHeight="1" x14ac:dyDescent="0.25">
      <c r="A194" s="588">
        <v>0</v>
      </c>
      <c r="B194" s="589"/>
      <c r="C194" s="589"/>
      <c r="D194" s="589"/>
      <c r="E194" s="590"/>
      <c r="G194" s="597" t="s">
        <v>267</v>
      </c>
      <c r="H194" s="597"/>
      <c r="I194" s="597"/>
      <c r="J194" s="597"/>
      <c r="K194" s="597"/>
      <c r="L194" s="597"/>
      <c r="M194" s="597"/>
      <c r="N194" s="597"/>
      <c r="O194" s="597"/>
      <c r="P194" s="597"/>
      <c r="Q194" s="597"/>
      <c r="R194" s="597"/>
      <c r="S194" s="597"/>
      <c r="T194" s="597"/>
      <c r="U194" s="597"/>
      <c r="V194" s="597"/>
      <c r="W194" s="597"/>
      <c r="X194" s="597"/>
      <c r="Y194" s="597"/>
      <c r="Z194" s="600" t="e">
        <f ca="1">FLOOR(INDIRECT(SUBSTITUTE(G194," ",""))/5+1,1)*10</f>
        <v>#REF!</v>
      </c>
      <c r="AA194" s="600"/>
      <c r="AB194" s="600"/>
      <c r="AC194" s="600"/>
      <c r="AD194" s="600"/>
      <c r="AE194" s="600"/>
      <c r="AF194" s="600"/>
      <c r="AG194" s="601"/>
      <c r="AH194" s="142"/>
      <c r="AI194" s="143"/>
      <c r="AJ194" s="143"/>
      <c r="AK194" s="143"/>
      <c r="AL194" s="143"/>
      <c r="AM194" s="143"/>
      <c r="AN194" s="143"/>
      <c r="AO194" s="143"/>
      <c r="AP194" s="143"/>
      <c r="AQ194" s="143"/>
      <c r="AR194" s="143"/>
      <c r="AS194" s="143"/>
      <c r="AT194" s="143"/>
      <c r="AU194" s="143"/>
      <c r="AV194" s="143"/>
      <c r="AW194" s="144"/>
      <c r="AX194" s="616" t="e">
        <f ca="1">"Further increases your "&amp;G194&amp;" skill from "&amp;INDIRECT(SUBSTITUTE(G194," ",""))&amp;" to "&amp;INDIRECT(SUBSTITUTE(G194," ",""))+1</f>
        <v>#REF!</v>
      </c>
      <c r="AY194" s="616"/>
      <c r="AZ194" s="616"/>
      <c r="BA194" s="616"/>
      <c r="BB194" s="616"/>
      <c r="BC194" s="616"/>
      <c r="BD194" s="616"/>
      <c r="BE194" s="616"/>
      <c r="BF194" s="616"/>
      <c r="BG194" s="616"/>
      <c r="BH194" s="616"/>
      <c r="BI194" s="616"/>
      <c r="BJ194" s="616"/>
      <c r="BK194" s="616"/>
      <c r="BL194" s="616"/>
      <c r="BM194" s="616"/>
      <c r="BN194" s="616"/>
      <c r="BO194" s="616"/>
      <c r="BP194" s="616"/>
      <c r="BQ194" s="616"/>
      <c r="BR194" s="616"/>
      <c r="BS194" s="616"/>
      <c r="BT194" s="616"/>
      <c r="BU194" s="616"/>
      <c r="BV194" s="616"/>
      <c r="BW194" s="616"/>
      <c r="BX194" s="616"/>
      <c r="BY194" s="616"/>
      <c r="BZ194" s="616"/>
      <c r="CA194" s="616"/>
      <c r="CB194" s="616"/>
      <c r="CC194" s="616"/>
      <c r="CD194" s="616"/>
      <c r="CE194" s="616"/>
      <c r="CF194" s="616"/>
      <c r="CG194" s="616"/>
      <c r="CH194" s="616"/>
      <c r="CI194" s="616"/>
      <c r="CJ194" s="616"/>
      <c r="CK194" s="616"/>
      <c r="CL194" s="616"/>
      <c r="CM194" s="616"/>
      <c r="CN194" s="616"/>
      <c r="CO194" s="616"/>
      <c r="CP194" s="616"/>
      <c r="CQ194" s="616"/>
      <c r="CR194" s="616"/>
      <c r="CS194" s="616"/>
      <c r="CT194" s="616"/>
      <c r="CU194" s="616"/>
      <c r="CV194" s="616"/>
      <c r="CW194" s="616"/>
      <c r="CX194" s="616"/>
      <c r="CY194" s="616"/>
      <c r="CZ194" s="616"/>
      <c r="DA194" s="616"/>
      <c r="DB194" s="616"/>
      <c r="DC194" s="616"/>
      <c r="DD194" s="616"/>
      <c r="DE194" s="616"/>
      <c r="DF194" s="616"/>
      <c r="DG194" s="616"/>
      <c r="DH194" s="616"/>
      <c r="DI194" s="616"/>
      <c r="DJ194" s="616"/>
      <c r="DK194" s="616"/>
      <c r="DL194" s="616"/>
      <c r="DM194" s="616"/>
      <c r="DN194" s="616"/>
      <c r="DO194" s="616"/>
      <c r="DP194" s="616"/>
      <c r="DQ194" s="617"/>
      <c r="DR194" s="229"/>
    </row>
    <row r="195" spans="1:122" ht="7.5" customHeight="1" x14ac:dyDescent="0.25">
      <c r="A195" s="591"/>
      <c r="B195" s="592"/>
      <c r="C195" s="592"/>
      <c r="D195" s="592"/>
      <c r="E195" s="593"/>
      <c r="F195" s="145"/>
      <c r="G195" s="598"/>
      <c r="H195" s="598"/>
      <c r="I195" s="598"/>
      <c r="J195" s="598"/>
      <c r="K195" s="598"/>
      <c r="L195" s="598"/>
      <c r="M195" s="598"/>
      <c r="N195" s="598"/>
      <c r="O195" s="598"/>
      <c r="P195" s="598"/>
      <c r="Q195" s="598"/>
      <c r="R195" s="598"/>
      <c r="S195" s="598"/>
      <c r="T195" s="598"/>
      <c r="U195" s="598"/>
      <c r="V195" s="598"/>
      <c r="W195" s="598"/>
      <c r="X195" s="598"/>
      <c r="Y195" s="598"/>
      <c r="Z195" s="602"/>
      <c r="AA195" s="602"/>
      <c r="AB195" s="602"/>
      <c r="AC195" s="602"/>
      <c r="AD195" s="602"/>
      <c r="AE195" s="602"/>
      <c r="AF195" s="602"/>
      <c r="AG195" s="635"/>
      <c r="AH195" s="132"/>
      <c r="AI195" s="129"/>
      <c r="AJ195" s="129"/>
      <c r="AK195" s="129"/>
      <c r="AL195" s="129"/>
      <c r="AM195" s="129"/>
      <c r="AN195" s="129"/>
      <c r="AO195" s="129"/>
      <c r="AP195" s="129"/>
      <c r="AQ195" s="129"/>
      <c r="AR195" s="129"/>
      <c r="AS195" s="129"/>
      <c r="AT195" s="129"/>
      <c r="AU195" s="129"/>
      <c r="AV195" s="129"/>
      <c r="AW195" s="145"/>
      <c r="AX195" s="619"/>
      <c r="AY195" s="619"/>
      <c r="AZ195" s="619"/>
      <c r="BA195" s="619"/>
      <c r="BB195" s="619"/>
      <c r="BC195" s="619"/>
      <c r="BD195" s="619"/>
      <c r="BE195" s="619"/>
      <c r="BF195" s="619"/>
      <c r="BG195" s="619"/>
      <c r="BH195" s="619"/>
      <c r="BI195" s="619"/>
      <c r="BJ195" s="619"/>
      <c r="BK195" s="619"/>
      <c r="BL195" s="619"/>
      <c r="BM195" s="619"/>
      <c r="BN195" s="619"/>
      <c r="BO195" s="619"/>
      <c r="BP195" s="619"/>
      <c r="BQ195" s="619"/>
      <c r="BR195" s="619"/>
      <c r="BS195" s="619"/>
      <c r="BT195" s="619"/>
      <c r="BU195" s="619"/>
      <c r="BV195" s="619"/>
      <c r="BW195" s="619"/>
      <c r="BX195" s="619"/>
      <c r="BY195" s="619"/>
      <c r="BZ195" s="619"/>
      <c r="CA195" s="619"/>
      <c r="CB195" s="619"/>
      <c r="CC195" s="619"/>
      <c r="CD195" s="619"/>
      <c r="CE195" s="619"/>
      <c r="CF195" s="619"/>
      <c r="CG195" s="619"/>
      <c r="CH195" s="619"/>
      <c r="CI195" s="619"/>
      <c r="CJ195" s="619"/>
      <c r="CK195" s="619"/>
      <c r="CL195" s="619"/>
      <c r="CM195" s="619"/>
      <c r="CN195" s="619"/>
      <c r="CO195" s="619"/>
      <c r="CP195" s="619"/>
      <c r="CQ195" s="619"/>
      <c r="CR195" s="619"/>
      <c r="CS195" s="619"/>
      <c r="CT195" s="619"/>
      <c r="CU195" s="619"/>
      <c r="CV195" s="619"/>
      <c r="CW195" s="619"/>
      <c r="CX195" s="619"/>
      <c r="CY195" s="619"/>
      <c r="CZ195" s="619"/>
      <c r="DA195" s="619"/>
      <c r="DB195" s="619"/>
      <c r="DC195" s="619"/>
      <c r="DD195" s="619"/>
      <c r="DE195" s="619"/>
      <c r="DF195" s="619"/>
      <c r="DG195" s="619"/>
      <c r="DH195" s="619"/>
      <c r="DI195" s="619"/>
      <c r="DJ195" s="619"/>
      <c r="DK195" s="619"/>
      <c r="DL195" s="619"/>
      <c r="DM195" s="619"/>
      <c r="DN195" s="619"/>
      <c r="DO195" s="619"/>
      <c r="DP195" s="619"/>
      <c r="DQ195" s="639"/>
      <c r="DR195" s="229"/>
    </row>
    <row r="196" spans="1:122" ht="7.5" customHeight="1" x14ac:dyDescent="0.25">
      <c r="A196" s="594"/>
      <c r="B196" s="595"/>
      <c r="C196" s="595"/>
      <c r="D196" s="595"/>
      <c r="E196" s="596"/>
      <c r="G196" s="599"/>
      <c r="H196" s="599"/>
      <c r="I196" s="599"/>
      <c r="J196" s="599"/>
      <c r="K196" s="599"/>
      <c r="L196" s="599"/>
      <c r="M196" s="599"/>
      <c r="N196" s="599"/>
      <c r="O196" s="599"/>
      <c r="P196" s="599"/>
      <c r="Q196" s="599"/>
      <c r="R196" s="599"/>
      <c r="S196" s="599"/>
      <c r="T196" s="599"/>
      <c r="U196" s="599"/>
      <c r="V196" s="599"/>
      <c r="W196" s="599"/>
      <c r="X196" s="599"/>
      <c r="Y196" s="599"/>
      <c r="Z196" s="602"/>
      <c r="AA196" s="602"/>
      <c r="AB196" s="602"/>
      <c r="AC196" s="602"/>
      <c r="AD196" s="602"/>
      <c r="AE196" s="602"/>
      <c r="AF196" s="602"/>
      <c r="AG196" s="636"/>
      <c r="AH196" s="132"/>
      <c r="AI196" s="129"/>
      <c r="AJ196" s="129"/>
      <c r="AK196" s="129"/>
      <c r="AL196" s="129"/>
      <c r="AM196" s="129"/>
      <c r="AN196" s="129"/>
      <c r="AO196" s="129"/>
      <c r="AP196" s="129"/>
      <c r="AQ196" s="129"/>
      <c r="AR196" s="129"/>
      <c r="AS196" s="129"/>
      <c r="AT196" s="129"/>
      <c r="AU196" s="129"/>
      <c r="AV196" s="129"/>
      <c r="AW196" s="146"/>
      <c r="AX196" s="619"/>
      <c r="AY196" s="619"/>
      <c r="AZ196" s="619"/>
      <c r="BA196" s="619"/>
      <c r="BB196" s="619"/>
      <c r="BC196" s="619"/>
      <c r="BD196" s="619"/>
      <c r="BE196" s="619"/>
      <c r="BF196" s="619"/>
      <c r="BG196" s="619"/>
      <c r="BH196" s="619"/>
      <c r="BI196" s="619"/>
      <c r="BJ196" s="619"/>
      <c r="BK196" s="619"/>
      <c r="BL196" s="619"/>
      <c r="BM196" s="619"/>
      <c r="BN196" s="619"/>
      <c r="BO196" s="619"/>
      <c r="BP196" s="619"/>
      <c r="BQ196" s="619"/>
      <c r="BR196" s="619"/>
      <c r="BS196" s="619"/>
      <c r="BT196" s="619"/>
      <c r="BU196" s="619"/>
      <c r="BV196" s="619"/>
      <c r="BW196" s="619"/>
      <c r="BX196" s="619"/>
      <c r="BY196" s="619"/>
      <c r="BZ196" s="619"/>
      <c r="CA196" s="619"/>
      <c r="CB196" s="619"/>
      <c r="CC196" s="619"/>
      <c r="CD196" s="619"/>
      <c r="CE196" s="619"/>
      <c r="CF196" s="619"/>
      <c r="CG196" s="619"/>
      <c r="CH196" s="619"/>
      <c r="CI196" s="619"/>
      <c r="CJ196" s="619"/>
      <c r="CK196" s="619"/>
      <c r="CL196" s="619"/>
      <c r="CM196" s="619"/>
      <c r="CN196" s="619"/>
      <c r="CO196" s="619"/>
      <c r="CP196" s="619"/>
      <c r="CQ196" s="619"/>
      <c r="CR196" s="619"/>
      <c r="CS196" s="619"/>
      <c r="CT196" s="619"/>
      <c r="CU196" s="619"/>
      <c r="CV196" s="619"/>
      <c r="CW196" s="619"/>
      <c r="CX196" s="619"/>
      <c r="CY196" s="619"/>
      <c r="CZ196" s="619"/>
      <c r="DA196" s="619"/>
      <c r="DB196" s="619"/>
      <c r="DC196" s="619"/>
      <c r="DD196" s="619"/>
      <c r="DE196" s="619"/>
      <c r="DF196" s="619"/>
      <c r="DG196" s="619"/>
      <c r="DH196" s="619"/>
      <c r="DI196" s="619"/>
      <c r="DJ196" s="619"/>
      <c r="DK196" s="619"/>
      <c r="DL196" s="619"/>
      <c r="DM196" s="619"/>
      <c r="DN196" s="619"/>
      <c r="DO196" s="619"/>
      <c r="DP196" s="619"/>
      <c r="DQ196" s="640"/>
      <c r="DR196" s="229"/>
    </row>
    <row r="197" spans="1:122" ht="7.5" customHeight="1" x14ac:dyDescent="0.25">
      <c r="A197" s="119"/>
      <c r="B197" s="119"/>
      <c r="C197" s="119"/>
      <c r="D197" s="119"/>
      <c r="E197" s="119"/>
      <c r="F197" s="653" t="str">
        <f>G194</f>
        <v>Technology</v>
      </c>
      <c r="G197" s="653"/>
      <c r="H197" s="653"/>
      <c r="I197" s="653"/>
      <c r="J197" s="653"/>
      <c r="K197" s="625" t="e">
        <f ca="1">(FLOOR(INDIRECT(SUBSTITUTE(G194," ",""))/5,1)*(FLOOR(INDIRECT(SUBSTITUTE(G194," ",""))/5,1)+1)/2)*50+MOD(INDIRECT(SUBSTITUTE(G194," ","")),5)*CEILING(INDIRECT(SUBSTITUTE(G194," ",""))/5,1)*10-((FLOOR(INDIRECT("Base"&amp;SUBSTITUTE(G194," ",""))/5,1)*(FLOOR(INDIRECT("Base"&amp;SUBSTITUTE(G194," ",""))/5,1)+1)/2)*50+MOD(INDIRECT("Base"&amp;SUBSTITUTE(G194," ","")),5)*CEILING(INDIRECT("Base"&amp;SUBSTITUTE(G194," ",""))/5,1)*10)</f>
        <v>#REF!</v>
      </c>
      <c r="L197" s="625"/>
      <c r="M197" s="625"/>
      <c r="N197" s="626" t="b">
        <f>IF(AH190&lt;&gt;"",VLOOKUP($G194,'Merit Data'!A:BW,MATCH('Merit Data'!$B$3,'Merit Data'!$3:$3,0),0),TRUE)</f>
        <v>1</v>
      </c>
      <c r="O197" s="626"/>
      <c r="P197" s="626"/>
      <c r="Q197" s="140"/>
      <c r="R197" s="140"/>
      <c r="S197" s="140"/>
      <c r="T197" s="140"/>
      <c r="U197" s="140"/>
      <c r="V197" s="238"/>
      <c r="W197" s="238"/>
      <c r="X197" s="627" t="str">
        <f>IF(F197&gt;0,HYPERLINK("http://wiki.project-saros.com/w/"&amp;F197,"Info"),"")</f>
        <v>Info</v>
      </c>
      <c r="Y197" s="628"/>
      <c r="Z197" s="637"/>
      <c r="AA197" s="637"/>
      <c r="AB197" s="637"/>
      <c r="AC197" s="637"/>
      <c r="AD197" s="637"/>
      <c r="AE197" s="637"/>
      <c r="AF197" s="637"/>
      <c r="AG197" s="638"/>
      <c r="AH197" s="148"/>
      <c r="AI197" s="131"/>
      <c r="AJ197" s="131"/>
      <c r="AK197" s="149"/>
      <c r="AL197" s="149"/>
      <c r="AM197" s="149"/>
      <c r="AN197" s="149"/>
      <c r="AO197" s="149"/>
      <c r="AP197" s="149"/>
      <c r="AQ197" s="149"/>
      <c r="AR197" s="149"/>
      <c r="AS197" s="131"/>
      <c r="AT197" s="131"/>
      <c r="AU197" s="131"/>
      <c r="AV197" s="131"/>
      <c r="AW197" s="150"/>
      <c r="AX197" s="641"/>
      <c r="AY197" s="641"/>
      <c r="AZ197" s="641"/>
      <c r="BA197" s="641"/>
      <c r="BB197" s="641"/>
      <c r="BC197" s="641"/>
      <c r="BD197" s="641"/>
      <c r="BE197" s="641"/>
      <c r="BF197" s="641"/>
      <c r="BG197" s="641"/>
      <c r="BH197" s="641"/>
      <c r="BI197" s="641"/>
      <c r="BJ197" s="641"/>
      <c r="BK197" s="641"/>
      <c r="BL197" s="641"/>
      <c r="BM197" s="641"/>
      <c r="BN197" s="641"/>
      <c r="BO197" s="641"/>
      <c r="BP197" s="641"/>
      <c r="BQ197" s="641"/>
      <c r="BR197" s="641"/>
      <c r="BS197" s="641"/>
      <c r="BT197" s="641"/>
      <c r="BU197" s="641"/>
      <c r="BV197" s="641"/>
      <c r="BW197" s="641"/>
      <c r="BX197" s="641"/>
      <c r="BY197" s="641"/>
      <c r="BZ197" s="641"/>
      <c r="CA197" s="641"/>
      <c r="CB197" s="641"/>
      <c r="CC197" s="641"/>
      <c r="CD197" s="641"/>
      <c r="CE197" s="641"/>
      <c r="CF197" s="641"/>
      <c r="CG197" s="641"/>
      <c r="CH197" s="641"/>
      <c r="CI197" s="641"/>
      <c r="CJ197" s="641"/>
      <c r="CK197" s="641"/>
      <c r="CL197" s="641"/>
      <c r="CM197" s="641"/>
      <c r="CN197" s="641"/>
      <c r="CO197" s="641"/>
      <c r="CP197" s="641"/>
      <c r="CQ197" s="641"/>
      <c r="CR197" s="641"/>
      <c r="CS197" s="641"/>
      <c r="CT197" s="641"/>
      <c r="CU197" s="641"/>
      <c r="CV197" s="641"/>
      <c r="CW197" s="641"/>
      <c r="CX197" s="641"/>
      <c r="CY197" s="641"/>
      <c r="CZ197" s="641"/>
      <c r="DA197" s="641"/>
      <c r="DB197" s="641"/>
      <c r="DC197" s="641"/>
      <c r="DD197" s="641"/>
      <c r="DE197" s="641"/>
      <c r="DF197" s="641"/>
      <c r="DG197" s="641"/>
      <c r="DH197" s="641"/>
      <c r="DI197" s="641"/>
      <c r="DJ197" s="641"/>
      <c r="DK197" s="641"/>
      <c r="DL197" s="641"/>
      <c r="DM197" s="641"/>
      <c r="DN197" s="641"/>
      <c r="DO197" s="641"/>
      <c r="DP197" s="641"/>
      <c r="DQ197" s="642"/>
      <c r="DR197" s="229"/>
    </row>
    <row r="198" spans="1:122" ht="7.5" customHeight="1" x14ac:dyDescent="0.25">
      <c r="A198" s="588">
        <v>0</v>
      </c>
      <c r="B198" s="589"/>
      <c r="C198" s="589"/>
      <c r="D198" s="589"/>
      <c r="E198" s="590"/>
      <c r="F198" s="129"/>
      <c r="G198" s="597" t="s">
        <v>268</v>
      </c>
      <c r="H198" s="597"/>
      <c r="I198" s="597"/>
      <c r="J198" s="597"/>
      <c r="K198" s="597"/>
      <c r="L198" s="597"/>
      <c r="M198" s="597"/>
      <c r="N198" s="597"/>
      <c r="O198" s="597"/>
      <c r="P198" s="597"/>
      <c r="Q198" s="597"/>
      <c r="R198" s="597"/>
      <c r="S198" s="597"/>
      <c r="T198" s="597"/>
      <c r="U198" s="597"/>
      <c r="V198" s="597"/>
      <c r="W198" s="597"/>
      <c r="X198" s="597"/>
      <c r="Y198" s="597"/>
      <c r="Z198" s="600" t="e">
        <f ca="1">FLOOR(INDIRECT(SUBSTITUTE(G198," ",""))/5+1,1)*10</f>
        <v>#REF!</v>
      </c>
      <c r="AA198" s="600"/>
      <c r="AB198" s="600"/>
      <c r="AC198" s="600"/>
      <c r="AD198" s="600"/>
      <c r="AE198" s="600"/>
      <c r="AF198" s="600"/>
      <c r="AG198" s="601"/>
      <c r="AH198" s="643"/>
      <c r="AI198" s="644"/>
      <c r="AJ198" s="644"/>
      <c r="AK198" s="644"/>
      <c r="AL198" s="644"/>
      <c r="AM198" s="644"/>
      <c r="AN198" s="644"/>
      <c r="AO198" s="644"/>
      <c r="AP198" s="644"/>
      <c r="AQ198" s="644"/>
      <c r="AR198" s="644"/>
      <c r="AS198" s="644"/>
      <c r="AT198" s="644"/>
      <c r="AU198" s="644"/>
      <c r="AV198" s="644"/>
      <c r="AW198" s="645"/>
      <c r="AX198" s="616" t="e">
        <f ca="1">"Further increases your "&amp;G198&amp;" skill from "&amp;INDIRECT(SUBSTITUTE(G198," ",""))&amp;" to "&amp;INDIRECT(SUBSTITUTE(G198," ",""))+1</f>
        <v>#REF!</v>
      </c>
      <c r="AY198" s="616"/>
      <c r="AZ198" s="616"/>
      <c r="BA198" s="616"/>
      <c r="BB198" s="616"/>
      <c r="BC198" s="616"/>
      <c r="BD198" s="616"/>
      <c r="BE198" s="616"/>
      <c r="BF198" s="616"/>
      <c r="BG198" s="616"/>
      <c r="BH198" s="616"/>
      <c r="BI198" s="616"/>
      <c r="BJ198" s="616"/>
      <c r="BK198" s="616"/>
      <c r="BL198" s="616"/>
      <c r="BM198" s="616"/>
      <c r="BN198" s="616"/>
      <c r="BO198" s="616"/>
      <c r="BP198" s="616"/>
      <c r="BQ198" s="616"/>
      <c r="BR198" s="616"/>
      <c r="BS198" s="616"/>
      <c r="BT198" s="616"/>
      <c r="BU198" s="616"/>
      <c r="BV198" s="616"/>
      <c r="BW198" s="616"/>
      <c r="BX198" s="616"/>
      <c r="BY198" s="616"/>
      <c r="BZ198" s="616"/>
      <c r="CA198" s="616"/>
      <c r="CB198" s="616"/>
      <c r="CC198" s="616"/>
      <c r="CD198" s="616"/>
      <c r="CE198" s="616"/>
      <c r="CF198" s="616"/>
      <c r="CG198" s="616"/>
      <c r="CH198" s="616"/>
      <c r="CI198" s="616"/>
      <c r="CJ198" s="616"/>
      <c r="CK198" s="616"/>
      <c r="CL198" s="616"/>
      <c r="CM198" s="616"/>
      <c r="CN198" s="616"/>
      <c r="CO198" s="616"/>
      <c r="CP198" s="616"/>
      <c r="CQ198" s="616"/>
      <c r="CR198" s="616"/>
      <c r="CS198" s="616"/>
      <c r="CT198" s="616"/>
      <c r="CU198" s="616"/>
      <c r="CV198" s="616"/>
      <c r="CW198" s="616"/>
      <c r="CX198" s="616"/>
      <c r="CY198" s="616"/>
      <c r="CZ198" s="616"/>
      <c r="DA198" s="616"/>
      <c r="DB198" s="616"/>
      <c r="DC198" s="616"/>
      <c r="DD198" s="616"/>
      <c r="DE198" s="616"/>
      <c r="DF198" s="616"/>
      <c r="DG198" s="616"/>
      <c r="DH198" s="616"/>
      <c r="DI198" s="616"/>
      <c r="DJ198" s="616"/>
      <c r="DK198" s="616"/>
      <c r="DL198" s="616"/>
      <c r="DM198" s="616"/>
      <c r="DN198" s="616"/>
      <c r="DO198" s="616"/>
      <c r="DP198" s="616"/>
      <c r="DQ198" s="617"/>
      <c r="DR198" s="229"/>
    </row>
    <row r="199" spans="1:122" ht="7.5" customHeight="1" x14ac:dyDescent="0.25">
      <c r="A199" s="591"/>
      <c r="B199" s="592"/>
      <c r="C199" s="592"/>
      <c r="D199" s="592"/>
      <c r="E199" s="593"/>
      <c r="F199" s="129"/>
      <c r="G199" s="598"/>
      <c r="H199" s="598"/>
      <c r="I199" s="598"/>
      <c r="J199" s="598"/>
      <c r="K199" s="598"/>
      <c r="L199" s="598"/>
      <c r="M199" s="598"/>
      <c r="N199" s="598"/>
      <c r="O199" s="598"/>
      <c r="P199" s="598"/>
      <c r="Q199" s="598"/>
      <c r="R199" s="598"/>
      <c r="S199" s="598"/>
      <c r="T199" s="598"/>
      <c r="U199" s="598"/>
      <c r="V199" s="598"/>
      <c r="W199" s="598"/>
      <c r="X199" s="598"/>
      <c r="Y199" s="598"/>
      <c r="Z199" s="602"/>
      <c r="AA199" s="602"/>
      <c r="AB199" s="602"/>
      <c r="AC199" s="602"/>
      <c r="AD199" s="602"/>
      <c r="AE199" s="602"/>
      <c r="AF199" s="602"/>
      <c r="AG199" s="635"/>
      <c r="AH199" s="646"/>
      <c r="AI199" s="449"/>
      <c r="AJ199" s="449"/>
      <c r="AK199" s="449"/>
      <c r="AL199" s="449"/>
      <c r="AM199" s="449"/>
      <c r="AN199" s="449"/>
      <c r="AO199" s="449"/>
      <c r="AP199" s="449"/>
      <c r="AQ199" s="449"/>
      <c r="AR199" s="449"/>
      <c r="AS199" s="449"/>
      <c r="AT199" s="449"/>
      <c r="AU199" s="449"/>
      <c r="AV199" s="449"/>
      <c r="AW199" s="647"/>
      <c r="AX199" s="619"/>
      <c r="AY199" s="619"/>
      <c r="AZ199" s="619"/>
      <c r="BA199" s="619"/>
      <c r="BB199" s="619"/>
      <c r="BC199" s="619"/>
      <c r="BD199" s="619"/>
      <c r="BE199" s="619"/>
      <c r="BF199" s="619"/>
      <c r="BG199" s="619"/>
      <c r="BH199" s="619"/>
      <c r="BI199" s="619"/>
      <c r="BJ199" s="619"/>
      <c r="BK199" s="619"/>
      <c r="BL199" s="619"/>
      <c r="BM199" s="619"/>
      <c r="BN199" s="619"/>
      <c r="BO199" s="619"/>
      <c r="BP199" s="619"/>
      <c r="BQ199" s="619"/>
      <c r="BR199" s="619"/>
      <c r="BS199" s="619"/>
      <c r="BT199" s="619"/>
      <c r="BU199" s="619"/>
      <c r="BV199" s="619"/>
      <c r="BW199" s="619"/>
      <c r="BX199" s="619"/>
      <c r="BY199" s="619"/>
      <c r="BZ199" s="619"/>
      <c r="CA199" s="619"/>
      <c r="CB199" s="619"/>
      <c r="CC199" s="619"/>
      <c r="CD199" s="619"/>
      <c r="CE199" s="619"/>
      <c r="CF199" s="619"/>
      <c r="CG199" s="619"/>
      <c r="CH199" s="619"/>
      <c r="CI199" s="619"/>
      <c r="CJ199" s="619"/>
      <c r="CK199" s="619"/>
      <c r="CL199" s="619"/>
      <c r="CM199" s="619"/>
      <c r="CN199" s="619"/>
      <c r="CO199" s="619"/>
      <c r="CP199" s="619"/>
      <c r="CQ199" s="619"/>
      <c r="CR199" s="619"/>
      <c r="CS199" s="619"/>
      <c r="CT199" s="619"/>
      <c r="CU199" s="619"/>
      <c r="CV199" s="619"/>
      <c r="CW199" s="619"/>
      <c r="CX199" s="619"/>
      <c r="CY199" s="619"/>
      <c r="CZ199" s="619"/>
      <c r="DA199" s="619"/>
      <c r="DB199" s="619"/>
      <c r="DC199" s="619"/>
      <c r="DD199" s="619"/>
      <c r="DE199" s="619"/>
      <c r="DF199" s="619"/>
      <c r="DG199" s="619"/>
      <c r="DH199" s="619"/>
      <c r="DI199" s="619"/>
      <c r="DJ199" s="619"/>
      <c r="DK199" s="619"/>
      <c r="DL199" s="619"/>
      <c r="DM199" s="619"/>
      <c r="DN199" s="619"/>
      <c r="DO199" s="619"/>
      <c r="DP199" s="619"/>
      <c r="DQ199" s="639"/>
      <c r="DR199" s="229"/>
    </row>
    <row r="200" spans="1:122" ht="7.5" customHeight="1" x14ac:dyDescent="0.25">
      <c r="A200" s="594"/>
      <c r="B200" s="595"/>
      <c r="C200" s="595"/>
      <c r="D200" s="595"/>
      <c r="E200" s="596"/>
      <c r="F200" s="129"/>
      <c r="G200" s="599"/>
      <c r="H200" s="599"/>
      <c r="I200" s="599"/>
      <c r="J200" s="599"/>
      <c r="K200" s="599"/>
      <c r="L200" s="599"/>
      <c r="M200" s="599"/>
      <c r="N200" s="599"/>
      <c r="O200" s="599"/>
      <c r="P200" s="599"/>
      <c r="Q200" s="599"/>
      <c r="R200" s="599"/>
      <c r="S200" s="599"/>
      <c r="T200" s="599"/>
      <c r="U200" s="599"/>
      <c r="V200" s="599"/>
      <c r="W200" s="599"/>
      <c r="X200" s="599"/>
      <c r="Y200" s="599"/>
      <c r="Z200" s="602"/>
      <c r="AA200" s="602"/>
      <c r="AB200" s="602"/>
      <c r="AC200" s="602"/>
      <c r="AD200" s="602"/>
      <c r="AE200" s="602"/>
      <c r="AF200" s="602"/>
      <c r="AG200" s="636"/>
      <c r="AH200" s="646"/>
      <c r="AI200" s="449"/>
      <c r="AJ200" s="449"/>
      <c r="AK200" s="449"/>
      <c r="AL200" s="449"/>
      <c r="AM200" s="449"/>
      <c r="AN200" s="449"/>
      <c r="AO200" s="449"/>
      <c r="AP200" s="449"/>
      <c r="AQ200" s="449"/>
      <c r="AR200" s="449"/>
      <c r="AS200" s="449"/>
      <c r="AT200" s="449"/>
      <c r="AU200" s="449"/>
      <c r="AV200" s="449"/>
      <c r="AW200" s="648"/>
      <c r="AX200" s="619"/>
      <c r="AY200" s="619"/>
      <c r="AZ200" s="619"/>
      <c r="BA200" s="619"/>
      <c r="BB200" s="619"/>
      <c r="BC200" s="619"/>
      <c r="BD200" s="619"/>
      <c r="BE200" s="619"/>
      <c r="BF200" s="619"/>
      <c r="BG200" s="619"/>
      <c r="BH200" s="619"/>
      <c r="BI200" s="619"/>
      <c r="BJ200" s="619"/>
      <c r="BK200" s="619"/>
      <c r="BL200" s="619"/>
      <c r="BM200" s="619"/>
      <c r="BN200" s="619"/>
      <c r="BO200" s="619"/>
      <c r="BP200" s="619"/>
      <c r="BQ200" s="619"/>
      <c r="BR200" s="619"/>
      <c r="BS200" s="619"/>
      <c r="BT200" s="619"/>
      <c r="BU200" s="619"/>
      <c r="BV200" s="619"/>
      <c r="BW200" s="619"/>
      <c r="BX200" s="619"/>
      <c r="BY200" s="619"/>
      <c r="BZ200" s="619"/>
      <c r="CA200" s="619"/>
      <c r="CB200" s="619"/>
      <c r="CC200" s="619"/>
      <c r="CD200" s="619"/>
      <c r="CE200" s="619"/>
      <c r="CF200" s="619"/>
      <c r="CG200" s="619"/>
      <c r="CH200" s="619"/>
      <c r="CI200" s="619"/>
      <c r="CJ200" s="619"/>
      <c r="CK200" s="619"/>
      <c r="CL200" s="619"/>
      <c r="CM200" s="619"/>
      <c r="CN200" s="619"/>
      <c r="CO200" s="619"/>
      <c r="CP200" s="619"/>
      <c r="CQ200" s="619"/>
      <c r="CR200" s="619"/>
      <c r="CS200" s="619"/>
      <c r="CT200" s="619"/>
      <c r="CU200" s="619"/>
      <c r="CV200" s="619"/>
      <c r="CW200" s="619"/>
      <c r="CX200" s="619"/>
      <c r="CY200" s="619"/>
      <c r="CZ200" s="619"/>
      <c r="DA200" s="619"/>
      <c r="DB200" s="619"/>
      <c r="DC200" s="619"/>
      <c r="DD200" s="619"/>
      <c r="DE200" s="619"/>
      <c r="DF200" s="619"/>
      <c r="DG200" s="619"/>
      <c r="DH200" s="619"/>
      <c r="DI200" s="619"/>
      <c r="DJ200" s="619"/>
      <c r="DK200" s="619"/>
      <c r="DL200" s="619"/>
      <c r="DM200" s="619"/>
      <c r="DN200" s="619"/>
      <c r="DO200" s="619"/>
      <c r="DP200" s="619"/>
      <c r="DQ200" s="640"/>
      <c r="DR200" s="229"/>
    </row>
    <row r="201" spans="1:122" ht="7.5" customHeight="1" x14ac:dyDescent="0.25">
      <c r="A201" s="119"/>
      <c r="B201" s="119"/>
      <c r="C201" s="119"/>
      <c r="D201" s="119"/>
      <c r="E201" s="119"/>
      <c r="F201" s="653" t="str">
        <f>G198</f>
        <v>Theology</v>
      </c>
      <c r="G201" s="653"/>
      <c r="H201" s="653"/>
      <c r="I201" s="653"/>
      <c r="J201" s="653"/>
      <c r="K201" s="625" t="e">
        <f ca="1">(FLOOR(INDIRECT(SUBSTITUTE(G198," ",""))/5,1)*(FLOOR(INDIRECT(SUBSTITUTE(G198," ",""))/5,1)+1)/2)*50+MOD(INDIRECT(SUBSTITUTE(G198," ","")),5)*CEILING(INDIRECT(SUBSTITUTE(G198," ",""))/5,1)*10-((FLOOR(INDIRECT("Base"&amp;SUBSTITUTE(G198," ",""))/5,1)*(FLOOR(INDIRECT("Base"&amp;SUBSTITUTE(G198," ",""))/5,1)+1)/2)*50+MOD(INDIRECT("Base"&amp;SUBSTITUTE(G198," ","")),5)*CEILING(INDIRECT("Base"&amp;SUBSTITUTE(G198," ",""))/5,1)*10)</f>
        <v>#REF!</v>
      </c>
      <c r="L201" s="625"/>
      <c r="M201" s="625"/>
      <c r="N201" s="626" t="b">
        <f>IF(AH194&lt;&gt;"",VLOOKUP($G198,'Merit Data'!A:BW,MATCH('Merit Data'!$B$3,'Merit Data'!$3:$3,0),0),TRUE)</f>
        <v>1</v>
      </c>
      <c r="O201" s="626"/>
      <c r="P201" s="626"/>
      <c r="Q201" s="140"/>
      <c r="R201" s="140"/>
      <c r="S201" s="140"/>
      <c r="T201" s="140"/>
      <c r="U201" s="140"/>
      <c r="V201" s="238"/>
      <c r="W201" s="238"/>
      <c r="X201" s="627" t="str">
        <f>IF(F201&gt;0,HYPERLINK("http://wiki.project-saros.com/w/"&amp;F201,"Info"),"")</f>
        <v>Info</v>
      </c>
      <c r="Y201" s="628"/>
      <c r="Z201" s="637"/>
      <c r="AA201" s="637"/>
      <c r="AB201" s="637"/>
      <c r="AC201" s="637"/>
      <c r="AD201" s="637"/>
      <c r="AE201" s="637"/>
      <c r="AF201" s="637"/>
      <c r="AG201" s="638"/>
      <c r="AH201" s="649"/>
      <c r="AI201" s="650"/>
      <c r="AJ201" s="650"/>
      <c r="AK201" s="651"/>
      <c r="AL201" s="651"/>
      <c r="AM201" s="651"/>
      <c r="AN201" s="651"/>
      <c r="AO201" s="651"/>
      <c r="AP201" s="651"/>
      <c r="AQ201" s="651"/>
      <c r="AR201" s="651"/>
      <c r="AS201" s="650"/>
      <c r="AT201" s="650"/>
      <c r="AU201" s="650"/>
      <c r="AV201" s="650"/>
      <c r="AW201" s="652"/>
      <c r="AX201" s="641"/>
      <c r="AY201" s="641"/>
      <c r="AZ201" s="641"/>
      <c r="BA201" s="641"/>
      <c r="BB201" s="641"/>
      <c r="BC201" s="641"/>
      <c r="BD201" s="641"/>
      <c r="BE201" s="641"/>
      <c r="BF201" s="641"/>
      <c r="BG201" s="641"/>
      <c r="BH201" s="641"/>
      <c r="BI201" s="641"/>
      <c r="BJ201" s="641"/>
      <c r="BK201" s="641"/>
      <c r="BL201" s="641"/>
      <c r="BM201" s="641"/>
      <c r="BN201" s="641"/>
      <c r="BO201" s="641"/>
      <c r="BP201" s="641"/>
      <c r="BQ201" s="641"/>
      <c r="BR201" s="641"/>
      <c r="BS201" s="641"/>
      <c r="BT201" s="641"/>
      <c r="BU201" s="641"/>
      <c r="BV201" s="641"/>
      <c r="BW201" s="641"/>
      <c r="BX201" s="641"/>
      <c r="BY201" s="641"/>
      <c r="BZ201" s="641"/>
      <c r="CA201" s="641"/>
      <c r="CB201" s="641"/>
      <c r="CC201" s="641"/>
      <c r="CD201" s="641"/>
      <c r="CE201" s="641"/>
      <c r="CF201" s="641"/>
      <c r="CG201" s="641"/>
      <c r="CH201" s="641"/>
      <c r="CI201" s="641"/>
      <c r="CJ201" s="641"/>
      <c r="CK201" s="641"/>
      <c r="CL201" s="641"/>
      <c r="CM201" s="641"/>
      <c r="CN201" s="641"/>
      <c r="CO201" s="641"/>
      <c r="CP201" s="641"/>
      <c r="CQ201" s="641"/>
      <c r="CR201" s="641"/>
      <c r="CS201" s="641"/>
      <c r="CT201" s="641"/>
      <c r="CU201" s="641"/>
      <c r="CV201" s="641"/>
      <c r="CW201" s="641"/>
      <c r="CX201" s="641"/>
      <c r="CY201" s="641"/>
      <c r="CZ201" s="641"/>
      <c r="DA201" s="641"/>
      <c r="DB201" s="641"/>
      <c r="DC201" s="641"/>
      <c r="DD201" s="641"/>
      <c r="DE201" s="641"/>
      <c r="DF201" s="641"/>
      <c r="DG201" s="641"/>
      <c r="DH201" s="641"/>
      <c r="DI201" s="641"/>
      <c r="DJ201" s="641"/>
      <c r="DK201" s="641"/>
      <c r="DL201" s="641"/>
      <c r="DM201" s="641"/>
      <c r="DN201" s="641"/>
      <c r="DO201" s="641"/>
      <c r="DP201" s="641"/>
      <c r="DQ201" s="642"/>
      <c r="DR201" s="229"/>
    </row>
    <row r="202" spans="1:122" ht="7.5" customHeight="1" x14ac:dyDescent="0.25">
      <c r="A202" s="631" t="s">
        <v>271</v>
      </c>
      <c r="B202" s="631"/>
      <c r="C202" s="631"/>
      <c r="D202" s="631"/>
      <c r="E202" s="631"/>
      <c r="F202" s="631"/>
      <c r="G202" s="631"/>
      <c r="H202" s="631"/>
      <c r="I202" s="631"/>
      <c r="J202" s="631"/>
      <c r="K202" s="631"/>
      <c r="L202" s="631"/>
      <c r="M202" s="631"/>
      <c r="N202" s="631"/>
      <c r="O202" s="631"/>
      <c r="P202" s="631"/>
      <c r="Q202" s="631"/>
      <c r="R202" s="631"/>
      <c r="S202" s="631"/>
      <c r="T202" s="631"/>
      <c r="U202" s="631"/>
      <c r="V202" s="631"/>
      <c r="W202" s="631"/>
      <c r="X202" s="631"/>
      <c r="Y202" s="631"/>
      <c r="Z202" s="631"/>
      <c r="AA202" s="631"/>
      <c r="AB202" s="631"/>
      <c r="AC202" s="631"/>
      <c r="AD202" s="631"/>
      <c r="AE202" s="631"/>
      <c r="AF202" s="631"/>
      <c r="AG202" s="633"/>
      <c r="AH202" s="135"/>
      <c r="AI202" s="135"/>
      <c r="AJ202" s="135"/>
      <c r="AK202" s="135"/>
      <c r="AL202" s="135"/>
      <c r="AM202" s="135"/>
      <c r="AN202" s="135"/>
      <c r="AO202" s="135"/>
      <c r="AP202" s="135"/>
      <c r="AQ202" s="135"/>
      <c r="AR202" s="135"/>
      <c r="AS202" s="135"/>
      <c r="AT202" s="135"/>
      <c r="AU202" s="135"/>
      <c r="AV202" s="135"/>
      <c r="AW202" s="135"/>
      <c r="AX202" s="136"/>
      <c r="AY202" s="136"/>
      <c r="AZ202" s="136"/>
      <c r="BA202" s="136"/>
      <c r="BB202" s="136"/>
      <c r="BC202" s="136"/>
      <c r="BD202" s="136"/>
      <c r="BE202" s="136"/>
      <c r="BF202" s="136"/>
      <c r="BG202" s="136"/>
      <c r="BH202" s="136"/>
      <c r="BI202" s="136"/>
      <c r="BJ202" s="136"/>
      <c r="BK202" s="136"/>
      <c r="BL202" s="136"/>
      <c r="BM202" s="136"/>
      <c r="BN202" s="136"/>
      <c r="BO202" s="136"/>
      <c r="BP202" s="136"/>
      <c r="BQ202" s="136"/>
      <c r="BR202" s="136"/>
      <c r="BS202" s="136"/>
      <c r="BT202" s="136"/>
      <c r="BU202" s="136"/>
      <c r="BV202" s="136"/>
      <c r="BW202" s="136"/>
      <c r="BX202" s="136"/>
      <c r="BY202" s="136"/>
      <c r="BZ202" s="136"/>
      <c r="CA202" s="136"/>
      <c r="CB202" s="136"/>
      <c r="CC202" s="136"/>
      <c r="CD202" s="136"/>
      <c r="CE202" s="136"/>
      <c r="CF202" s="136"/>
      <c r="CG202" s="136"/>
      <c r="CH202" s="136"/>
      <c r="CI202" s="136"/>
      <c r="CJ202" s="136"/>
      <c r="CK202" s="136"/>
      <c r="CL202" s="136"/>
      <c r="CM202" s="136"/>
      <c r="CN202" s="136"/>
      <c r="CO202" s="136"/>
      <c r="CP202" s="136"/>
      <c r="CQ202" s="136"/>
      <c r="CR202" s="136"/>
      <c r="CS202" s="136"/>
      <c r="CT202" s="136"/>
      <c r="CU202" s="136"/>
      <c r="CV202" s="136"/>
      <c r="CW202" s="136"/>
      <c r="CX202" s="136"/>
      <c r="CY202" s="136"/>
      <c r="CZ202" s="136"/>
      <c r="DA202" s="136"/>
      <c r="DB202" s="136"/>
      <c r="DC202" s="136"/>
      <c r="DD202" s="136"/>
      <c r="DE202" s="136"/>
      <c r="DF202" s="136"/>
      <c r="DG202" s="136"/>
      <c r="DH202" s="136"/>
      <c r="DI202" s="136"/>
      <c r="DJ202" s="136"/>
      <c r="DK202" s="136"/>
      <c r="DL202" s="136"/>
      <c r="DM202" s="136"/>
      <c r="DN202" s="136"/>
      <c r="DO202" s="136"/>
      <c r="DP202" s="136"/>
      <c r="DQ202" s="136"/>
      <c r="DR202" s="228"/>
    </row>
    <row r="203" spans="1:122" ht="7.5" customHeight="1" x14ac:dyDescent="0.25">
      <c r="A203" s="632"/>
      <c r="B203" s="632"/>
      <c r="C203" s="632"/>
      <c r="D203" s="632"/>
      <c r="E203" s="632"/>
      <c r="F203" s="632"/>
      <c r="G203" s="632"/>
      <c r="H203" s="632"/>
      <c r="I203" s="632"/>
      <c r="J203" s="632"/>
      <c r="K203" s="632"/>
      <c r="L203" s="632"/>
      <c r="M203" s="632"/>
      <c r="N203" s="632"/>
      <c r="O203" s="632"/>
      <c r="P203" s="632"/>
      <c r="Q203" s="632"/>
      <c r="R203" s="632"/>
      <c r="S203" s="632"/>
      <c r="T203" s="632"/>
      <c r="U203" s="632"/>
      <c r="V203" s="632"/>
      <c r="W203" s="632"/>
      <c r="X203" s="632"/>
      <c r="Y203" s="632"/>
      <c r="Z203" s="632"/>
      <c r="AA203" s="632"/>
      <c r="AB203" s="632"/>
      <c r="AC203" s="632"/>
      <c r="AD203" s="632"/>
      <c r="AE203" s="632"/>
      <c r="AF203" s="632"/>
      <c r="AG203" s="634"/>
      <c r="AH203" s="138"/>
      <c r="AI203" s="138"/>
      <c r="AJ203" s="138"/>
      <c r="AK203" s="138"/>
      <c r="AL203" s="138"/>
      <c r="AM203" s="138"/>
      <c r="AN203" s="138"/>
      <c r="AO203" s="138"/>
      <c r="AP203" s="138"/>
      <c r="AQ203" s="138"/>
      <c r="AR203" s="138"/>
      <c r="AS203" s="138"/>
      <c r="AT203" s="138"/>
      <c r="AU203" s="138"/>
      <c r="AV203" s="138"/>
      <c r="AW203" s="138"/>
      <c r="AX203" s="136"/>
      <c r="AY203" s="136"/>
      <c r="AZ203" s="136"/>
      <c r="BA203" s="136"/>
      <c r="BB203" s="136"/>
      <c r="BC203" s="136"/>
      <c r="BD203" s="136"/>
      <c r="BE203" s="136"/>
      <c r="BF203" s="136"/>
      <c r="BG203" s="136"/>
      <c r="BH203" s="136"/>
      <c r="BI203" s="136"/>
      <c r="BJ203" s="136"/>
      <c r="BK203" s="136"/>
      <c r="BL203" s="136"/>
      <c r="BM203" s="136"/>
      <c r="BN203" s="136"/>
      <c r="BO203" s="136"/>
      <c r="BP203" s="136"/>
      <c r="BQ203" s="136"/>
      <c r="BR203" s="136"/>
      <c r="BS203" s="136"/>
      <c r="BT203" s="136"/>
      <c r="BU203" s="136"/>
      <c r="BV203" s="136"/>
      <c r="BW203" s="136"/>
      <c r="BX203" s="136"/>
      <c r="BY203" s="136"/>
      <c r="BZ203" s="136"/>
      <c r="CA203" s="136"/>
      <c r="CB203" s="136"/>
      <c r="CC203" s="136"/>
      <c r="CD203" s="136"/>
      <c r="CE203" s="136"/>
      <c r="CF203" s="136"/>
      <c r="CG203" s="136"/>
      <c r="CH203" s="136"/>
      <c r="CI203" s="136"/>
      <c r="CJ203" s="136"/>
      <c r="CK203" s="136"/>
      <c r="CL203" s="136"/>
      <c r="CM203" s="136"/>
      <c r="CN203" s="136"/>
      <c r="CO203" s="136"/>
      <c r="CP203" s="136"/>
      <c r="CQ203" s="136"/>
      <c r="CR203" s="136"/>
      <c r="CS203" s="136"/>
      <c r="CT203" s="136"/>
      <c r="CU203" s="136"/>
      <c r="CV203" s="136"/>
      <c r="CW203" s="136"/>
      <c r="CX203" s="136"/>
      <c r="CY203" s="136"/>
      <c r="CZ203" s="136"/>
      <c r="DA203" s="136"/>
      <c r="DB203" s="136"/>
      <c r="DC203" s="136"/>
      <c r="DD203" s="136"/>
      <c r="DE203" s="136"/>
      <c r="DF203" s="136"/>
      <c r="DG203" s="136"/>
      <c r="DH203" s="136"/>
      <c r="DI203" s="136"/>
      <c r="DJ203" s="136"/>
      <c r="DK203" s="136"/>
      <c r="DL203" s="136"/>
      <c r="DM203" s="136"/>
      <c r="DN203" s="136"/>
      <c r="DO203" s="136"/>
      <c r="DP203" s="136"/>
      <c r="DQ203" s="136"/>
      <c r="DR203" s="228"/>
    </row>
    <row r="204" spans="1:122" ht="7.5" customHeight="1" x14ac:dyDescent="0.25">
      <c r="A204" s="632"/>
      <c r="B204" s="632"/>
      <c r="C204" s="632"/>
      <c r="D204" s="632"/>
      <c r="E204" s="632"/>
      <c r="F204" s="632"/>
      <c r="G204" s="632"/>
      <c r="H204" s="632"/>
      <c r="I204" s="632"/>
      <c r="J204" s="632"/>
      <c r="K204" s="632"/>
      <c r="L204" s="632"/>
      <c r="M204" s="632"/>
      <c r="N204" s="632"/>
      <c r="O204" s="632"/>
      <c r="P204" s="632"/>
      <c r="Q204" s="632"/>
      <c r="R204" s="632"/>
      <c r="S204" s="632"/>
      <c r="T204" s="632"/>
      <c r="U204" s="632"/>
      <c r="V204" s="632"/>
      <c r="W204" s="632"/>
      <c r="X204" s="632"/>
      <c r="Y204" s="632"/>
      <c r="Z204" s="632"/>
      <c r="AA204" s="632"/>
      <c r="AB204" s="632"/>
      <c r="AC204" s="632"/>
      <c r="AD204" s="632"/>
      <c r="AE204" s="632"/>
      <c r="AF204" s="632"/>
      <c r="AG204" s="634"/>
      <c r="AH204" s="139"/>
      <c r="AI204" s="139"/>
      <c r="AJ204" s="139"/>
      <c r="AK204" s="139"/>
      <c r="AL204" s="139"/>
      <c r="AM204" s="139"/>
      <c r="AN204" s="139"/>
      <c r="AO204" s="139"/>
      <c r="AP204" s="139"/>
      <c r="AQ204" s="139"/>
      <c r="AR204" s="139"/>
      <c r="AS204" s="139"/>
      <c r="AT204" s="139"/>
      <c r="AU204" s="139"/>
      <c r="AV204" s="139"/>
      <c r="AW204" s="139"/>
      <c r="AX204" s="136"/>
      <c r="AY204" s="136"/>
      <c r="AZ204" s="136"/>
      <c r="BA204" s="136"/>
      <c r="BB204" s="136"/>
      <c r="BC204" s="136"/>
      <c r="BD204" s="136"/>
      <c r="BE204" s="136"/>
      <c r="BF204" s="136"/>
      <c r="BG204" s="136"/>
      <c r="BH204" s="136"/>
      <c r="BI204" s="136"/>
      <c r="BJ204" s="136"/>
      <c r="BK204" s="136"/>
      <c r="BL204" s="136"/>
      <c r="BM204" s="136"/>
      <c r="BN204" s="136"/>
      <c r="BO204" s="136"/>
      <c r="BP204" s="136"/>
      <c r="BQ204" s="136"/>
      <c r="BR204" s="136"/>
      <c r="BS204" s="136"/>
      <c r="BT204" s="136"/>
      <c r="BU204" s="136"/>
      <c r="BV204" s="136"/>
      <c r="BW204" s="136"/>
      <c r="BX204" s="136"/>
      <c r="BY204" s="136"/>
      <c r="BZ204" s="136"/>
      <c r="CA204" s="136"/>
      <c r="CB204" s="136"/>
      <c r="CC204" s="136"/>
      <c r="CD204" s="136"/>
      <c r="CE204" s="136"/>
      <c r="CF204" s="136"/>
      <c r="CG204" s="136"/>
      <c r="CH204" s="136"/>
      <c r="CI204" s="136"/>
      <c r="CJ204" s="136"/>
      <c r="CK204" s="136"/>
      <c r="CL204" s="136"/>
      <c r="CM204" s="136"/>
      <c r="CN204" s="136"/>
      <c r="CO204" s="136"/>
      <c r="CP204" s="136"/>
      <c r="CQ204" s="136"/>
      <c r="CR204" s="136"/>
      <c r="CS204" s="136"/>
      <c r="CT204" s="136"/>
      <c r="CU204" s="136"/>
      <c r="CV204" s="136"/>
      <c r="CW204" s="136"/>
      <c r="CX204" s="136"/>
      <c r="CY204" s="136"/>
      <c r="CZ204" s="136"/>
      <c r="DA204" s="136"/>
      <c r="DB204" s="136"/>
      <c r="DC204" s="136"/>
      <c r="DD204" s="136"/>
      <c r="DE204" s="136"/>
      <c r="DF204" s="136"/>
      <c r="DG204" s="136"/>
      <c r="DH204" s="136"/>
      <c r="DI204" s="136"/>
      <c r="DJ204" s="136"/>
      <c r="DK204" s="136"/>
      <c r="DL204" s="136"/>
      <c r="DM204" s="136"/>
      <c r="DN204" s="136"/>
      <c r="DO204" s="136"/>
      <c r="DP204" s="136"/>
      <c r="DQ204" s="136"/>
      <c r="DR204" s="228"/>
    </row>
    <row r="205" spans="1:122" ht="7.5" customHeight="1" x14ac:dyDescent="0.25">
      <c r="A205" s="588">
        <v>0</v>
      </c>
      <c r="B205" s="589"/>
      <c r="C205" s="589"/>
      <c r="D205" s="589"/>
      <c r="E205" s="590"/>
      <c r="F205" s="129"/>
      <c r="G205" s="597" t="s">
        <v>134</v>
      </c>
      <c r="H205" s="597"/>
      <c r="I205" s="597"/>
      <c r="J205" s="597"/>
      <c r="K205" s="597"/>
      <c r="L205" s="597"/>
      <c r="M205" s="597"/>
      <c r="N205" s="597"/>
      <c r="O205" s="597"/>
      <c r="P205" s="597"/>
      <c r="Q205" s="597"/>
      <c r="R205" s="597"/>
      <c r="S205" s="597"/>
      <c r="T205" s="597"/>
      <c r="U205" s="597"/>
      <c r="V205" s="597"/>
      <c r="W205" s="597"/>
      <c r="X205" s="597"/>
      <c r="Y205" s="597"/>
      <c r="Z205" s="600" t="e">
        <f ca="1">FLOOR(INDIRECT(SUBSTITUTE(G205," ",""))/5+1,1)*10</f>
        <v>#REF!</v>
      </c>
      <c r="AA205" s="600"/>
      <c r="AB205" s="600"/>
      <c r="AC205" s="600"/>
      <c r="AD205" s="600"/>
      <c r="AE205" s="600"/>
      <c r="AF205" s="600"/>
      <c r="AG205" s="601"/>
      <c r="AH205" s="643"/>
      <c r="AI205" s="644"/>
      <c r="AJ205" s="644"/>
      <c r="AK205" s="644"/>
      <c r="AL205" s="644"/>
      <c r="AM205" s="644"/>
      <c r="AN205" s="644"/>
      <c r="AO205" s="644"/>
      <c r="AP205" s="644"/>
      <c r="AQ205" s="644"/>
      <c r="AR205" s="644"/>
      <c r="AS205" s="644"/>
      <c r="AT205" s="644"/>
      <c r="AU205" s="644"/>
      <c r="AV205" s="644"/>
      <c r="AW205" s="645"/>
      <c r="AX205" s="616" t="e">
        <f ca="1">"Further increases your "&amp;G205&amp;" skill from "&amp;INDIRECT(SUBSTITUTE(G205," ",""))&amp;" to "&amp;INDIRECT(SUBSTITUTE(G205," ",""))+1</f>
        <v>#REF!</v>
      </c>
      <c r="AY205" s="616"/>
      <c r="AZ205" s="616"/>
      <c r="BA205" s="616"/>
      <c r="BB205" s="616"/>
      <c r="BC205" s="616"/>
      <c r="BD205" s="616"/>
      <c r="BE205" s="616"/>
      <c r="BF205" s="616"/>
      <c r="BG205" s="616"/>
      <c r="BH205" s="616"/>
      <c r="BI205" s="616"/>
      <c r="BJ205" s="616"/>
      <c r="BK205" s="616"/>
      <c r="BL205" s="616"/>
      <c r="BM205" s="616"/>
      <c r="BN205" s="616"/>
      <c r="BO205" s="616"/>
      <c r="BP205" s="616"/>
      <c r="BQ205" s="616"/>
      <c r="BR205" s="616"/>
      <c r="BS205" s="616"/>
      <c r="BT205" s="616"/>
      <c r="BU205" s="616"/>
      <c r="BV205" s="616"/>
      <c r="BW205" s="616"/>
      <c r="BX205" s="616"/>
      <c r="BY205" s="616"/>
      <c r="BZ205" s="616"/>
      <c r="CA205" s="616"/>
      <c r="CB205" s="616"/>
      <c r="CC205" s="616"/>
      <c r="CD205" s="616"/>
      <c r="CE205" s="616"/>
      <c r="CF205" s="616"/>
      <c r="CG205" s="616"/>
      <c r="CH205" s="616"/>
      <c r="CI205" s="616"/>
      <c r="CJ205" s="616"/>
      <c r="CK205" s="616"/>
      <c r="CL205" s="616"/>
      <c r="CM205" s="616"/>
      <c r="CN205" s="616"/>
      <c r="CO205" s="616"/>
      <c r="CP205" s="616"/>
      <c r="CQ205" s="616"/>
      <c r="CR205" s="616"/>
      <c r="CS205" s="616"/>
      <c r="CT205" s="616"/>
      <c r="CU205" s="616"/>
      <c r="CV205" s="616"/>
      <c r="CW205" s="616"/>
      <c r="CX205" s="616"/>
      <c r="CY205" s="616"/>
      <c r="CZ205" s="616"/>
      <c r="DA205" s="616"/>
      <c r="DB205" s="616"/>
      <c r="DC205" s="616"/>
      <c r="DD205" s="616"/>
      <c r="DE205" s="616"/>
      <c r="DF205" s="616"/>
      <c r="DG205" s="616"/>
      <c r="DH205" s="616"/>
      <c r="DI205" s="616"/>
      <c r="DJ205" s="616"/>
      <c r="DK205" s="616"/>
      <c r="DL205" s="616"/>
      <c r="DM205" s="616"/>
      <c r="DN205" s="616"/>
      <c r="DO205" s="616"/>
      <c r="DP205" s="616"/>
      <c r="DQ205" s="617"/>
      <c r="DR205" s="229"/>
    </row>
    <row r="206" spans="1:122" ht="7.5" customHeight="1" x14ac:dyDescent="0.25">
      <c r="A206" s="591"/>
      <c r="B206" s="592"/>
      <c r="C206" s="592"/>
      <c r="D206" s="592"/>
      <c r="E206" s="593"/>
      <c r="F206" s="129"/>
      <c r="G206" s="598"/>
      <c r="H206" s="598"/>
      <c r="I206" s="598"/>
      <c r="J206" s="598"/>
      <c r="K206" s="598"/>
      <c r="L206" s="598"/>
      <c r="M206" s="598"/>
      <c r="N206" s="598"/>
      <c r="O206" s="598"/>
      <c r="P206" s="598"/>
      <c r="Q206" s="598"/>
      <c r="R206" s="598"/>
      <c r="S206" s="598"/>
      <c r="T206" s="598"/>
      <c r="U206" s="598"/>
      <c r="V206" s="598"/>
      <c r="W206" s="598"/>
      <c r="X206" s="598"/>
      <c r="Y206" s="598"/>
      <c r="Z206" s="602"/>
      <c r="AA206" s="602"/>
      <c r="AB206" s="602"/>
      <c r="AC206" s="602"/>
      <c r="AD206" s="602"/>
      <c r="AE206" s="602"/>
      <c r="AF206" s="602"/>
      <c r="AG206" s="635"/>
      <c r="AH206" s="646"/>
      <c r="AI206" s="449"/>
      <c r="AJ206" s="449"/>
      <c r="AK206" s="449"/>
      <c r="AL206" s="449"/>
      <c r="AM206" s="449"/>
      <c r="AN206" s="449"/>
      <c r="AO206" s="449"/>
      <c r="AP206" s="449"/>
      <c r="AQ206" s="449"/>
      <c r="AR206" s="449"/>
      <c r="AS206" s="449"/>
      <c r="AT206" s="449"/>
      <c r="AU206" s="449"/>
      <c r="AV206" s="449"/>
      <c r="AW206" s="647"/>
      <c r="AX206" s="619"/>
      <c r="AY206" s="619"/>
      <c r="AZ206" s="619"/>
      <c r="BA206" s="619"/>
      <c r="BB206" s="619"/>
      <c r="BC206" s="619"/>
      <c r="BD206" s="619"/>
      <c r="BE206" s="619"/>
      <c r="BF206" s="619"/>
      <c r="BG206" s="619"/>
      <c r="BH206" s="619"/>
      <c r="BI206" s="619"/>
      <c r="BJ206" s="619"/>
      <c r="BK206" s="619"/>
      <c r="BL206" s="619"/>
      <c r="BM206" s="619"/>
      <c r="BN206" s="619"/>
      <c r="BO206" s="619"/>
      <c r="BP206" s="619"/>
      <c r="BQ206" s="619"/>
      <c r="BR206" s="619"/>
      <c r="BS206" s="619"/>
      <c r="BT206" s="619"/>
      <c r="BU206" s="619"/>
      <c r="BV206" s="619"/>
      <c r="BW206" s="619"/>
      <c r="BX206" s="619"/>
      <c r="BY206" s="619"/>
      <c r="BZ206" s="619"/>
      <c r="CA206" s="619"/>
      <c r="CB206" s="619"/>
      <c r="CC206" s="619"/>
      <c r="CD206" s="619"/>
      <c r="CE206" s="619"/>
      <c r="CF206" s="619"/>
      <c r="CG206" s="619"/>
      <c r="CH206" s="619"/>
      <c r="CI206" s="619"/>
      <c r="CJ206" s="619"/>
      <c r="CK206" s="619"/>
      <c r="CL206" s="619"/>
      <c r="CM206" s="619"/>
      <c r="CN206" s="619"/>
      <c r="CO206" s="619"/>
      <c r="CP206" s="619"/>
      <c r="CQ206" s="619"/>
      <c r="CR206" s="619"/>
      <c r="CS206" s="619"/>
      <c r="CT206" s="619"/>
      <c r="CU206" s="619"/>
      <c r="CV206" s="619"/>
      <c r="CW206" s="619"/>
      <c r="CX206" s="619"/>
      <c r="CY206" s="619"/>
      <c r="CZ206" s="619"/>
      <c r="DA206" s="619"/>
      <c r="DB206" s="619"/>
      <c r="DC206" s="619"/>
      <c r="DD206" s="619"/>
      <c r="DE206" s="619"/>
      <c r="DF206" s="619"/>
      <c r="DG206" s="619"/>
      <c r="DH206" s="619"/>
      <c r="DI206" s="619"/>
      <c r="DJ206" s="619"/>
      <c r="DK206" s="619"/>
      <c r="DL206" s="619"/>
      <c r="DM206" s="619"/>
      <c r="DN206" s="619"/>
      <c r="DO206" s="619"/>
      <c r="DP206" s="619"/>
      <c r="DQ206" s="639"/>
      <c r="DR206" s="229"/>
    </row>
    <row r="207" spans="1:122" ht="7.5" customHeight="1" x14ac:dyDescent="0.25">
      <c r="A207" s="594"/>
      <c r="B207" s="595"/>
      <c r="C207" s="595"/>
      <c r="D207" s="595"/>
      <c r="E207" s="596"/>
      <c r="F207" s="129"/>
      <c r="G207" s="599"/>
      <c r="H207" s="599"/>
      <c r="I207" s="599"/>
      <c r="J207" s="599"/>
      <c r="K207" s="599"/>
      <c r="L207" s="599"/>
      <c r="M207" s="599"/>
      <c r="N207" s="599"/>
      <c r="O207" s="599"/>
      <c r="P207" s="599"/>
      <c r="Q207" s="599"/>
      <c r="R207" s="599"/>
      <c r="S207" s="599"/>
      <c r="T207" s="599"/>
      <c r="U207" s="599"/>
      <c r="V207" s="599"/>
      <c r="W207" s="599"/>
      <c r="X207" s="599"/>
      <c r="Y207" s="599"/>
      <c r="Z207" s="602"/>
      <c r="AA207" s="602"/>
      <c r="AB207" s="602"/>
      <c r="AC207" s="602"/>
      <c r="AD207" s="602"/>
      <c r="AE207" s="602"/>
      <c r="AF207" s="602"/>
      <c r="AG207" s="636"/>
      <c r="AH207" s="646"/>
      <c r="AI207" s="449"/>
      <c r="AJ207" s="449"/>
      <c r="AK207" s="449"/>
      <c r="AL207" s="449"/>
      <c r="AM207" s="449"/>
      <c r="AN207" s="449"/>
      <c r="AO207" s="449"/>
      <c r="AP207" s="449"/>
      <c r="AQ207" s="449"/>
      <c r="AR207" s="449"/>
      <c r="AS207" s="449"/>
      <c r="AT207" s="449"/>
      <c r="AU207" s="449"/>
      <c r="AV207" s="449"/>
      <c r="AW207" s="648"/>
      <c r="AX207" s="619"/>
      <c r="AY207" s="619"/>
      <c r="AZ207" s="619"/>
      <c r="BA207" s="619"/>
      <c r="BB207" s="619"/>
      <c r="BC207" s="619"/>
      <c r="BD207" s="619"/>
      <c r="BE207" s="619"/>
      <c r="BF207" s="619"/>
      <c r="BG207" s="619"/>
      <c r="BH207" s="619"/>
      <c r="BI207" s="619"/>
      <c r="BJ207" s="619"/>
      <c r="BK207" s="619"/>
      <c r="BL207" s="619"/>
      <c r="BM207" s="619"/>
      <c r="BN207" s="619"/>
      <c r="BO207" s="619"/>
      <c r="BP207" s="619"/>
      <c r="BQ207" s="619"/>
      <c r="BR207" s="619"/>
      <c r="BS207" s="619"/>
      <c r="BT207" s="619"/>
      <c r="BU207" s="619"/>
      <c r="BV207" s="619"/>
      <c r="BW207" s="619"/>
      <c r="BX207" s="619"/>
      <c r="BY207" s="619"/>
      <c r="BZ207" s="619"/>
      <c r="CA207" s="619"/>
      <c r="CB207" s="619"/>
      <c r="CC207" s="619"/>
      <c r="CD207" s="619"/>
      <c r="CE207" s="619"/>
      <c r="CF207" s="619"/>
      <c r="CG207" s="619"/>
      <c r="CH207" s="619"/>
      <c r="CI207" s="619"/>
      <c r="CJ207" s="619"/>
      <c r="CK207" s="619"/>
      <c r="CL207" s="619"/>
      <c r="CM207" s="619"/>
      <c r="CN207" s="619"/>
      <c r="CO207" s="619"/>
      <c r="CP207" s="619"/>
      <c r="CQ207" s="619"/>
      <c r="CR207" s="619"/>
      <c r="CS207" s="619"/>
      <c r="CT207" s="619"/>
      <c r="CU207" s="619"/>
      <c r="CV207" s="619"/>
      <c r="CW207" s="619"/>
      <c r="CX207" s="619"/>
      <c r="CY207" s="619"/>
      <c r="CZ207" s="619"/>
      <c r="DA207" s="619"/>
      <c r="DB207" s="619"/>
      <c r="DC207" s="619"/>
      <c r="DD207" s="619"/>
      <c r="DE207" s="619"/>
      <c r="DF207" s="619"/>
      <c r="DG207" s="619"/>
      <c r="DH207" s="619"/>
      <c r="DI207" s="619"/>
      <c r="DJ207" s="619"/>
      <c r="DK207" s="619"/>
      <c r="DL207" s="619"/>
      <c r="DM207" s="619"/>
      <c r="DN207" s="619"/>
      <c r="DO207" s="619"/>
      <c r="DP207" s="619"/>
      <c r="DQ207" s="640"/>
      <c r="DR207" s="229"/>
    </row>
    <row r="208" spans="1:122" ht="7.5" customHeight="1" x14ac:dyDescent="0.25">
      <c r="A208" s="119"/>
      <c r="B208" s="119"/>
      <c r="C208" s="119"/>
      <c r="D208" s="119"/>
      <c r="E208" s="119"/>
      <c r="F208" s="653" t="str">
        <f>G205</f>
        <v>High Elven</v>
      </c>
      <c r="G208" s="653"/>
      <c r="H208" s="653"/>
      <c r="I208" s="653"/>
      <c r="J208" s="653"/>
      <c r="K208" s="625" t="e">
        <f ca="1">(FLOOR(INDIRECT(SUBSTITUTE(G205," ",""))/5,1)*(FLOOR(INDIRECT(SUBSTITUTE(G205," ",""))/5,1)+1)/2)*50+MOD(INDIRECT(SUBSTITUTE(G205," ","")),5)*CEILING(INDIRECT(SUBSTITUTE(G205," ",""))/5,1)*10-((FLOOR(INDIRECT("Base"&amp;SUBSTITUTE(G205," ",""))/5,1)*(FLOOR(INDIRECT("Base"&amp;SUBSTITUTE(G205," ",""))/5,1)+1)/2)*50+MOD(INDIRECT("Base"&amp;SUBSTITUTE(G205," ","")),5)*CEILING(INDIRECT("Base"&amp;SUBSTITUTE(G205," ",""))/5,1)*10)</f>
        <v>#REF!</v>
      </c>
      <c r="L208" s="625"/>
      <c r="M208" s="625"/>
      <c r="N208" s="626" t="b">
        <f>IF(AH201&lt;&gt;"",VLOOKUP($G205,'Merit Data'!A:BW,MATCH('Merit Data'!$B$3,'Merit Data'!$3:$3,0),0),TRUE)</f>
        <v>1</v>
      </c>
      <c r="O208" s="626"/>
      <c r="P208" s="626"/>
      <c r="Q208" s="140"/>
      <c r="R208" s="140"/>
      <c r="S208" s="140"/>
      <c r="T208" s="140"/>
      <c r="U208" s="140"/>
      <c r="V208" s="238"/>
      <c r="W208" s="238"/>
      <c r="X208" s="627" t="str">
        <f>IF(F208&gt;0,HYPERLINK("http://wiki.project-saros.com/w/"&amp;F208,"Info"),"")</f>
        <v>Info</v>
      </c>
      <c r="Y208" s="628"/>
      <c r="Z208" s="637"/>
      <c r="AA208" s="637"/>
      <c r="AB208" s="637"/>
      <c r="AC208" s="637"/>
      <c r="AD208" s="637"/>
      <c r="AE208" s="637"/>
      <c r="AF208" s="637"/>
      <c r="AG208" s="638"/>
      <c r="AH208" s="649"/>
      <c r="AI208" s="650"/>
      <c r="AJ208" s="650"/>
      <c r="AK208" s="651"/>
      <c r="AL208" s="651"/>
      <c r="AM208" s="651"/>
      <c r="AN208" s="651"/>
      <c r="AO208" s="651"/>
      <c r="AP208" s="651"/>
      <c r="AQ208" s="651"/>
      <c r="AR208" s="651"/>
      <c r="AS208" s="650"/>
      <c r="AT208" s="650"/>
      <c r="AU208" s="650"/>
      <c r="AV208" s="650"/>
      <c r="AW208" s="652"/>
      <c r="AX208" s="641"/>
      <c r="AY208" s="641"/>
      <c r="AZ208" s="641"/>
      <c r="BA208" s="641"/>
      <c r="BB208" s="641"/>
      <c r="BC208" s="641"/>
      <c r="BD208" s="641"/>
      <c r="BE208" s="641"/>
      <c r="BF208" s="641"/>
      <c r="BG208" s="641"/>
      <c r="BH208" s="641"/>
      <c r="BI208" s="641"/>
      <c r="BJ208" s="641"/>
      <c r="BK208" s="641"/>
      <c r="BL208" s="641"/>
      <c r="BM208" s="641"/>
      <c r="BN208" s="641"/>
      <c r="BO208" s="641"/>
      <c r="BP208" s="641"/>
      <c r="BQ208" s="641"/>
      <c r="BR208" s="641"/>
      <c r="BS208" s="641"/>
      <c r="BT208" s="641"/>
      <c r="BU208" s="641"/>
      <c r="BV208" s="641"/>
      <c r="BW208" s="641"/>
      <c r="BX208" s="641"/>
      <c r="BY208" s="641"/>
      <c r="BZ208" s="641"/>
      <c r="CA208" s="641"/>
      <c r="CB208" s="641"/>
      <c r="CC208" s="641"/>
      <c r="CD208" s="641"/>
      <c r="CE208" s="641"/>
      <c r="CF208" s="641"/>
      <c r="CG208" s="641"/>
      <c r="CH208" s="641"/>
      <c r="CI208" s="641"/>
      <c r="CJ208" s="641"/>
      <c r="CK208" s="641"/>
      <c r="CL208" s="641"/>
      <c r="CM208" s="641"/>
      <c r="CN208" s="641"/>
      <c r="CO208" s="641"/>
      <c r="CP208" s="641"/>
      <c r="CQ208" s="641"/>
      <c r="CR208" s="641"/>
      <c r="CS208" s="641"/>
      <c r="CT208" s="641"/>
      <c r="CU208" s="641"/>
      <c r="CV208" s="641"/>
      <c r="CW208" s="641"/>
      <c r="CX208" s="641"/>
      <c r="CY208" s="641"/>
      <c r="CZ208" s="641"/>
      <c r="DA208" s="641"/>
      <c r="DB208" s="641"/>
      <c r="DC208" s="641"/>
      <c r="DD208" s="641"/>
      <c r="DE208" s="641"/>
      <c r="DF208" s="641"/>
      <c r="DG208" s="641"/>
      <c r="DH208" s="641"/>
      <c r="DI208" s="641"/>
      <c r="DJ208" s="641"/>
      <c r="DK208" s="641"/>
      <c r="DL208" s="641"/>
      <c r="DM208" s="641"/>
      <c r="DN208" s="641"/>
      <c r="DO208" s="641"/>
      <c r="DP208" s="641"/>
      <c r="DQ208" s="642"/>
      <c r="DR208" s="229"/>
    </row>
    <row r="209" spans="1:122" ht="7.5" customHeight="1" x14ac:dyDescent="0.25">
      <c r="A209" s="588">
        <v>0</v>
      </c>
      <c r="B209" s="589"/>
      <c r="C209" s="589"/>
      <c r="D209" s="589"/>
      <c r="E209" s="590"/>
      <c r="F209" s="129"/>
      <c r="G209" s="597" t="s">
        <v>135</v>
      </c>
      <c r="H209" s="597"/>
      <c r="I209" s="597"/>
      <c r="J209" s="597"/>
      <c r="K209" s="597"/>
      <c r="L209" s="597"/>
      <c r="M209" s="597"/>
      <c r="N209" s="597"/>
      <c r="O209" s="597"/>
      <c r="P209" s="597"/>
      <c r="Q209" s="597"/>
      <c r="R209" s="597"/>
      <c r="S209" s="597"/>
      <c r="T209" s="597"/>
      <c r="U209" s="597"/>
      <c r="V209" s="597"/>
      <c r="W209" s="597"/>
      <c r="X209" s="597"/>
      <c r="Y209" s="597"/>
      <c r="Z209" s="600" t="e">
        <f ca="1">FLOOR(INDIRECT(SUBSTITUTE(G209," ",""))/5+1,1)*10</f>
        <v>#REF!</v>
      </c>
      <c r="AA209" s="600"/>
      <c r="AB209" s="600"/>
      <c r="AC209" s="600"/>
      <c r="AD209" s="600"/>
      <c r="AE209" s="600"/>
      <c r="AF209" s="600"/>
      <c r="AG209" s="601"/>
      <c r="AH209" s="643"/>
      <c r="AI209" s="644"/>
      <c r="AJ209" s="644"/>
      <c r="AK209" s="644"/>
      <c r="AL209" s="644"/>
      <c r="AM209" s="644"/>
      <c r="AN209" s="644"/>
      <c r="AO209" s="644"/>
      <c r="AP209" s="644"/>
      <c r="AQ209" s="644"/>
      <c r="AR209" s="644"/>
      <c r="AS209" s="644"/>
      <c r="AT209" s="644"/>
      <c r="AU209" s="644"/>
      <c r="AV209" s="644"/>
      <c r="AW209" s="645"/>
      <c r="AX209" s="616" t="e">
        <f ca="1">"Further increases your "&amp;G209&amp;" skill from "&amp;INDIRECT(SUBSTITUTE(G209," ",""))&amp;" to "&amp;INDIRECT(SUBSTITUTE(G209," ",""))+1</f>
        <v>#REF!</v>
      </c>
      <c r="AY209" s="616"/>
      <c r="AZ209" s="616"/>
      <c r="BA209" s="616"/>
      <c r="BB209" s="616"/>
      <c r="BC209" s="616"/>
      <c r="BD209" s="616"/>
      <c r="BE209" s="616"/>
      <c r="BF209" s="616"/>
      <c r="BG209" s="616"/>
      <c r="BH209" s="616"/>
      <c r="BI209" s="616"/>
      <c r="BJ209" s="616"/>
      <c r="BK209" s="616"/>
      <c r="BL209" s="616"/>
      <c r="BM209" s="616"/>
      <c r="BN209" s="616"/>
      <c r="BO209" s="616"/>
      <c r="BP209" s="616"/>
      <c r="BQ209" s="616"/>
      <c r="BR209" s="616"/>
      <c r="BS209" s="616"/>
      <c r="BT209" s="616"/>
      <c r="BU209" s="616"/>
      <c r="BV209" s="616"/>
      <c r="BW209" s="616"/>
      <c r="BX209" s="616"/>
      <c r="BY209" s="616"/>
      <c r="BZ209" s="616"/>
      <c r="CA209" s="616"/>
      <c r="CB209" s="616"/>
      <c r="CC209" s="616"/>
      <c r="CD209" s="616"/>
      <c r="CE209" s="616"/>
      <c r="CF209" s="616"/>
      <c r="CG209" s="616"/>
      <c r="CH209" s="616"/>
      <c r="CI209" s="616"/>
      <c r="CJ209" s="616"/>
      <c r="CK209" s="616"/>
      <c r="CL209" s="616"/>
      <c r="CM209" s="616"/>
      <c r="CN209" s="616"/>
      <c r="CO209" s="616"/>
      <c r="CP209" s="616"/>
      <c r="CQ209" s="616"/>
      <c r="CR209" s="616"/>
      <c r="CS209" s="616"/>
      <c r="CT209" s="616"/>
      <c r="CU209" s="616"/>
      <c r="CV209" s="616"/>
      <c r="CW209" s="616"/>
      <c r="CX209" s="616"/>
      <c r="CY209" s="616"/>
      <c r="CZ209" s="616"/>
      <c r="DA209" s="616"/>
      <c r="DB209" s="616"/>
      <c r="DC209" s="616"/>
      <c r="DD209" s="616"/>
      <c r="DE209" s="616"/>
      <c r="DF209" s="616"/>
      <c r="DG209" s="616"/>
      <c r="DH209" s="616"/>
      <c r="DI209" s="616"/>
      <c r="DJ209" s="616"/>
      <c r="DK209" s="616"/>
      <c r="DL209" s="616"/>
      <c r="DM209" s="616"/>
      <c r="DN209" s="616"/>
      <c r="DO209" s="616"/>
      <c r="DP209" s="616"/>
      <c r="DQ209" s="617"/>
      <c r="DR209" s="229"/>
    </row>
    <row r="210" spans="1:122" ht="7.5" customHeight="1" x14ac:dyDescent="0.25">
      <c r="A210" s="591"/>
      <c r="B210" s="592"/>
      <c r="C210" s="592"/>
      <c r="D210" s="592"/>
      <c r="E210" s="593"/>
      <c r="F210" s="129"/>
      <c r="G210" s="598"/>
      <c r="H210" s="598"/>
      <c r="I210" s="598"/>
      <c r="J210" s="598"/>
      <c r="K210" s="598"/>
      <c r="L210" s="598"/>
      <c r="M210" s="598"/>
      <c r="N210" s="598"/>
      <c r="O210" s="598"/>
      <c r="P210" s="598"/>
      <c r="Q210" s="598"/>
      <c r="R210" s="598"/>
      <c r="S210" s="598"/>
      <c r="T210" s="598"/>
      <c r="U210" s="598"/>
      <c r="V210" s="598"/>
      <c r="W210" s="598"/>
      <c r="X210" s="598"/>
      <c r="Y210" s="598"/>
      <c r="Z210" s="602"/>
      <c r="AA210" s="602"/>
      <c r="AB210" s="602"/>
      <c r="AC210" s="602"/>
      <c r="AD210" s="602"/>
      <c r="AE210" s="602"/>
      <c r="AF210" s="602"/>
      <c r="AG210" s="635"/>
      <c r="AH210" s="646"/>
      <c r="AI210" s="449"/>
      <c r="AJ210" s="449"/>
      <c r="AK210" s="449"/>
      <c r="AL210" s="449"/>
      <c r="AM210" s="449"/>
      <c r="AN210" s="449"/>
      <c r="AO210" s="449"/>
      <c r="AP210" s="449"/>
      <c r="AQ210" s="449"/>
      <c r="AR210" s="449"/>
      <c r="AS210" s="449"/>
      <c r="AT210" s="449"/>
      <c r="AU210" s="449"/>
      <c r="AV210" s="449"/>
      <c r="AW210" s="647"/>
      <c r="AX210" s="619"/>
      <c r="AY210" s="619"/>
      <c r="AZ210" s="619"/>
      <c r="BA210" s="619"/>
      <c r="BB210" s="619"/>
      <c r="BC210" s="619"/>
      <c r="BD210" s="619"/>
      <c r="BE210" s="619"/>
      <c r="BF210" s="619"/>
      <c r="BG210" s="619"/>
      <c r="BH210" s="619"/>
      <c r="BI210" s="619"/>
      <c r="BJ210" s="619"/>
      <c r="BK210" s="619"/>
      <c r="BL210" s="619"/>
      <c r="BM210" s="619"/>
      <c r="BN210" s="619"/>
      <c r="BO210" s="619"/>
      <c r="BP210" s="619"/>
      <c r="BQ210" s="619"/>
      <c r="BR210" s="619"/>
      <c r="BS210" s="619"/>
      <c r="BT210" s="619"/>
      <c r="BU210" s="619"/>
      <c r="BV210" s="619"/>
      <c r="BW210" s="619"/>
      <c r="BX210" s="619"/>
      <c r="BY210" s="619"/>
      <c r="BZ210" s="619"/>
      <c r="CA210" s="619"/>
      <c r="CB210" s="619"/>
      <c r="CC210" s="619"/>
      <c r="CD210" s="619"/>
      <c r="CE210" s="619"/>
      <c r="CF210" s="619"/>
      <c r="CG210" s="619"/>
      <c r="CH210" s="619"/>
      <c r="CI210" s="619"/>
      <c r="CJ210" s="619"/>
      <c r="CK210" s="619"/>
      <c r="CL210" s="619"/>
      <c r="CM210" s="619"/>
      <c r="CN210" s="619"/>
      <c r="CO210" s="619"/>
      <c r="CP210" s="619"/>
      <c r="CQ210" s="619"/>
      <c r="CR210" s="619"/>
      <c r="CS210" s="619"/>
      <c r="CT210" s="619"/>
      <c r="CU210" s="619"/>
      <c r="CV210" s="619"/>
      <c r="CW210" s="619"/>
      <c r="CX210" s="619"/>
      <c r="CY210" s="619"/>
      <c r="CZ210" s="619"/>
      <c r="DA210" s="619"/>
      <c r="DB210" s="619"/>
      <c r="DC210" s="619"/>
      <c r="DD210" s="619"/>
      <c r="DE210" s="619"/>
      <c r="DF210" s="619"/>
      <c r="DG210" s="619"/>
      <c r="DH210" s="619"/>
      <c r="DI210" s="619"/>
      <c r="DJ210" s="619"/>
      <c r="DK210" s="619"/>
      <c r="DL210" s="619"/>
      <c r="DM210" s="619"/>
      <c r="DN210" s="619"/>
      <c r="DO210" s="619"/>
      <c r="DP210" s="619"/>
      <c r="DQ210" s="639"/>
      <c r="DR210" s="229"/>
    </row>
    <row r="211" spans="1:122" ht="7.5" customHeight="1" x14ac:dyDescent="0.25">
      <c r="A211" s="594"/>
      <c r="B211" s="595"/>
      <c r="C211" s="595"/>
      <c r="D211" s="595"/>
      <c r="E211" s="596"/>
      <c r="F211" s="129"/>
      <c r="G211" s="599"/>
      <c r="H211" s="599"/>
      <c r="I211" s="599"/>
      <c r="J211" s="599"/>
      <c r="K211" s="599"/>
      <c r="L211" s="599"/>
      <c r="M211" s="599"/>
      <c r="N211" s="599"/>
      <c r="O211" s="599"/>
      <c r="P211" s="599"/>
      <c r="Q211" s="599"/>
      <c r="R211" s="599"/>
      <c r="S211" s="599"/>
      <c r="T211" s="599"/>
      <c r="U211" s="599"/>
      <c r="V211" s="599"/>
      <c r="W211" s="599"/>
      <c r="X211" s="599"/>
      <c r="Y211" s="599"/>
      <c r="Z211" s="602"/>
      <c r="AA211" s="602"/>
      <c r="AB211" s="602"/>
      <c r="AC211" s="602"/>
      <c r="AD211" s="602"/>
      <c r="AE211" s="602"/>
      <c r="AF211" s="602"/>
      <c r="AG211" s="636"/>
      <c r="AH211" s="646"/>
      <c r="AI211" s="449"/>
      <c r="AJ211" s="449"/>
      <c r="AK211" s="449"/>
      <c r="AL211" s="449"/>
      <c r="AM211" s="449"/>
      <c r="AN211" s="449"/>
      <c r="AO211" s="449"/>
      <c r="AP211" s="449"/>
      <c r="AQ211" s="449"/>
      <c r="AR211" s="449"/>
      <c r="AS211" s="449"/>
      <c r="AT211" s="449"/>
      <c r="AU211" s="449"/>
      <c r="AV211" s="449"/>
      <c r="AW211" s="648"/>
      <c r="AX211" s="619"/>
      <c r="AY211" s="619"/>
      <c r="AZ211" s="619"/>
      <c r="BA211" s="619"/>
      <c r="BB211" s="619"/>
      <c r="BC211" s="619"/>
      <c r="BD211" s="619"/>
      <c r="BE211" s="619"/>
      <c r="BF211" s="619"/>
      <c r="BG211" s="619"/>
      <c r="BH211" s="619"/>
      <c r="BI211" s="619"/>
      <c r="BJ211" s="619"/>
      <c r="BK211" s="619"/>
      <c r="BL211" s="619"/>
      <c r="BM211" s="619"/>
      <c r="BN211" s="619"/>
      <c r="BO211" s="619"/>
      <c r="BP211" s="619"/>
      <c r="BQ211" s="619"/>
      <c r="BR211" s="619"/>
      <c r="BS211" s="619"/>
      <c r="BT211" s="619"/>
      <c r="BU211" s="619"/>
      <c r="BV211" s="619"/>
      <c r="BW211" s="619"/>
      <c r="BX211" s="619"/>
      <c r="BY211" s="619"/>
      <c r="BZ211" s="619"/>
      <c r="CA211" s="619"/>
      <c r="CB211" s="619"/>
      <c r="CC211" s="619"/>
      <c r="CD211" s="619"/>
      <c r="CE211" s="619"/>
      <c r="CF211" s="619"/>
      <c r="CG211" s="619"/>
      <c r="CH211" s="619"/>
      <c r="CI211" s="619"/>
      <c r="CJ211" s="619"/>
      <c r="CK211" s="619"/>
      <c r="CL211" s="619"/>
      <c r="CM211" s="619"/>
      <c r="CN211" s="619"/>
      <c r="CO211" s="619"/>
      <c r="CP211" s="619"/>
      <c r="CQ211" s="619"/>
      <c r="CR211" s="619"/>
      <c r="CS211" s="619"/>
      <c r="CT211" s="619"/>
      <c r="CU211" s="619"/>
      <c r="CV211" s="619"/>
      <c r="CW211" s="619"/>
      <c r="CX211" s="619"/>
      <c r="CY211" s="619"/>
      <c r="CZ211" s="619"/>
      <c r="DA211" s="619"/>
      <c r="DB211" s="619"/>
      <c r="DC211" s="619"/>
      <c r="DD211" s="619"/>
      <c r="DE211" s="619"/>
      <c r="DF211" s="619"/>
      <c r="DG211" s="619"/>
      <c r="DH211" s="619"/>
      <c r="DI211" s="619"/>
      <c r="DJ211" s="619"/>
      <c r="DK211" s="619"/>
      <c r="DL211" s="619"/>
      <c r="DM211" s="619"/>
      <c r="DN211" s="619"/>
      <c r="DO211" s="619"/>
      <c r="DP211" s="619"/>
      <c r="DQ211" s="640"/>
      <c r="DR211" s="229"/>
    </row>
    <row r="212" spans="1:122" ht="7.5" customHeight="1" x14ac:dyDescent="0.25">
      <c r="A212" s="119"/>
      <c r="B212" s="119"/>
      <c r="C212" s="119"/>
      <c r="D212" s="119"/>
      <c r="E212" s="119"/>
      <c r="F212" s="653" t="str">
        <f>G209</f>
        <v>Wood Elven</v>
      </c>
      <c r="G212" s="653"/>
      <c r="H212" s="653"/>
      <c r="I212" s="653"/>
      <c r="J212" s="653"/>
      <c r="K212" s="625" t="e">
        <f ca="1">(FLOOR(INDIRECT(SUBSTITUTE(G209," ",""))/5,1)*(FLOOR(INDIRECT(SUBSTITUTE(G209," ",""))/5,1)+1)/2)*50+MOD(INDIRECT(SUBSTITUTE(G209," ","")),5)*CEILING(INDIRECT(SUBSTITUTE(G209," ",""))/5,1)*10-((FLOOR(INDIRECT("Base"&amp;SUBSTITUTE(G209," ",""))/5,1)*(FLOOR(INDIRECT("Base"&amp;SUBSTITUTE(G209," ",""))/5,1)+1)/2)*50+MOD(INDIRECT("Base"&amp;SUBSTITUTE(G209," ","")),5)*CEILING(INDIRECT("Base"&amp;SUBSTITUTE(G209," ",""))/5,1)*10)</f>
        <v>#REF!</v>
      </c>
      <c r="L212" s="625"/>
      <c r="M212" s="625"/>
      <c r="N212" s="626" t="b">
        <f>IF(AH205&lt;&gt;"",VLOOKUP($G209,'Merit Data'!A:BW,MATCH('Merit Data'!$B$3,'Merit Data'!$3:$3,0),0),TRUE)</f>
        <v>1</v>
      </c>
      <c r="O212" s="626"/>
      <c r="P212" s="626"/>
      <c r="Q212" s="140"/>
      <c r="R212" s="140"/>
      <c r="S212" s="140"/>
      <c r="T212" s="140"/>
      <c r="U212" s="140"/>
      <c r="V212" s="238"/>
      <c r="W212" s="238"/>
      <c r="X212" s="627" t="str">
        <f>IF(F212&gt;0,HYPERLINK("http://wiki.project-saros.com/w/"&amp;F212,"Info"),"")</f>
        <v>Info</v>
      </c>
      <c r="Y212" s="628"/>
      <c r="Z212" s="637"/>
      <c r="AA212" s="637"/>
      <c r="AB212" s="637"/>
      <c r="AC212" s="637"/>
      <c r="AD212" s="637"/>
      <c r="AE212" s="637"/>
      <c r="AF212" s="637"/>
      <c r="AG212" s="638"/>
      <c r="AH212" s="649"/>
      <c r="AI212" s="650"/>
      <c r="AJ212" s="650"/>
      <c r="AK212" s="651"/>
      <c r="AL212" s="651"/>
      <c r="AM212" s="651"/>
      <c r="AN212" s="651"/>
      <c r="AO212" s="651"/>
      <c r="AP212" s="651"/>
      <c r="AQ212" s="651"/>
      <c r="AR212" s="651"/>
      <c r="AS212" s="650"/>
      <c r="AT212" s="650"/>
      <c r="AU212" s="650"/>
      <c r="AV212" s="650"/>
      <c r="AW212" s="652"/>
      <c r="AX212" s="641"/>
      <c r="AY212" s="641"/>
      <c r="AZ212" s="641"/>
      <c r="BA212" s="641"/>
      <c r="BB212" s="641"/>
      <c r="BC212" s="641"/>
      <c r="BD212" s="641"/>
      <c r="BE212" s="641"/>
      <c r="BF212" s="641"/>
      <c r="BG212" s="641"/>
      <c r="BH212" s="641"/>
      <c r="BI212" s="641"/>
      <c r="BJ212" s="641"/>
      <c r="BK212" s="641"/>
      <c r="BL212" s="641"/>
      <c r="BM212" s="641"/>
      <c r="BN212" s="641"/>
      <c r="BO212" s="641"/>
      <c r="BP212" s="641"/>
      <c r="BQ212" s="641"/>
      <c r="BR212" s="641"/>
      <c r="BS212" s="641"/>
      <c r="BT212" s="641"/>
      <c r="BU212" s="641"/>
      <c r="BV212" s="641"/>
      <c r="BW212" s="641"/>
      <c r="BX212" s="641"/>
      <c r="BY212" s="641"/>
      <c r="BZ212" s="641"/>
      <c r="CA212" s="641"/>
      <c r="CB212" s="641"/>
      <c r="CC212" s="641"/>
      <c r="CD212" s="641"/>
      <c r="CE212" s="641"/>
      <c r="CF212" s="641"/>
      <c r="CG212" s="641"/>
      <c r="CH212" s="641"/>
      <c r="CI212" s="641"/>
      <c r="CJ212" s="641"/>
      <c r="CK212" s="641"/>
      <c r="CL212" s="641"/>
      <c r="CM212" s="641"/>
      <c r="CN212" s="641"/>
      <c r="CO212" s="641"/>
      <c r="CP212" s="641"/>
      <c r="CQ212" s="641"/>
      <c r="CR212" s="641"/>
      <c r="CS212" s="641"/>
      <c r="CT212" s="641"/>
      <c r="CU212" s="641"/>
      <c r="CV212" s="641"/>
      <c r="CW212" s="641"/>
      <c r="CX212" s="641"/>
      <c r="CY212" s="641"/>
      <c r="CZ212" s="641"/>
      <c r="DA212" s="641"/>
      <c r="DB212" s="641"/>
      <c r="DC212" s="641"/>
      <c r="DD212" s="641"/>
      <c r="DE212" s="641"/>
      <c r="DF212" s="641"/>
      <c r="DG212" s="641"/>
      <c r="DH212" s="641"/>
      <c r="DI212" s="641"/>
      <c r="DJ212" s="641"/>
      <c r="DK212" s="641"/>
      <c r="DL212" s="641"/>
      <c r="DM212" s="641"/>
      <c r="DN212" s="641"/>
      <c r="DO212" s="641"/>
      <c r="DP212" s="641"/>
      <c r="DQ212" s="642"/>
      <c r="DR212" s="229"/>
    </row>
    <row r="213" spans="1:122" ht="7.5" customHeight="1" x14ac:dyDescent="0.25">
      <c r="A213" s="588">
        <v>0</v>
      </c>
      <c r="B213" s="589"/>
      <c r="C213" s="589"/>
      <c r="D213" s="589"/>
      <c r="E213" s="590"/>
      <c r="F213" s="129"/>
      <c r="G213" s="597" t="s">
        <v>136</v>
      </c>
      <c r="H213" s="597"/>
      <c r="I213" s="597"/>
      <c r="J213" s="597"/>
      <c r="K213" s="597"/>
      <c r="L213" s="597"/>
      <c r="M213" s="597"/>
      <c r="N213" s="597"/>
      <c r="O213" s="597"/>
      <c r="P213" s="597"/>
      <c r="Q213" s="597"/>
      <c r="R213" s="597"/>
      <c r="S213" s="597"/>
      <c r="T213" s="597"/>
      <c r="U213" s="597"/>
      <c r="V213" s="597"/>
      <c r="W213" s="597"/>
      <c r="X213" s="597"/>
      <c r="Y213" s="597"/>
      <c r="Z213" s="600" t="e">
        <f ca="1">FLOOR(INDIRECT(SUBSTITUTE(G213," ",""))/5+1,1)*10</f>
        <v>#REF!</v>
      </c>
      <c r="AA213" s="600"/>
      <c r="AB213" s="600"/>
      <c r="AC213" s="600"/>
      <c r="AD213" s="600"/>
      <c r="AE213" s="600"/>
      <c r="AF213" s="600"/>
      <c r="AG213" s="601"/>
      <c r="AH213" s="643"/>
      <c r="AI213" s="644"/>
      <c r="AJ213" s="644"/>
      <c r="AK213" s="644"/>
      <c r="AL213" s="644"/>
      <c r="AM213" s="644"/>
      <c r="AN213" s="644"/>
      <c r="AO213" s="644"/>
      <c r="AP213" s="644"/>
      <c r="AQ213" s="644"/>
      <c r="AR213" s="644"/>
      <c r="AS213" s="644"/>
      <c r="AT213" s="644"/>
      <c r="AU213" s="644"/>
      <c r="AV213" s="644"/>
      <c r="AW213" s="645"/>
      <c r="AX213" s="616" t="e">
        <f ca="1">"Further increases your "&amp;G213&amp;" skill from "&amp;INDIRECT(SUBSTITUTE(G213," ",""))&amp;" to "&amp;INDIRECT(SUBSTITUTE(G213," ",""))+1</f>
        <v>#REF!</v>
      </c>
      <c r="AY213" s="616"/>
      <c r="AZ213" s="616"/>
      <c r="BA213" s="616"/>
      <c r="BB213" s="616"/>
      <c r="BC213" s="616"/>
      <c r="BD213" s="616"/>
      <c r="BE213" s="616"/>
      <c r="BF213" s="616"/>
      <c r="BG213" s="616"/>
      <c r="BH213" s="616"/>
      <c r="BI213" s="616"/>
      <c r="BJ213" s="616"/>
      <c r="BK213" s="616"/>
      <c r="BL213" s="616"/>
      <c r="BM213" s="616"/>
      <c r="BN213" s="616"/>
      <c r="BO213" s="616"/>
      <c r="BP213" s="616"/>
      <c r="BQ213" s="616"/>
      <c r="BR213" s="616"/>
      <c r="BS213" s="616"/>
      <c r="BT213" s="616"/>
      <c r="BU213" s="616"/>
      <c r="BV213" s="616"/>
      <c r="BW213" s="616"/>
      <c r="BX213" s="616"/>
      <c r="BY213" s="616"/>
      <c r="BZ213" s="616"/>
      <c r="CA213" s="616"/>
      <c r="CB213" s="616"/>
      <c r="CC213" s="616"/>
      <c r="CD213" s="616"/>
      <c r="CE213" s="616"/>
      <c r="CF213" s="616"/>
      <c r="CG213" s="616"/>
      <c r="CH213" s="616"/>
      <c r="CI213" s="616"/>
      <c r="CJ213" s="616"/>
      <c r="CK213" s="616"/>
      <c r="CL213" s="616"/>
      <c r="CM213" s="616"/>
      <c r="CN213" s="616"/>
      <c r="CO213" s="616"/>
      <c r="CP213" s="616"/>
      <c r="CQ213" s="616"/>
      <c r="CR213" s="616"/>
      <c r="CS213" s="616"/>
      <c r="CT213" s="616"/>
      <c r="CU213" s="616"/>
      <c r="CV213" s="616"/>
      <c r="CW213" s="616"/>
      <c r="CX213" s="616"/>
      <c r="CY213" s="616"/>
      <c r="CZ213" s="616"/>
      <c r="DA213" s="616"/>
      <c r="DB213" s="616"/>
      <c r="DC213" s="616"/>
      <c r="DD213" s="616"/>
      <c r="DE213" s="616"/>
      <c r="DF213" s="616"/>
      <c r="DG213" s="616"/>
      <c r="DH213" s="616"/>
      <c r="DI213" s="616"/>
      <c r="DJ213" s="616"/>
      <c r="DK213" s="616"/>
      <c r="DL213" s="616"/>
      <c r="DM213" s="616"/>
      <c r="DN213" s="616"/>
      <c r="DO213" s="616"/>
      <c r="DP213" s="616"/>
      <c r="DQ213" s="617"/>
      <c r="DR213" s="229"/>
    </row>
    <row r="214" spans="1:122" ht="7.5" customHeight="1" x14ac:dyDescent="0.25">
      <c r="A214" s="591"/>
      <c r="B214" s="592"/>
      <c r="C214" s="592"/>
      <c r="D214" s="592"/>
      <c r="E214" s="593"/>
      <c r="F214" s="129"/>
      <c r="G214" s="598"/>
      <c r="H214" s="598"/>
      <c r="I214" s="598"/>
      <c r="J214" s="598"/>
      <c r="K214" s="598"/>
      <c r="L214" s="598"/>
      <c r="M214" s="598"/>
      <c r="N214" s="598"/>
      <c r="O214" s="598"/>
      <c r="P214" s="598"/>
      <c r="Q214" s="598"/>
      <c r="R214" s="598"/>
      <c r="S214" s="598"/>
      <c r="T214" s="598"/>
      <c r="U214" s="598"/>
      <c r="V214" s="598"/>
      <c r="W214" s="598"/>
      <c r="X214" s="598"/>
      <c r="Y214" s="598"/>
      <c r="Z214" s="602"/>
      <c r="AA214" s="602"/>
      <c r="AB214" s="602"/>
      <c r="AC214" s="602"/>
      <c r="AD214" s="602"/>
      <c r="AE214" s="602"/>
      <c r="AF214" s="602"/>
      <c r="AG214" s="635"/>
      <c r="AH214" s="646"/>
      <c r="AI214" s="449"/>
      <c r="AJ214" s="449"/>
      <c r="AK214" s="449"/>
      <c r="AL214" s="449"/>
      <c r="AM214" s="449"/>
      <c r="AN214" s="449"/>
      <c r="AO214" s="449"/>
      <c r="AP214" s="449"/>
      <c r="AQ214" s="449"/>
      <c r="AR214" s="449"/>
      <c r="AS214" s="449"/>
      <c r="AT214" s="449"/>
      <c r="AU214" s="449"/>
      <c r="AV214" s="449"/>
      <c r="AW214" s="647"/>
      <c r="AX214" s="619"/>
      <c r="AY214" s="619"/>
      <c r="AZ214" s="619"/>
      <c r="BA214" s="619"/>
      <c r="BB214" s="619"/>
      <c r="BC214" s="619"/>
      <c r="BD214" s="619"/>
      <c r="BE214" s="619"/>
      <c r="BF214" s="619"/>
      <c r="BG214" s="619"/>
      <c r="BH214" s="619"/>
      <c r="BI214" s="619"/>
      <c r="BJ214" s="619"/>
      <c r="BK214" s="619"/>
      <c r="BL214" s="619"/>
      <c r="BM214" s="619"/>
      <c r="BN214" s="619"/>
      <c r="BO214" s="619"/>
      <c r="BP214" s="619"/>
      <c r="BQ214" s="619"/>
      <c r="BR214" s="619"/>
      <c r="BS214" s="619"/>
      <c r="BT214" s="619"/>
      <c r="BU214" s="619"/>
      <c r="BV214" s="619"/>
      <c r="BW214" s="619"/>
      <c r="BX214" s="619"/>
      <c r="BY214" s="619"/>
      <c r="BZ214" s="619"/>
      <c r="CA214" s="619"/>
      <c r="CB214" s="619"/>
      <c r="CC214" s="619"/>
      <c r="CD214" s="619"/>
      <c r="CE214" s="619"/>
      <c r="CF214" s="619"/>
      <c r="CG214" s="619"/>
      <c r="CH214" s="619"/>
      <c r="CI214" s="619"/>
      <c r="CJ214" s="619"/>
      <c r="CK214" s="619"/>
      <c r="CL214" s="619"/>
      <c r="CM214" s="619"/>
      <c r="CN214" s="619"/>
      <c r="CO214" s="619"/>
      <c r="CP214" s="619"/>
      <c r="CQ214" s="619"/>
      <c r="CR214" s="619"/>
      <c r="CS214" s="619"/>
      <c r="CT214" s="619"/>
      <c r="CU214" s="619"/>
      <c r="CV214" s="619"/>
      <c r="CW214" s="619"/>
      <c r="CX214" s="619"/>
      <c r="CY214" s="619"/>
      <c r="CZ214" s="619"/>
      <c r="DA214" s="619"/>
      <c r="DB214" s="619"/>
      <c r="DC214" s="619"/>
      <c r="DD214" s="619"/>
      <c r="DE214" s="619"/>
      <c r="DF214" s="619"/>
      <c r="DG214" s="619"/>
      <c r="DH214" s="619"/>
      <c r="DI214" s="619"/>
      <c r="DJ214" s="619"/>
      <c r="DK214" s="619"/>
      <c r="DL214" s="619"/>
      <c r="DM214" s="619"/>
      <c r="DN214" s="619"/>
      <c r="DO214" s="619"/>
      <c r="DP214" s="619"/>
      <c r="DQ214" s="639"/>
      <c r="DR214" s="229"/>
    </row>
    <row r="215" spans="1:122" ht="7.5" customHeight="1" x14ac:dyDescent="0.25">
      <c r="A215" s="594"/>
      <c r="B215" s="595"/>
      <c r="C215" s="595"/>
      <c r="D215" s="595"/>
      <c r="E215" s="596"/>
      <c r="F215" s="129"/>
      <c r="G215" s="599"/>
      <c r="H215" s="599"/>
      <c r="I215" s="599"/>
      <c r="J215" s="599"/>
      <c r="K215" s="599"/>
      <c r="L215" s="599"/>
      <c r="M215" s="599"/>
      <c r="N215" s="599"/>
      <c r="O215" s="599"/>
      <c r="P215" s="599"/>
      <c r="Q215" s="599"/>
      <c r="R215" s="599"/>
      <c r="S215" s="599"/>
      <c r="T215" s="599"/>
      <c r="U215" s="599"/>
      <c r="V215" s="599"/>
      <c r="W215" s="599"/>
      <c r="X215" s="599"/>
      <c r="Y215" s="599"/>
      <c r="Z215" s="602"/>
      <c r="AA215" s="602"/>
      <c r="AB215" s="602"/>
      <c r="AC215" s="602"/>
      <c r="AD215" s="602"/>
      <c r="AE215" s="602"/>
      <c r="AF215" s="602"/>
      <c r="AG215" s="636"/>
      <c r="AH215" s="646"/>
      <c r="AI215" s="449"/>
      <c r="AJ215" s="449"/>
      <c r="AK215" s="449"/>
      <c r="AL215" s="449"/>
      <c r="AM215" s="449"/>
      <c r="AN215" s="449"/>
      <c r="AO215" s="449"/>
      <c r="AP215" s="449"/>
      <c r="AQ215" s="449"/>
      <c r="AR215" s="449"/>
      <c r="AS215" s="449"/>
      <c r="AT215" s="449"/>
      <c r="AU215" s="449"/>
      <c r="AV215" s="449"/>
      <c r="AW215" s="648"/>
      <c r="AX215" s="619"/>
      <c r="AY215" s="619"/>
      <c r="AZ215" s="619"/>
      <c r="BA215" s="619"/>
      <c r="BB215" s="619"/>
      <c r="BC215" s="619"/>
      <c r="BD215" s="619"/>
      <c r="BE215" s="619"/>
      <c r="BF215" s="619"/>
      <c r="BG215" s="619"/>
      <c r="BH215" s="619"/>
      <c r="BI215" s="619"/>
      <c r="BJ215" s="619"/>
      <c r="BK215" s="619"/>
      <c r="BL215" s="619"/>
      <c r="BM215" s="619"/>
      <c r="BN215" s="619"/>
      <c r="BO215" s="619"/>
      <c r="BP215" s="619"/>
      <c r="BQ215" s="619"/>
      <c r="BR215" s="619"/>
      <c r="BS215" s="619"/>
      <c r="BT215" s="619"/>
      <c r="BU215" s="619"/>
      <c r="BV215" s="619"/>
      <c r="BW215" s="619"/>
      <c r="BX215" s="619"/>
      <c r="BY215" s="619"/>
      <c r="BZ215" s="619"/>
      <c r="CA215" s="619"/>
      <c r="CB215" s="619"/>
      <c r="CC215" s="619"/>
      <c r="CD215" s="619"/>
      <c r="CE215" s="619"/>
      <c r="CF215" s="619"/>
      <c r="CG215" s="619"/>
      <c r="CH215" s="619"/>
      <c r="CI215" s="619"/>
      <c r="CJ215" s="619"/>
      <c r="CK215" s="619"/>
      <c r="CL215" s="619"/>
      <c r="CM215" s="619"/>
      <c r="CN215" s="619"/>
      <c r="CO215" s="619"/>
      <c r="CP215" s="619"/>
      <c r="CQ215" s="619"/>
      <c r="CR215" s="619"/>
      <c r="CS215" s="619"/>
      <c r="CT215" s="619"/>
      <c r="CU215" s="619"/>
      <c r="CV215" s="619"/>
      <c r="CW215" s="619"/>
      <c r="CX215" s="619"/>
      <c r="CY215" s="619"/>
      <c r="CZ215" s="619"/>
      <c r="DA215" s="619"/>
      <c r="DB215" s="619"/>
      <c r="DC215" s="619"/>
      <c r="DD215" s="619"/>
      <c r="DE215" s="619"/>
      <c r="DF215" s="619"/>
      <c r="DG215" s="619"/>
      <c r="DH215" s="619"/>
      <c r="DI215" s="619"/>
      <c r="DJ215" s="619"/>
      <c r="DK215" s="619"/>
      <c r="DL215" s="619"/>
      <c r="DM215" s="619"/>
      <c r="DN215" s="619"/>
      <c r="DO215" s="619"/>
      <c r="DP215" s="619"/>
      <c r="DQ215" s="640"/>
      <c r="DR215" s="229"/>
    </row>
    <row r="216" spans="1:122" ht="7.5" customHeight="1" x14ac:dyDescent="0.25">
      <c r="A216" s="119"/>
      <c r="B216" s="119"/>
      <c r="C216" s="119"/>
      <c r="D216" s="119"/>
      <c r="E216" s="119"/>
      <c r="F216" s="653" t="str">
        <f>G213</f>
        <v>Dark Elven</v>
      </c>
      <c r="G216" s="653"/>
      <c r="H216" s="653"/>
      <c r="I216" s="653"/>
      <c r="J216" s="653"/>
      <c r="K216" s="625" t="e">
        <f ca="1">(FLOOR(INDIRECT(SUBSTITUTE(G213," ",""))/5,1)*(FLOOR(INDIRECT(SUBSTITUTE(G213," ",""))/5,1)+1)/2)*50+MOD(INDIRECT(SUBSTITUTE(G213," ","")),5)*CEILING(INDIRECT(SUBSTITUTE(G213," ",""))/5,1)*10-((FLOOR(INDIRECT("Base"&amp;SUBSTITUTE(G213," ",""))/5,1)*(FLOOR(INDIRECT("Base"&amp;SUBSTITUTE(G213," ",""))/5,1)+1)/2)*50+MOD(INDIRECT("Base"&amp;SUBSTITUTE(G213," ","")),5)*CEILING(INDIRECT("Base"&amp;SUBSTITUTE(G213," ",""))/5,1)*10)</f>
        <v>#REF!</v>
      </c>
      <c r="L216" s="625"/>
      <c r="M216" s="625"/>
      <c r="N216" s="626" t="b">
        <f>IF(AH209&lt;&gt;"",VLOOKUP($G213,'Merit Data'!A:BW,MATCH('Merit Data'!$B$3,'Merit Data'!$3:$3,0),0),TRUE)</f>
        <v>1</v>
      </c>
      <c r="O216" s="626"/>
      <c r="P216" s="626"/>
      <c r="Q216" s="140"/>
      <c r="R216" s="140"/>
      <c r="S216" s="140"/>
      <c r="T216" s="140"/>
      <c r="U216" s="140"/>
      <c r="V216" s="238"/>
      <c r="W216" s="238"/>
      <c r="X216" s="627" t="str">
        <f>IF(F216&gt;0,HYPERLINK("http://wiki.project-saros.com/w/"&amp;F216,"Info"),"")</f>
        <v>Info</v>
      </c>
      <c r="Y216" s="628"/>
      <c r="Z216" s="637"/>
      <c r="AA216" s="637"/>
      <c r="AB216" s="637"/>
      <c r="AC216" s="637"/>
      <c r="AD216" s="637"/>
      <c r="AE216" s="637"/>
      <c r="AF216" s="637"/>
      <c r="AG216" s="638"/>
      <c r="AH216" s="649"/>
      <c r="AI216" s="650"/>
      <c r="AJ216" s="650"/>
      <c r="AK216" s="651"/>
      <c r="AL216" s="651"/>
      <c r="AM216" s="651"/>
      <c r="AN216" s="651"/>
      <c r="AO216" s="651"/>
      <c r="AP216" s="651"/>
      <c r="AQ216" s="651"/>
      <c r="AR216" s="651"/>
      <c r="AS216" s="650"/>
      <c r="AT216" s="650"/>
      <c r="AU216" s="650"/>
      <c r="AV216" s="650"/>
      <c r="AW216" s="652"/>
      <c r="AX216" s="641"/>
      <c r="AY216" s="641"/>
      <c r="AZ216" s="641"/>
      <c r="BA216" s="641"/>
      <c r="BB216" s="641"/>
      <c r="BC216" s="641"/>
      <c r="BD216" s="641"/>
      <c r="BE216" s="641"/>
      <c r="BF216" s="641"/>
      <c r="BG216" s="641"/>
      <c r="BH216" s="641"/>
      <c r="BI216" s="641"/>
      <c r="BJ216" s="641"/>
      <c r="BK216" s="641"/>
      <c r="BL216" s="641"/>
      <c r="BM216" s="641"/>
      <c r="BN216" s="641"/>
      <c r="BO216" s="641"/>
      <c r="BP216" s="641"/>
      <c r="BQ216" s="641"/>
      <c r="BR216" s="641"/>
      <c r="BS216" s="641"/>
      <c r="BT216" s="641"/>
      <c r="BU216" s="641"/>
      <c r="BV216" s="641"/>
      <c r="BW216" s="641"/>
      <c r="BX216" s="641"/>
      <c r="BY216" s="641"/>
      <c r="BZ216" s="641"/>
      <c r="CA216" s="641"/>
      <c r="CB216" s="641"/>
      <c r="CC216" s="641"/>
      <c r="CD216" s="641"/>
      <c r="CE216" s="641"/>
      <c r="CF216" s="641"/>
      <c r="CG216" s="641"/>
      <c r="CH216" s="641"/>
      <c r="CI216" s="641"/>
      <c r="CJ216" s="641"/>
      <c r="CK216" s="641"/>
      <c r="CL216" s="641"/>
      <c r="CM216" s="641"/>
      <c r="CN216" s="641"/>
      <c r="CO216" s="641"/>
      <c r="CP216" s="641"/>
      <c r="CQ216" s="641"/>
      <c r="CR216" s="641"/>
      <c r="CS216" s="641"/>
      <c r="CT216" s="641"/>
      <c r="CU216" s="641"/>
      <c r="CV216" s="641"/>
      <c r="CW216" s="641"/>
      <c r="CX216" s="641"/>
      <c r="CY216" s="641"/>
      <c r="CZ216" s="641"/>
      <c r="DA216" s="641"/>
      <c r="DB216" s="641"/>
      <c r="DC216" s="641"/>
      <c r="DD216" s="641"/>
      <c r="DE216" s="641"/>
      <c r="DF216" s="641"/>
      <c r="DG216" s="641"/>
      <c r="DH216" s="641"/>
      <c r="DI216" s="641"/>
      <c r="DJ216" s="641"/>
      <c r="DK216" s="641"/>
      <c r="DL216" s="641"/>
      <c r="DM216" s="641"/>
      <c r="DN216" s="641"/>
      <c r="DO216" s="641"/>
      <c r="DP216" s="641"/>
      <c r="DQ216" s="642"/>
      <c r="DR216" s="229"/>
    </row>
    <row r="217" spans="1:122" ht="7.5" customHeight="1" x14ac:dyDescent="0.25">
      <c r="A217" s="588">
        <v>0</v>
      </c>
      <c r="B217" s="589"/>
      <c r="C217" s="589"/>
      <c r="D217" s="589"/>
      <c r="E217" s="590"/>
      <c r="F217" s="129"/>
      <c r="G217" s="597" t="s">
        <v>104</v>
      </c>
      <c r="H217" s="597"/>
      <c r="I217" s="597"/>
      <c r="J217" s="597"/>
      <c r="K217" s="597"/>
      <c r="L217" s="597"/>
      <c r="M217" s="597"/>
      <c r="N217" s="597"/>
      <c r="O217" s="597"/>
      <c r="P217" s="597"/>
      <c r="Q217" s="597"/>
      <c r="R217" s="597"/>
      <c r="S217" s="597"/>
      <c r="T217" s="597"/>
      <c r="U217" s="597"/>
      <c r="V217" s="597"/>
      <c r="W217" s="597"/>
      <c r="X217" s="597"/>
      <c r="Y217" s="597"/>
      <c r="Z217" s="600" t="e">
        <f ca="1">FLOOR(INDIRECT(SUBSTITUTE(G217," ",""))/5+1,1)*10</f>
        <v>#REF!</v>
      </c>
      <c r="AA217" s="600"/>
      <c r="AB217" s="600"/>
      <c r="AC217" s="600"/>
      <c r="AD217" s="600"/>
      <c r="AE217" s="600"/>
      <c r="AF217" s="600"/>
      <c r="AG217" s="601"/>
      <c r="AH217" s="643"/>
      <c r="AI217" s="644"/>
      <c r="AJ217" s="644"/>
      <c r="AK217" s="644"/>
      <c r="AL217" s="644"/>
      <c r="AM217" s="644"/>
      <c r="AN217" s="644"/>
      <c r="AO217" s="644"/>
      <c r="AP217" s="644"/>
      <c r="AQ217" s="644"/>
      <c r="AR217" s="644"/>
      <c r="AS217" s="644"/>
      <c r="AT217" s="644"/>
      <c r="AU217" s="644"/>
      <c r="AV217" s="644"/>
      <c r="AW217" s="645"/>
      <c r="AX217" s="616" t="e">
        <f ca="1">"Further increases your "&amp;G217&amp;" skill from "&amp;INDIRECT(SUBSTITUTE(G217," ",""))&amp;" to "&amp;INDIRECT(SUBSTITUTE(G217," ",""))+1</f>
        <v>#REF!</v>
      </c>
      <c r="AY217" s="616"/>
      <c r="AZ217" s="616"/>
      <c r="BA217" s="616"/>
      <c r="BB217" s="616"/>
      <c r="BC217" s="616"/>
      <c r="BD217" s="616"/>
      <c r="BE217" s="616"/>
      <c r="BF217" s="616"/>
      <c r="BG217" s="616"/>
      <c r="BH217" s="616"/>
      <c r="BI217" s="616"/>
      <c r="BJ217" s="616"/>
      <c r="BK217" s="616"/>
      <c r="BL217" s="616"/>
      <c r="BM217" s="616"/>
      <c r="BN217" s="616"/>
      <c r="BO217" s="616"/>
      <c r="BP217" s="616"/>
      <c r="BQ217" s="616"/>
      <c r="BR217" s="616"/>
      <c r="BS217" s="616"/>
      <c r="BT217" s="616"/>
      <c r="BU217" s="616"/>
      <c r="BV217" s="616"/>
      <c r="BW217" s="616"/>
      <c r="BX217" s="616"/>
      <c r="BY217" s="616"/>
      <c r="BZ217" s="616"/>
      <c r="CA217" s="616"/>
      <c r="CB217" s="616"/>
      <c r="CC217" s="616"/>
      <c r="CD217" s="616"/>
      <c r="CE217" s="616"/>
      <c r="CF217" s="616"/>
      <c r="CG217" s="616"/>
      <c r="CH217" s="616"/>
      <c r="CI217" s="616"/>
      <c r="CJ217" s="616"/>
      <c r="CK217" s="616"/>
      <c r="CL217" s="616"/>
      <c r="CM217" s="616"/>
      <c r="CN217" s="616"/>
      <c r="CO217" s="616"/>
      <c r="CP217" s="616"/>
      <c r="CQ217" s="616"/>
      <c r="CR217" s="616"/>
      <c r="CS217" s="616"/>
      <c r="CT217" s="616"/>
      <c r="CU217" s="616"/>
      <c r="CV217" s="616"/>
      <c r="CW217" s="616"/>
      <c r="CX217" s="616"/>
      <c r="CY217" s="616"/>
      <c r="CZ217" s="616"/>
      <c r="DA217" s="616"/>
      <c r="DB217" s="616"/>
      <c r="DC217" s="616"/>
      <c r="DD217" s="616"/>
      <c r="DE217" s="616"/>
      <c r="DF217" s="616"/>
      <c r="DG217" s="616"/>
      <c r="DH217" s="616"/>
      <c r="DI217" s="616"/>
      <c r="DJ217" s="616"/>
      <c r="DK217" s="616"/>
      <c r="DL217" s="616"/>
      <c r="DM217" s="616"/>
      <c r="DN217" s="616"/>
      <c r="DO217" s="616"/>
      <c r="DP217" s="616"/>
      <c r="DQ217" s="617"/>
      <c r="DR217" s="229"/>
    </row>
    <row r="218" spans="1:122" ht="7.5" customHeight="1" x14ac:dyDescent="0.25">
      <c r="A218" s="591"/>
      <c r="B218" s="592"/>
      <c r="C218" s="592"/>
      <c r="D218" s="592"/>
      <c r="E218" s="593"/>
      <c r="F218" s="129"/>
      <c r="G218" s="598"/>
      <c r="H218" s="598"/>
      <c r="I218" s="598"/>
      <c r="J218" s="598"/>
      <c r="K218" s="598"/>
      <c r="L218" s="598"/>
      <c r="M218" s="598"/>
      <c r="N218" s="598"/>
      <c r="O218" s="598"/>
      <c r="P218" s="598"/>
      <c r="Q218" s="598"/>
      <c r="R218" s="598"/>
      <c r="S218" s="598"/>
      <c r="T218" s="598"/>
      <c r="U218" s="598"/>
      <c r="V218" s="598"/>
      <c r="W218" s="598"/>
      <c r="X218" s="598"/>
      <c r="Y218" s="598"/>
      <c r="Z218" s="602"/>
      <c r="AA218" s="602"/>
      <c r="AB218" s="602"/>
      <c r="AC218" s="602"/>
      <c r="AD218" s="602"/>
      <c r="AE218" s="602"/>
      <c r="AF218" s="602"/>
      <c r="AG218" s="635"/>
      <c r="AH218" s="646"/>
      <c r="AI218" s="449"/>
      <c r="AJ218" s="449"/>
      <c r="AK218" s="449"/>
      <c r="AL218" s="449"/>
      <c r="AM218" s="449"/>
      <c r="AN218" s="449"/>
      <c r="AO218" s="449"/>
      <c r="AP218" s="449"/>
      <c r="AQ218" s="449"/>
      <c r="AR218" s="449"/>
      <c r="AS218" s="449"/>
      <c r="AT218" s="449"/>
      <c r="AU218" s="449"/>
      <c r="AV218" s="449"/>
      <c r="AW218" s="647"/>
      <c r="AX218" s="619"/>
      <c r="AY218" s="619"/>
      <c r="AZ218" s="619"/>
      <c r="BA218" s="619"/>
      <c r="BB218" s="619"/>
      <c r="BC218" s="619"/>
      <c r="BD218" s="619"/>
      <c r="BE218" s="619"/>
      <c r="BF218" s="619"/>
      <c r="BG218" s="619"/>
      <c r="BH218" s="619"/>
      <c r="BI218" s="619"/>
      <c r="BJ218" s="619"/>
      <c r="BK218" s="619"/>
      <c r="BL218" s="619"/>
      <c r="BM218" s="619"/>
      <c r="BN218" s="619"/>
      <c r="BO218" s="619"/>
      <c r="BP218" s="619"/>
      <c r="BQ218" s="619"/>
      <c r="BR218" s="619"/>
      <c r="BS218" s="619"/>
      <c r="BT218" s="619"/>
      <c r="BU218" s="619"/>
      <c r="BV218" s="619"/>
      <c r="BW218" s="619"/>
      <c r="BX218" s="619"/>
      <c r="BY218" s="619"/>
      <c r="BZ218" s="619"/>
      <c r="CA218" s="619"/>
      <c r="CB218" s="619"/>
      <c r="CC218" s="619"/>
      <c r="CD218" s="619"/>
      <c r="CE218" s="619"/>
      <c r="CF218" s="619"/>
      <c r="CG218" s="619"/>
      <c r="CH218" s="619"/>
      <c r="CI218" s="619"/>
      <c r="CJ218" s="619"/>
      <c r="CK218" s="619"/>
      <c r="CL218" s="619"/>
      <c r="CM218" s="619"/>
      <c r="CN218" s="619"/>
      <c r="CO218" s="619"/>
      <c r="CP218" s="619"/>
      <c r="CQ218" s="619"/>
      <c r="CR218" s="619"/>
      <c r="CS218" s="619"/>
      <c r="CT218" s="619"/>
      <c r="CU218" s="619"/>
      <c r="CV218" s="619"/>
      <c r="CW218" s="619"/>
      <c r="CX218" s="619"/>
      <c r="CY218" s="619"/>
      <c r="CZ218" s="619"/>
      <c r="DA218" s="619"/>
      <c r="DB218" s="619"/>
      <c r="DC218" s="619"/>
      <c r="DD218" s="619"/>
      <c r="DE218" s="619"/>
      <c r="DF218" s="619"/>
      <c r="DG218" s="619"/>
      <c r="DH218" s="619"/>
      <c r="DI218" s="619"/>
      <c r="DJ218" s="619"/>
      <c r="DK218" s="619"/>
      <c r="DL218" s="619"/>
      <c r="DM218" s="619"/>
      <c r="DN218" s="619"/>
      <c r="DO218" s="619"/>
      <c r="DP218" s="619"/>
      <c r="DQ218" s="639"/>
      <c r="DR218" s="229"/>
    </row>
    <row r="219" spans="1:122" ht="7.5" customHeight="1" x14ac:dyDescent="0.25">
      <c r="A219" s="594"/>
      <c r="B219" s="595"/>
      <c r="C219" s="595"/>
      <c r="D219" s="595"/>
      <c r="E219" s="596"/>
      <c r="F219" s="129"/>
      <c r="G219" s="599"/>
      <c r="H219" s="599"/>
      <c r="I219" s="599"/>
      <c r="J219" s="599"/>
      <c r="K219" s="599"/>
      <c r="L219" s="599"/>
      <c r="M219" s="599"/>
      <c r="N219" s="599"/>
      <c r="O219" s="599"/>
      <c r="P219" s="599"/>
      <c r="Q219" s="599"/>
      <c r="R219" s="599"/>
      <c r="S219" s="599"/>
      <c r="T219" s="599"/>
      <c r="U219" s="599"/>
      <c r="V219" s="599"/>
      <c r="W219" s="599"/>
      <c r="X219" s="599"/>
      <c r="Y219" s="599"/>
      <c r="Z219" s="602"/>
      <c r="AA219" s="602"/>
      <c r="AB219" s="602"/>
      <c r="AC219" s="602"/>
      <c r="AD219" s="602"/>
      <c r="AE219" s="602"/>
      <c r="AF219" s="602"/>
      <c r="AG219" s="636"/>
      <c r="AH219" s="646"/>
      <c r="AI219" s="449"/>
      <c r="AJ219" s="449"/>
      <c r="AK219" s="449"/>
      <c r="AL219" s="449"/>
      <c r="AM219" s="449"/>
      <c r="AN219" s="449"/>
      <c r="AO219" s="449"/>
      <c r="AP219" s="449"/>
      <c r="AQ219" s="449"/>
      <c r="AR219" s="449"/>
      <c r="AS219" s="449"/>
      <c r="AT219" s="449"/>
      <c r="AU219" s="449"/>
      <c r="AV219" s="449"/>
      <c r="AW219" s="648"/>
      <c r="AX219" s="619"/>
      <c r="AY219" s="619"/>
      <c r="AZ219" s="619"/>
      <c r="BA219" s="619"/>
      <c r="BB219" s="619"/>
      <c r="BC219" s="619"/>
      <c r="BD219" s="619"/>
      <c r="BE219" s="619"/>
      <c r="BF219" s="619"/>
      <c r="BG219" s="619"/>
      <c r="BH219" s="619"/>
      <c r="BI219" s="619"/>
      <c r="BJ219" s="619"/>
      <c r="BK219" s="619"/>
      <c r="BL219" s="619"/>
      <c r="BM219" s="619"/>
      <c r="BN219" s="619"/>
      <c r="BO219" s="619"/>
      <c r="BP219" s="619"/>
      <c r="BQ219" s="619"/>
      <c r="BR219" s="619"/>
      <c r="BS219" s="619"/>
      <c r="BT219" s="619"/>
      <c r="BU219" s="619"/>
      <c r="BV219" s="619"/>
      <c r="BW219" s="619"/>
      <c r="BX219" s="619"/>
      <c r="BY219" s="619"/>
      <c r="BZ219" s="619"/>
      <c r="CA219" s="619"/>
      <c r="CB219" s="619"/>
      <c r="CC219" s="619"/>
      <c r="CD219" s="619"/>
      <c r="CE219" s="619"/>
      <c r="CF219" s="619"/>
      <c r="CG219" s="619"/>
      <c r="CH219" s="619"/>
      <c r="CI219" s="619"/>
      <c r="CJ219" s="619"/>
      <c r="CK219" s="619"/>
      <c r="CL219" s="619"/>
      <c r="CM219" s="619"/>
      <c r="CN219" s="619"/>
      <c r="CO219" s="619"/>
      <c r="CP219" s="619"/>
      <c r="CQ219" s="619"/>
      <c r="CR219" s="619"/>
      <c r="CS219" s="619"/>
      <c r="CT219" s="619"/>
      <c r="CU219" s="619"/>
      <c r="CV219" s="619"/>
      <c r="CW219" s="619"/>
      <c r="CX219" s="619"/>
      <c r="CY219" s="619"/>
      <c r="CZ219" s="619"/>
      <c r="DA219" s="619"/>
      <c r="DB219" s="619"/>
      <c r="DC219" s="619"/>
      <c r="DD219" s="619"/>
      <c r="DE219" s="619"/>
      <c r="DF219" s="619"/>
      <c r="DG219" s="619"/>
      <c r="DH219" s="619"/>
      <c r="DI219" s="619"/>
      <c r="DJ219" s="619"/>
      <c r="DK219" s="619"/>
      <c r="DL219" s="619"/>
      <c r="DM219" s="619"/>
      <c r="DN219" s="619"/>
      <c r="DO219" s="619"/>
      <c r="DP219" s="619"/>
      <c r="DQ219" s="640"/>
      <c r="DR219" s="229"/>
    </row>
    <row r="220" spans="1:122" ht="7.5" customHeight="1" x14ac:dyDescent="0.25">
      <c r="A220" s="119"/>
      <c r="B220" s="119"/>
      <c r="C220" s="119"/>
      <c r="D220" s="119"/>
      <c r="E220" s="119"/>
      <c r="F220" s="653" t="str">
        <f>G217</f>
        <v>Basic Elven</v>
      </c>
      <c r="G220" s="653"/>
      <c r="H220" s="653"/>
      <c r="I220" s="653"/>
      <c r="J220" s="653"/>
      <c r="K220" s="625" t="e">
        <f ca="1">(FLOOR(INDIRECT(SUBSTITUTE(G217," ",""))/5,1)*(FLOOR(INDIRECT(SUBSTITUTE(G217," ",""))/5,1)+1)/2)*50+MOD(INDIRECT(SUBSTITUTE(G217," ","")),5)*CEILING(INDIRECT(SUBSTITUTE(G217," ",""))/5,1)*10-((FLOOR(INDIRECT("Base"&amp;SUBSTITUTE(G217," ",""))/5,1)*(FLOOR(INDIRECT("Base"&amp;SUBSTITUTE(G217," ",""))/5,1)+1)/2)*50+MOD(INDIRECT("Base"&amp;SUBSTITUTE(G217," ","")),5)*CEILING(INDIRECT("Base"&amp;SUBSTITUTE(G217," ",""))/5,1)*10)</f>
        <v>#REF!</v>
      </c>
      <c r="L220" s="625"/>
      <c r="M220" s="625"/>
      <c r="N220" s="626" t="b">
        <f>IF(AH213&lt;&gt;"",VLOOKUP($G217,'Merit Data'!A:BW,MATCH('Merit Data'!$B$3,'Merit Data'!$3:$3,0),0),TRUE)</f>
        <v>1</v>
      </c>
      <c r="O220" s="626"/>
      <c r="P220" s="626"/>
      <c r="Q220" s="140"/>
      <c r="R220" s="140"/>
      <c r="S220" s="140"/>
      <c r="T220" s="140"/>
      <c r="U220" s="140"/>
      <c r="V220" s="238"/>
      <c r="W220" s="238"/>
      <c r="X220" s="627" t="str">
        <f>IF(F220&gt;0,HYPERLINK("http://wiki.project-saros.com/w/"&amp;F220,"Info"),"")</f>
        <v>Info</v>
      </c>
      <c r="Y220" s="628"/>
      <c r="Z220" s="637"/>
      <c r="AA220" s="637"/>
      <c r="AB220" s="637"/>
      <c r="AC220" s="637"/>
      <c r="AD220" s="637"/>
      <c r="AE220" s="637"/>
      <c r="AF220" s="637"/>
      <c r="AG220" s="638"/>
      <c r="AH220" s="649"/>
      <c r="AI220" s="650"/>
      <c r="AJ220" s="650"/>
      <c r="AK220" s="651"/>
      <c r="AL220" s="651"/>
      <c r="AM220" s="651"/>
      <c r="AN220" s="651"/>
      <c r="AO220" s="651"/>
      <c r="AP220" s="651"/>
      <c r="AQ220" s="651"/>
      <c r="AR220" s="651"/>
      <c r="AS220" s="650"/>
      <c r="AT220" s="650"/>
      <c r="AU220" s="650"/>
      <c r="AV220" s="650"/>
      <c r="AW220" s="652"/>
      <c r="AX220" s="641"/>
      <c r="AY220" s="641"/>
      <c r="AZ220" s="641"/>
      <c r="BA220" s="641"/>
      <c r="BB220" s="641"/>
      <c r="BC220" s="641"/>
      <c r="BD220" s="641"/>
      <c r="BE220" s="641"/>
      <c r="BF220" s="641"/>
      <c r="BG220" s="641"/>
      <c r="BH220" s="641"/>
      <c r="BI220" s="641"/>
      <c r="BJ220" s="641"/>
      <c r="BK220" s="641"/>
      <c r="BL220" s="641"/>
      <c r="BM220" s="641"/>
      <c r="BN220" s="641"/>
      <c r="BO220" s="641"/>
      <c r="BP220" s="641"/>
      <c r="BQ220" s="641"/>
      <c r="BR220" s="641"/>
      <c r="BS220" s="641"/>
      <c r="BT220" s="641"/>
      <c r="BU220" s="641"/>
      <c r="BV220" s="641"/>
      <c r="BW220" s="641"/>
      <c r="BX220" s="641"/>
      <c r="BY220" s="641"/>
      <c r="BZ220" s="641"/>
      <c r="CA220" s="641"/>
      <c r="CB220" s="641"/>
      <c r="CC220" s="641"/>
      <c r="CD220" s="641"/>
      <c r="CE220" s="641"/>
      <c r="CF220" s="641"/>
      <c r="CG220" s="641"/>
      <c r="CH220" s="641"/>
      <c r="CI220" s="641"/>
      <c r="CJ220" s="641"/>
      <c r="CK220" s="641"/>
      <c r="CL220" s="641"/>
      <c r="CM220" s="641"/>
      <c r="CN220" s="641"/>
      <c r="CO220" s="641"/>
      <c r="CP220" s="641"/>
      <c r="CQ220" s="641"/>
      <c r="CR220" s="641"/>
      <c r="CS220" s="641"/>
      <c r="CT220" s="641"/>
      <c r="CU220" s="641"/>
      <c r="CV220" s="641"/>
      <c r="CW220" s="641"/>
      <c r="CX220" s="641"/>
      <c r="CY220" s="641"/>
      <c r="CZ220" s="641"/>
      <c r="DA220" s="641"/>
      <c r="DB220" s="641"/>
      <c r="DC220" s="641"/>
      <c r="DD220" s="641"/>
      <c r="DE220" s="641"/>
      <c r="DF220" s="641"/>
      <c r="DG220" s="641"/>
      <c r="DH220" s="641"/>
      <c r="DI220" s="641"/>
      <c r="DJ220" s="641"/>
      <c r="DK220" s="641"/>
      <c r="DL220" s="641"/>
      <c r="DM220" s="641"/>
      <c r="DN220" s="641"/>
      <c r="DO220" s="641"/>
      <c r="DP220" s="641"/>
      <c r="DQ220" s="642"/>
      <c r="DR220" s="229"/>
    </row>
    <row r="221" spans="1:122" ht="7.5" customHeight="1" x14ac:dyDescent="0.25">
      <c r="A221" s="588">
        <v>0</v>
      </c>
      <c r="B221" s="589"/>
      <c r="C221" s="589"/>
      <c r="D221" s="589"/>
      <c r="E221" s="590"/>
      <c r="F221" s="129"/>
      <c r="G221" s="597" t="s">
        <v>139</v>
      </c>
      <c r="H221" s="597"/>
      <c r="I221" s="597"/>
      <c r="J221" s="597"/>
      <c r="K221" s="597"/>
      <c r="L221" s="597"/>
      <c r="M221" s="597"/>
      <c r="N221" s="597"/>
      <c r="O221" s="597"/>
      <c r="P221" s="597"/>
      <c r="Q221" s="597"/>
      <c r="R221" s="597"/>
      <c r="S221" s="597"/>
      <c r="T221" s="597"/>
      <c r="U221" s="597"/>
      <c r="V221" s="597"/>
      <c r="W221" s="597"/>
      <c r="X221" s="597"/>
      <c r="Y221" s="597"/>
      <c r="Z221" s="600" t="e">
        <f ca="1">FLOOR(INDIRECT(SUBSTITUTE(G221," ",""))/5+1,1)*10</f>
        <v>#REF!</v>
      </c>
      <c r="AA221" s="600"/>
      <c r="AB221" s="600"/>
      <c r="AC221" s="600"/>
      <c r="AD221" s="600"/>
      <c r="AE221" s="600"/>
      <c r="AF221" s="600"/>
      <c r="AG221" s="601"/>
      <c r="AH221" s="643"/>
      <c r="AI221" s="644"/>
      <c r="AJ221" s="644"/>
      <c r="AK221" s="644"/>
      <c r="AL221" s="644"/>
      <c r="AM221" s="644"/>
      <c r="AN221" s="644"/>
      <c r="AO221" s="644"/>
      <c r="AP221" s="644"/>
      <c r="AQ221" s="644"/>
      <c r="AR221" s="644"/>
      <c r="AS221" s="644"/>
      <c r="AT221" s="644"/>
      <c r="AU221" s="644"/>
      <c r="AV221" s="644"/>
      <c r="AW221" s="645"/>
      <c r="AX221" s="616" t="e">
        <f ca="1">"Further increases your "&amp;G221&amp;" skill from "&amp;INDIRECT(SUBSTITUTE(G221," ",""))&amp;" to "&amp;INDIRECT(SUBSTITUTE(G221," ",""))+1</f>
        <v>#REF!</v>
      </c>
      <c r="AY221" s="616"/>
      <c r="AZ221" s="616"/>
      <c r="BA221" s="616"/>
      <c r="BB221" s="616"/>
      <c r="BC221" s="616"/>
      <c r="BD221" s="616"/>
      <c r="BE221" s="616"/>
      <c r="BF221" s="616"/>
      <c r="BG221" s="616"/>
      <c r="BH221" s="616"/>
      <c r="BI221" s="616"/>
      <c r="BJ221" s="616"/>
      <c r="BK221" s="616"/>
      <c r="BL221" s="616"/>
      <c r="BM221" s="616"/>
      <c r="BN221" s="616"/>
      <c r="BO221" s="616"/>
      <c r="BP221" s="616"/>
      <c r="BQ221" s="616"/>
      <c r="BR221" s="616"/>
      <c r="BS221" s="616"/>
      <c r="BT221" s="616"/>
      <c r="BU221" s="616"/>
      <c r="BV221" s="616"/>
      <c r="BW221" s="616"/>
      <c r="BX221" s="616"/>
      <c r="BY221" s="616"/>
      <c r="BZ221" s="616"/>
      <c r="CA221" s="616"/>
      <c r="CB221" s="616"/>
      <c r="CC221" s="616"/>
      <c r="CD221" s="616"/>
      <c r="CE221" s="616"/>
      <c r="CF221" s="616"/>
      <c r="CG221" s="616"/>
      <c r="CH221" s="616"/>
      <c r="CI221" s="616"/>
      <c r="CJ221" s="616"/>
      <c r="CK221" s="616"/>
      <c r="CL221" s="616"/>
      <c r="CM221" s="616"/>
      <c r="CN221" s="616"/>
      <c r="CO221" s="616"/>
      <c r="CP221" s="616"/>
      <c r="CQ221" s="616"/>
      <c r="CR221" s="616"/>
      <c r="CS221" s="616"/>
      <c r="CT221" s="616"/>
      <c r="CU221" s="616"/>
      <c r="CV221" s="616"/>
      <c r="CW221" s="616"/>
      <c r="CX221" s="616"/>
      <c r="CY221" s="616"/>
      <c r="CZ221" s="616"/>
      <c r="DA221" s="616"/>
      <c r="DB221" s="616"/>
      <c r="DC221" s="616"/>
      <c r="DD221" s="616"/>
      <c r="DE221" s="616"/>
      <c r="DF221" s="616"/>
      <c r="DG221" s="616"/>
      <c r="DH221" s="616"/>
      <c r="DI221" s="616"/>
      <c r="DJ221" s="616"/>
      <c r="DK221" s="616"/>
      <c r="DL221" s="616"/>
      <c r="DM221" s="616"/>
      <c r="DN221" s="616"/>
      <c r="DO221" s="616"/>
      <c r="DP221" s="616"/>
      <c r="DQ221" s="617"/>
      <c r="DR221" s="229"/>
    </row>
    <row r="222" spans="1:122" ht="7.5" customHeight="1" x14ac:dyDescent="0.25">
      <c r="A222" s="591"/>
      <c r="B222" s="592"/>
      <c r="C222" s="592"/>
      <c r="D222" s="592"/>
      <c r="E222" s="593"/>
      <c r="F222" s="129"/>
      <c r="G222" s="598"/>
      <c r="H222" s="598"/>
      <c r="I222" s="598"/>
      <c r="J222" s="598"/>
      <c r="K222" s="598"/>
      <c r="L222" s="598"/>
      <c r="M222" s="598"/>
      <c r="N222" s="598"/>
      <c r="O222" s="598"/>
      <c r="P222" s="598"/>
      <c r="Q222" s="598"/>
      <c r="R222" s="598"/>
      <c r="S222" s="598"/>
      <c r="T222" s="598"/>
      <c r="U222" s="598"/>
      <c r="V222" s="598"/>
      <c r="W222" s="598"/>
      <c r="X222" s="598"/>
      <c r="Y222" s="598"/>
      <c r="Z222" s="602"/>
      <c r="AA222" s="602"/>
      <c r="AB222" s="602"/>
      <c r="AC222" s="602"/>
      <c r="AD222" s="602"/>
      <c r="AE222" s="602"/>
      <c r="AF222" s="602"/>
      <c r="AG222" s="635"/>
      <c r="AH222" s="646"/>
      <c r="AI222" s="449"/>
      <c r="AJ222" s="449"/>
      <c r="AK222" s="449"/>
      <c r="AL222" s="449"/>
      <c r="AM222" s="449"/>
      <c r="AN222" s="449"/>
      <c r="AO222" s="449"/>
      <c r="AP222" s="449"/>
      <c r="AQ222" s="449"/>
      <c r="AR222" s="449"/>
      <c r="AS222" s="449"/>
      <c r="AT222" s="449"/>
      <c r="AU222" s="449"/>
      <c r="AV222" s="449"/>
      <c r="AW222" s="647"/>
      <c r="AX222" s="619"/>
      <c r="AY222" s="619"/>
      <c r="AZ222" s="619"/>
      <c r="BA222" s="619"/>
      <c r="BB222" s="619"/>
      <c r="BC222" s="619"/>
      <c r="BD222" s="619"/>
      <c r="BE222" s="619"/>
      <c r="BF222" s="619"/>
      <c r="BG222" s="619"/>
      <c r="BH222" s="619"/>
      <c r="BI222" s="619"/>
      <c r="BJ222" s="619"/>
      <c r="BK222" s="619"/>
      <c r="BL222" s="619"/>
      <c r="BM222" s="619"/>
      <c r="BN222" s="619"/>
      <c r="BO222" s="619"/>
      <c r="BP222" s="619"/>
      <c r="BQ222" s="619"/>
      <c r="BR222" s="619"/>
      <c r="BS222" s="619"/>
      <c r="BT222" s="619"/>
      <c r="BU222" s="619"/>
      <c r="BV222" s="619"/>
      <c r="BW222" s="619"/>
      <c r="BX222" s="619"/>
      <c r="BY222" s="619"/>
      <c r="BZ222" s="619"/>
      <c r="CA222" s="619"/>
      <c r="CB222" s="619"/>
      <c r="CC222" s="619"/>
      <c r="CD222" s="619"/>
      <c r="CE222" s="619"/>
      <c r="CF222" s="619"/>
      <c r="CG222" s="619"/>
      <c r="CH222" s="619"/>
      <c r="CI222" s="619"/>
      <c r="CJ222" s="619"/>
      <c r="CK222" s="619"/>
      <c r="CL222" s="619"/>
      <c r="CM222" s="619"/>
      <c r="CN222" s="619"/>
      <c r="CO222" s="619"/>
      <c r="CP222" s="619"/>
      <c r="CQ222" s="619"/>
      <c r="CR222" s="619"/>
      <c r="CS222" s="619"/>
      <c r="CT222" s="619"/>
      <c r="CU222" s="619"/>
      <c r="CV222" s="619"/>
      <c r="CW222" s="619"/>
      <c r="CX222" s="619"/>
      <c r="CY222" s="619"/>
      <c r="CZ222" s="619"/>
      <c r="DA222" s="619"/>
      <c r="DB222" s="619"/>
      <c r="DC222" s="619"/>
      <c r="DD222" s="619"/>
      <c r="DE222" s="619"/>
      <c r="DF222" s="619"/>
      <c r="DG222" s="619"/>
      <c r="DH222" s="619"/>
      <c r="DI222" s="619"/>
      <c r="DJ222" s="619"/>
      <c r="DK222" s="619"/>
      <c r="DL222" s="619"/>
      <c r="DM222" s="619"/>
      <c r="DN222" s="619"/>
      <c r="DO222" s="619"/>
      <c r="DP222" s="619"/>
      <c r="DQ222" s="639"/>
      <c r="DR222" s="229"/>
    </row>
    <row r="223" spans="1:122" ht="7.5" customHeight="1" x14ac:dyDescent="0.25">
      <c r="A223" s="594"/>
      <c r="B223" s="595"/>
      <c r="C223" s="595"/>
      <c r="D223" s="595"/>
      <c r="E223" s="596"/>
      <c r="F223" s="129"/>
      <c r="G223" s="599"/>
      <c r="H223" s="599"/>
      <c r="I223" s="599"/>
      <c r="J223" s="599"/>
      <c r="K223" s="599"/>
      <c r="L223" s="599"/>
      <c r="M223" s="599"/>
      <c r="N223" s="599"/>
      <c r="O223" s="599"/>
      <c r="P223" s="599"/>
      <c r="Q223" s="599"/>
      <c r="R223" s="599"/>
      <c r="S223" s="599"/>
      <c r="T223" s="599"/>
      <c r="U223" s="599"/>
      <c r="V223" s="599"/>
      <c r="W223" s="599"/>
      <c r="X223" s="599"/>
      <c r="Y223" s="599"/>
      <c r="Z223" s="602"/>
      <c r="AA223" s="602"/>
      <c r="AB223" s="602"/>
      <c r="AC223" s="602"/>
      <c r="AD223" s="602"/>
      <c r="AE223" s="602"/>
      <c r="AF223" s="602"/>
      <c r="AG223" s="636"/>
      <c r="AH223" s="646"/>
      <c r="AI223" s="449"/>
      <c r="AJ223" s="449"/>
      <c r="AK223" s="449"/>
      <c r="AL223" s="449"/>
      <c r="AM223" s="449"/>
      <c r="AN223" s="449"/>
      <c r="AO223" s="449"/>
      <c r="AP223" s="449"/>
      <c r="AQ223" s="449"/>
      <c r="AR223" s="449"/>
      <c r="AS223" s="449"/>
      <c r="AT223" s="449"/>
      <c r="AU223" s="449"/>
      <c r="AV223" s="449"/>
      <c r="AW223" s="648"/>
      <c r="AX223" s="619"/>
      <c r="AY223" s="619"/>
      <c r="AZ223" s="619"/>
      <c r="BA223" s="619"/>
      <c r="BB223" s="619"/>
      <c r="BC223" s="619"/>
      <c r="BD223" s="619"/>
      <c r="BE223" s="619"/>
      <c r="BF223" s="619"/>
      <c r="BG223" s="619"/>
      <c r="BH223" s="619"/>
      <c r="BI223" s="619"/>
      <c r="BJ223" s="619"/>
      <c r="BK223" s="619"/>
      <c r="BL223" s="619"/>
      <c r="BM223" s="619"/>
      <c r="BN223" s="619"/>
      <c r="BO223" s="619"/>
      <c r="BP223" s="619"/>
      <c r="BQ223" s="619"/>
      <c r="BR223" s="619"/>
      <c r="BS223" s="619"/>
      <c r="BT223" s="619"/>
      <c r="BU223" s="619"/>
      <c r="BV223" s="619"/>
      <c r="BW223" s="619"/>
      <c r="BX223" s="619"/>
      <c r="BY223" s="619"/>
      <c r="BZ223" s="619"/>
      <c r="CA223" s="619"/>
      <c r="CB223" s="619"/>
      <c r="CC223" s="619"/>
      <c r="CD223" s="619"/>
      <c r="CE223" s="619"/>
      <c r="CF223" s="619"/>
      <c r="CG223" s="619"/>
      <c r="CH223" s="619"/>
      <c r="CI223" s="619"/>
      <c r="CJ223" s="619"/>
      <c r="CK223" s="619"/>
      <c r="CL223" s="619"/>
      <c r="CM223" s="619"/>
      <c r="CN223" s="619"/>
      <c r="CO223" s="619"/>
      <c r="CP223" s="619"/>
      <c r="CQ223" s="619"/>
      <c r="CR223" s="619"/>
      <c r="CS223" s="619"/>
      <c r="CT223" s="619"/>
      <c r="CU223" s="619"/>
      <c r="CV223" s="619"/>
      <c r="CW223" s="619"/>
      <c r="CX223" s="619"/>
      <c r="CY223" s="619"/>
      <c r="CZ223" s="619"/>
      <c r="DA223" s="619"/>
      <c r="DB223" s="619"/>
      <c r="DC223" s="619"/>
      <c r="DD223" s="619"/>
      <c r="DE223" s="619"/>
      <c r="DF223" s="619"/>
      <c r="DG223" s="619"/>
      <c r="DH223" s="619"/>
      <c r="DI223" s="619"/>
      <c r="DJ223" s="619"/>
      <c r="DK223" s="619"/>
      <c r="DL223" s="619"/>
      <c r="DM223" s="619"/>
      <c r="DN223" s="619"/>
      <c r="DO223" s="619"/>
      <c r="DP223" s="619"/>
      <c r="DQ223" s="640"/>
      <c r="DR223" s="229"/>
    </row>
    <row r="224" spans="1:122" ht="7.5" customHeight="1" x14ac:dyDescent="0.25">
      <c r="A224" s="119"/>
      <c r="B224" s="119"/>
      <c r="C224" s="119"/>
      <c r="D224" s="119"/>
      <c r="E224" s="119"/>
      <c r="F224" s="653" t="str">
        <f>G221</f>
        <v>Eulian</v>
      </c>
      <c r="G224" s="653"/>
      <c r="H224" s="653"/>
      <c r="I224" s="653"/>
      <c r="J224" s="653"/>
      <c r="K224" s="625" t="e">
        <f ca="1">(FLOOR(INDIRECT(SUBSTITUTE(G221," ",""))/5,1)*(FLOOR(INDIRECT(SUBSTITUTE(G221," ",""))/5,1)+1)/2)*50+MOD(INDIRECT(SUBSTITUTE(G221," ","")),5)*CEILING(INDIRECT(SUBSTITUTE(G221," ",""))/5,1)*10-((FLOOR(INDIRECT("Base"&amp;SUBSTITUTE(G221," ",""))/5,1)*(FLOOR(INDIRECT("Base"&amp;SUBSTITUTE(G221," ",""))/5,1)+1)/2)*50+MOD(INDIRECT("Base"&amp;SUBSTITUTE(G221," ","")),5)*CEILING(INDIRECT("Base"&amp;SUBSTITUTE(G221," ",""))/5,1)*10)</f>
        <v>#REF!</v>
      </c>
      <c r="L224" s="625"/>
      <c r="M224" s="625"/>
      <c r="N224" s="626" t="b">
        <f>IF(AH217&lt;&gt;"",VLOOKUP($G221,'Merit Data'!A:BW,MATCH('Merit Data'!$B$3,'Merit Data'!$3:$3,0),0),TRUE)</f>
        <v>1</v>
      </c>
      <c r="O224" s="626"/>
      <c r="P224" s="626"/>
      <c r="Q224" s="140"/>
      <c r="R224" s="140"/>
      <c r="S224" s="140"/>
      <c r="T224" s="140"/>
      <c r="U224" s="140"/>
      <c r="V224" s="238"/>
      <c r="W224" s="238"/>
      <c r="X224" s="627" t="str">
        <f>IF(F224&gt;0,HYPERLINK("http://wiki.project-saros.com/w/"&amp;F224,"Info"),"")</f>
        <v>Info</v>
      </c>
      <c r="Y224" s="628"/>
      <c r="Z224" s="637"/>
      <c r="AA224" s="637"/>
      <c r="AB224" s="637"/>
      <c r="AC224" s="637"/>
      <c r="AD224" s="637"/>
      <c r="AE224" s="637"/>
      <c r="AF224" s="637"/>
      <c r="AG224" s="638"/>
      <c r="AH224" s="649"/>
      <c r="AI224" s="650"/>
      <c r="AJ224" s="650"/>
      <c r="AK224" s="651"/>
      <c r="AL224" s="651"/>
      <c r="AM224" s="651"/>
      <c r="AN224" s="651"/>
      <c r="AO224" s="651"/>
      <c r="AP224" s="651"/>
      <c r="AQ224" s="651"/>
      <c r="AR224" s="651"/>
      <c r="AS224" s="650"/>
      <c r="AT224" s="650"/>
      <c r="AU224" s="650"/>
      <c r="AV224" s="650"/>
      <c r="AW224" s="652"/>
      <c r="AX224" s="641"/>
      <c r="AY224" s="641"/>
      <c r="AZ224" s="641"/>
      <c r="BA224" s="641"/>
      <c r="BB224" s="641"/>
      <c r="BC224" s="641"/>
      <c r="BD224" s="641"/>
      <c r="BE224" s="641"/>
      <c r="BF224" s="641"/>
      <c r="BG224" s="641"/>
      <c r="BH224" s="641"/>
      <c r="BI224" s="641"/>
      <c r="BJ224" s="641"/>
      <c r="BK224" s="641"/>
      <c r="BL224" s="641"/>
      <c r="BM224" s="641"/>
      <c r="BN224" s="641"/>
      <c r="BO224" s="641"/>
      <c r="BP224" s="641"/>
      <c r="BQ224" s="641"/>
      <c r="BR224" s="641"/>
      <c r="BS224" s="641"/>
      <c r="BT224" s="641"/>
      <c r="BU224" s="641"/>
      <c r="BV224" s="641"/>
      <c r="BW224" s="641"/>
      <c r="BX224" s="641"/>
      <c r="BY224" s="641"/>
      <c r="BZ224" s="641"/>
      <c r="CA224" s="641"/>
      <c r="CB224" s="641"/>
      <c r="CC224" s="641"/>
      <c r="CD224" s="641"/>
      <c r="CE224" s="641"/>
      <c r="CF224" s="641"/>
      <c r="CG224" s="641"/>
      <c r="CH224" s="641"/>
      <c r="CI224" s="641"/>
      <c r="CJ224" s="641"/>
      <c r="CK224" s="641"/>
      <c r="CL224" s="641"/>
      <c r="CM224" s="641"/>
      <c r="CN224" s="641"/>
      <c r="CO224" s="641"/>
      <c r="CP224" s="641"/>
      <c r="CQ224" s="641"/>
      <c r="CR224" s="641"/>
      <c r="CS224" s="641"/>
      <c r="CT224" s="641"/>
      <c r="CU224" s="641"/>
      <c r="CV224" s="641"/>
      <c r="CW224" s="641"/>
      <c r="CX224" s="641"/>
      <c r="CY224" s="641"/>
      <c r="CZ224" s="641"/>
      <c r="DA224" s="641"/>
      <c r="DB224" s="641"/>
      <c r="DC224" s="641"/>
      <c r="DD224" s="641"/>
      <c r="DE224" s="641"/>
      <c r="DF224" s="641"/>
      <c r="DG224" s="641"/>
      <c r="DH224" s="641"/>
      <c r="DI224" s="641"/>
      <c r="DJ224" s="641"/>
      <c r="DK224" s="641"/>
      <c r="DL224" s="641"/>
      <c r="DM224" s="641"/>
      <c r="DN224" s="641"/>
      <c r="DO224" s="641"/>
      <c r="DP224" s="641"/>
      <c r="DQ224" s="642"/>
      <c r="DR224" s="229"/>
    </row>
    <row r="225" spans="1:122" ht="7.5" customHeight="1" x14ac:dyDescent="0.25">
      <c r="A225" s="588">
        <v>0</v>
      </c>
      <c r="B225" s="589"/>
      <c r="C225" s="589"/>
      <c r="D225" s="589"/>
      <c r="E225" s="590"/>
      <c r="F225" s="129"/>
      <c r="G225" s="597" t="s">
        <v>103</v>
      </c>
      <c r="H225" s="597"/>
      <c r="I225" s="597"/>
      <c r="J225" s="597"/>
      <c r="K225" s="597"/>
      <c r="L225" s="597"/>
      <c r="M225" s="597"/>
      <c r="N225" s="597"/>
      <c r="O225" s="597"/>
      <c r="P225" s="597"/>
      <c r="Q225" s="597"/>
      <c r="R225" s="597"/>
      <c r="S225" s="597"/>
      <c r="T225" s="597"/>
      <c r="U225" s="597"/>
      <c r="V225" s="597"/>
      <c r="W225" s="597"/>
      <c r="X225" s="597"/>
      <c r="Y225" s="597"/>
      <c r="Z225" s="600" t="e">
        <f ca="1">FLOOR(INDIRECT(SUBSTITUTE(G225," ",""))/5+1,1)*10</f>
        <v>#REF!</v>
      </c>
      <c r="AA225" s="600"/>
      <c r="AB225" s="600"/>
      <c r="AC225" s="600"/>
      <c r="AD225" s="600"/>
      <c r="AE225" s="600"/>
      <c r="AF225" s="600"/>
      <c r="AG225" s="601"/>
      <c r="AH225" s="643"/>
      <c r="AI225" s="644"/>
      <c r="AJ225" s="644"/>
      <c r="AK225" s="644"/>
      <c r="AL225" s="644"/>
      <c r="AM225" s="644"/>
      <c r="AN225" s="644"/>
      <c r="AO225" s="644"/>
      <c r="AP225" s="644"/>
      <c r="AQ225" s="644"/>
      <c r="AR225" s="644"/>
      <c r="AS225" s="644"/>
      <c r="AT225" s="644"/>
      <c r="AU225" s="644"/>
      <c r="AV225" s="644"/>
      <c r="AW225" s="645"/>
      <c r="AX225" s="616" t="e">
        <f ca="1">"Further increases your "&amp;G225&amp;" skill from "&amp;INDIRECT(SUBSTITUTE(G225," ",""))&amp;" to "&amp;INDIRECT(SUBSTITUTE(G225," ",""))+1</f>
        <v>#REF!</v>
      </c>
      <c r="AY225" s="616"/>
      <c r="AZ225" s="616"/>
      <c r="BA225" s="616"/>
      <c r="BB225" s="616"/>
      <c r="BC225" s="616"/>
      <c r="BD225" s="616"/>
      <c r="BE225" s="616"/>
      <c r="BF225" s="616"/>
      <c r="BG225" s="616"/>
      <c r="BH225" s="616"/>
      <c r="BI225" s="616"/>
      <c r="BJ225" s="616"/>
      <c r="BK225" s="616"/>
      <c r="BL225" s="616"/>
      <c r="BM225" s="616"/>
      <c r="BN225" s="616"/>
      <c r="BO225" s="616"/>
      <c r="BP225" s="616"/>
      <c r="BQ225" s="616"/>
      <c r="BR225" s="616"/>
      <c r="BS225" s="616"/>
      <c r="BT225" s="616"/>
      <c r="BU225" s="616"/>
      <c r="BV225" s="616"/>
      <c r="BW225" s="616"/>
      <c r="BX225" s="616"/>
      <c r="BY225" s="616"/>
      <c r="BZ225" s="616"/>
      <c r="CA225" s="616"/>
      <c r="CB225" s="616"/>
      <c r="CC225" s="616"/>
      <c r="CD225" s="616"/>
      <c r="CE225" s="616"/>
      <c r="CF225" s="616"/>
      <c r="CG225" s="616"/>
      <c r="CH225" s="616"/>
      <c r="CI225" s="616"/>
      <c r="CJ225" s="616"/>
      <c r="CK225" s="616"/>
      <c r="CL225" s="616"/>
      <c r="CM225" s="616"/>
      <c r="CN225" s="616"/>
      <c r="CO225" s="616"/>
      <c r="CP225" s="616"/>
      <c r="CQ225" s="616"/>
      <c r="CR225" s="616"/>
      <c r="CS225" s="616"/>
      <c r="CT225" s="616"/>
      <c r="CU225" s="616"/>
      <c r="CV225" s="616"/>
      <c r="CW225" s="616"/>
      <c r="CX225" s="616"/>
      <c r="CY225" s="616"/>
      <c r="CZ225" s="616"/>
      <c r="DA225" s="616"/>
      <c r="DB225" s="616"/>
      <c r="DC225" s="616"/>
      <c r="DD225" s="616"/>
      <c r="DE225" s="616"/>
      <c r="DF225" s="616"/>
      <c r="DG225" s="616"/>
      <c r="DH225" s="616"/>
      <c r="DI225" s="616"/>
      <c r="DJ225" s="616"/>
      <c r="DK225" s="616"/>
      <c r="DL225" s="616"/>
      <c r="DM225" s="616"/>
      <c r="DN225" s="616"/>
      <c r="DO225" s="616"/>
      <c r="DP225" s="616"/>
      <c r="DQ225" s="617"/>
      <c r="DR225" s="229"/>
    </row>
    <row r="226" spans="1:122" ht="7.5" customHeight="1" x14ac:dyDescent="0.25">
      <c r="A226" s="591"/>
      <c r="B226" s="592"/>
      <c r="C226" s="592"/>
      <c r="D226" s="592"/>
      <c r="E226" s="593"/>
      <c r="F226" s="129"/>
      <c r="G226" s="598"/>
      <c r="H226" s="598"/>
      <c r="I226" s="598"/>
      <c r="J226" s="598"/>
      <c r="K226" s="598"/>
      <c r="L226" s="598"/>
      <c r="M226" s="598"/>
      <c r="N226" s="598"/>
      <c r="O226" s="598"/>
      <c r="P226" s="598"/>
      <c r="Q226" s="598"/>
      <c r="R226" s="598"/>
      <c r="S226" s="598"/>
      <c r="T226" s="598"/>
      <c r="U226" s="598"/>
      <c r="V226" s="598"/>
      <c r="W226" s="598"/>
      <c r="X226" s="598"/>
      <c r="Y226" s="598"/>
      <c r="Z226" s="602"/>
      <c r="AA226" s="602"/>
      <c r="AB226" s="602"/>
      <c r="AC226" s="602"/>
      <c r="AD226" s="602"/>
      <c r="AE226" s="602"/>
      <c r="AF226" s="602"/>
      <c r="AG226" s="635"/>
      <c r="AH226" s="646"/>
      <c r="AI226" s="449"/>
      <c r="AJ226" s="449"/>
      <c r="AK226" s="449"/>
      <c r="AL226" s="449"/>
      <c r="AM226" s="449"/>
      <c r="AN226" s="449"/>
      <c r="AO226" s="449"/>
      <c r="AP226" s="449"/>
      <c r="AQ226" s="449"/>
      <c r="AR226" s="449"/>
      <c r="AS226" s="449"/>
      <c r="AT226" s="449"/>
      <c r="AU226" s="449"/>
      <c r="AV226" s="449"/>
      <c r="AW226" s="647"/>
      <c r="AX226" s="619"/>
      <c r="AY226" s="619"/>
      <c r="AZ226" s="619"/>
      <c r="BA226" s="619"/>
      <c r="BB226" s="619"/>
      <c r="BC226" s="619"/>
      <c r="BD226" s="619"/>
      <c r="BE226" s="619"/>
      <c r="BF226" s="619"/>
      <c r="BG226" s="619"/>
      <c r="BH226" s="619"/>
      <c r="BI226" s="619"/>
      <c r="BJ226" s="619"/>
      <c r="BK226" s="619"/>
      <c r="BL226" s="619"/>
      <c r="BM226" s="619"/>
      <c r="BN226" s="619"/>
      <c r="BO226" s="619"/>
      <c r="BP226" s="619"/>
      <c r="BQ226" s="619"/>
      <c r="BR226" s="619"/>
      <c r="BS226" s="619"/>
      <c r="BT226" s="619"/>
      <c r="BU226" s="619"/>
      <c r="BV226" s="619"/>
      <c r="BW226" s="619"/>
      <c r="BX226" s="619"/>
      <c r="BY226" s="619"/>
      <c r="BZ226" s="619"/>
      <c r="CA226" s="619"/>
      <c r="CB226" s="619"/>
      <c r="CC226" s="619"/>
      <c r="CD226" s="619"/>
      <c r="CE226" s="619"/>
      <c r="CF226" s="619"/>
      <c r="CG226" s="619"/>
      <c r="CH226" s="619"/>
      <c r="CI226" s="619"/>
      <c r="CJ226" s="619"/>
      <c r="CK226" s="619"/>
      <c r="CL226" s="619"/>
      <c r="CM226" s="619"/>
      <c r="CN226" s="619"/>
      <c r="CO226" s="619"/>
      <c r="CP226" s="619"/>
      <c r="CQ226" s="619"/>
      <c r="CR226" s="619"/>
      <c r="CS226" s="619"/>
      <c r="CT226" s="619"/>
      <c r="CU226" s="619"/>
      <c r="CV226" s="619"/>
      <c r="CW226" s="619"/>
      <c r="CX226" s="619"/>
      <c r="CY226" s="619"/>
      <c r="CZ226" s="619"/>
      <c r="DA226" s="619"/>
      <c r="DB226" s="619"/>
      <c r="DC226" s="619"/>
      <c r="DD226" s="619"/>
      <c r="DE226" s="619"/>
      <c r="DF226" s="619"/>
      <c r="DG226" s="619"/>
      <c r="DH226" s="619"/>
      <c r="DI226" s="619"/>
      <c r="DJ226" s="619"/>
      <c r="DK226" s="619"/>
      <c r="DL226" s="619"/>
      <c r="DM226" s="619"/>
      <c r="DN226" s="619"/>
      <c r="DO226" s="619"/>
      <c r="DP226" s="619"/>
      <c r="DQ226" s="639"/>
      <c r="DR226" s="229"/>
    </row>
    <row r="227" spans="1:122" ht="7.5" customHeight="1" x14ac:dyDescent="0.25">
      <c r="A227" s="594"/>
      <c r="B227" s="595"/>
      <c r="C227" s="595"/>
      <c r="D227" s="595"/>
      <c r="E227" s="596"/>
      <c r="F227" s="129"/>
      <c r="G227" s="599"/>
      <c r="H227" s="599"/>
      <c r="I227" s="599"/>
      <c r="J227" s="599"/>
      <c r="K227" s="599"/>
      <c r="L227" s="599"/>
      <c r="M227" s="599"/>
      <c r="N227" s="599"/>
      <c r="O227" s="599"/>
      <c r="P227" s="599"/>
      <c r="Q227" s="599"/>
      <c r="R227" s="599"/>
      <c r="S227" s="599"/>
      <c r="T227" s="599"/>
      <c r="U227" s="599"/>
      <c r="V227" s="599"/>
      <c r="W227" s="599"/>
      <c r="X227" s="599"/>
      <c r="Y227" s="599"/>
      <c r="Z227" s="602"/>
      <c r="AA227" s="602"/>
      <c r="AB227" s="602"/>
      <c r="AC227" s="602"/>
      <c r="AD227" s="602"/>
      <c r="AE227" s="602"/>
      <c r="AF227" s="602"/>
      <c r="AG227" s="636"/>
      <c r="AH227" s="646"/>
      <c r="AI227" s="449"/>
      <c r="AJ227" s="449"/>
      <c r="AK227" s="449"/>
      <c r="AL227" s="449"/>
      <c r="AM227" s="449"/>
      <c r="AN227" s="449"/>
      <c r="AO227" s="449"/>
      <c r="AP227" s="449"/>
      <c r="AQ227" s="449"/>
      <c r="AR227" s="449"/>
      <c r="AS227" s="449"/>
      <c r="AT227" s="449"/>
      <c r="AU227" s="449"/>
      <c r="AV227" s="449"/>
      <c r="AW227" s="648"/>
      <c r="AX227" s="619"/>
      <c r="AY227" s="619"/>
      <c r="AZ227" s="619"/>
      <c r="BA227" s="619"/>
      <c r="BB227" s="619"/>
      <c r="BC227" s="619"/>
      <c r="BD227" s="619"/>
      <c r="BE227" s="619"/>
      <c r="BF227" s="619"/>
      <c r="BG227" s="619"/>
      <c r="BH227" s="619"/>
      <c r="BI227" s="619"/>
      <c r="BJ227" s="619"/>
      <c r="BK227" s="619"/>
      <c r="BL227" s="619"/>
      <c r="BM227" s="619"/>
      <c r="BN227" s="619"/>
      <c r="BO227" s="619"/>
      <c r="BP227" s="619"/>
      <c r="BQ227" s="619"/>
      <c r="BR227" s="619"/>
      <c r="BS227" s="619"/>
      <c r="BT227" s="619"/>
      <c r="BU227" s="619"/>
      <c r="BV227" s="619"/>
      <c r="BW227" s="619"/>
      <c r="BX227" s="619"/>
      <c r="BY227" s="619"/>
      <c r="BZ227" s="619"/>
      <c r="CA227" s="619"/>
      <c r="CB227" s="619"/>
      <c r="CC227" s="619"/>
      <c r="CD227" s="619"/>
      <c r="CE227" s="619"/>
      <c r="CF227" s="619"/>
      <c r="CG227" s="619"/>
      <c r="CH227" s="619"/>
      <c r="CI227" s="619"/>
      <c r="CJ227" s="619"/>
      <c r="CK227" s="619"/>
      <c r="CL227" s="619"/>
      <c r="CM227" s="619"/>
      <c r="CN227" s="619"/>
      <c r="CO227" s="619"/>
      <c r="CP227" s="619"/>
      <c r="CQ227" s="619"/>
      <c r="CR227" s="619"/>
      <c r="CS227" s="619"/>
      <c r="CT227" s="619"/>
      <c r="CU227" s="619"/>
      <c r="CV227" s="619"/>
      <c r="CW227" s="619"/>
      <c r="CX227" s="619"/>
      <c r="CY227" s="619"/>
      <c r="CZ227" s="619"/>
      <c r="DA227" s="619"/>
      <c r="DB227" s="619"/>
      <c r="DC227" s="619"/>
      <c r="DD227" s="619"/>
      <c r="DE227" s="619"/>
      <c r="DF227" s="619"/>
      <c r="DG227" s="619"/>
      <c r="DH227" s="619"/>
      <c r="DI227" s="619"/>
      <c r="DJ227" s="619"/>
      <c r="DK227" s="619"/>
      <c r="DL227" s="619"/>
      <c r="DM227" s="619"/>
      <c r="DN227" s="619"/>
      <c r="DO227" s="619"/>
      <c r="DP227" s="619"/>
      <c r="DQ227" s="640"/>
      <c r="DR227" s="229"/>
    </row>
    <row r="228" spans="1:122" ht="7.5" customHeight="1" x14ac:dyDescent="0.25">
      <c r="A228" s="119"/>
      <c r="B228" s="119"/>
      <c r="C228" s="119"/>
      <c r="D228" s="119"/>
      <c r="E228" s="119"/>
      <c r="F228" s="653" t="str">
        <f>G225</f>
        <v>Common</v>
      </c>
      <c r="G228" s="653"/>
      <c r="H228" s="653"/>
      <c r="I228" s="653"/>
      <c r="J228" s="653"/>
      <c r="K228" s="625" t="e">
        <f ca="1">(FLOOR(INDIRECT(SUBSTITUTE(G225," ",""))/5,1)*(FLOOR(INDIRECT(SUBSTITUTE(G225," ",""))/5,1)+1)/2)*50+MOD(INDIRECT(SUBSTITUTE(G225," ","")),5)*CEILING(INDIRECT(SUBSTITUTE(G225," ",""))/5,1)*10-((FLOOR(INDIRECT("Base"&amp;SUBSTITUTE(G225," ",""))/5,1)*(FLOOR(INDIRECT("Base"&amp;SUBSTITUTE(G225," ",""))/5,1)+1)/2)*50+MOD(INDIRECT("Base"&amp;SUBSTITUTE(G225," ","")),5)*CEILING(INDIRECT("Base"&amp;SUBSTITUTE(G225," ",""))/5,1)*10)</f>
        <v>#REF!</v>
      </c>
      <c r="L228" s="625"/>
      <c r="M228" s="625"/>
      <c r="N228" s="626" t="b">
        <f>IF(AH221&lt;&gt;"",VLOOKUP($G225,'Merit Data'!A:BW,MATCH('Merit Data'!$B$3,'Merit Data'!$3:$3,0),0),TRUE)</f>
        <v>1</v>
      </c>
      <c r="O228" s="626"/>
      <c r="P228" s="626"/>
      <c r="Q228" s="140"/>
      <c r="R228" s="140"/>
      <c r="S228" s="140"/>
      <c r="T228" s="140"/>
      <c r="U228" s="140"/>
      <c r="V228" s="238"/>
      <c r="W228" s="238"/>
      <c r="X228" s="627" t="str">
        <f>IF(F228&gt;0,HYPERLINK("http://wiki.project-saros.com/w/"&amp;F228,"Info"),"")</f>
        <v>Info</v>
      </c>
      <c r="Y228" s="628"/>
      <c r="Z228" s="637"/>
      <c r="AA228" s="637"/>
      <c r="AB228" s="637"/>
      <c r="AC228" s="637"/>
      <c r="AD228" s="637"/>
      <c r="AE228" s="637"/>
      <c r="AF228" s="637"/>
      <c r="AG228" s="638"/>
      <c r="AH228" s="649"/>
      <c r="AI228" s="650"/>
      <c r="AJ228" s="650"/>
      <c r="AK228" s="651"/>
      <c r="AL228" s="651"/>
      <c r="AM228" s="651"/>
      <c r="AN228" s="651"/>
      <c r="AO228" s="651"/>
      <c r="AP228" s="651"/>
      <c r="AQ228" s="651"/>
      <c r="AR228" s="651"/>
      <c r="AS228" s="650"/>
      <c r="AT228" s="650"/>
      <c r="AU228" s="650"/>
      <c r="AV228" s="650"/>
      <c r="AW228" s="652"/>
      <c r="AX228" s="641"/>
      <c r="AY228" s="641"/>
      <c r="AZ228" s="641"/>
      <c r="BA228" s="641"/>
      <c r="BB228" s="641"/>
      <c r="BC228" s="641"/>
      <c r="BD228" s="641"/>
      <c r="BE228" s="641"/>
      <c r="BF228" s="641"/>
      <c r="BG228" s="641"/>
      <c r="BH228" s="641"/>
      <c r="BI228" s="641"/>
      <c r="BJ228" s="641"/>
      <c r="BK228" s="641"/>
      <c r="BL228" s="641"/>
      <c r="BM228" s="641"/>
      <c r="BN228" s="641"/>
      <c r="BO228" s="641"/>
      <c r="BP228" s="641"/>
      <c r="BQ228" s="641"/>
      <c r="BR228" s="641"/>
      <c r="BS228" s="641"/>
      <c r="BT228" s="641"/>
      <c r="BU228" s="641"/>
      <c r="BV228" s="641"/>
      <c r="BW228" s="641"/>
      <c r="BX228" s="641"/>
      <c r="BY228" s="641"/>
      <c r="BZ228" s="641"/>
      <c r="CA228" s="641"/>
      <c r="CB228" s="641"/>
      <c r="CC228" s="641"/>
      <c r="CD228" s="641"/>
      <c r="CE228" s="641"/>
      <c r="CF228" s="641"/>
      <c r="CG228" s="641"/>
      <c r="CH228" s="641"/>
      <c r="CI228" s="641"/>
      <c r="CJ228" s="641"/>
      <c r="CK228" s="641"/>
      <c r="CL228" s="641"/>
      <c r="CM228" s="641"/>
      <c r="CN228" s="641"/>
      <c r="CO228" s="641"/>
      <c r="CP228" s="641"/>
      <c r="CQ228" s="641"/>
      <c r="CR228" s="641"/>
      <c r="CS228" s="641"/>
      <c r="CT228" s="641"/>
      <c r="CU228" s="641"/>
      <c r="CV228" s="641"/>
      <c r="CW228" s="641"/>
      <c r="CX228" s="641"/>
      <c r="CY228" s="641"/>
      <c r="CZ228" s="641"/>
      <c r="DA228" s="641"/>
      <c r="DB228" s="641"/>
      <c r="DC228" s="641"/>
      <c r="DD228" s="641"/>
      <c r="DE228" s="641"/>
      <c r="DF228" s="641"/>
      <c r="DG228" s="641"/>
      <c r="DH228" s="641"/>
      <c r="DI228" s="641"/>
      <c r="DJ228" s="641"/>
      <c r="DK228" s="641"/>
      <c r="DL228" s="641"/>
      <c r="DM228" s="641"/>
      <c r="DN228" s="641"/>
      <c r="DO228" s="641"/>
      <c r="DP228" s="641"/>
      <c r="DQ228" s="642"/>
      <c r="DR228" s="229"/>
    </row>
    <row r="229" spans="1:122" ht="7.5" customHeight="1" x14ac:dyDescent="0.25">
      <c r="A229" s="588">
        <v>0</v>
      </c>
      <c r="B229" s="589"/>
      <c r="C229" s="589"/>
      <c r="D229" s="589"/>
      <c r="E229" s="590"/>
      <c r="F229" s="129"/>
      <c r="G229" s="597" t="s">
        <v>140</v>
      </c>
      <c r="H229" s="597"/>
      <c r="I229" s="597"/>
      <c r="J229" s="597"/>
      <c r="K229" s="597"/>
      <c r="L229" s="597"/>
      <c r="M229" s="597"/>
      <c r="N229" s="597"/>
      <c r="O229" s="597"/>
      <c r="P229" s="597"/>
      <c r="Q229" s="597"/>
      <c r="R229" s="597"/>
      <c r="S229" s="597"/>
      <c r="T229" s="597"/>
      <c r="U229" s="597"/>
      <c r="V229" s="597"/>
      <c r="W229" s="597"/>
      <c r="X229" s="597"/>
      <c r="Y229" s="597"/>
      <c r="Z229" s="600" t="e">
        <f ca="1">FLOOR(INDIRECT(SUBSTITUTE(G229," ",""))/5+1,1)*10</f>
        <v>#REF!</v>
      </c>
      <c r="AA229" s="600"/>
      <c r="AB229" s="600"/>
      <c r="AC229" s="600"/>
      <c r="AD229" s="600"/>
      <c r="AE229" s="600"/>
      <c r="AF229" s="600"/>
      <c r="AG229" s="601"/>
      <c r="AH229" s="643"/>
      <c r="AI229" s="644"/>
      <c r="AJ229" s="644"/>
      <c r="AK229" s="644"/>
      <c r="AL229" s="644"/>
      <c r="AM229" s="644"/>
      <c r="AN229" s="644"/>
      <c r="AO229" s="644"/>
      <c r="AP229" s="644"/>
      <c r="AQ229" s="644"/>
      <c r="AR229" s="644"/>
      <c r="AS229" s="644"/>
      <c r="AT229" s="644"/>
      <c r="AU229" s="644"/>
      <c r="AV229" s="644"/>
      <c r="AW229" s="645"/>
      <c r="AX229" s="616" t="e">
        <f ca="1">"Further increases your "&amp;G229&amp;" skill from "&amp;INDIRECT(SUBSTITUTE(G229," ",""))&amp;" to "&amp;INDIRECT(SUBSTITUTE(G229," ",""))+1</f>
        <v>#REF!</v>
      </c>
      <c r="AY229" s="616"/>
      <c r="AZ229" s="616"/>
      <c r="BA229" s="616"/>
      <c r="BB229" s="616"/>
      <c r="BC229" s="616"/>
      <c r="BD229" s="616"/>
      <c r="BE229" s="616"/>
      <c r="BF229" s="616"/>
      <c r="BG229" s="616"/>
      <c r="BH229" s="616"/>
      <c r="BI229" s="616"/>
      <c r="BJ229" s="616"/>
      <c r="BK229" s="616"/>
      <c r="BL229" s="616"/>
      <c r="BM229" s="616"/>
      <c r="BN229" s="616"/>
      <c r="BO229" s="616"/>
      <c r="BP229" s="616"/>
      <c r="BQ229" s="616"/>
      <c r="BR229" s="616"/>
      <c r="BS229" s="616"/>
      <c r="BT229" s="616"/>
      <c r="BU229" s="616"/>
      <c r="BV229" s="616"/>
      <c r="BW229" s="616"/>
      <c r="BX229" s="616"/>
      <c r="BY229" s="616"/>
      <c r="BZ229" s="616"/>
      <c r="CA229" s="616"/>
      <c r="CB229" s="616"/>
      <c r="CC229" s="616"/>
      <c r="CD229" s="616"/>
      <c r="CE229" s="616"/>
      <c r="CF229" s="616"/>
      <c r="CG229" s="616"/>
      <c r="CH229" s="616"/>
      <c r="CI229" s="616"/>
      <c r="CJ229" s="616"/>
      <c r="CK229" s="616"/>
      <c r="CL229" s="616"/>
      <c r="CM229" s="616"/>
      <c r="CN229" s="616"/>
      <c r="CO229" s="616"/>
      <c r="CP229" s="616"/>
      <c r="CQ229" s="616"/>
      <c r="CR229" s="616"/>
      <c r="CS229" s="616"/>
      <c r="CT229" s="616"/>
      <c r="CU229" s="616"/>
      <c r="CV229" s="616"/>
      <c r="CW229" s="616"/>
      <c r="CX229" s="616"/>
      <c r="CY229" s="616"/>
      <c r="CZ229" s="616"/>
      <c r="DA229" s="616"/>
      <c r="DB229" s="616"/>
      <c r="DC229" s="616"/>
      <c r="DD229" s="616"/>
      <c r="DE229" s="616"/>
      <c r="DF229" s="616"/>
      <c r="DG229" s="616"/>
      <c r="DH229" s="616"/>
      <c r="DI229" s="616"/>
      <c r="DJ229" s="616"/>
      <c r="DK229" s="616"/>
      <c r="DL229" s="616"/>
      <c r="DM229" s="616"/>
      <c r="DN229" s="616"/>
      <c r="DO229" s="616"/>
      <c r="DP229" s="616"/>
      <c r="DQ229" s="617"/>
      <c r="DR229" s="229"/>
    </row>
    <row r="230" spans="1:122" ht="7.5" customHeight="1" x14ac:dyDescent="0.25">
      <c r="A230" s="591"/>
      <c r="B230" s="592"/>
      <c r="C230" s="592"/>
      <c r="D230" s="592"/>
      <c r="E230" s="593"/>
      <c r="F230" s="129"/>
      <c r="G230" s="598"/>
      <c r="H230" s="598"/>
      <c r="I230" s="598"/>
      <c r="J230" s="598"/>
      <c r="K230" s="598"/>
      <c r="L230" s="598"/>
      <c r="M230" s="598"/>
      <c r="N230" s="598"/>
      <c r="O230" s="598"/>
      <c r="P230" s="598"/>
      <c r="Q230" s="598"/>
      <c r="R230" s="598"/>
      <c r="S230" s="598"/>
      <c r="T230" s="598"/>
      <c r="U230" s="598"/>
      <c r="V230" s="598"/>
      <c r="W230" s="598"/>
      <c r="X230" s="598"/>
      <c r="Y230" s="598"/>
      <c r="Z230" s="602"/>
      <c r="AA230" s="602"/>
      <c r="AB230" s="602"/>
      <c r="AC230" s="602"/>
      <c r="AD230" s="602"/>
      <c r="AE230" s="602"/>
      <c r="AF230" s="602"/>
      <c r="AG230" s="635"/>
      <c r="AH230" s="646"/>
      <c r="AI230" s="449"/>
      <c r="AJ230" s="449"/>
      <c r="AK230" s="449"/>
      <c r="AL230" s="449"/>
      <c r="AM230" s="449"/>
      <c r="AN230" s="449"/>
      <c r="AO230" s="449"/>
      <c r="AP230" s="449"/>
      <c r="AQ230" s="449"/>
      <c r="AR230" s="449"/>
      <c r="AS230" s="449"/>
      <c r="AT230" s="449"/>
      <c r="AU230" s="449"/>
      <c r="AV230" s="449"/>
      <c r="AW230" s="647"/>
      <c r="AX230" s="619"/>
      <c r="AY230" s="619"/>
      <c r="AZ230" s="619"/>
      <c r="BA230" s="619"/>
      <c r="BB230" s="619"/>
      <c r="BC230" s="619"/>
      <c r="BD230" s="619"/>
      <c r="BE230" s="619"/>
      <c r="BF230" s="619"/>
      <c r="BG230" s="619"/>
      <c r="BH230" s="619"/>
      <c r="BI230" s="619"/>
      <c r="BJ230" s="619"/>
      <c r="BK230" s="619"/>
      <c r="BL230" s="619"/>
      <c r="BM230" s="619"/>
      <c r="BN230" s="619"/>
      <c r="BO230" s="619"/>
      <c r="BP230" s="619"/>
      <c r="BQ230" s="619"/>
      <c r="BR230" s="619"/>
      <c r="BS230" s="619"/>
      <c r="BT230" s="619"/>
      <c r="BU230" s="619"/>
      <c r="BV230" s="619"/>
      <c r="BW230" s="619"/>
      <c r="BX230" s="619"/>
      <c r="BY230" s="619"/>
      <c r="BZ230" s="619"/>
      <c r="CA230" s="619"/>
      <c r="CB230" s="619"/>
      <c r="CC230" s="619"/>
      <c r="CD230" s="619"/>
      <c r="CE230" s="619"/>
      <c r="CF230" s="619"/>
      <c r="CG230" s="619"/>
      <c r="CH230" s="619"/>
      <c r="CI230" s="619"/>
      <c r="CJ230" s="619"/>
      <c r="CK230" s="619"/>
      <c r="CL230" s="619"/>
      <c r="CM230" s="619"/>
      <c r="CN230" s="619"/>
      <c r="CO230" s="619"/>
      <c r="CP230" s="619"/>
      <c r="CQ230" s="619"/>
      <c r="CR230" s="619"/>
      <c r="CS230" s="619"/>
      <c r="CT230" s="619"/>
      <c r="CU230" s="619"/>
      <c r="CV230" s="619"/>
      <c r="CW230" s="619"/>
      <c r="CX230" s="619"/>
      <c r="CY230" s="619"/>
      <c r="CZ230" s="619"/>
      <c r="DA230" s="619"/>
      <c r="DB230" s="619"/>
      <c r="DC230" s="619"/>
      <c r="DD230" s="619"/>
      <c r="DE230" s="619"/>
      <c r="DF230" s="619"/>
      <c r="DG230" s="619"/>
      <c r="DH230" s="619"/>
      <c r="DI230" s="619"/>
      <c r="DJ230" s="619"/>
      <c r="DK230" s="619"/>
      <c r="DL230" s="619"/>
      <c r="DM230" s="619"/>
      <c r="DN230" s="619"/>
      <c r="DO230" s="619"/>
      <c r="DP230" s="619"/>
      <c r="DQ230" s="639"/>
      <c r="DR230" s="229"/>
    </row>
    <row r="231" spans="1:122" ht="7.5" customHeight="1" x14ac:dyDescent="0.25">
      <c r="A231" s="594"/>
      <c r="B231" s="595"/>
      <c r="C231" s="595"/>
      <c r="D231" s="595"/>
      <c r="E231" s="596"/>
      <c r="F231" s="129"/>
      <c r="G231" s="599"/>
      <c r="H231" s="599"/>
      <c r="I231" s="599"/>
      <c r="J231" s="599"/>
      <c r="K231" s="599"/>
      <c r="L231" s="599"/>
      <c r="M231" s="599"/>
      <c r="N231" s="599"/>
      <c r="O231" s="599"/>
      <c r="P231" s="599"/>
      <c r="Q231" s="599"/>
      <c r="R231" s="599"/>
      <c r="S231" s="599"/>
      <c r="T231" s="599"/>
      <c r="U231" s="599"/>
      <c r="V231" s="599"/>
      <c r="W231" s="599"/>
      <c r="X231" s="599"/>
      <c r="Y231" s="599"/>
      <c r="Z231" s="602"/>
      <c r="AA231" s="602"/>
      <c r="AB231" s="602"/>
      <c r="AC231" s="602"/>
      <c r="AD231" s="602"/>
      <c r="AE231" s="602"/>
      <c r="AF231" s="602"/>
      <c r="AG231" s="636"/>
      <c r="AH231" s="646"/>
      <c r="AI231" s="449"/>
      <c r="AJ231" s="449"/>
      <c r="AK231" s="449"/>
      <c r="AL231" s="449"/>
      <c r="AM231" s="449"/>
      <c r="AN231" s="449"/>
      <c r="AO231" s="449"/>
      <c r="AP231" s="449"/>
      <c r="AQ231" s="449"/>
      <c r="AR231" s="449"/>
      <c r="AS231" s="449"/>
      <c r="AT231" s="449"/>
      <c r="AU231" s="449"/>
      <c r="AV231" s="449"/>
      <c r="AW231" s="648"/>
      <c r="AX231" s="619"/>
      <c r="AY231" s="619"/>
      <c r="AZ231" s="619"/>
      <c r="BA231" s="619"/>
      <c r="BB231" s="619"/>
      <c r="BC231" s="619"/>
      <c r="BD231" s="619"/>
      <c r="BE231" s="619"/>
      <c r="BF231" s="619"/>
      <c r="BG231" s="619"/>
      <c r="BH231" s="619"/>
      <c r="BI231" s="619"/>
      <c r="BJ231" s="619"/>
      <c r="BK231" s="619"/>
      <c r="BL231" s="619"/>
      <c r="BM231" s="619"/>
      <c r="BN231" s="619"/>
      <c r="BO231" s="619"/>
      <c r="BP231" s="619"/>
      <c r="BQ231" s="619"/>
      <c r="BR231" s="619"/>
      <c r="BS231" s="619"/>
      <c r="BT231" s="619"/>
      <c r="BU231" s="619"/>
      <c r="BV231" s="619"/>
      <c r="BW231" s="619"/>
      <c r="BX231" s="619"/>
      <c r="BY231" s="619"/>
      <c r="BZ231" s="619"/>
      <c r="CA231" s="619"/>
      <c r="CB231" s="619"/>
      <c r="CC231" s="619"/>
      <c r="CD231" s="619"/>
      <c r="CE231" s="619"/>
      <c r="CF231" s="619"/>
      <c r="CG231" s="619"/>
      <c r="CH231" s="619"/>
      <c r="CI231" s="619"/>
      <c r="CJ231" s="619"/>
      <c r="CK231" s="619"/>
      <c r="CL231" s="619"/>
      <c r="CM231" s="619"/>
      <c r="CN231" s="619"/>
      <c r="CO231" s="619"/>
      <c r="CP231" s="619"/>
      <c r="CQ231" s="619"/>
      <c r="CR231" s="619"/>
      <c r="CS231" s="619"/>
      <c r="CT231" s="619"/>
      <c r="CU231" s="619"/>
      <c r="CV231" s="619"/>
      <c r="CW231" s="619"/>
      <c r="CX231" s="619"/>
      <c r="CY231" s="619"/>
      <c r="CZ231" s="619"/>
      <c r="DA231" s="619"/>
      <c r="DB231" s="619"/>
      <c r="DC231" s="619"/>
      <c r="DD231" s="619"/>
      <c r="DE231" s="619"/>
      <c r="DF231" s="619"/>
      <c r="DG231" s="619"/>
      <c r="DH231" s="619"/>
      <c r="DI231" s="619"/>
      <c r="DJ231" s="619"/>
      <c r="DK231" s="619"/>
      <c r="DL231" s="619"/>
      <c r="DM231" s="619"/>
      <c r="DN231" s="619"/>
      <c r="DO231" s="619"/>
      <c r="DP231" s="619"/>
      <c r="DQ231" s="640"/>
      <c r="DR231" s="229"/>
    </row>
    <row r="232" spans="1:122" ht="7.5" customHeight="1" x14ac:dyDescent="0.25">
      <c r="A232" s="119"/>
      <c r="B232" s="119"/>
      <c r="C232" s="119"/>
      <c r="D232" s="119"/>
      <c r="E232" s="119"/>
      <c r="F232" s="653" t="str">
        <f>G229</f>
        <v>Garonian</v>
      </c>
      <c r="G232" s="653"/>
      <c r="H232" s="653"/>
      <c r="I232" s="653"/>
      <c r="J232" s="653"/>
      <c r="K232" s="625" t="e">
        <f ca="1">(FLOOR(INDIRECT(SUBSTITUTE(G229," ",""))/5,1)*(FLOOR(INDIRECT(SUBSTITUTE(G229," ",""))/5,1)+1)/2)*50+MOD(INDIRECT(SUBSTITUTE(G229," ","")),5)*CEILING(INDIRECT(SUBSTITUTE(G229," ",""))/5,1)*10-((FLOOR(INDIRECT("Base"&amp;SUBSTITUTE(G229," ",""))/5,1)*(FLOOR(INDIRECT("Base"&amp;SUBSTITUTE(G229," ",""))/5,1)+1)/2)*50+MOD(INDIRECT("Base"&amp;SUBSTITUTE(G229," ","")),5)*CEILING(INDIRECT("Base"&amp;SUBSTITUTE(G229," ",""))/5,1)*10)</f>
        <v>#REF!</v>
      </c>
      <c r="L232" s="625"/>
      <c r="M232" s="625"/>
      <c r="N232" s="626" t="b">
        <f>IF(AH225&lt;&gt;"",VLOOKUP($G229,'Merit Data'!A:BW,MATCH('Merit Data'!$B$3,'Merit Data'!$3:$3,0),0),TRUE)</f>
        <v>1</v>
      </c>
      <c r="O232" s="626"/>
      <c r="P232" s="626"/>
      <c r="Q232" s="140"/>
      <c r="R232" s="140"/>
      <c r="S232" s="140"/>
      <c r="T232" s="140"/>
      <c r="U232" s="140"/>
      <c r="V232" s="238"/>
      <c r="W232" s="238"/>
      <c r="X232" s="627" t="str">
        <f>IF(F232&gt;0,HYPERLINK("http://wiki.project-saros.com/w/"&amp;F232,"Info"),"")</f>
        <v>Info</v>
      </c>
      <c r="Y232" s="628"/>
      <c r="Z232" s="637"/>
      <c r="AA232" s="637"/>
      <c r="AB232" s="637"/>
      <c r="AC232" s="637"/>
      <c r="AD232" s="637"/>
      <c r="AE232" s="637"/>
      <c r="AF232" s="637"/>
      <c r="AG232" s="638"/>
      <c r="AH232" s="649"/>
      <c r="AI232" s="650"/>
      <c r="AJ232" s="650"/>
      <c r="AK232" s="651"/>
      <c r="AL232" s="651"/>
      <c r="AM232" s="651"/>
      <c r="AN232" s="651"/>
      <c r="AO232" s="651"/>
      <c r="AP232" s="651"/>
      <c r="AQ232" s="651"/>
      <c r="AR232" s="651"/>
      <c r="AS232" s="650"/>
      <c r="AT232" s="650"/>
      <c r="AU232" s="650"/>
      <c r="AV232" s="650"/>
      <c r="AW232" s="652"/>
      <c r="AX232" s="641"/>
      <c r="AY232" s="641"/>
      <c r="AZ232" s="641"/>
      <c r="BA232" s="641"/>
      <c r="BB232" s="641"/>
      <c r="BC232" s="641"/>
      <c r="BD232" s="641"/>
      <c r="BE232" s="641"/>
      <c r="BF232" s="641"/>
      <c r="BG232" s="641"/>
      <c r="BH232" s="641"/>
      <c r="BI232" s="641"/>
      <c r="BJ232" s="641"/>
      <c r="BK232" s="641"/>
      <c r="BL232" s="641"/>
      <c r="BM232" s="641"/>
      <c r="BN232" s="641"/>
      <c r="BO232" s="641"/>
      <c r="BP232" s="641"/>
      <c r="BQ232" s="641"/>
      <c r="BR232" s="641"/>
      <c r="BS232" s="641"/>
      <c r="BT232" s="641"/>
      <c r="BU232" s="641"/>
      <c r="BV232" s="641"/>
      <c r="BW232" s="641"/>
      <c r="BX232" s="641"/>
      <c r="BY232" s="641"/>
      <c r="BZ232" s="641"/>
      <c r="CA232" s="641"/>
      <c r="CB232" s="641"/>
      <c r="CC232" s="641"/>
      <c r="CD232" s="641"/>
      <c r="CE232" s="641"/>
      <c r="CF232" s="641"/>
      <c r="CG232" s="641"/>
      <c r="CH232" s="641"/>
      <c r="CI232" s="641"/>
      <c r="CJ232" s="641"/>
      <c r="CK232" s="641"/>
      <c r="CL232" s="641"/>
      <c r="CM232" s="641"/>
      <c r="CN232" s="641"/>
      <c r="CO232" s="641"/>
      <c r="CP232" s="641"/>
      <c r="CQ232" s="641"/>
      <c r="CR232" s="641"/>
      <c r="CS232" s="641"/>
      <c r="CT232" s="641"/>
      <c r="CU232" s="641"/>
      <c r="CV232" s="641"/>
      <c r="CW232" s="641"/>
      <c r="CX232" s="641"/>
      <c r="CY232" s="641"/>
      <c r="CZ232" s="641"/>
      <c r="DA232" s="641"/>
      <c r="DB232" s="641"/>
      <c r="DC232" s="641"/>
      <c r="DD232" s="641"/>
      <c r="DE232" s="641"/>
      <c r="DF232" s="641"/>
      <c r="DG232" s="641"/>
      <c r="DH232" s="641"/>
      <c r="DI232" s="641"/>
      <c r="DJ232" s="641"/>
      <c r="DK232" s="641"/>
      <c r="DL232" s="641"/>
      <c r="DM232" s="641"/>
      <c r="DN232" s="641"/>
      <c r="DO232" s="641"/>
      <c r="DP232" s="641"/>
      <c r="DQ232" s="642"/>
      <c r="DR232" s="229"/>
    </row>
    <row r="233" spans="1:122" ht="7.5" customHeight="1" x14ac:dyDescent="0.25">
      <c r="A233" s="588">
        <v>0</v>
      </c>
      <c r="B233" s="589"/>
      <c r="C233" s="589"/>
      <c r="D233" s="589"/>
      <c r="E233" s="590"/>
      <c r="F233" s="129"/>
      <c r="G233" s="597" t="s">
        <v>141</v>
      </c>
      <c r="H233" s="597"/>
      <c r="I233" s="597"/>
      <c r="J233" s="597"/>
      <c r="K233" s="597"/>
      <c r="L233" s="597"/>
      <c r="M233" s="597"/>
      <c r="N233" s="597"/>
      <c r="O233" s="597"/>
      <c r="P233" s="597"/>
      <c r="Q233" s="597"/>
      <c r="R233" s="597"/>
      <c r="S233" s="597"/>
      <c r="T233" s="597"/>
      <c r="U233" s="597"/>
      <c r="V233" s="597"/>
      <c r="W233" s="597"/>
      <c r="X233" s="597"/>
      <c r="Y233" s="597"/>
      <c r="Z233" s="600" t="e">
        <f ca="1">FLOOR(INDIRECT(SUBSTITUTE(G233," ",""))/5+1,1)*10</f>
        <v>#REF!</v>
      </c>
      <c r="AA233" s="600"/>
      <c r="AB233" s="600"/>
      <c r="AC233" s="600"/>
      <c r="AD233" s="600"/>
      <c r="AE233" s="600"/>
      <c r="AF233" s="600"/>
      <c r="AG233" s="601"/>
      <c r="AH233" s="643"/>
      <c r="AI233" s="644"/>
      <c r="AJ233" s="644"/>
      <c r="AK233" s="644"/>
      <c r="AL233" s="644"/>
      <c r="AM233" s="644"/>
      <c r="AN233" s="644"/>
      <c r="AO233" s="644"/>
      <c r="AP233" s="644"/>
      <c r="AQ233" s="644"/>
      <c r="AR233" s="644"/>
      <c r="AS233" s="644"/>
      <c r="AT233" s="644"/>
      <c r="AU233" s="644"/>
      <c r="AV233" s="644"/>
      <c r="AW233" s="645"/>
      <c r="AX233" s="616" t="e">
        <f ca="1">"Further increases your "&amp;G233&amp;" skill from "&amp;INDIRECT(SUBSTITUTE(G233," ",""))&amp;" to "&amp;INDIRECT(SUBSTITUTE(G233," ",""))+1</f>
        <v>#REF!</v>
      </c>
      <c r="AY233" s="616"/>
      <c r="AZ233" s="616"/>
      <c r="BA233" s="616"/>
      <c r="BB233" s="616"/>
      <c r="BC233" s="616"/>
      <c r="BD233" s="616"/>
      <c r="BE233" s="616"/>
      <c r="BF233" s="616"/>
      <c r="BG233" s="616"/>
      <c r="BH233" s="616"/>
      <c r="BI233" s="616"/>
      <c r="BJ233" s="616"/>
      <c r="BK233" s="616"/>
      <c r="BL233" s="616"/>
      <c r="BM233" s="616"/>
      <c r="BN233" s="616"/>
      <c r="BO233" s="616"/>
      <c r="BP233" s="616"/>
      <c r="BQ233" s="616"/>
      <c r="BR233" s="616"/>
      <c r="BS233" s="616"/>
      <c r="BT233" s="616"/>
      <c r="BU233" s="616"/>
      <c r="BV233" s="616"/>
      <c r="BW233" s="616"/>
      <c r="BX233" s="616"/>
      <c r="BY233" s="616"/>
      <c r="BZ233" s="616"/>
      <c r="CA233" s="616"/>
      <c r="CB233" s="616"/>
      <c r="CC233" s="616"/>
      <c r="CD233" s="616"/>
      <c r="CE233" s="616"/>
      <c r="CF233" s="616"/>
      <c r="CG233" s="616"/>
      <c r="CH233" s="616"/>
      <c r="CI233" s="616"/>
      <c r="CJ233" s="616"/>
      <c r="CK233" s="616"/>
      <c r="CL233" s="616"/>
      <c r="CM233" s="616"/>
      <c r="CN233" s="616"/>
      <c r="CO233" s="616"/>
      <c r="CP233" s="616"/>
      <c r="CQ233" s="616"/>
      <c r="CR233" s="616"/>
      <c r="CS233" s="616"/>
      <c r="CT233" s="616"/>
      <c r="CU233" s="616"/>
      <c r="CV233" s="616"/>
      <c r="CW233" s="616"/>
      <c r="CX233" s="616"/>
      <c r="CY233" s="616"/>
      <c r="CZ233" s="616"/>
      <c r="DA233" s="616"/>
      <c r="DB233" s="616"/>
      <c r="DC233" s="616"/>
      <c r="DD233" s="616"/>
      <c r="DE233" s="616"/>
      <c r="DF233" s="616"/>
      <c r="DG233" s="616"/>
      <c r="DH233" s="616"/>
      <c r="DI233" s="616"/>
      <c r="DJ233" s="616"/>
      <c r="DK233" s="616"/>
      <c r="DL233" s="616"/>
      <c r="DM233" s="616"/>
      <c r="DN233" s="616"/>
      <c r="DO233" s="616"/>
      <c r="DP233" s="616"/>
      <c r="DQ233" s="617"/>
      <c r="DR233" s="229"/>
    </row>
    <row r="234" spans="1:122" ht="7.5" customHeight="1" x14ac:dyDescent="0.25">
      <c r="A234" s="591"/>
      <c r="B234" s="592"/>
      <c r="C234" s="592"/>
      <c r="D234" s="592"/>
      <c r="E234" s="593"/>
      <c r="F234" s="129"/>
      <c r="G234" s="598"/>
      <c r="H234" s="598"/>
      <c r="I234" s="598"/>
      <c r="J234" s="598"/>
      <c r="K234" s="598"/>
      <c r="L234" s="598"/>
      <c r="M234" s="598"/>
      <c r="N234" s="598"/>
      <c r="O234" s="598"/>
      <c r="P234" s="598"/>
      <c r="Q234" s="598"/>
      <c r="R234" s="598"/>
      <c r="S234" s="598"/>
      <c r="T234" s="598"/>
      <c r="U234" s="598"/>
      <c r="V234" s="598"/>
      <c r="W234" s="598"/>
      <c r="X234" s="598"/>
      <c r="Y234" s="598"/>
      <c r="Z234" s="602"/>
      <c r="AA234" s="602"/>
      <c r="AB234" s="602"/>
      <c r="AC234" s="602"/>
      <c r="AD234" s="602"/>
      <c r="AE234" s="602"/>
      <c r="AF234" s="602"/>
      <c r="AG234" s="635"/>
      <c r="AH234" s="646"/>
      <c r="AI234" s="449"/>
      <c r="AJ234" s="449"/>
      <c r="AK234" s="449"/>
      <c r="AL234" s="449"/>
      <c r="AM234" s="449"/>
      <c r="AN234" s="449"/>
      <c r="AO234" s="449"/>
      <c r="AP234" s="449"/>
      <c r="AQ234" s="449"/>
      <c r="AR234" s="449"/>
      <c r="AS234" s="449"/>
      <c r="AT234" s="449"/>
      <c r="AU234" s="449"/>
      <c r="AV234" s="449"/>
      <c r="AW234" s="647"/>
      <c r="AX234" s="619"/>
      <c r="AY234" s="619"/>
      <c r="AZ234" s="619"/>
      <c r="BA234" s="619"/>
      <c r="BB234" s="619"/>
      <c r="BC234" s="619"/>
      <c r="BD234" s="619"/>
      <c r="BE234" s="619"/>
      <c r="BF234" s="619"/>
      <c r="BG234" s="619"/>
      <c r="BH234" s="619"/>
      <c r="BI234" s="619"/>
      <c r="BJ234" s="619"/>
      <c r="BK234" s="619"/>
      <c r="BL234" s="619"/>
      <c r="BM234" s="619"/>
      <c r="BN234" s="619"/>
      <c r="BO234" s="619"/>
      <c r="BP234" s="619"/>
      <c r="BQ234" s="619"/>
      <c r="BR234" s="619"/>
      <c r="BS234" s="619"/>
      <c r="BT234" s="619"/>
      <c r="BU234" s="619"/>
      <c r="BV234" s="619"/>
      <c r="BW234" s="619"/>
      <c r="BX234" s="619"/>
      <c r="BY234" s="619"/>
      <c r="BZ234" s="619"/>
      <c r="CA234" s="619"/>
      <c r="CB234" s="619"/>
      <c r="CC234" s="619"/>
      <c r="CD234" s="619"/>
      <c r="CE234" s="619"/>
      <c r="CF234" s="619"/>
      <c r="CG234" s="619"/>
      <c r="CH234" s="619"/>
      <c r="CI234" s="619"/>
      <c r="CJ234" s="619"/>
      <c r="CK234" s="619"/>
      <c r="CL234" s="619"/>
      <c r="CM234" s="619"/>
      <c r="CN234" s="619"/>
      <c r="CO234" s="619"/>
      <c r="CP234" s="619"/>
      <c r="CQ234" s="619"/>
      <c r="CR234" s="619"/>
      <c r="CS234" s="619"/>
      <c r="CT234" s="619"/>
      <c r="CU234" s="619"/>
      <c r="CV234" s="619"/>
      <c r="CW234" s="619"/>
      <c r="CX234" s="619"/>
      <c r="CY234" s="619"/>
      <c r="CZ234" s="619"/>
      <c r="DA234" s="619"/>
      <c r="DB234" s="619"/>
      <c r="DC234" s="619"/>
      <c r="DD234" s="619"/>
      <c r="DE234" s="619"/>
      <c r="DF234" s="619"/>
      <c r="DG234" s="619"/>
      <c r="DH234" s="619"/>
      <c r="DI234" s="619"/>
      <c r="DJ234" s="619"/>
      <c r="DK234" s="619"/>
      <c r="DL234" s="619"/>
      <c r="DM234" s="619"/>
      <c r="DN234" s="619"/>
      <c r="DO234" s="619"/>
      <c r="DP234" s="619"/>
      <c r="DQ234" s="639"/>
      <c r="DR234" s="229"/>
    </row>
    <row r="235" spans="1:122" ht="7.5" customHeight="1" x14ac:dyDescent="0.25">
      <c r="A235" s="594"/>
      <c r="B235" s="595"/>
      <c r="C235" s="595"/>
      <c r="D235" s="595"/>
      <c r="E235" s="596"/>
      <c r="F235" s="129"/>
      <c r="G235" s="599"/>
      <c r="H235" s="599"/>
      <c r="I235" s="599"/>
      <c r="J235" s="599"/>
      <c r="K235" s="599"/>
      <c r="L235" s="599"/>
      <c r="M235" s="599"/>
      <c r="N235" s="599"/>
      <c r="O235" s="599"/>
      <c r="P235" s="599"/>
      <c r="Q235" s="599"/>
      <c r="R235" s="599"/>
      <c r="S235" s="599"/>
      <c r="T235" s="599"/>
      <c r="U235" s="599"/>
      <c r="V235" s="599"/>
      <c r="W235" s="599"/>
      <c r="X235" s="599"/>
      <c r="Y235" s="599"/>
      <c r="Z235" s="602"/>
      <c r="AA235" s="602"/>
      <c r="AB235" s="602"/>
      <c r="AC235" s="602"/>
      <c r="AD235" s="602"/>
      <c r="AE235" s="602"/>
      <c r="AF235" s="602"/>
      <c r="AG235" s="636"/>
      <c r="AH235" s="646"/>
      <c r="AI235" s="449"/>
      <c r="AJ235" s="449"/>
      <c r="AK235" s="449"/>
      <c r="AL235" s="449"/>
      <c r="AM235" s="449"/>
      <c r="AN235" s="449"/>
      <c r="AO235" s="449"/>
      <c r="AP235" s="449"/>
      <c r="AQ235" s="449"/>
      <c r="AR235" s="449"/>
      <c r="AS235" s="449"/>
      <c r="AT235" s="449"/>
      <c r="AU235" s="449"/>
      <c r="AV235" s="449"/>
      <c r="AW235" s="648"/>
      <c r="AX235" s="619"/>
      <c r="AY235" s="619"/>
      <c r="AZ235" s="619"/>
      <c r="BA235" s="619"/>
      <c r="BB235" s="619"/>
      <c r="BC235" s="619"/>
      <c r="BD235" s="619"/>
      <c r="BE235" s="619"/>
      <c r="BF235" s="619"/>
      <c r="BG235" s="619"/>
      <c r="BH235" s="619"/>
      <c r="BI235" s="619"/>
      <c r="BJ235" s="619"/>
      <c r="BK235" s="619"/>
      <c r="BL235" s="619"/>
      <c r="BM235" s="619"/>
      <c r="BN235" s="619"/>
      <c r="BO235" s="619"/>
      <c r="BP235" s="619"/>
      <c r="BQ235" s="619"/>
      <c r="BR235" s="619"/>
      <c r="BS235" s="619"/>
      <c r="BT235" s="619"/>
      <c r="BU235" s="619"/>
      <c r="BV235" s="619"/>
      <c r="BW235" s="619"/>
      <c r="BX235" s="619"/>
      <c r="BY235" s="619"/>
      <c r="BZ235" s="619"/>
      <c r="CA235" s="619"/>
      <c r="CB235" s="619"/>
      <c r="CC235" s="619"/>
      <c r="CD235" s="619"/>
      <c r="CE235" s="619"/>
      <c r="CF235" s="619"/>
      <c r="CG235" s="619"/>
      <c r="CH235" s="619"/>
      <c r="CI235" s="619"/>
      <c r="CJ235" s="619"/>
      <c r="CK235" s="619"/>
      <c r="CL235" s="619"/>
      <c r="CM235" s="619"/>
      <c r="CN235" s="619"/>
      <c r="CO235" s="619"/>
      <c r="CP235" s="619"/>
      <c r="CQ235" s="619"/>
      <c r="CR235" s="619"/>
      <c r="CS235" s="619"/>
      <c r="CT235" s="619"/>
      <c r="CU235" s="619"/>
      <c r="CV235" s="619"/>
      <c r="CW235" s="619"/>
      <c r="CX235" s="619"/>
      <c r="CY235" s="619"/>
      <c r="CZ235" s="619"/>
      <c r="DA235" s="619"/>
      <c r="DB235" s="619"/>
      <c r="DC235" s="619"/>
      <c r="DD235" s="619"/>
      <c r="DE235" s="619"/>
      <c r="DF235" s="619"/>
      <c r="DG235" s="619"/>
      <c r="DH235" s="619"/>
      <c r="DI235" s="619"/>
      <c r="DJ235" s="619"/>
      <c r="DK235" s="619"/>
      <c r="DL235" s="619"/>
      <c r="DM235" s="619"/>
      <c r="DN235" s="619"/>
      <c r="DO235" s="619"/>
      <c r="DP235" s="619"/>
      <c r="DQ235" s="640"/>
      <c r="DR235" s="229"/>
    </row>
    <row r="236" spans="1:122" ht="7.5" customHeight="1" x14ac:dyDescent="0.25">
      <c r="A236" s="119"/>
      <c r="B236" s="119"/>
      <c r="C236" s="119"/>
      <c r="D236" s="119"/>
      <c r="E236" s="119"/>
      <c r="F236" s="653" t="str">
        <f>G233</f>
        <v>Lower Common</v>
      </c>
      <c r="G236" s="653"/>
      <c r="H236" s="653"/>
      <c r="I236" s="653"/>
      <c r="J236" s="653"/>
      <c r="K236" s="625" t="e">
        <f ca="1">(FLOOR(INDIRECT(SUBSTITUTE(G233," ",""))/5,1)*(FLOOR(INDIRECT(SUBSTITUTE(G233," ",""))/5,1)+1)/2)*50+MOD(INDIRECT(SUBSTITUTE(G233," ","")),5)*CEILING(INDIRECT(SUBSTITUTE(G233," ",""))/5,1)*10-((FLOOR(INDIRECT("Base"&amp;SUBSTITUTE(G233," ",""))/5,1)*(FLOOR(INDIRECT("Base"&amp;SUBSTITUTE(G233," ",""))/5,1)+1)/2)*50+MOD(INDIRECT("Base"&amp;SUBSTITUTE(G233," ","")),5)*CEILING(INDIRECT("Base"&amp;SUBSTITUTE(G233," ",""))/5,1)*10)</f>
        <v>#REF!</v>
      </c>
      <c r="L236" s="625"/>
      <c r="M236" s="625"/>
      <c r="N236" s="626" t="b">
        <f>IF(AH229&lt;&gt;"",VLOOKUP($G233,'Merit Data'!A:BW,MATCH('Merit Data'!$B$3,'Merit Data'!$3:$3,0),0),TRUE)</f>
        <v>1</v>
      </c>
      <c r="O236" s="626"/>
      <c r="P236" s="626"/>
      <c r="Q236" s="140"/>
      <c r="R236" s="140"/>
      <c r="S236" s="140"/>
      <c r="T236" s="140"/>
      <c r="U236" s="140"/>
      <c r="V236" s="238"/>
      <c r="W236" s="238"/>
      <c r="X236" s="627" t="str">
        <f>IF(F236&gt;0,HYPERLINK("http://wiki.project-saros.com/w/"&amp;F236,"Info"),"")</f>
        <v>Info</v>
      </c>
      <c r="Y236" s="628"/>
      <c r="Z236" s="637"/>
      <c r="AA236" s="637"/>
      <c r="AB236" s="637"/>
      <c r="AC236" s="637"/>
      <c r="AD236" s="637"/>
      <c r="AE236" s="637"/>
      <c r="AF236" s="637"/>
      <c r="AG236" s="638"/>
      <c r="AH236" s="649"/>
      <c r="AI236" s="650"/>
      <c r="AJ236" s="650"/>
      <c r="AK236" s="651"/>
      <c r="AL236" s="651"/>
      <c r="AM236" s="651"/>
      <c r="AN236" s="651"/>
      <c r="AO236" s="651"/>
      <c r="AP236" s="651"/>
      <c r="AQ236" s="651"/>
      <c r="AR236" s="651"/>
      <c r="AS236" s="650"/>
      <c r="AT236" s="650"/>
      <c r="AU236" s="650"/>
      <c r="AV236" s="650"/>
      <c r="AW236" s="652"/>
      <c r="AX236" s="641"/>
      <c r="AY236" s="641"/>
      <c r="AZ236" s="641"/>
      <c r="BA236" s="641"/>
      <c r="BB236" s="641"/>
      <c r="BC236" s="641"/>
      <c r="BD236" s="641"/>
      <c r="BE236" s="641"/>
      <c r="BF236" s="641"/>
      <c r="BG236" s="641"/>
      <c r="BH236" s="641"/>
      <c r="BI236" s="641"/>
      <c r="BJ236" s="641"/>
      <c r="BK236" s="641"/>
      <c r="BL236" s="641"/>
      <c r="BM236" s="641"/>
      <c r="BN236" s="641"/>
      <c r="BO236" s="641"/>
      <c r="BP236" s="641"/>
      <c r="BQ236" s="641"/>
      <c r="BR236" s="641"/>
      <c r="BS236" s="641"/>
      <c r="BT236" s="641"/>
      <c r="BU236" s="641"/>
      <c r="BV236" s="641"/>
      <c r="BW236" s="641"/>
      <c r="BX236" s="641"/>
      <c r="BY236" s="641"/>
      <c r="BZ236" s="641"/>
      <c r="CA236" s="641"/>
      <c r="CB236" s="641"/>
      <c r="CC236" s="641"/>
      <c r="CD236" s="641"/>
      <c r="CE236" s="641"/>
      <c r="CF236" s="641"/>
      <c r="CG236" s="641"/>
      <c r="CH236" s="641"/>
      <c r="CI236" s="641"/>
      <c r="CJ236" s="641"/>
      <c r="CK236" s="641"/>
      <c r="CL236" s="641"/>
      <c r="CM236" s="641"/>
      <c r="CN236" s="641"/>
      <c r="CO236" s="641"/>
      <c r="CP236" s="641"/>
      <c r="CQ236" s="641"/>
      <c r="CR236" s="641"/>
      <c r="CS236" s="641"/>
      <c r="CT236" s="641"/>
      <c r="CU236" s="641"/>
      <c r="CV236" s="641"/>
      <c r="CW236" s="641"/>
      <c r="CX236" s="641"/>
      <c r="CY236" s="641"/>
      <c r="CZ236" s="641"/>
      <c r="DA236" s="641"/>
      <c r="DB236" s="641"/>
      <c r="DC236" s="641"/>
      <c r="DD236" s="641"/>
      <c r="DE236" s="641"/>
      <c r="DF236" s="641"/>
      <c r="DG236" s="641"/>
      <c r="DH236" s="641"/>
      <c r="DI236" s="641"/>
      <c r="DJ236" s="641"/>
      <c r="DK236" s="641"/>
      <c r="DL236" s="641"/>
      <c r="DM236" s="641"/>
      <c r="DN236" s="641"/>
      <c r="DO236" s="641"/>
      <c r="DP236" s="641"/>
      <c r="DQ236" s="642"/>
      <c r="DR236" s="229"/>
    </row>
    <row r="237" spans="1:122" ht="7.5" customHeight="1" x14ac:dyDescent="0.25">
      <c r="A237" s="588">
        <v>0</v>
      </c>
      <c r="B237" s="589"/>
      <c r="C237" s="589"/>
      <c r="D237" s="589"/>
      <c r="E237" s="590"/>
      <c r="F237" s="129"/>
      <c r="G237" s="597" t="s">
        <v>142</v>
      </c>
      <c r="H237" s="597"/>
      <c r="I237" s="597"/>
      <c r="J237" s="597"/>
      <c r="K237" s="597"/>
      <c r="L237" s="597"/>
      <c r="M237" s="597"/>
      <c r="N237" s="597"/>
      <c r="O237" s="597"/>
      <c r="P237" s="597"/>
      <c r="Q237" s="597"/>
      <c r="R237" s="597"/>
      <c r="S237" s="597"/>
      <c r="T237" s="597"/>
      <c r="U237" s="597"/>
      <c r="V237" s="597"/>
      <c r="W237" s="597"/>
      <c r="X237" s="597"/>
      <c r="Y237" s="597"/>
      <c r="Z237" s="600" t="e">
        <f ca="1">FLOOR(INDIRECT(SUBSTITUTE(G237," ",""))/5+1,1)*10</f>
        <v>#REF!</v>
      </c>
      <c r="AA237" s="600"/>
      <c r="AB237" s="600"/>
      <c r="AC237" s="600"/>
      <c r="AD237" s="600"/>
      <c r="AE237" s="600"/>
      <c r="AF237" s="600"/>
      <c r="AG237" s="601"/>
      <c r="AH237" s="643"/>
      <c r="AI237" s="644"/>
      <c r="AJ237" s="644"/>
      <c r="AK237" s="644"/>
      <c r="AL237" s="644"/>
      <c r="AM237" s="644"/>
      <c r="AN237" s="644"/>
      <c r="AO237" s="644"/>
      <c r="AP237" s="644"/>
      <c r="AQ237" s="644"/>
      <c r="AR237" s="644"/>
      <c r="AS237" s="644"/>
      <c r="AT237" s="644"/>
      <c r="AU237" s="644"/>
      <c r="AV237" s="644"/>
      <c r="AW237" s="645"/>
      <c r="AX237" s="616" t="e">
        <f ca="1">"Further increases your "&amp;G237&amp;" skill from "&amp;INDIRECT(SUBSTITUTE(G237," ",""))&amp;" to "&amp;INDIRECT(SUBSTITUTE(G237," ",""))+1</f>
        <v>#REF!</v>
      </c>
      <c r="AY237" s="616"/>
      <c r="AZ237" s="616"/>
      <c r="BA237" s="616"/>
      <c r="BB237" s="616"/>
      <c r="BC237" s="616"/>
      <c r="BD237" s="616"/>
      <c r="BE237" s="616"/>
      <c r="BF237" s="616"/>
      <c r="BG237" s="616"/>
      <c r="BH237" s="616"/>
      <c r="BI237" s="616"/>
      <c r="BJ237" s="616"/>
      <c r="BK237" s="616"/>
      <c r="BL237" s="616"/>
      <c r="BM237" s="616"/>
      <c r="BN237" s="616"/>
      <c r="BO237" s="616"/>
      <c r="BP237" s="616"/>
      <c r="BQ237" s="616"/>
      <c r="BR237" s="616"/>
      <c r="BS237" s="616"/>
      <c r="BT237" s="616"/>
      <c r="BU237" s="616"/>
      <c r="BV237" s="616"/>
      <c r="BW237" s="616"/>
      <c r="BX237" s="616"/>
      <c r="BY237" s="616"/>
      <c r="BZ237" s="616"/>
      <c r="CA237" s="616"/>
      <c r="CB237" s="616"/>
      <c r="CC237" s="616"/>
      <c r="CD237" s="616"/>
      <c r="CE237" s="616"/>
      <c r="CF237" s="616"/>
      <c r="CG237" s="616"/>
      <c r="CH237" s="616"/>
      <c r="CI237" s="616"/>
      <c r="CJ237" s="616"/>
      <c r="CK237" s="616"/>
      <c r="CL237" s="616"/>
      <c r="CM237" s="616"/>
      <c r="CN237" s="616"/>
      <c r="CO237" s="616"/>
      <c r="CP237" s="616"/>
      <c r="CQ237" s="616"/>
      <c r="CR237" s="616"/>
      <c r="CS237" s="616"/>
      <c r="CT237" s="616"/>
      <c r="CU237" s="616"/>
      <c r="CV237" s="616"/>
      <c r="CW237" s="616"/>
      <c r="CX237" s="616"/>
      <c r="CY237" s="616"/>
      <c r="CZ237" s="616"/>
      <c r="DA237" s="616"/>
      <c r="DB237" s="616"/>
      <c r="DC237" s="616"/>
      <c r="DD237" s="616"/>
      <c r="DE237" s="616"/>
      <c r="DF237" s="616"/>
      <c r="DG237" s="616"/>
      <c r="DH237" s="616"/>
      <c r="DI237" s="616"/>
      <c r="DJ237" s="616"/>
      <c r="DK237" s="616"/>
      <c r="DL237" s="616"/>
      <c r="DM237" s="616"/>
      <c r="DN237" s="616"/>
      <c r="DO237" s="616"/>
      <c r="DP237" s="616"/>
      <c r="DQ237" s="617"/>
      <c r="DR237" s="229"/>
    </row>
    <row r="238" spans="1:122" ht="7.5" customHeight="1" x14ac:dyDescent="0.25">
      <c r="A238" s="591"/>
      <c r="B238" s="592"/>
      <c r="C238" s="592"/>
      <c r="D238" s="592"/>
      <c r="E238" s="593"/>
      <c r="F238" s="129"/>
      <c r="G238" s="598"/>
      <c r="H238" s="598"/>
      <c r="I238" s="598"/>
      <c r="J238" s="598"/>
      <c r="K238" s="598"/>
      <c r="L238" s="598"/>
      <c r="M238" s="598"/>
      <c r="N238" s="598"/>
      <c r="O238" s="598"/>
      <c r="P238" s="598"/>
      <c r="Q238" s="598"/>
      <c r="R238" s="598"/>
      <c r="S238" s="598"/>
      <c r="T238" s="598"/>
      <c r="U238" s="598"/>
      <c r="V238" s="598"/>
      <c r="W238" s="598"/>
      <c r="X238" s="598"/>
      <c r="Y238" s="598"/>
      <c r="Z238" s="602"/>
      <c r="AA238" s="602"/>
      <c r="AB238" s="602"/>
      <c r="AC238" s="602"/>
      <c r="AD238" s="602"/>
      <c r="AE238" s="602"/>
      <c r="AF238" s="602"/>
      <c r="AG238" s="635"/>
      <c r="AH238" s="646"/>
      <c r="AI238" s="449"/>
      <c r="AJ238" s="449"/>
      <c r="AK238" s="449"/>
      <c r="AL238" s="449"/>
      <c r="AM238" s="449"/>
      <c r="AN238" s="449"/>
      <c r="AO238" s="449"/>
      <c r="AP238" s="449"/>
      <c r="AQ238" s="449"/>
      <c r="AR238" s="449"/>
      <c r="AS238" s="449"/>
      <c r="AT238" s="449"/>
      <c r="AU238" s="449"/>
      <c r="AV238" s="449"/>
      <c r="AW238" s="647"/>
      <c r="AX238" s="619"/>
      <c r="AY238" s="619"/>
      <c r="AZ238" s="619"/>
      <c r="BA238" s="619"/>
      <c r="BB238" s="619"/>
      <c r="BC238" s="619"/>
      <c r="BD238" s="619"/>
      <c r="BE238" s="619"/>
      <c r="BF238" s="619"/>
      <c r="BG238" s="619"/>
      <c r="BH238" s="619"/>
      <c r="BI238" s="619"/>
      <c r="BJ238" s="619"/>
      <c r="BK238" s="619"/>
      <c r="BL238" s="619"/>
      <c r="BM238" s="619"/>
      <c r="BN238" s="619"/>
      <c r="BO238" s="619"/>
      <c r="BP238" s="619"/>
      <c r="BQ238" s="619"/>
      <c r="BR238" s="619"/>
      <c r="BS238" s="619"/>
      <c r="BT238" s="619"/>
      <c r="BU238" s="619"/>
      <c r="BV238" s="619"/>
      <c r="BW238" s="619"/>
      <c r="BX238" s="619"/>
      <c r="BY238" s="619"/>
      <c r="BZ238" s="619"/>
      <c r="CA238" s="619"/>
      <c r="CB238" s="619"/>
      <c r="CC238" s="619"/>
      <c r="CD238" s="619"/>
      <c r="CE238" s="619"/>
      <c r="CF238" s="619"/>
      <c r="CG238" s="619"/>
      <c r="CH238" s="619"/>
      <c r="CI238" s="619"/>
      <c r="CJ238" s="619"/>
      <c r="CK238" s="619"/>
      <c r="CL238" s="619"/>
      <c r="CM238" s="619"/>
      <c r="CN238" s="619"/>
      <c r="CO238" s="619"/>
      <c r="CP238" s="619"/>
      <c r="CQ238" s="619"/>
      <c r="CR238" s="619"/>
      <c r="CS238" s="619"/>
      <c r="CT238" s="619"/>
      <c r="CU238" s="619"/>
      <c r="CV238" s="619"/>
      <c r="CW238" s="619"/>
      <c r="CX238" s="619"/>
      <c r="CY238" s="619"/>
      <c r="CZ238" s="619"/>
      <c r="DA238" s="619"/>
      <c r="DB238" s="619"/>
      <c r="DC238" s="619"/>
      <c r="DD238" s="619"/>
      <c r="DE238" s="619"/>
      <c r="DF238" s="619"/>
      <c r="DG238" s="619"/>
      <c r="DH238" s="619"/>
      <c r="DI238" s="619"/>
      <c r="DJ238" s="619"/>
      <c r="DK238" s="619"/>
      <c r="DL238" s="619"/>
      <c r="DM238" s="619"/>
      <c r="DN238" s="619"/>
      <c r="DO238" s="619"/>
      <c r="DP238" s="619"/>
      <c r="DQ238" s="639"/>
      <c r="DR238" s="229"/>
    </row>
    <row r="239" spans="1:122" ht="7.5" customHeight="1" x14ac:dyDescent="0.25">
      <c r="A239" s="594"/>
      <c r="B239" s="595"/>
      <c r="C239" s="595"/>
      <c r="D239" s="595"/>
      <c r="E239" s="596"/>
      <c r="F239" s="129"/>
      <c r="G239" s="599"/>
      <c r="H239" s="599"/>
      <c r="I239" s="599"/>
      <c r="J239" s="599"/>
      <c r="K239" s="599"/>
      <c r="L239" s="599"/>
      <c r="M239" s="599"/>
      <c r="N239" s="599"/>
      <c r="O239" s="599"/>
      <c r="P239" s="599"/>
      <c r="Q239" s="599"/>
      <c r="R239" s="599"/>
      <c r="S239" s="599"/>
      <c r="T239" s="599"/>
      <c r="U239" s="599"/>
      <c r="V239" s="599"/>
      <c r="W239" s="599"/>
      <c r="X239" s="599"/>
      <c r="Y239" s="599"/>
      <c r="Z239" s="602"/>
      <c r="AA239" s="602"/>
      <c r="AB239" s="602"/>
      <c r="AC239" s="602"/>
      <c r="AD239" s="602"/>
      <c r="AE239" s="602"/>
      <c r="AF239" s="602"/>
      <c r="AG239" s="636"/>
      <c r="AH239" s="646"/>
      <c r="AI239" s="449"/>
      <c r="AJ239" s="449"/>
      <c r="AK239" s="449"/>
      <c r="AL239" s="449"/>
      <c r="AM239" s="449"/>
      <c r="AN239" s="449"/>
      <c r="AO239" s="449"/>
      <c r="AP239" s="449"/>
      <c r="AQ239" s="449"/>
      <c r="AR239" s="449"/>
      <c r="AS239" s="449"/>
      <c r="AT239" s="449"/>
      <c r="AU239" s="449"/>
      <c r="AV239" s="449"/>
      <c r="AW239" s="648"/>
      <c r="AX239" s="619"/>
      <c r="AY239" s="619"/>
      <c r="AZ239" s="619"/>
      <c r="BA239" s="619"/>
      <c r="BB239" s="619"/>
      <c r="BC239" s="619"/>
      <c r="BD239" s="619"/>
      <c r="BE239" s="619"/>
      <c r="BF239" s="619"/>
      <c r="BG239" s="619"/>
      <c r="BH239" s="619"/>
      <c r="BI239" s="619"/>
      <c r="BJ239" s="619"/>
      <c r="BK239" s="619"/>
      <c r="BL239" s="619"/>
      <c r="BM239" s="619"/>
      <c r="BN239" s="619"/>
      <c r="BO239" s="619"/>
      <c r="BP239" s="619"/>
      <c r="BQ239" s="619"/>
      <c r="BR239" s="619"/>
      <c r="BS239" s="619"/>
      <c r="BT239" s="619"/>
      <c r="BU239" s="619"/>
      <c r="BV239" s="619"/>
      <c r="BW239" s="619"/>
      <c r="BX239" s="619"/>
      <c r="BY239" s="619"/>
      <c r="BZ239" s="619"/>
      <c r="CA239" s="619"/>
      <c r="CB239" s="619"/>
      <c r="CC239" s="619"/>
      <c r="CD239" s="619"/>
      <c r="CE239" s="619"/>
      <c r="CF239" s="619"/>
      <c r="CG239" s="619"/>
      <c r="CH239" s="619"/>
      <c r="CI239" s="619"/>
      <c r="CJ239" s="619"/>
      <c r="CK239" s="619"/>
      <c r="CL239" s="619"/>
      <c r="CM239" s="619"/>
      <c r="CN239" s="619"/>
      <c r="CO239" s="619"/>
      <c r="CP239" s="619"/>
      <c r="CQ239" s="619"/>
      <c r="CR239" s="619"/>
      <c r="CS239" s="619"/>
      <c r="CT239" s="619"/>
      <c r="CU239" s="619"/>
      <c r="CV239" s="619"/>
      <c r="CW239" s="619"/>
      <c r="CX239" s="619"/>
      <c r="CY239" s="619"/>
      <c r="CZ239" s="619"/>
      <c r="DA239" s="619"/>
      <c r="DB239" s="619"/>
      <c r="DC239" s="619"/>
      <c r="DD239" s="619"/>
      <c r="DE239" s="619"/>
      <c r="DF239" s="619"/>
      <c r="DG239" s="619"/>
      <c r="DH239" s="619"/>
      <c r="DI239" s="619"/>
      <c r="DJ239" s="619"/>
      <c r="DK239" s="619"/>
      <c r="DL239" s="619"/>
      <c r="DM239" s="619"/>
      <c r="DN239" s="619"/>
      <c r="DO239" s="619"/>
      <c r="DP239" s="619"/>
      <c r="DQ239" s="640"/>
      <c r="DR239" s="229"/>
    </row>
    <row r="240" spans="1:122" ht="7.5" customHeight="1" x14ac:dyDescent="0.25">
      <c r="A240" s="119"/>
      <c r="B240" s="119"/>
      <c r="C240" s="119"/>
      <c r="D240" s="119"/>
      <c r="E240" s="119"/>
      <c r="F240" s="653" t="str">
        <f>G237</f>
        <v>Davek</v>
      </c>
      <c r="G240" s="653"/>
      <c r="H240" s="653"/>
      <c r="I240" s="653"/>
      <c r="J240" s="653"/>
      <c r="K240" s="625" t="e">
        <f ca="1">(FLOOR(INDIRECT(SUBSTITUTE(G237," ",""))/5,1)*(FLOOR(INDIRECT(SUBSTITUTE(G237," ",""))/5,1)+1)/2)*50+MOD(INDIRECT(SUBSTITUTE(G237," ","")),5)*CEILING(INDIRECT(SUBSTITUTE(G237," ",""))/5,1)*10-((FLOOR(INDIRECT("Base"&amp;SUBSTITUTE(G237," ",""))/5,1)*(FLOOR(INDIRECT("Base"&amp;SUBSTITUTE(G237," ",""))/5,1)+1)/2)*50+MOD(INDIRECT("Base"&amp;SUBSTITUTE(G237," ","")),5)*CEILING(INDIRECT("Base"&amp;SUBSTITUTE(G237," ",""))/5,1)*10)</f>
        <v>#REF!</v>
      </c>
      <c r="L240" s="625"/>
      <c r="M240" s="625"/>
      <c r="N240" s="626" t="b">
        <f>IF(AH233&lt;&gt;"",VLOOKUP($G237,'Merit Data'!A:BW,MATCH('Merit Data'!$B$3,'Merit Data'!$3:$3,0),0),TRUE)</f>
        <v>1</v>
      </c>
      <c r="O240" s="626"/>
      <c r="P240" s="626"/>
      <c r="Q240" s="140"/>
      <c r="R240" s="140"/>
      <c r="S240" s="140"/>
      <c r="T240" s="140"/>
      <c r="U240" s="140"/>
      <c r="V240" s="238"/>
      <c r="W240" s="238"/>
      <c r="X240" s="627" t="str">
        <f>IF(F240&gt;0,HYPERLINK("http://wiki.project-saros.com/w/"&amp;F240,"Info"),"")</f>
        <v>Info</v>
      </c>
      <c r="Y240" s="628"/>
      <c r="Z240" s="637"/>
      <c r="AA240" s="637"/>
      <c r="AB240" s="637"/>
      <c r="AC240" s="637"/>
      <c r="AD240" s="637"/>
      <c r="AE240" s="637"/>
      <c r="AF240" s="637"/>
      <c r="AG240" s="638"/>
      <c r="AH240" s="649"/>
      <c r="AI240" s="650"/>
      <c r="AJ240" s="650"/>
      <c r="AK240" s="651"/>
      <c r="AL240" s="651"/>
      <c r="AM240" s="651"/>
      <c r="AN240" s="651"/>
      <c r="AO240" s="651"/>
      <c r="AP240" s="651"/>
      <c r="AQ240" s="651"/>
      <c r="AR240" s="651"/>
      <c r="AS240" s="650"/>
      <c r="AT240" s="650"/>
      <c r="AU240" s="650"/>
      <c r="AV240" s="650"/>
      <c r="AW240" s="652"/>
      <c r="AX240" s="641"/>
      <c r="AY240" s="641"/>
      <c r="AZ240" s="641"/>
      <c r="BA240" s="641"/>
      <c r="BB240" s="641"/>
      <c r="BC240" s="641"/>
      <c r="BD240" s="641"/>
      <c r="BE240" s="641"/>
      <c r="BF240" s="641"/>
      <c r="BG240" s="641"/>
      <c r="BH240" s="641"/>
      <c r="BI240" s="641"/>
      <c r="BJ240" s="641"/>
      <c r="BK240" s="641"/>
      <c r="BL240" s="641"/>
      <c r="BM240" s="641"/>
      <c r="BN240" s="641"/>
      <c r="BO240" s="641"/>
      <c r="BP240" s="641"/>
      <c r="BQ240" s="641"/>
      <c r="BR240" s="641"/>
      <c r="BS240" s="641"/>
      <c r="BT240" s="641"/>
      <c r="BU240" s="641"/>
      <c r="BV240" s="641"/>
      <c r="BW240" s="641"/>
      <c r="BX240" s="641"/>
      <c r="BY240" s="641"/>
      <c r="BZ240" s="641"/>
      <c r="CA240" s="641"/>
      <c r="CB240" s="641"/>
      <c r="CC240" s="641"/>
      <c r="CD240" s="641"/>
      <c r="CE240" s="641"/>
      <c r="CF240" s="641"/>
      <c r="CG240" s="641"/>
      <c r="CH240" s="641"/>
      <c r="CI240" s="641"/>
      <c r="CJ240" s="641"/>
      <c r="CK240" s="641"/>
      <c r="CL240" s="641"/>
      <c r="CM240" s="641"/>
      <c r="CN240" s="641"/>
      <c r="CO240" s="641"/>
      <c r="CP240" s="641"/>
      <c r="CQ240" s="641"/>
      <c r="CR240" s="641"/>
      <c r="CS240" s="641"/>
      <c r="CT240" s="641"/>
      <c r="CU240" s="641"/>
      <c r="CV240" s="641"/>
      <c r="CW240" s="641"/>
      <c r="CX240" s="641"/>
      <c r="CY240" s="641"/>
      <c r="CZ240" s="641"/>
      <c r="DA240" s="641"/>
      <c r="DB240" s="641"/>
      <c r="DC240" s="641"/>
      <c r="DD240" s="641"/>
      <c r="DE240" s="641"/>
      <c r="DF240" s="641"/>
      <c r="DG240" s="641"/>
      <c r="DH240" s="641"/>
      <c r="DI240" s="641"/>
      <c r="DJ240" s="641"/>
      <c r="DK240" s="641"/>
      <c r="DL240" s="641"/>
      <c r="DM240" s="641"/>
      <c r="DN240" s="641"/>
      <c r="DO240" s="641"/>
      <c r="DP240" s="641"/>
      <c r="DQ240" s="642"/>
      <c r="DR240" s="229"/>
    </row>
    <row r="241" spans="1:122" ht="7.5" customHeight="1" x14ac:dyDescent="0.25">
      <c r="A241" s="588">
        <v>0</v>
      </c>
      <c r="B241" s="589"/>
      <c r="C241" s="589"/>
      <c r="D241" s="589"/>
      <c r="E241" s="590"/>
      <c r="F241" s="129"/>
      <c r="G241" s="597" t="s">
        <v>143</v>
      </c>
      <c r="H241" s="597"/>
      <c r="I241" s="597"/>
      <c r="J241" s="597"/>
      <c r="K241" s="597"/>
      <c r="L241" s="597"/>
      <c r="M241" s="597"/>
      <c r="N241" s="597"/>
      <c r="O241" s="597"/>
      <c r="P241" s="597"/>
      <c r="Q241" s="597"/>
      <c r="R241" s="597"/>
      <c r="S241" s="597"/>
      <c r="T241" s="597"/>
      <c r="U241" s="597"/>
      <c r="V241" s="597"/>
      <c r="W241" s="597"/>
      <c r="X241" s="597"/>
      <c r="Y241" s="597"/>
      <c r="Z241" s="600" t="e">
        <f ca="1">FLOOR(INDIRECT(SUBSTITUTE(G241," ",""))/5+1,1)*10</f>
        <v>#REF!</v>
      </c>
      <c r="AA241" s="600"/>
      <c r="AB241" s="600"/>
      <c r="AC241" s="600"/>
      <c r="AD241" s="600"/>
      <c r="AE241" s="600"/>
      <c r="AF241" s="600"/>
      <c r="AG241" s="601"/>
      <c r="AH241" s="643"/>
      <c r="AI241" s="644"/>
      <c r="AJ241" s="644"/>
      <c r="AK241" s="644"/>
      <c r="AL241" s="644"/>
      <c r="AM241" s="644"/>
      <c r="AN241" s="644"/>
      <c r="AO241" s="644"/>
      <c r="AP241" s="644"/>
      <c r="AQ241" s="644"/>
      <c r="AR241" s="644"/>
      <c r="AS241" s="644"/>
      <c r="AT241" s="644"/>
      <c r="AU241" s="644"/>
      <c r="AV241" s="644"/>
      <c r="AW241" s="645"/>
      <c r="AX241" s="616" t="e">
        <f ca="1">"Further increases your "&amp;G241&amp;" skill from "&amp;INDIRECT(SUBSTITUTE(G241," ",""))&amp;" to "&amp;INDIRECT(SUBSTITUTE(G241," ",""))+1</f>
        <v>#REF!</v>
      </c>
      <c r="AY241" s="616"/>
      <c r="AZ241" s="616"/>
      <c r="BA241" s="616"/>
      <c r="BB241" s="616"/>
      <c r="BC241" s="616"/>
      <c r="BD241" s="616"/>
      <c r="BE241" s="616"/>
      <c r="BF241" s="616"/>
      <c r="BG241" s="616"/>
      <c r="BH241" s="616"/>
      <c r="BI241" s="616"/>
      <c r="BJ241" s="616"/>
      <c r="BK241" s="616"/>
      <c r="BL241" s="616"/>
      <c r="BM241" s="616"/>
      <c r="BN241" s="616"/>
      <c r="BO241" s="616"/>
      <c r="BP241" s="616"/>
      <c r="BQ241" s="616"/>
      <c r="BR241" s="616"/>
      <c r="BS241" s="616"/>
      <c r="BT241" s="616"/>
      <c r="BU241" s="616"/>
      <c r="BV241" s="616"/>
      <c r="BW241" s="616"/>
      <c r="BX241" s="616"/>
      <c r="BY241" s="616"/>
      <c r="BZ241" s="616"/>
      <c r="CA241" s="616"/>
      <c r="CB241" s="616"/>
      <c r="CC241" s="616"/>
      <c r="CD241" s="616"/>
      <c r="CE241" s="616"/>
      <c r="CF241" s="616"/>
      <c r="CG241" s="616"/>
      <c r="CH241" s="616"/>
      <c r="CI241" s="616"/>
      <c r="CJ241" s="616"/>
      <c r="CK241" s="616"/>
      <c r="CL241" s="616"/>
      <c r="CM241" s="616"/>
      <c r="CN241" s="616"/>
      <c r="CO241" s="616"/>
      <c r="CP241" s="616"/>
      <c r="CQ241" s="616"/>
      <c r="CR241" s="616"/>
      <c r="CS241" s="616"/>
      <c r="CT241" s="616"/>
      <c r="CU241" s="616"/>
      <c r="CV241" s="616"/>
      <c r="CW241" s="616"/>
      <c r="CX241" s="616"/>
      <c r="CY241" s="616"/>
      <c r="CZ241" s="616"/>
      <c r="DA241" s="616"/>
      <c r="DB241" s="616"/>
      <c r="DC241" s="616"/>
      <c r="DD241" s="616"/>
      <c r="DE241" s="616"/>
      <c r="DF241" s="616"/>
      <c r="DG241" s="616"/>
      <c r="DH241" s="616"/>
      <c r="DI241" s="616"/>
      <c r="DJ241" s="616"/>
      <c r="DK241" s="616"/>
      <c r="DL241" s="616"/>
      <c r="DM241" s="616"/>
      <c r="DN241" s="616"/>
      <c r="DO241" s="616"/>
      <c r="DP241" s="616"/>
      <c r="DQ241" s="617"/>
      <c r="DR241" s="229"/>
    </row>
    <row r="242" spans="1:122" ht="7.5" customHeight="1" x14ac:dyDescent="0.25">
      <c r="A242" s="591"/>
      <c r="B242" s="592"/>
      <c r="C242" s="592"/>
      <c r="D242" s="592"/>
      <c r="E242" s="593"/>
      <c r="F242" s="129"/>
      <c r="G242" s="598"/>
      <c r="H242" s="598"/>
      <c r="I242" s="598"/>
      <c r="J242" s="598"/>
      <c r="K242" s="598"/>
      <c r="L242" s="598"/>
      <c r="M242" s="598"/>
      <c r="N242" s="598"/>
      <c r="O242" s="598"/>
      <c r="P242" s="598"/>
      <c r="Q242" s="598"/>
      <c r="R242" s="598"/>
      <c r="S242" s="598"/>
      <c r="T242" s="598"/>
      <c r="U242" s="598"/>
      <c r="V242" s="598"/>
      <c r="W242" s="598"/>
      <c r="X242" s="598"/>
      <c r="Y242" s="598"/>
      <c r="Z242" s="602"/>
      <c r="AA242" s="602"/>
      <c r="AB242" s="602"/>
      <c r="AC242" s="602"/>
      <c r="AD242" s="602"/>
      <c r="AE242" s="602"/>
      <c r="AF242" s="602"/>
      <c r="AG242" s="635"/>
      <c r="AH242" s="646"/>
      <c r="AI242" s="449"/>
      <c r="AJ242" s="449"/>
      <c r="AK242" s="449"/>
      <c r="AL242" s="449"/>
      <c r="AM242" s="449"/>
      <c r="AN242" s="449"/>
      <c r="AO242" s="449"/>
      <c r="AP242" s="449"/>
      <c r="AQ242" s="449"/>
      <c r="AR242" s="449"/>
      <c r="AS242" s="449"/>
      <c r="AT242" s="449"/>
      <c r="AU242" s="449"/>
      <c r="AV242" s="449"/>
      <c r="AW242" s="647"/>
      <c r="AX242" s="619"/>
      <c r="AY242" s="619"/>
      <c r="AZ242" s="619"/>
      <c r="BA242" s="619"/>
      <c r="BB242" s="619"/>
      <c r="BC242" s="619"/>
      <c r="BD242" s="619"/>
      <c r="BE242" s="619"/>
      <c r="BF242" s="619"/>
      <c r="BG242" s="619"/>
      <c r="BH242" s="619"/>
      <c r="BI242" s="619"/>
      <c r="BJ242" s="619"/>
      <c r="BK242" s="619"/>
      <c r="BL242" s="619"/>
      <c r="BM242" s="619"/>
      <c r="BN242" s="619"/>
      <c r="BO242" s="619"/>
      <c r="BP242" s="619"/>
      <c r="BQ242" s="619"/>
      <c r="BR242" s="619"/>
      <c r="BS242" s="619"/>
      <c r="BT242" s="619"/>
      <c r="BU242" s="619"/>
      <c r="BV242" s="619"/>
      <c r="BW242" s="619"/>
      <c r="BX242" s="619"/>
      <c r="BY242" s="619"/>
      <c r="BZ242" s="619"/>
      <c r="CA242" s="619"/>
      <c r="CB242" s="619"/>
      <c r="CC242" s="619"/>
      <c r="CD242" s="619"/>
      <c r="CE242" s="619"/>
      <c r="CF242" s="619"/>
      <c r="CG242" s="619"/>
      <c r="CH242" s="619"/>
      <c r="CI242" s="619"/>
      <c r="CJ242" s="619"/>
      <c r="CK242" s="619"/>
      <c r="CL242" s="619"/>
      <c r="CM242" s="619"/>
      <c r="CN242" s="619"/>
      <c r="CO242" s="619"/>
      <c r="CP242" s="619"/>
      <c r="CQ242" s="619"/>
      <c r="CR242" s="619"/>
      <c r="CS242" s="619"/>
      <c r="CT242" s="619"/>
      <c r="CU242" s="619"/>
      <c r="CV242" s="619"/>
      <c r="CW242" s="619"/>
      <c r="CX242" s="619"/>
      <c r="CY242" s="619"/>
      <c r="CZ242" s="619"/>
      <c r="DA242" s="619"/>
      <c r="DB242" s="619"/>
      <c r="DC242" s="619"/>
      <c r="DD242" s="619"/>
      <c r="DE242" s="619"/>
      <c r="DF242" s="619"/>
      <c r="DG242" s="619"/>
      <c r="DH242" s="619"/>
      <c r="DI242" s="619"/>
      <c r="DJ242" s="619"/>
      <c r="DK242" s="619"/>
      <c r="DL242" s="619"/>
      <c r="DM242" s="619"/>
      <c r="DN242" s="619"/>
      <c r="DO242" s="619"/>
      <c r="DP242" s="619"/>
      <c r="DQ242" s="639"/>
      <c r="DR242" s="229"/>
    </row>
    <row r="243" spans="1:122" ht="7.5" customHeight="1" x14ac:dyDescent="0.25">
      <c r="A243" s="594"/>
      <c r="B243" s="595"/>
      <c r="C243" s="595"/>
      <c r="D243" s="595"/>
      <c r="E243" s="596"/>
      <c r="F243" s="129"/>
      <c r="G243" s="599"/>
      <c r="H243" s="599"/>
      <c r="I243" s="599"/>
      <c r="J243" s="599"/>
      <c r="K243" s="599"/>
      <c r="L243" s="599"/>
      <c r="M243" s="599"/>
      <c r="N243" s="599"/>
      <c r="O243" s="599"/>
      <c r="P243" s="599"/>
      <c r="Q243" s="599"/>
      <c r="R243" s="599"/>
      <c r="S243" s="599"/>
      <c r="T243" s="599"/>
      <c r="U243" s="599"/>
      <c r="V243" s="599"/>
      <c r="W243" s="599"/>
      <c r="X243" s="599"/>
      <c r="Y243" s="599"/>
      <c r="Z243" s="602"/>
      <c r="AA243" s="602"/>
      <c r="AB243" s="602"/>
      <c r="AC243" s="602"/>
      <c r="AD243" s="602"/>
      <c r="AE243" s="602"/>
      <c r="AF243" s="602"/>
      <c r="AG243" s="636"/>
      <c r="AH243" s="646"/>
      <c r="AI243" s="449"/>
      <c r="AJ243" s="449"/>
      <c r="AK243" s="449"/>
      <c r="AL243" s="449"/>
      <c r="AM243" s="449"/>
      <c r="AN243" s="449"/>
      <c r="AO243" s="449"/>
      <c r="AP243" s="449"/>
      <c r="AQ243" s="449"/>
      <c r="AR243" s="449"/>
      <c r="AS243" s="449"/>
      <c r="AT243" s="449"/>
      <c r="AU243" s="449"/>
      <c r="AV243" s="449"/>
      <c r="AW243" s="648"/>
      <c r="AX243" s="619"/>
      <c r="AY243" s="619"/>
      <c r="AZ243" s="619"/>
      <c r="BA243" s="619"/>
      <c r="BB243" s="619"/>
      <c r="BC243" s="619"/>
      <c r="BD243" s="619"/>
      <c r="BE243" s="619"/>
      <c r="BF243" s="619"/>
      <c r="BG243" s="619"/>
      <c r="BH243" s="619"/>
      <c r="BI243" s="619"/>
      <c r="BJ243" s="619"/>
      <c r="BK243" s="619"/>
      <c r="BL243" s="619"/>
      <c r="BM243" s="619"/>
      <c r="BN243" s="619"/>
      <c r="BO243" s="619"/>
      <c r="BP243" s="619"/>
      <c r="BQ243" s="619"/>
      <c r="BR243" s="619"/>
      <c r="BS243" s="619"/>
      <c r="BT243" s="619"/>
      <c r="BU243" s="619"/>
      <c r="BV243" s="619"/>
      <c r="BW243" s="619"/>
      <c r="BX243" s="619"/>
      <c r="BY243" s="619"/>
      <c r="BZ243" s="619"/>
      <c r="CA243" s="619"/>
      <c r="CB243" s="619"/>
      <c r="CC243" s="619"/>
      <c r="CD243" s="619"/>
      <c r="CE243" s="619"/>
      <c r="CF243" s="619"/>
      <c r="CG243" s="619"/>
      <c r="CH243" s="619"/>
      <c r="CI243" s="619"/>
      <c r="CJ243" s="619"/>
      <c r="CK243" s="619"/>
      <c r="CL243" s="619"/>
      <c r="CM243" s="619"/>
      <c r="CN243" s="619"/>
      <c r="CO243" s="619"/>
      <c r="CP243" s="619"/>
      <c r="CQ243" s="619"/>
      <c r="CR243" s="619"/>
      <c r="CS243" s="619"/>
      <c r="CT243" s="619"/>
      <c r="CU243" s="619"/>
      <c r="CV243" s="619"/>
      <c r="CW243" s="619"/>
      <c r="CX243" s="619"/>
      <c r="CY243" s="619"/>
      <c r="CZ243" s="619"/>
      <c r="DA243" s="619"/>
      <c r="DB243" s="619"/>
      <c r="DC243" s="619"/>
      <c r="DD243" s="619"/>
      <c r="DE243" s="619"/>
      <c r="DF243" s="619"/>
      <c r="DG243" s="619"/>
      <c r="DH243" s="619"/>
      <c r="DI243" s="619"/>
      <c r="DJ243" s="619"/>
      <c r="DK243" s="619"/>
      <c r="DL243" s="619"/>
      <c r="DM243" s="619"/>
      <c r="DN243" s="619"/>
      <c r="DO243" s="619"/>
      <c r="DP243" s="619"/>
      <c r="DQ243" s="640"/>
      <c r="DR243" s="229"/>
    </row>
    <row r="244" spans="1:122" ht="7.5" customHeight="1" x14ac:dyDescent="0.25">
      <c r="A244" s="119"/>
      <c r="B244" s="119"/>
      <c r="C244" s="119"/>
      <c r="D244" s="119"/>
      <c r="E244" s="119"/>
      <c r="F244" s="653" t="str">
        <f>G241</f>
        <v>Geovek</v>
      </c>
      <c r="G244" s="653"/>
      <c r="H244" s="653"/>
      <c r="I244" s="653"/>
      <c r="J244" s="653"/>
      <c r="K244" s="625" t="e">
        <f ca="1">(FLOOR(INDIRECT(SUBSTITUTE(G241," ",""))/5,1)*(FLOOR(INDIRECT(SUBSTITUTE(G241," ",""))/5,1)+1)/2)*50+MOD(INDIRECT(SUBSTITUTE(G241," ","")),5)*CEILING(INDIRECT(SUBSTITUTE(G241," ",""))/5,1)*10-((FLOOR(INDIRECT("Base"&amp;SUBSTITUTE(G241," ",""))/5,1)*(FLOOR(INDIRECT("Base"&amp;SUBSTITUTE(G241," ",""))/5,1)+1)/2)*50+MOD(INDIRECT("Base"&amp;SUBSTITUTE(G241," ","")),5)*CEILING(INDIRECT("Base"&amp;SUBSTITUTE(G241," ",""))/5,1)*10)</f>
        <v>#REF!</v>
      </c>
      <c r="L244" s="625"/>
      <c r="M244" s="625"/>
      <c r="N244" s="626" t="b">
        <f>IF(AH237&lt;&gt;"",VLOOKUP($G241,'Merit Data'!A:BW,MATCH('Merit Data'!$B$3,'Merit Data'!$3:$3,0),0),TRUE)</f>
        <v>1</v>
      </c>
      <c r="O244" s="626"/>
      <c r="P244" s="626"/>
      <c r="Q244" s="140"/>
      <c r="R244" s="140"/>
      <c r="S244" s="140"/>
      <c r="T244" s="140"/>
      <c r="U244" s="140"/>
      <c r="V244" s="238"/>
      <c r="W244" s="238"/>
      <c r="X244" s="627" t="str">
        <f>IF(F244&gt;0,HYPERLINK("http://wiki.project-saros.com/w/"&amp;F244,"Info"),"")</f>
        <v>Info</v>
      </c>
      <c r="Y244" s="628"/>
      <c r="Z244" s="637"/>
      <c r="AA244" s="637"/>
      <c r="AB244" s="637"/>
      <c r="AC244" s="637"/>
      <c r="AD244" s="637"/>
      <c r="AE244" s="637"/>
      <c r="AF244" s="637"/>
      <c r="AG244" s="638"/>
      <c r="AH244" s="649"/>
      <c r="AI244" s="650"/>
      <c r="AJ244" s="650"/>
      <c r="AK244" s="651"/>
      <c r="AL244" s="651"/>
      <c r="AM244" s="651"/>
      <c r="AN244" s="651"/>
      <c r="AO244" s="651"/>
      <c r="AP244" s="651"/>
      <c r="AQ244" s="651"/>
      <c r="AR244" s="651"/>
      <c r="AS244" s="650"/>
      <c r="AT244" s="650"/>
      <c r="AU244" s="650"/>
      <c r="AV244" s="650"/>
      <c r="AW244" s="652"/>
      <c r="AX244" s="641"/>
      <c r="AY244" s="641"/>
      <c r="AZ244" s="641"/>
      <c r="BA244" s="641"/>
      <c r="BB244" s="641"/>
      <c r="BC244" s="641"/>
      <c r="BD244" s="641"/>
      <c r="BE244" s="641"/>
      <c r="BF244" s="641"/>
      <c r="BG244" s="641"/>
      <c r="BH244" s="641"/>
      <c r="BI244" s="641"/>
      <c r="BJ244" s="641"/>
      <c r="BK244" s="641"/>
      <c r="BL244" s="641"/>
      <c r="BM244" s="641"/>
      <c r="BN244" s="641"/>
      <c r="BO244" s="641"/>
      <c r="BP244" s="641"/>
      <c r="BQ244" s="641"/>
      <c r="BR244" s="641"/>
      <c r="BS244" s="641"/>
      <c r="BT244" s="641"/>
      <c r="BU244" s="641"/>
      <c r="BV244" s="641"/>
      <c r="BW244" s="641"/>
      <c r="BX244" s="641"/>
      <c r="BY244" s="641"/>
      <c r="BZ244" s="641"/>
      <c r="CA244" s="641"/>
      <c r="CB244" s="641"/>
      <c r="CC244" s="641"/>
      <c r="CD244" s="641"/>
      <c r="CE244" s="641"/>
      <c r="CF244" s="641"/>
      <c r="CG244" s="641"/>
      <c r="CH244" s="641"/>
      <c r="CI244" s="641"/>
      <c r="CJ244" s="641"/>
      <c r="CK244" s="641"/>
      <c r="CL244" s="641"/>
      <c r="CM244" s="641"/>
      <c r="CN244" s="641"/>
      <c r="CO244" s="641"/>
      <c r="CP244" s="641"/>
      <c r="CQ244" s="641"/>
      <c r="CR244" s="641"/>
      <c r="CS244" s="641"/>
      <c r="CT244" s="641"/>
      <c r="CU244" s="641"/>
      <c r="CV244" s="641"/>
      <c r="CW244" s="641"/>
      <c r="CX244" s="641"/>
      <c r="CY244" s="641"/>
      <c r="CZ244" s="641"/>
      <c r="DA244" s="641"/>
      <c r="DB244" s="641"/>
      <c r="DC244" s="641"/>
      <c r="DD244" s="641"/>
      <c r="DE244" s="641"/>
      <c r="DF244" s="641"/>
      <c r="DG244" s="641"/>
      <c r="DH244" s="641"/>
      <c r="DI244" s="641"/>
      <c r="DJ244" s="641"/>
      <c r="DK244" s="641"/>
      <c r="DL244" s="641"/>
      <c r="DM244" s="641"/>
      <c r="DN244" s="641"/>
      <c r="DO244" s="641"/>
      <c r="DP244" s="641"/>
      <c r="DQ244" s="642"/>
      <c r="DR244" s="229"/>
    </row>
    <row r="245" spans="1:122" ht="7.5" customHeight="1" x14ac:dyDescent="0.25">
      <c r="A245" s="588">
        <v>0</v>
      </c>
      <c r="B245" s="589"/>
      <c r="C245" s="589"/>
      <c r="D245" s="589"/>
      <c r="E245" s="590"/>
      <c r="F245" s="129"/>
      <c r="G245" s="597" t="s">
        <v>127</v>
      </c>
      <c r="H245" s="597"/>
      <c r="I245" s="597"/>
      <c r="J245" s="597"/>
      <c r="K245" s="597"/>
      <c r="L245" s="597"/>
      <c r="M245" s="597"/>
      <c r="N245" s="597"/>
      <c r="O245" s="597"/>
      <c r="P245" s="597"/>
      <c r="Q245" s="597"/>
      <c r="R245" s="597"/>
      <c r="S245" s="597"/>
      <c r="T245" s="597"/>
      <c r="U245" s="597"/>
      <c r="V245" s="597"/>
      <c r="W245" s="597"/>
      <c r="X245" s="597"/>
      <c r="Y245" s="597"/>
      <c r="Z245" s="600" t="e">
        <f ca="1">FLOOR(INDIRECT(SUBSTITUTE(G245," ",""))/5+1,1)*10</f>
        <v>#REF!</v>
      </c>
      <c r="AA245" s="600"/>
      <c r="AB245" s="600"/>
      <c r="AC245" s="600"/>
      <c r="AD245" s="600"/>
      <c r="AE245" s="600"/>
      <c r="AF245" s="600"/>
      <c r="AG245" s="601"/>
      <c r="AH245" s="643"/>
      <c r="AI245" s="644"/>
      <c r="AJ245" s="644"/>
      <c r="AK245" s="644"/>
      <c r="AL245" s="644"/>
      <c r="AM245" s="644"/>
      <c r="AN245" s="644"/>
      <c r="AO245" s="644"/>
      <c r="AP245" s="644"/>
      <c r="AQ245" s="644"/>
      <c r="AR245" s="644"/>
      <c r="AS245" s="644"/>
      <c r="AT245" s="644"/>
      <c r="AU245" s="644"/>
      <c r="AV245" s="644"/>
      <c r="AW245" s="645"/>
      <c r="AX245" s="616" t="e">
        <f ca="1">"Further increases your "&amp;G245&amp;" skill from "&amp;INDIRECT(SUBSTITUTE(G245," ",""))&amp;" to "&amp;INDIRECT(SUBSTITUTE(G245," ",""))+1</f>
        <v>#REF!</v>
      </c>
      <c r="AY245" s="616"/>
      <c r="AZ245" s="616"/>
      <c r="BA245" s="616"/>
      <c r="BB245" s="616"/>
      <c r="BC245" s="616"/>
      <c r="BD245" s="616"/>
      <c r="BE245" s="616"/>
      <c r="BF245" s="616"/>
      <c r="BG245" s="616"/>
      <c r="BH245" s="616"/>
      <c r="BI245" s="616"/>
      <c r="BJ245" s="616"/>
      <c r="BK245" s="616"/>
      <c r="BL245" s="616"/>
      <c r="BM245" s="616"/>
      <c r="BN245" s="616"/>
      <c r="BO245" s="616"/>
      <c r="BP245" s="616"/>
      <c r="BQ245" s="616"/>
      <c r="BR245" s="616"/>
      <c r="BS245" s="616"/>
      <c r="BT245" s="616"/>
      <c r="BU245" s="616"/>
      <c r="BV245" s="616"/>
      <c r="BW245" s="616"/>
      <c r="BX245" s="616"/>
      <c r="BY245" s="616"/>
      <c r="BZ245" s="616"/>
      <c r="CA245" s="616"/>
      <c r="CB245" s="616"/>
      <c r="CC245" s="616"/>
      <c r="CD245" s="616"/>
      <c r="CE245" s="616"/>
      <c r="CF245" s="616"/>
      <c r="CG245" s="616"/>
      <c r="CH245" s="616"/>
      <c r="CI245" s="616"/>
      <c r="CJ245" s="616"/>
      <c r="CK245" s="616"/>
      <c r="CL245" s="616"/>
      <c r="CM245" s="616"/>
      <c r="CN245" s="616"/>
      <c r="CO245" s="616"/>
      <c r="CP245" s="616"/>
      <c r="CQ245" s="616"/>
      <c r="CR245" s="616"/>
      <c r="CS245" s="616"/>
      <c r="CT245" s="616"/>
      <c r="CU245" s="616"/>
      <c r="CV245" s="616"/>
      <c r="CW245" s="616"/>
      <c r="CX245" s="616"/>
      <c r="CY245" s="616"/>
      <c r="CZ245" s="616"/>
      <c r="DA245" s="616"/>
      <c r="DB245" s="616"/>
      <c r="DC245" s="616"/>
      <c r="DD245" s="616"/>
      <c r="DE245" s="616"/>
      <c r="DF245" s="616"/>
      <c r="DG245" s="616"/>
      <c r="DH245" s="616"/>
      <c r="DI245" s="616"/>
      <c r="DJ245" s="616"/>
      <c r="DK245" s="616"/>
      <c r="DL245" s="616"/>
      <c r="DM245" s="616"/>
      <c r="DN245" s="616"/>
      <c r="DO245" s="616"/>
      <c r="DP245" s="616"/>
      <c r="DQ245" s="617"/>
      <c r="DR245" s="229"/>
    </row>
    <row r="246" spans="1:122" ht="7.5" customHeight="1" x14ac:dyDescent="0.25">
      <c r="A246" s="591"/>
      <c r="B246" s="592"/>
      <c r="C246" s="592"/>
      <c r="D246" s="592"/>
      <c r="E246" s="593"/>
      <c r="F246" s="129"/>
      <c r="G246" s="598"/>
      <c r="H246" s="598"/>
      <c r="I246" s="598"/>
      <c r="J246" s="598"/>
      <c r="K246" s="598"/>
      <c r="L246" s="598"/>
      <c r="M246" s="598"/>
      <c r="N246" s="598"/>
      <c r="O246" s="598"/>
      <c r="P246" s="598"/>
      <c r="Q246" s="598"/>
      <c r="R246" s="598"/>
      <c r="S246" s="598"/>
      <c r="T246" s="598"/>
      <c r="U246" s="598"/>
      <c r="V246" s="598"/>
      <c r="W246" s="598"/>
      <c r="X246" s="598"/>
      <c r="Y246" s="598"/>
      <c r="Z246" s="602"/>
      <c r="AA246" s="602"/>
      <c r="AB246" s="602"/>
      <c r="AC246" s="602"/>
      <c r="AD246" s="602"/>
      <c r="AE246" s="602"/>
      <c r="AF246" s="602"/>
      <c r="AG246" s="635"/>
      <c r="AH246" s="646"/>
      <c r="AI246" s="449"/>
      <c r="AJ246" s="449"/>
      <c r="AK246" s="449"/>
      <c r="AL246" s="449"/>
      <c r="AM246" s="449"/>
      <c r="AN246" s="449"/>
      <c r="AO246" s="449"/>
      <c r="AP246" s="449"/>
      <c r="AQ246" s="449"/>
      <c r="AR246" s="449"/>
      <c r="AS246" s="449"/>
      <c r="AT246" s="449"/>
      <c r="AU246" s="449"/>
      <c r="AV246" s="449"/>
      <c r="AW246" s="647"/>
      <c r="AX246" s="619"/>
      <c r="AY246" s="619"/>
      <c r="AZ246" s="619"/>
      <c r="BA246" s="619"/>
      <c r="BB246" s="619"/>
      <c r="BC246" s="619"/>
      <c r="BD246" s="619"/>
      <c r="BE246" s="619"/>
      <c r="BF246" s="619"/>
      <c r="BG246" s="619"/>
      <c r="BH246" s="619"/>
      <c r="BI246" s="619"/>
      <c r="BJ246" s="619"/>
      <c r="BK246" s="619"/>
      <c r="BL246" s="619"/>
      <c r="BM246" s="619"/>
      <c r="BN246" s="619"/>
      <c r="BO246" s="619"/>
      <c r="BP246" s="619"/>
      <c r="BQ246" s="619"/>
      <c r="BR246" s="619"/>
      <c r="BS246" s="619"/>
      <c r="BT246" s="619"/>
      <c r="BU246" s="619"/>
      <c r="BV246" s="619"/>
      <c r="BW246" s="619"/>
      <c r="BX246" s="619"/>
      <c r="BY246" s="619"/>
      <c r="BZ246" s="619"/>
      <c r="CA246" s="619"/>
      <c r="CB246" s="619"/>
      <c r="CC246" s="619"/>
      <c r="CD246" s="619"/>
      <c r="CE246" s="619"/>
      <c r="CF246" s="619"/>
      <c r="CG246" s="619"/>
      <c r="CH246" s="619"/>
      <c r="CI246" s="619"/>
      <c r="CJ246" s="619"/>
      <c r="CK246" s="619"/>
      <c r="CL246" s="619"/>
      <c r="CM246" s="619"/>
      <c r="CN246" s="619"/>
      <c r="CO246" s="619"/>
      <c r="CP246" s="619"/>
      <c r="CQ246" s="619"/>
      <c r="CR246" s="619"/>
      <c r="CS246" s="619"/>
      <c r="CT246" s="619"/>
      <c r="CU246" s="619"/>
      <c r="CV246" s="619"/>
      <c r="CW246" s="619"/>
      <c r="CX246" s="619"/>
      <c r="CY246" s="619"/>
      <c r="CZ246" s="619"/>
      <c r="DA246" s="619"/>
      <c r="DB246" s="619"/>
      <c r="DC246" s="619"/>
      <c r="DD246" s="619"/>
      <c r="DE246" s="619"/>
      <c r="DF246" s="619"/>
      <c r="DG246" s="619"/>
      <c r="DH246" s="619"/>
      <c r="DI246" s="619"/>
      <c r="DJ246" s="619"/>
      <c r="DK246" s="619"/>
      <c r="DL246" s="619"/>
      <c r="DM246" s="619"/>
      <c r="DN246" s="619"/>
      <c r="DO246" s="619"/>
      <c r="DP246" s="619"/>
      <c r="DQ246" s="639"/>
      <c r="DR246" s="229"/>
    </row>
    <row r="247" spans="1:122" ht="7.5" customHeight="1" x14ac:dyDescent="0.25">
      <c r="A247" s="594"/>
      <c r="B247" s="595"/>
      <c r="C247" s="595"/>
      <c r="D247" s="595"/>
      <c r="E247" s="596"/>
      <c r="F247" s="129"/>
      <c r="G247" s="599"/>
      <c r="H247" s="599"/>
      <c r="I247" s="599"/>
      <c r="J247" s="599"/>
      <c r="K247" s="599"/>
      <c r="L247" s="599"/>
      <c r="M247" s="599"/>
      <c r="N247" s="599"/>
      <c r="O247" s="599"/>
      <c r="P247" s="599"/>
      <c r="Q247" s="599"/>
      <c r="R247" s="599"/>
      <c r="S247" s="599"/>
      <c r="T247" s="599"/>
      <c r="U247" s="599"/>
      <c r="V247" s="599"/>
      <c r="W247" s="599"/>
      <c r="X247" s="599"/>
      <c r="Y247" s="599"/>
      <c r="Z247" s="602"/>
      <c r="AA247" s="602"/>
      <c r="AB247" s="602"/>
      <c r="AC247" s="602"/>
      <c r="AD247" s="602"/>
      <c r="AE247" s="602"/>
      <c r="AF247" s="602"/>
      <c r="AG247" s="636"/>
      <c r="AH247" s="646"/>
      <c r="AI247" s="449"/>
      <c r="AJ247" s="449"/>
      <c r="AK247" s="449"/>
      <c r="AL247" s="449"/>
      <c r="AM247" s="449"/>
      <c r="AN247" s="449"/>
      <c r="AO247" s="449"/>
      <c r="AP247" s="449"/>
      <c r="AQ247" s="449"/>
      <c r="AR247" s="449"/>
      <c r="AS247" s="449"/>
      <c r="AT247" s="449"/>
      <c r="AU247" s="449"/>
      <c r="AV247" s="449"/>
      <c r="AW247" s="648"/>
      <c r="AX247" s="619"/>
      <c r="AY247" s="619"/>
      <c r="AZ247" s="619"/>
      <c r="BA247" s="619"/>
      <c r="BB247" s="619"/>
      <c r="BC247" s="619"/>
      <c r="BD247" s="619"/>
      <c r="BE247" s="619"/>
      <c r="BF247" s="619"/>
      <c r="BG247" s="619"/>
      <c r="BH247" s="619"/>
      <c r="BI247" s="619"/>
      <c r="BJ247" s="619"/>
      <c r="BK247" s="619"/>
      <c r="BL247" s="619"/>
      <c r="BM247" s="619"/>
      <c r="BN247" s="619"/>
      <c r="BO247" s="619"/>
      <c r="BP247" s="619"/>
      <c r="BQ247" s="619"/>
      <c r="BR247" s="619"/>
      <c r="BS247" s="619"/>
      <c r="BT247" s="619"/>
      <c r="BU247" s="619"/>
      <c r="BV247" s="619"/>
      <c r="BW247" s="619"/>
      <c r="BX247" s="619"/>
      <c r="BY247" s="619"/>
      <c r="BZ247" s="619"/>
      <c r="CA247" s="619"/>
      <c r="CB247" s="619"/>
      <c r="CC247" s="619"/>
      <c r="CD247" s="619"/>
      <c r="CE247" s="619"/>
      <c r="CF247" s="619"/>
      <c r="CG247" s="619"/>
      <c r="CH247" s="619"/>
      <c r="CI247" s="619"/>
      <c r="CJ247" s="619"/>
      <c r="CK247" s="619"/>
      <c r="CL247" s="619"/>
      <c r="CM247" s="619"/>
      <c r="CN247" s="619"/>
      <c r="CO247" s="619"/>
      <c r="CP247" s="619"/>
      <c r="CQ247" s="619"/>
      <c r="CR247" s="619"/>
      <c r="CS247" s="619"/>
      <c r="CT247" s="619"/>
      <c r="CU247" s="619"/>
      <c r="CV247" s="619"/>
      <c r="CW247" s="619"/>
      <c r="CX247" s="619"/>
      <c r="CY247" s="619"/>
      <c r="CZ247" s="619"/>
      <c r="DA247" s="619"/>
      <c r="DB247" s="619"/>
      <c r="DC247" s="619"/>
      <c r="DD247" s="619"/>
      <c r="DE247" s="619"/>
      <c r="DF247" s="619"/>
      <c r="DG247" s="619"/>
      <c r="DH247" s="619"/>
      <c r="DI247" s="619"/>
      <c r="DJ247" s="619"/>
      <c r="DK247" s="619"/>
      <c r="DL247" s="619"/>
      <c r="DM247" s="619"/>
      <c r="DN247" s="619"/>
      <c r="DO247" s="619"/>
      <c r="DP247" s="619"/>
      <c r="DQ247" s="640"/>
      <c r="DR247" s="229"/>
    </row>
    <row r="248" spans="1:122" ht="7.5" customHeight="1" x14ac:dyDescent="0.25">
      <c r="A248" s="119"/>
      <c r="B248" s="119"/>
      <c r="C248" s="119"/>
      <c r="D248" s="119"/>
      <c r="E248" s="119"/>
      <c r="F248" s="653" t="str">
        <f>G245</f>
        <v>Goblin</v>
      </c>
      <c r="G248" s="653"/>
      <c r="H248" s="653"/>
      <c r="I248" s="653"/>
      <c r="J248" s="653"/>
      <c r="K248" s="625" t="e">
        <f ca="1">(FLOOR(INDIRECT(SUBSTITUTE(G245," ",""))/5,1)*(FLOOR(INDIRECT(SUBSTITUTE(G245," ",""))/5,1)+1)/2)*50+MOD(INDIRECT(SUBSTITUTE(G245," ","")),5)*CEILING(INDIRECT(SUBSTITUTE(G245," ",""))/5,1)*10-((FLOOR(INDIRECT("Base"&amp;SUBSTITUTE(G245," ",""))/5,1)*(FLOOR(INDIRECT("Base"&amp;SUBSTITUTE(G245," ",""))/5,1)+1)/2)*50+MOD(INDIRECT("Base"&amp;SUBSTITUTE(G245," ","")),5)*CEILING(INDIRECT("Base"&amp;SUBSTITUTE(G245," ",""))/5,1)*10)</f>
        <v>#REF!</v>
      </c>
      <c r="L248" s="625"/>
      <c r="M248" s="625"/>
      <c r="N248" s="626" t="b">
        <f>IF(AH241&lt;&gt;"",VLOOKUP($G245,'Merit Data'!A:BW,MATCH('Merit Data'!$B$3,'Merit Data'!$3:$3,0),0),TRUE)</f>
        <v>1</v>
      </c>
      <c r="O248" s="626"/>
      <c r="P248" s="626"/>
      <c r="Q248" s="140"/>
      <c r="R248" s="140"/>
      <c r="S248" s="140"/>
      <c r="T248" s="140"/>
      <c r="U248" s="140"/>
      <c r="V248" s="238"/>
      <c r="W248" s="238"/>
      <c r="X248" s="627" t="str">
        <f>IF(F248&gt;0,HYPERLINK("http://wiki.project-saros.com/w/"&amp;F248,"Info"),"")</f>
        <v>Info</v>
      </c>
      <c r="Y248" s="628"/>
      <c r="Z248" s="637"/>
      <c r="AA248" s="637"/>
      <c r="AB248" s="637"/>
      <c r="AC248" s="637"/>
      <c r="AD248" s="637"/>
      <c r="AE248" s="637"/>
      <c r="AF248" s="637"/>
      <c r="AG248" s="638"/>
      <c r="AH248" s="649"/>
      <c r="AI248" s="650"/>
      <c r="AJ248" s="650"/>
      <c r="AK248" s="651"/>
      <c r="AL248" s="651"/>
      <c r="AM248" s="651"/>
      <c r="AN248" s="651"/>
      <c r="AO248" s="651"/>
      <c r="AP248" s="651"/>
      <c r="AQ248" s="651"/>
      <c r="AR248" s="651"/>
      <c r="AS248" s="650"/>
      <c r="AT248" s="650"/>
      <c r="AU248" s="650"/>
      <c r="AV248" s="650"/>
      <c r="AW248" s="652"/>
      <c r="AX248" s="641"/>
      <c r="AY248" s="641"/>
      <c r="AZ248" s="641"/>
      <c r="BA248" s="641"/>
      <c r="BB248" s="641"/>
      <c r="BC248" s="641"/>
      <c r="BD248" s="641"/>
      <c r="BE248" s="641"/>
      <c r="BF248" s="641"/>
      <c r="BG248" s="641"/>
      <c r="BH248" s="641"/>
      <c r="BI248" s="641"/>
      <c r="BJ248" s="641"/>
      <c r="BK248" s="641"/>
      <c r="BL248" s="641"/>
      <c r="BM248" s="641"/>
      <c r="BN248" s="641"/>
      <c r="BO248" s="641"/>
      <c r="BP248" s="641"/>
      <c r="BQ248" s="641"/>
      <c r="BR248" s="641"/>
      <c r="BS248" s="641"/>
      <c r="BT248" s="641"/>
      <c r="BU248" s="641"/>
      <c r="BV248" s="641"/>
      <c r="BW248" s="641"/>
      <c r="BX248" s="641"/>
      <c r="BY248" s="641"/>
      <c r="BZ248" s="641"/>
      <c r="CA248" s="641"/>
      <c r="CB248" s="641"/>
      <c r="CC248" s="641"/>
      <c r="CD248" s="641"/>
      <c r="CE248" s="641"/>
      <c r="CF248" s="641"/>
      <c r="CG248" s="641"/>
      <c r="CH248" s="641"/>
      <c r="CI248" s="641"/>
      <c r="CJ248" s="641"/>
      <c r="CK248" s="641"/>
      <c r="CL248" s="641"/>
      <c r="CM248" s="641"/>
      <c r="CN248" s="641"/>
      <c r="CO248" s="641"/>
      <c r="CP248" s="641"/>
      <c r="CQ248" s="641"/>
      <c r="CR248" s="641"/>
      <c r="CS248" s="641"/>
      <c r="CT248" s="641"/>
      <c r="CU248" s="641"/>
      <c r="CV248" s="641"/>
      <c r="CW248" s="641"/>
      <c r="CX248" s="641"/>
      <c r="CY248" s="641"/>
      <c r="CZ248" s="641"/>
      <c r="DA248" s="641"/>
      <c r="DB248" s="641"/>
      <c r="DC248" s="641"/>
      <c r="DD248" s="641"/>
      <c r="DE248" s="641"/>
      <c r="DF248" s="641"/>
      <c r="DG248" s="641"/>
      <c r="DH248" s="641"/>
      <c r="DI248" s="641"/>
      <c r="DJ248" s="641"/>
      <c r="DK248" s="641"/>
      <c r="DL248" s="641"/>
      <c r="DM248" s="641"/>
      <c r="DN248" s="641"/>
      <c r="DO248" s="641"/>
      <c r="DP248" s="641"/>
      <c r="DQ248" s="642"/>
      <c r="DR248" s="229"/>
    </row>
    <row r="249" spans="1:122" ht="7.5" customHeight="1" x14ac:dyDescent="0.25">
      <c r="A249" s="588">
        <v>0</v>
      </c>
      <c r="B249" s="589"/>
      <c r="C249" s="589"/>
      <c r="D249" s="589"/>
      <c r="E249" s="590"/>
      <c r="F249" s="129"/>
      <c r="G249" s="597" t="s">
        <v>144</v>
      </c>
      <c r="H249" s="597"/>
      <c r="I249" s="597"/>
      <c r="J249" s="597"/>
      <c r="K249" s="597"/>
      <c r="L249" s="597"/>
      <c r="M249" s="597"/>
      <c r="N249" s="597"/>
      <c r="O249" s="597"/>
      <c r="P249" s="597"/>
      <c r="Q249" s="597"/>
      <c r="R249" s="597"/>
      <c r="S249" s="597"/>
      <c r="T249" s="597"/>
      <c r="U249" s="597"/>
      <c r="V249" s="597"/>
      <c r="W249" s="597"/>
      <c r="X249" s="597"/>
      <c r="Y249" s="597"/>
      <c r="Z249" s="600" t="e">
        <f ca="1">FLOOR(INDIRECT(SUBSTITUTE(G249," ",""))/5+1,1)*10</f>
        <v>#REF!</v>
      </c>
      <c r="AA249" s="600"/>
      <c r="AB249" s="600"/>
      <c r="AC249" s="600"/>
      <c r="AD249" s="600"/>
      <c r="AE249" s="600"/>
      <c r="AF249" s="600"/>
      <c r="AG249" s="601"/>
      <c r="AH249" s="643"/>
      <c r="AI249" s="644"/>
      <c r="AJ249" s="644"/>
      <c r="AK249" s="644"/>
      <c r="AL249" s="644"/>
      <c r="AM249" s="644"/>
      <c r="AN249" s="644"/>
      <c r="AO249" s="644"/>
      <c r="AP249" s="644"/>
      <c r="AQ249" s="644"/>
      <c r="AR249" s="644"/>
      <c r="AS249" s="644"/>
      <c r="AT249" s="644"/>
      <c r="AU249" s="644"/>
      <c r="AV249" s="644"/>
      <c r="AW249" s="645"/>
      <c r="AX249" s="616" t="e">
        <f ca="1">"Further increases your "&amp;G249&amp;" skill from "&amp;INDIRECT(SUBSTITUTE(G249," ",""))&amp;" to "&amp;INDIRECT(SUBSTITUTE(G249," ",""))+1</f>
        <v>#REF!</v>
      </c>
      <c r="AY249" s="616"/>
      <c r="AZ249" s="616"/>
      <c r="BA249" s="616"/>
      <c r="BB249" s="616"/>
      <c r="BC249" s="616"/>
      <c r="BD249" s="616"/>
      <c r="BE249" s="616"/>
      <c r="BF249" s="616"/>
      <c r="BG249" s="616"/>
      <c r="BH249" s="616"/>
      <c r="BI249" s="616"/>
      <c r="BJ249" s="616"/>
      <c r="BK249" s="616"/>
      <c r="BL249" s="616"/>
      <c r="BM249" s="616"/>
      <c r="BN249" s="616"/>
      <c r="BO249" s="616"/>
      <c r="BP249" s="616"/>
      <c r="BQ249" s="616"/>
      <c r="BR249" s="616"/>
      <c r="BS249" s="616"/>
      <c r="BT249" s="616"/>
      <c r="BU249" s="616"/>
      <c r="BV249" s="616"/>
      <c r="BW249" s="616"/>
      <c r="BX249" s="616"/>
      <c r="BY249" s="616"/>
      <c r="BZ249" s="616"/>
      <c r="CA249" s="616"/>
      <c r="CB249" s="616"/>
      <c r="CC249" s="616"/>
      <c r="CD249" s="616"/>
      <c r="CE249" s="616"/>
      <c r="CF249" s="616"/>
      <c r="CG249" s="616"/>
      <c r="CH249" s="616"/>
      <c r="CI249" s="616"/>
      <c r="CJ249" s="616"/>
      <c r="CK249" s="616"/>
      <c r="CL249" s="616"/>
      <c r="CM249" s="616"/>
      <c r="CN249" s="616"/>
      <c r="CO249" s="616"/>
      <c r="CP249" s="616"/>
      <c r="CQ249" s="616"/>
      <c r="CR249" s="616"/>
      <c r="CS249" s="616"/>
      <c r="CT249" s="616"/>
      <c r="CU249" s="616"/>
      <c r="CV249" s="616"/>
      <c r="CW249" s="616"/>
      <c r="CX249" s="616"/>
      <c r="CY249" s="616"/>
      <c r="CZ249" s="616"/>
      <c r="DA249" s="616"/>
      <c r="DB249" s="616"/>
      <c r="DC249" s="616"/>
      <c r="DD249" s="616"/>
      <c r="DE249" s="616"/>
      <c r="DF249" s="616"/>
      <c r="DG249" s="616"/>
      <c r="DH249" s="616"/>
      <c r="DI249" s="616"/>
      <c r="DJ249" s="616"/>
      <c r="DK249" s="616"/>
      <c r="DL249" s="616"/>
      <c r="DM249" s="616"/>
      <c r="DN249" s="616"/>
      <c r="DO249" s="616"/>
      <c r="DP249" s="616"/>
      <c r="DQ249" s="617"/>
      <c r="DR249" s="229"/>
    </row>
    <row r="250" spans="1:122" ht="7.5" customHeight="1" x14ac:dyDescent="0.25">
      <c r="A250" s="591"/>
      <c r="B250" s="592"/>
      <c r="C250" s="592"/>
      <c r="D250" s="592"/>
      <c r="E250" s="593"/>
      <c r="F250" s="129"/>
      <c r="G250" s="598"/>
      <c r="H250" s="598"/>
      <c r="I250" s="598"/>
      <c r="J250" s="598"/>
      <c r="K250" s="598"/>
      <c r="L250" s="598"/>
      <c r="M250" s="598"/>
      <c r="N250" s="598"/>
      <c r="O250" s="598"/>
      <c r="P250" s="598"/>
      <c r="Q250" s="598"/>
      <c r="R250" s="598"/>
      <c r="S250" s="598"/>
      <c r="T250" s="598"/>
      <c r="U250" s="598"/>
      <c r="V250" s="598"/>
      <c r="W250" s="598"/>
      <c r="X250" s="598"/>
      <c r="Y250" s="598"/>
      <c r="Z250" s="602"/>
      <c r="AA250" s="602"/>
      <c r="AB250" s="602"/>
      <c r="AC250" s="602"/>
      <c r="AD250" s="602"/>
      <c r="AE250" s="602"/>
      <c r="AF250" s="602"/>
      <c r="AG250" s="635"/>
      <c r="AH250" s="646"/>
      <c r="AI250" s="449"/>
      <c r="AJ250" s="449"/>
      <c r="AK250" s="449"/>
      <c r="AL250" s="449"/>
      <c r="AM250" s="449"/>
      <c r="AN250" s="449"/>
      <c r="AO250" s="449"/>
      <c r="AP250" s="449"/>
      <c r="AQ250" s="449"/>
      <c r="AR250" s="449"/>
      <c r="AS250" s="449"/>
      <c r="AT250" s="449"/>
      <c r="AU250" s="449"/>
      <c r="AV250" s="449"/>
      <c r="AW250" s="647"/>
      <c r="AX250" s="619"/>
      <c r="AY250" s="619"/>
      <c r="AZ250" s="619"/>
      <c r="BA250" s="619"/>
      <c r="BB250" s="619"/>
      <c r="BC250" s="619"/>
      <c r="BD250" s="619"/>
      <c r="BE250" s="619"/>
      <c r="BF250" s="619"/>
      <c r="BG250" s="619"/>
      <c r="BH250" s="619"/>
      <c r="BI250" s="619"/>
      <c r="BJ250" s="619"/>
      <c r="BK250" s="619"/>
      <c r="BL250" s="619"/>
      <c r="BM250" s="619"/>
      <c r="BN250" s="619"/>
      <c r="BO250" s="619"/>
      <c r="BP250" s="619"/>
      <c r="BQ250" s="619"/>
      <c r="BR250" s="619"/>
      <c r="BS250" s="619"/>
      <c r="BT250" s="619"/>
      <c r="BU250" s="619"/>
      <c r="BV250" s="619"/>
      <c r="BW250" s="619"/>
      <c r="BX250" s="619"/>
      <c r="BY250" s="619"/>
      <c r="BZ250" s="619"/>
      <c r="CA250" s="619"/>
      <c r="CB250" s="619"/>
      <c r="CC250" s="619"/>
      <c r="CD250" s="619"/>
      <c r="CE250" s="619"/>
      <c r="CF250" s="619"/>
      <c r="CG250" s="619"/>
      <c r="CH250" s="619"/>
      <c r="CI250" s="619"/>
      <c r="CJ250" s="619"/>
      <c r="CK250" s="619"/>
      <c r="CL250" s="619"/>
      <c r="CM250" s="619"/>
      <c r="CN250" s="619"/>
      <c r="CO250" s="619"/>
      <c r="CP250" s="619"/>
      <c r="CQ250" s="619"/>
      <c r="CR250" s="619"/>
      <c r="CS250" s="619"/>
      <c r="CT250" s="619"/>
      <c r="CU250" s="619"/>
      <c r="CV250" s="619"/>
      <c r="CW250" s="619"/>
      <c r="CX250" s="619"/>
      <c r="CY250" s="619"/>
      <c r="CZ250" s="619"/>
      <c r="DA250" s="619"/>
      <c r="DB250" s="619"/>
      <c r="DC250" s="619"/>
      <c r="DD250" s="619"/>
      <c r="DE250" s="619"/>
      <c r="DF250" s="619"/>
      <c r="DG250" s="619"/>
      <c r="DH250" s="619"/>
      <c r="DI250" s="619"/>
      <c r="DJ250" s="619"/>
      <c r="DK250" s="619"/>
      <c r="DL250" s="619"/>
      <c r="DM250" s="619"/>
      <c r="DN250" s="619"/>
      <c r="DO250" s="619"/>
      <c r="DP250" s="619"/>
      <c r="DQ250" s="639"/>
      <c r="DR250" s="229"/>
    </row>
    <row r="251" spans="1:122" ht="7.5" customHeight="1" x14ac:dyDescent="0.25">
      <c r="A251" s="594"/>
      <c r="B251" s="595"/>
      <c r="C251" s="595"/>
      <c r="D251" s="595"/>
      <c r="E251" s="596"/>
      <c r="F251" s="129"/>
      <c r="G251" s="599"/>
      <c r="H251" s="599"/>
      <c r="I251" s="599"/>
      <c r="J251" s="599"/>
      <c r="K251" s="599"/>
      <c r="L251" s="599"/>
      <c r="M251" s="599"/>
      <c r="N251" s="599"/>
      <c r="O251" s="599"/>
      <c r="P251" s="599"/>
      <c r="Q251" s="599"/>
      <c r="R251" s="599"/>
      <c r="S251" s="599"/>
      <c r="T251" s="599"/>
      <c r="U251" s="599"/>
      <c r="V251" s="599"/>
      <c r="W251" s="599"/>
      <c r="X251" s="599"/>
      <c r="Y251" s="599"/>
      <c r="Z251" s="602"/>
      <c r="AA251" s="602"/>
      <c r="AB251" s="602"/>
      <c r="AC251" s="602"/>
      <c r="AD251" s="602"/>
      <c r="AE251" s="602"/>
      <c r="AF251" s="602"/>
      <c r="AG251" s="636"/>
      <c r="AH251" s="646"/>
      <c r="AI251" s="449"/>
      <c r="AJ251" s="449"/>
      <c r="AK251" s="449"/>
      <c r="AL251" s="449"/>
      <c r="AM251" s="449"/>
      <c r="AN251" s="449"/>
      <c r="AO251" s="449"/>
      <c r="AP251" s="449"/>
      <c r="AQ251" s="449"/>
      <c r="AR251" s="449"/>
      <c r="AS251" s="449"/>
      <c r="AT251" s="449"/>
      <c r="AU251" s="449"/>
      <c r="AV251" s="449"/>
      <c r="AW251" s="648"/>
      <c r="AX251" s="619"/>
      <c r="AY251" s="619"/>
      <c r="AZ251" s="619"/>
      <c r="BA251" s="619"/>
      <c r="BB251" s="619"/>
      <c r="BC251" s="619"/>
      <c r="BD251" s="619"/>
      <c r="BE251" s="619"/>
      <c r="BF251" s="619"/>
      <c r="BG251" s="619"/>
      <c r="BH251" s="619"/>
      <c r="BI251" s="619"/>
      <c r="BJ251" s="619"/>
      <c r="BK251" s="619"/>
      <c r="BL251" s="619"/>
      <c r="BM251" s="619"/>
      <c r="BN251" s="619"/>
      <c r="BO251" s="619"/>
      <c r="BP251" s="619"/>
      <c r="BQ251" s="619"/>
      <c r="BR251" s="619"/>
      <c r="BS251" s="619"/>
      <c r="BT251" s="619"/>
      <c r="BU251" s="619"/>
      <c r="BV251" s="619"/>
      <c r="BW251" s="619"/>
      <c r="BX251" s="619"/>
      <c r="BY251" s="619"/>
      <c r="BZ251" s="619"/>
      <c r="CA251" s="619"/>
      <c r="CB251" s="619"/>
      <c r="CC251" s="619"/>
      <c r="CD251" s="619"/>
      <c r="CE251" s="619"/>
      <c r="CF251" s="619"/>
      <c r="CG251" s="619"/>
      <c r="CH251" s="619"/>
      <c r="CI251" s="619"/>
      <c r="CJ251" s="619"/>
      <c r="CK251" s="619"/>
      <c r="CL251" s="619"/>
      <c r="CM251" s="619"/>
      <c r="CN251" s="619"/>
      <c r="CO251" s="619"/>
      <c r="CP251" s="619"/>
      <c r="CQ251" s="619"/>
      <c r="CR251" s="619"/>
      <c r="CS251" s="619"/>
      <c r="CT251" s="619"/>
      <c r="CU251" s="619"/>
      <c r="CV251" s="619"/>
      <c r="CW251" s="619"/>
      <c r="CX251" s="619"/>
      <c r="CY251" s="619"/>
      <c r="CZ251" s="619"/>
      <c r="DA251" s="619"/>
      <c r="DB251" s="619"/>
      <c r="DC251" s="619"/>
      <c r="DD251" s="619"/>
      <c r="DE251" s="619"/>
      <c r="DF251" s="619"/>
      <c r="DG251" s="619"/>
      <c r="DH251" s="619"/>
      <c r="DI251" s="619"/>
      <c r="DJ251" s="619"/>
      <c r="DK251" s="619"/>
      <c r="DL251" s="619"/>
      <c r="DM251" s="619"/>
      <c r="DN251" s="619"/>
      <c r="DO251" s="619"/>
      <c r="DP251" s="619"/>
      <c r="DQ251" s="640"/>
      <c r="DR251" s="229"/>
    </row>
    <row r="252" spans="1:122" ht="7.5" customHeight="1" x14ac:dyDescent="0.25">
      <c r="A252" s="119"/>
      <c r="B252" s="119"/>
      <c r="C252" s="119"/>
      <c r="D252" s="119"/>
      <c r="E252" s="119"/>
      <c r="F252" s="653" t="str">
        <f>G249</f>
        <v>Gnomish</v>
      </c>
      <c r="G252" s="653"/>
      <c r="H252" s="653"/>
      <c r="I252" s="653"/>
      <c r="J252" s="653"/>
      <c r="K252" s="625" t="e">
        <f ca="1">(FLOOR(INDIRECT(SUBSTITUTE(G249," ",""))/5,1)*(FLOOR(INDIRECT(SUBSTITUTE(G249," ",""))/5,1)+1)/2)*50+MOD(INDIRECT(SUBSTITUTE(G249," ","")),5)*CEILING(INDIRECT(SUBSTITUTE(G249," ",""))/5,1)*10-((FLOOR(INDIRECT("Base"&amp;SUBSTITUTE(G249," ",""))/5,1)*(FLOOR(INDIRECT("Base"&amp;SUBSTITUTE(G249," ",""))/5,1)+1)/2)*50+MOD(INDIRECT("Base"&amp;SUBSTITUTE(G249," ","")),5)*CEILING(INDIRECT("Base"&amp;SUBSTITUTE(G249," ",""))/5,1)*10)</f>
        <v>#REF!</v>
      </c>
      <c r="L252" s="625"/>
      <c r="M252" s="625"/>
      <c r="N252" s="626" t="b">
        <f>IF(AH245&lt;&gt;"",VLOOKUP($G249,'Merit Data'!A:BW,MATCH('Merit Data'!$B$3,'Merit Data'!$3:$3,0),0),TRUE)</f>
        <v>1</v>
      </c>
      <c r="O252" s="626"/>
      <c r="P252" s="626"/>
      <c r="Q252" s="140"/>
      <c r="R252" s="140"/>
      <c r="S252" s="140"/>
      <c r="T252" s="140"/>
      <c r="U252" s="140"/>
      <c r="V252" s="238"/>
      <c r="W252" s="238"/>
      <c r="X252" s="627" t="str">
        <f>IF(F252&gt;0,HYPERLINK("http://wiki.project-saros.com/w/"&amp;F252,"Info"),"")</f>
        <v>Info</v>
      </c>
      <c r="Y252" s="628"/>
      <c r="Z252" s="637"/>
      <c r="AA252" s="637"/>
      <c r="AB252" s="637"/>
      <c r="AC252" s="637"/>
      <c r="AD252" s="637"/>
      <c r="AE252" s="637"/>
      <c r="AF252" s="637"/>
      <c r="AG252" s="638"/>
      <c r="AH252" s="649"/>
      <c r="AI252" s="650"/>
      <c r="AJ252" s="650"/>
      <c r="AK252" s="651"/>
      <c r="AL252" s="651"/>
      <c r="AM252" s="651"/>
      <c r="AN252" s="651"/>
      <c r="AO252" s="651"/>
      <c r="AP252" s="651"/>
      <c r="AQ252" s="651"/>
      <c r="AR252" s="651"/>
      <c r="AS252" s="650"/>
      <c r="AT252" s="650"/>
      <c r="AU252" s="650"/>
      <c r="AV252" s="650"/>
      <c r="AW252" s="652"/>
      <c r="AX252" s="641"/>
      <c r="AY252" s="641"/>
      <c r="AZ252" s="641"/>
      <c r="BA252" s="641"/>
      <c r="BB252" s="641"/>
      <c r="BC252" s="641"/>
      <c r="BD252" s="641"/>
      <c r="BE252" s="641"/>
      <c r="BF252" s="641"/>
      <c r="BG252" s="641"/>
      <c r="BH252" s="641"/>
      <c r="BI252" s="641"/>
      <c r="BJ252" s="641"/>
      <c r="BK252" s="641"/>
      <c r="BL252" s="641"/>
      <c r="BM252" s="641"/>
      <c r="BN252" s="641"/>
      <c r="BO252" s="641"/>
      <c r="BP252" s="641"/>
      <c r="BQ252" s="641"/>
      <c r="BR252" s="641"/>
      <c r="BS252" s="641"/>
      <c r="BT252" s="641"/>
      <c r="BU252" s="641"/>
      <c r="BV252" s="641"/>
      <c r="BW252" s="641"/>
      <c r="BX252" s="641"/>
      <c r="BY252" s="641"/>
      <c r="BZ252" s="641"/>
      <c r="CA252" s="641"/>
      <c r="CB252" s="641"/>
      <c r="CC252" s="641"/>
      <c r="CD252" s="641"/>
      <c r="CE252" s="641"/>
      <c r="CF252" s="641"/>
      <c r="CG252" s="641"/>
      <c r="CH252" s="641"/>
      <c r="CI252" s="641"/>
      <c r="CJ252" s="641"/>
      <c r="CK252" s="641"/>
      <c r="CL252" s="641"/>
      <c r="CM252" s="641"/>
      <c r="CN252" s="641"/>
      <c r="CO252" s="641"/>
      <c r="CP252" s="641"/>
      <c r="CQ252" s="641"/>
      <c r="CR252" s="641"/>
      <c r="CS252" s="641"/>
      <c r="CT252" s="641"/>
      <c r="CU252" s="641"/>
      <c r="CV252" s="641"/>
      <c r="CW252" s="641"/>
      <c r="CX252" s="641"/>
      <c r="CY252" s="641"/>
      <c r="CZ252" s="641"/>
      <c r="DA252" s="641"/>
      <c r="DB252" s="641"/>
      <c r="DC252" s="641"/>
      <c r="DD252" s="641"/>
      <c r="DE252" s="641"/>
      <c r="DF252" s="641"/>
      <c r="DG252" s="641"/>
      <c r="DH252" s="641"/>
      <c r="DI252" s="641"/>
      <c r="DJ252" s="641"/>
      <c r="DK252" s="641"/>
      <c r="DL252" s="641"/>
      <c r="DM252" s="641"/>
      <c r="DN252" s="641"/>
      <c r="DO252" s="641"/>
      <c r="DP252" s="641"/>
      <c r="DQ252" s="642"/>
      <c r="DR252" s="229"/>
    </row>
    <row r="253" spans="1:122" ht="7.5" customHeight="1" x14ac:dyDescent="0.25">
      <c r="A253" s="588">
        <v>0</v>
      </c>
      <c r="B253" s="589"/>
      <c r="C253" s="589"/>
      <c r="D253" s="589"/>
      <c r="E253" s="590"/>
      <c r="F253" s="129"/>
      <c r="G253" s="597" t="s">
        <v>145</v>
      </c>
      <c r="H253" s="597"/>
      <c r="I253" s="597"/>
      <c r="J253" s="597"/>
      <c r="K253" s="597"/>
      <c r="L253" s="597"/>
      <c r="M253" s="597"/>
      <c r="N253" s="597"/>
      <c r="O253" s="597"/>
      <c r="P253" s="597"/>
      <c r="Q253" s="597"/>
      <c r="R253" s="597"/>
      <c r="S253" s="597"/>
      <c r="T253" s="597"/>
      <c r="U253" s="597"/>
      <c r="V253" s="597"/>
      <c r="W253" s="597"/>
      <c r="X253" s="597"/>
      <c r="Y253" s="597"/>
      <c r="Z253" s="600" t="e">
        <f ca="1">FLOOR(INDIRECT(SUBSTITUTE(G253," ",""))/5+1,1)*10</f>
        <v>#REF!</v>
      </c>
      <c r="AA253" s="600"/>
      <c r="AB253" s="600"/>
      <c r="AC253" s="600"/>
      <c r="AD253" s="600"/>
      <c r="AE253" s="600"/>
      <c r="AF253" s="600"/>
      <c r="AG253" s="601"/>
      <c r="AH253" s="643"/>
      <c r="AI253" s="644"/>
      <c r="AJ253" s="644"/>
      <c r="AK253" s="644"/>
      <c r="AL253" s="644"/>
      <c r="AM253" s="644"/>
      <c r="AN253" s="644"/>
      <c r="AO253" s="644"/>
      <c r="AP253" s="644"/>
      <c r="AQ253" s="644"/>
      <c r="AR253" s="644"/>
      <c r="AS253" s="644"/>
      <c r="AT253" s="644"/>
      <c r="AU253" s="644"/>
      <c r="AV253" s="644"/>
      <c r="AW253" s="645"/>
      <c r="AX253" s="616" t="e">
        <f ca="1">"Further increases your "&amp;G253&amp;" skill from "&amp;INDIRECT(SUBSTITUTE(G253," ",""))&amp;" to "&amp;INDIRECT(SUBSTITUTE(G253," ",""))+1</f>
        <v>#REF!</v>
      </c>
      <c r="AY253" s="616"/>
      <c r="AZ253" s="616"/>
      <c r="BA253" s="616"/>
      <c r="BB253" s="616"/>
      <c r="BC253" s="616"/>
      <c r="BD253" s="616"/>
      <c r="BE253" s="616"/>
      <c r="BF253" s="616"/>
      <c r="BG253" s="616"/>
      <c r="BH253" s="616"/>
      <c r="BI253" s="616"/>
      <c r="BJ253" s="616"/>
      <c r="BK253" s="616"/>
      <c r="BL253" s="616"/>
      <c r="BM253" s="616"/>
      <c r="BN253" s="616"/>
      <c r="BO253" s="616"/>
      <c r="BP253" s="616"/>
      <c r="BQ253" s="616"/>
      <c r="BR253" s="616"/>
      <c r="BS253" s="616"/>
      <c r="BT253" s="616"/>
      <c r="BU253" s="616"/>
      <c r="BV253" s="616"/>
      <c r="BW253" s="616"/>
      <c r="BX253" s="616"/>
      <c r="BY253" s="616"/>
      <c r="BZ253" s="616"/>
      <c r="CA253" s="616"/>
      <c r="CB253" s="616"/>
      <c r="CC253" s="616"/>
      <c r="CD253" s="616"/>
      <c r="CE253" s="616"/>
      <c r="CF253" s="616"/>
      <c r="CG253" s="616"/>
      <c r="CH253" s="616"/>
      <c r="CI253" s="616"/>
      <c r="CJ253" s="616"/>
      <c r="CK253" s="616"/>
      <c r="CL253" s="616"/>
      <c r="CM253" s="616"/>
      <c r="CN253" s="616"/>
      <c r="CO253" s="616"/>
      <c r="CP253" s="616"/>
      <c r="CQ253" s="616"/>
      <c r="CR253" s="616"/>
      <c r="CS253" s="616"/>
      <c r="CT253" s="616"/>
      <c r="CU253" s="616"/>
      <c r="CV253" s="616"/>
      <c r="CW253" s="616"/>
      <c r="CX253" s="616"/>
      <c r="CY253" s="616"/>
      <c r="CZ253" s="616"/>
      <c r="DA253" s="616"/>
      <c r="DB253" s="616"/>
      <c r="DC253" s="616"/>
      <c r="DD253" s="616"/>
      <c r="DE253" s="616"/>
      <c r="DF253" s="616"/>
      <c r="DG253" s="616"/>
      <c r="DH253" s="616"/>
      <c r="DI253" s="616"/>
      <c r="DJ253" s="616"/>
      <c r="DK253" s="616"/>
      <c r="DL253" s="616"/>
      <c r="DM253" s="616"/>
      <c r="DN253" s="616"/>
      <c r="DO253" s="616"/>
      <c r="DP253" s="616"/>
      <c r="DQ253" s="617"/>
      <c r="DR253" s="229"/>
    </row>
    <row r="254" spans="1:122" ht="7.5" customHeight="1" x14ac:dyDescent="0.25">
      <c r="A254" s="591"/>
      <c r="B254" s="592"/>
      <c r="C254" s="592"/>
      <c r="D254" s="592"/>
      <c r="E254" s="593"/>
      <c r="F254" s="129"/>
      <c r="G254" s="598"/>
      <c r="H254" s="598"/>
      <c r="I254" s="598"/>
      <c r="J254" s="598"/>
      <c r="K254" s="598"/>
      <c r="L254" s="598"/>
      <c r="M254" s="598"/>
      <c r="N254" s="598"/>
      <c r="O254" s="598"/>
      <c r="P254" s="598"/>
      <c r="Q254" s="598"/>
      <c r="R254" s="598"/>
      <c r="S254" s="598"/>
      <c r="T254" s="598"/>
      <c r="U254" s="598"/>
      <c r="V254" s="598"/>
      <c r="W254" s="598"/>
      <c r="X254" s="598"/>
      <c r="Y254" s="598"/>
      <c r="Z254" s="602"/>
      <c r="AA254" s="602"/>
      <c r="AB254" s="602"/>
      <c r="AC254" s="602"/>
      <c r="AD254" s="602"/>
      <c r="AE254" s="602"/>
      <c r="AF254" s="602"/>
      <c r="AG254" s="635"/>
      <c r="AH254" s="646"/>
      <c r="AI254" s="449"/>
      <c r="AJ254" s="449"/>
      <c r="AK254" s="449"/>
      <c r="AL254" s="449"/>
      <c r="AM254" s="449"/>
      <c r="AN254" s="449"/>
      <c r="AO254" s="449"/>
      <c r="AP254" s="449"/>
      <c r="AQ254" s="449"/>
      <c r="AR254" s="449"/>
      <c r="AS254" s="449"/>
      <c r="AT254" s="449"/>
      <c r="AU254" s="449"/>
      <c r="AV254" s="449"/>
      <c r="AW254" s="647"/>
      <c r="AX254" s="619"/>
      <c r="AY254" s="619"/>
      <c r="AZ254" s="619"/>
      <c r="BA254" s="619"/>
      <c r="BB254" s="619"/>
      <c r="BC254" s="619"/>
      <c r="BD254" s="619"/>
      <c r="BE254" s="619"/>
      <c r="BF254" s="619"/>
      <c r="BG254" s="619"/>
      <c r="BH254" s="619"/>
      <c r="BI254" s="619"/>
      <c r="BJ254" s="619"/>
      <c r="BK254" s="619"/>
      <c r="BL254" s="619"/>
      <c r="BM254" s="619"/>
      <c r="BN254" s="619"/>
      <c r="BO254" s="619"/>
      <c r="BP254" s="619"/>
      <c r="BQ254" s="619"/>
      <c r="BR254" s="619"/>
      <c r="BS254" s="619"/>
      <c r="BT254" s="619"/>
      <c r="BU254" s="619"/>
      <c r="BV254" s="619"/>
      <c r="BW254" s="619"/>
      <c r="BX254" s="619"/>
      <c r="BY254" s="619"/>
      <c r="BZ254" s="619"/>
      <c r="CA254" s="619"/>
      <c r="CB254" s="619"/>
      <c r="CC254" s="619"/>
      <c r="CD254" s="619"/>
      <c r="CE254" s="619"/>
      <c r="CF254" s="619"/>
      <c r="CG254" s="619"/>
      <c r="CH254" s="619"/>
      <c r="CI254" s="619"/>
      <c r="CJ254" s="619"/>
      <c r="CK254" s="619"/>
      <c r="CL254" s="619"/>
      <c r="CM254" s="619"/>
      <c r="CN254" s="619"/>
      <c r="CO254" s="619"/>
      <c r="CP254" s="619"/>
      <c r="CQ254" s="619"/>
      <c r="CR254" s="619"/>
      <c r="CS254" s="619"/>
      <c r="CT254" s="619"/>
      <c r="CU254" s="619"/>
      <c r="CV254" s="619"/>
      <c r="CW254" s="619"/>
      <c r="CX254" s="619"/>
      <c r="CY254" s="619"/>
      <c r="CZ254" s="619"/>
      <c r="DA254" s="619"/>
      <c r="DB254" s="619"/>
      <c r="DC254" s="619"/>
      <c r="DD254" s="619"/>
      <c r="DE254" s="619"/>
      <c r="DF254" s="619"/>
      <c r="DG254" s="619"/>
      <c r="DH254" s="619"/>
      <c r="DI254" s="619"/>
      <c r="DJ254" s="619"/>
      <c r="DK254" s="619"/>
      <c r="DL254" s="619"/>
      <c r="DM254" s="619"/>
      <c r="DN254" s="619"/>
      <c r="DO254" s="619"/>
      <c r="DP254" s="619"/>
      <c r="DQ254" s="639"/>
      <c r="DR254" s="229"/>
    </row>
    <row r="255" spans="1:122" ht="7.5" customHeight="1" x14ac:dyDescent="0.25">
      <c r="A255" s="594"/>
      <c r="B255" s="595"/>
      <c r="C255" s="595"/>
      <c r="D255" s="595"/>
      <c r="E255" s="596"/>
      <c r="F255" s="129"/>
      <c r="G255" s="599"/>
      <c r="H255" s="599"/>
      <c r="I255" s="599"/>
      <c r="J255" s="599"/>
      <c r="K255" s="599"/>
      <c r="L255" s="599"/>
      <c r="M255" s="599"/>
      <c r="N255" s="599"/>
      <c r="O255" s="599"/>
      <c r="P255" s="599"/>
      <c r="Q255" s="599"/>
      <c r="R255" s="599"/>
      <c r="S255" s="599"/>
      <c r="T255" s="599"/>
      <c r="U255" s="599"/>
      <c r="V255" s="599"/>
      <c r="W255" s="599"/>
      <c r="X255" s="599"/>
      <c r="Y255" s="599"/>
      <c r="Z255" s="602"/>
      <c r="AA255" s="602"/>
      <c r="AB255" s="602"/>
      <c r="AC255" s="602"/>
      <c r="AD255" s="602"/>
      <c r="AE255" s="602"/>
      <c r="AF255" s="602"/>
      <c r="AG255" s="636"/>
      <c r="AH255" s="646"/>
      <c r="AI255" s="449"/>
      <c r="AJ255" s="449"/>
      <c r="AK255" s="449"/>
      <c r="AL255" s="449"/>
      <c r="AM255" s="449"/>
      <c r="AN255" s="449"/>
      <c r="AO255" s="449"/>
      <c r="AP255" s="449"/>
      <c r="AQ255" s="449"/>
      <c r="AR255" s="449"/>
      <c r="AS255" s="449"/>
      <c r="AT255" s="449"/>
      <c r="AU255" s="449"/>
      <c r="AV255" s="449"/>
      <c r="AW255" s="648"/>
      <c r="AX255" s="619"/>
      <c r="AY255" s="619"/>
      <c r="AZ255" s="619"/>
      <c r="BA255" s="619"/>
      <c r="BB255" s="619"/>
      <c r="BC255" s="619"/>
      <c r="BD255" s="619"/>
      <c r="BE255" s="619"/>
      <c r="BF255" s="619"/>
      <c r="BG255" s="619"/>
      <c r="BH255" s="619"/>
      <c r="BI255" s="619"/>
      <c r="BJ255" s="619"/>
      <c r="BK255" s="619"/>
      <c r="BL255" s="619"/>
      <c r="BM255" s="619"/>
      <c r="BN255" s="619"/>
      <c r="BO255" s="619"/>
      <c r="BP255" s="619"/>
      <c r="BQ255" s="619"/>
      <c r="BR255" s="619"/>
      <c r="BS255" s="619"/>
      <c r="BT255" s="619"/>
      <c r="BU255" s="619"/>
      <c r="BV255" s="619"/>
      <c r="BW255" s="619"/>
      <c r="BX255" s="619"/>
      <c r="BY255" s="619"/>
      <c r="BZ255" s="619"/>
      <c r="CA255" s="619"/>
      <c r="CB255" s="619"/>
      <c r="CC255" s="619"/>
      <c r="CD255" s="619"/>
      <c r="CE255" s="619"/>
      <c r="CF255" s="619"/>
      <c r="CG255" s="619"/>
      <c r="CH255" s="619"/>
      <c r="CI255" s="619"/>
      <c r="CJ255" s="619"/>
      <c r="CK255" s="619"/>
      <c r="CL255" s="619"/>
      <c r="CM255" s="619"/>
      <c r="CN255" s="619"/>
      <c r="CO255" s="619"/>
      <c r="CP255" s="619"/>
      <c r="CQ255" s="619"/>
      <c r="CR255" s="619"/>
      <c r="CS255" s="619"/>
      <c r="CT255" s="619"/>
      <c r="CU255" s="619"/>
      <c r="CV255" s="619"/>
      <c r="CW255" s="619"/>
      <c r="CX255" s="619"/>
      <c r="CY255" s="619"/>
      <c r="CZ255" s="619"/>
      <c r="DA255" s="619"/>
      <c r="DB255" s="619"/>
      <c r="DC255" s="619"/>
      <c r="DD255" s="619"/>
      <c r="DE255" s="619"/>
      <c r="DF255" s="619"/>
      <c r="DG255" s="619"/>
      <c r="DH255" s="619"/>
      <c r="DI255" s="619"/>
      <c r="DJ255" s="619"/>
      <c r="DK255" s="619"/>
      <c r="DL255" s="619"/>
      <c r="DM255" s="619"/>
      <c r="DN255" s="619"/>
      <c r="DO255" s="619"/>
      <c r="DP255" s="619"/>
      <c r="DQ255" s="640"/>
      <c r="DR255" s="229"/>
    </row>
    <row r="256" spans="1:122" ht="7.5" customHeight="1" x14ac:dyDescent="0.25">
      <c r="A256" s="119"/>
      <c r="B256" s="119"/>
      <c r="C256" s="119"/>
      <c r="D256" s="119"/>
      <c r="E256" s="119"/>
      <c r="F256" s="653" t="str">
        <f>G253</f>
        <v>Volken</v>
      </c>
      <c r="G256" s="653"/>
      <c r="H256" s="653"/>
      <c r="I256" s="653"/>
      <c r="J256" s="653"/>
      <c r="K256" s="625" t="e">
        <f ca="1">(FLOOR(INDIRECT(SUBSTITUTE(G253," ",""))/5,1)*(FLOOR(INDIRECT(SUBSTITUTE(G253," ",""))/5,1)+1)/2)*50+MOD(INDIRECT(SUBSTITUTE(G253," ","")),5)*CEILING(INDIRECT(SUBSTITUTE(G253," ",""))/5,1)*10-((FLOOR(INDIRECT("Base"&amp;SUBSTITUTE(G253," ",""))/5,1)*(FLOOR(INDIRECT("Base"&amp;SUBSTITUTE(G253," ",""))/5,1)+1)/2)*50+MOD(INDIRECT("Base"&amp;SUBSTITUTE(G253," ","")),5)*CEILING(INDIRECT("Base"&amp;SUBSTITUTE(G253," ",""))/5,1)*10)</f>
        <v>#REF!</v>
      </c>
      <c r="L256" s="625"/>
      <c r="M256" s="625"/>
      <c r="N256" s="626" t="b">
        <f>IF(AH249&lt;&gt;"",VLOOKUP($G253,'Merit Data'!A:BW,MATCH('Merit Data'!$B$3,'Merit Data'!$3:$3,0),0),TRUE)</f>
        <v>1</v>
      </c>
      <c r="O256" s="626"/>
      <c r="P256" s="626"/>
      <c r="Q256" s="140"/>
      <c r="R256" s="140"/>
      <c r="S256" s="140"/>
      <c r="T256" s="140"/>
      <c r="U256" s="140"/>
      <c r="V256" s="238"/>
      <c r="W256" s="238"/>
      <c r="X256" s="627" t="str">
        <f>IF(F256&gt;0,HYPERLINK("http://wiki.project-saros.com/w/"&amp;F256,"Info"),"")</f>
        <v>Info</v>
      </c>
      <c r="Y256" s="628"/>
      <c r="Z256" s="637"/>
      <c r="AA256" s="637"/>
      <c r="AB256" s="637"/>
      <c r="AC256" s="637"/>
      <c r="AD256" s="637"/>
      <c r="AE256" s="637"/>
      <c r="AF256" s="637"/>
      <c r="AG256" s="638"/>
      <c r="AH256" s="649"/>
      <c r="AI256" s="650"/>
      <c r="AJ256" s="650"/>
      <c r="AK256" s="651"/>
      <c r="AL256" s="651"/>
      <c r="AM256" s="651"/>
      <c r="AN256" s="651"/>
      <c r="AO256" s="651"/>
      <c r="AP256" s="651"/>
      <c r="AQ256" s="651"/>
      <c r="AR256" s="651"/>
      <c r="AS256" s="650"/>
      <c r="AT256" s="650"/>
      <c r="AU256" s="650"/>
      <c r="AV256" s="650"/>
      <c r="AW256" s="652"/>
      <c r="AX256" s="641"/>
      <c r="AY256" s="641"/>
      <c r="AZ256" s="641"/>
      <c r="BA256" s="641"/>
      <c r="BB256" s="641"/>
      <c r="BC256" s="641"/>
      <c r="BD256" s="641"/>
      <c r="BE256" s="641"/>
      <c r="BF256" s="641"/>
      <c r="BG256" s="641"/>
      <c r="BH256" s="641"/>
      <c r="BI256" s="641"/>
      <c r="BJ256" s="641"/>
      <c r="BK256" s="641"/>
      <c r="BL256" s="641"/>
      <c r="BM256" s="641"/>
      <c r="BN256" s="641"/>
      <c r="BO256" s="641"/>
      <c r="BP256" s="641"/>
      <c r="BQ256" s="641"/>
      <c r="BR256" s="641"/>
      <c r="BS256" s="641"/>
      <c r="BT256" s="641"/>
      <c r="BU256" s="641"/>
      <c r="BV256" s="641"/>
      <c r="BW256" s="641"/>
      <c r="BX256" s="641"/>
      <c r="BY256" s="641"/>
      <c r="BZ256" s="641"/>
      <c r="CA256" s="641"/>
      <c r="CB256" s="641"/>
      <c r="CC256" s="641"/>
      <c r="CD256" s="641"/>
      <c r="CE256" s="641"/>
      <c r="CF256" s="641"/>
      <c r="CG256" s="641"/>
      <c r="CH256" s="641"/>
      <c r="CI256" s="641"/>
      <c r="CJ256" s="641"/>
      <c r="CK256" s="641"/>
      <c r="CL256" s="641"/>
      <c r="CM256" s="641"/>
      <c r="CN256" s="641"/>
      <c r="CO256" s="641"/>
      <c r="CP256" s="641"/>
      <c r="CQ256" s="641"/>
      <c r="CR256" s="641"/>
      <c r="CS256" s="641"/>
      <c r="CT256" s="641"/>
      <c r="CU256" s="641"/>
      <c r="CV256" s="641"/>
      <c r="CW256" s="641"/>
      <c r="CX256" s="641"/>
      <c r="CY256" s="641"/>
      <c r="CZ256" s="641"/>
      <c r="DA256" s="641"/>
      <c r="DB256" s="641"/>
      <c r="DC256" s="641"/>
      <c r="DD256" s="641"/>
      <c r="DE256" s="641"/>
      <c r="DF256" s="641"/>
      <c r="DG256" s="641"/>
      <c r="DH256" s="641"/>
      <c r="DI256" s="641"/>
      <c r="DJ256" s="641"/>
      <c r="DK256" s="641"/>
      <c r="DL256" s="641"/>
      <c r="DM256" s="641"/>
      <c r="DN256" s="641"/>
      <c r="DO256" s="641"/>
      <c r="DP256" s="641"/>
      <c r="DQ256" s="642"/>
      <c r="DR256" s="229"/>
    </row>
    <row r="257" spans="1:122" ht="7.5" customHeight="1" x14ac:dyDescent="0.25">
      <c r="A257" s="631" t="s">
        <v>392</v>
      </c>
      <c r="B257" s="631"/>
      <c r="C257" s="631"/>
      <c r="D257" s="631"/>
      <c r="E257" s="631"/>
      <c r="F257" s="631"/>
      <c r="G257" s="631"/>
      <c r="H257" s="631"/>
      <c r="I257" s="631"/>
      <c r="J257" s="631"/>
      <c r="K257" s="631"/>
      <c r="L257" s="631"/>
      <c r="M257" s="631"/>
      <c r="N257" s="631"/>
      <c r="O257" s="631"/>
      <c r="P257" s="631"/>
      <c r="Q257" s="631"/>
      <c r="R257" s="631"/>
      <c r="S257" s="631"/>
      <c r="T257" s="631"/>
      <c r="U257" s="631"/>
      <c r="V257" s="631"/>
      <c r="W257" s="631"/>
      <c r="X257" s="631"/>
      <c r="Y257" s="631"/>
      <c r="Z257" s="631"/>
      <c r="AA257" s="631"/>
      <c r="AB257" s="631"/>
      <c r="AC257" s="631"/>
      <c r="AD257" s="631"/>
      <c r="AE257" s="631"/>
      <c r="AF257" s="631"/>
      <c r="AG257" s="633"/>
      <c r="AH257" s="135"/>
      <c r="AI257" s="135"/>
      <c r="AJ257" s="135"/>
      <c r="AK257" s="135"/>
      <c r="AL257" s="135"/>
      <c r="AM257" s="135"/>
      <c r="AN257" s="135"/>
      <c r="AO257" s="135"/>
      <c r="AP257" s="135"/>
      <c r="AQ257" s="135"/>
      <c r="AR257" s="135"/>
      <c r="AS257" s="135"/>
      <c r="AT257" s="135"/>
      <c r="AU257" s="135"/>
      <c r="AV257" s="135"/>
      <c r="AW257" s="135"/>
      <c r="AX257" s="136"/>
      <c r="AY257" s="136"/>
      <c r="AZ257" s="136"/>
      <c r="BA257" s="136"/>
      <c r="BB257" s="136"/>
      <c r="BC257" s="136"/>
      <c r="BD257" s="136"/>
      <c r="BE257" s="136"/>
      <c r="BF257" s="136"/>
      <c r="BG257" s="136"/>
      <c r="BH257" s="136"/>
      <c r="BI257" s="136"/>
      <c r="BJ257" s="136"/>
      <c r="BK257" s="136"/>
      <c r="BL257" s="136"/>
      <c r="BM257" s="136"/>
      <c r="BN257" s="136"/>
      <c r="BO257" s="136"/>
      <c r="BP257" s="136"/>
      <c r="BQ257" s="136"/>
      <c r="BR257" s="136"/>
      <c r="BS257" s="136"/>
      <c r="BT257" s="136"/>
      <c r="BU257" s="136"/>
      <c r="BV257" s="136"/>
      <c r="BW257" s="136"/>
      <c r="BX257" s="136"/>
      <c r="BY257" s="136"/>
      <c r="BZ257" s="136"/>
      <c r="CA257" s="136"/>
      <c r="CB257" s="136"/>
      <c r="CC257" s="136"/>
      <c r="CD257" s="136"/>
      <c r="CE257" s="136"/>
      <c r="CF257" s="136"/>
      <c r="CG257" s="136"/>
      <c r="CH257" s="136"/>
      <c r="CI257" s="136"/>
      <c r="CJ257" s="136"/>
      <c r="CK257" s="136"/>
      <c r="CL257" s="136"/>
      <c r="CM257" s="136"/>
      <c r="CN257" s="136"/>
      <c r="CO257" s="136"/>
      <c r="CP257" s="136"/>
      <c r="CQ257" s="136"/>
      <c r="CR257" s="136"/>
      <c r="CS257" s="136"/>
      <c r="CT257" s="136"/>
      <c r="CU257" s="136"/>
      <c r="CV257" s="136"/>
      <c r="CW257" s="136"/>
      <c r="CX257" s="136"/>
      <c r="CY257" s="136"/>
      <c r="CZ257" s="136"/>
      <c r="DA257" s="136"/>
      <c r="DB257" s="136"/>
      <c r="DC257" s="136"/>
      <c r="DD257" s="136"/>
      <c r="DE257" s="136"/>
      <c r="DF257" s="136"/>
      <c r="DG257" s="136"/>
      <c r="DH257" s="136"/>
      <c r="DI257" s="136"/>
      <c r="DJ257" s="136"/>
      <c r="DK257" s="136"/>
      <c r="DL257" s="136"/>
      <c r="DM257" s="136"/>
      <c r="DN257" s="136"/>
      <c r="DO257" s="136"/>
      <c r="DP257" s="136"/>
      <c r="DQ257" s="136"/>
      <c r="DR257" s="228"/>
    </row>
    <row r="258" spans="1:122" ht="7.5" customHeight="1" x14ac:dyDescent="0.25">
      <c r="A258" s="632"/>
      <c r="B258" s="632"/>
      <c r="C258" s="632"/>
      <c r="D258" s="632"/>
      <c r="E258" s="632"/>
      <c r="F258" s="632"/>
      <c r="G258" s="632"/>
      <c r="H258" s="632"/>
      <c r="I258" s="632"/>
      <c r="J258" s="632"/>
      <c r="K258" s="632"/>
      <c r="L258" s="632"/>
      <c r="M258" s="632"/>
      <c r="N258" s="632"/>
      <c r="O258" s="632"/>
      <c r="P258" s="632"/>
      <c r="Q258" s="632"/>
      <c r="R258" s="632"/>
      <c r="S258" s="632"/>
      <c r="T258" s="632"/>
      <c r="U258" s="632"/>
      <c r="V258" s="632"/>
      <c r="W258" s="632"/>
      <c r="X258" s="632"/>
      <c r="Y258" s="632"/>
      <c r="Z258" s="632"/>
      <c r="AA258" s="632"/>
      <c r="AB258" s="632"/>
      <c r="AC258" s="632"/>
      <c r="AD258" s="632"/>
      <c r="AE258" s="632"/>
      <c r="AF258" s="632"/>
      <c r="AG258" s="634"/>
      <c r="AH258" s="138"/>
      <c r="AI258" s="138"/>
      <c r="AJ258" s="138"/>
      <c r="AK258" s="138"/>
      <c r="AL258" s="138"/>
      <c r="AM258" s="138"/>
      <c r="AN258" s="138"/>
      <c r="AO258" s="138"/>
      <c r="AP258" s="138"/>
      <c r="AQ258" s="138"/>
      <c r="AR258" s="138"/>
      <c r="AS258" s="138"/>
      <c r="AT258" s="138"/>
      <c r="AU258" s="138"/>
      <c r="AV258" s="138"/>
      <c r="AW258" s="138"/>
      <c r="AX258" s="136"/>
      <c r="AY258" s="136"/>
      <c r="AZ258" s="136"/>
      <c r="BA258" s="136"/>
      <c r="BB258" s="136"/>
      <c r="BC258" s="136"/>
      <c r="BD258" s="136"/>
      <c r="BE258" s="136"/>
      <c r="BF258" s="136"/>
      <c r="BG258" s="136"/>
      <c r="BH258" s="136"/>
      <c r="BI258" s="136"/>
      <c r="BJ258" s="136"/>
      <c r="BK258" s="136"/>
      <c r="BL258" s="136"/>
      <c r="BM258" s="136"/>
      <c r="BN258" s="136"/>
      <c r="BO258" s="136"/>
      <c r="BP258" s="136"/>
      <c r="BQ258" s="136"/>
      <c r="BR258" s="136"/>
      <c r="BS258" s="136"/>
      <c r="BT258" s="136"/>
      <c r="BU258" s="136"/>
      <c r="BV258" s="136"/>
      <c r="BW258" s="136"/>
      <c r="BX258" s="136"/>
      <c r="BY258" s="136"/>
      <c r="BZ258" s="136"/>
      <c r="CA258" s="136"/>
      <c r="CB258" s="136"/>
      <c r="CC258" s="136"/>
      <c r="CD258" s="136"/>
      <c r="CE258" s="136"/>
      <c r="CF258" s="136"/>
      <c r="CG258" s="136"/>
      <c r="CH258" s="136"/>
      <c r="CI258" s="136"/>
      <c r="CJ258" s="136"/>
      <c r="CK258" s="136"/>
      <c r="CL258" s="136"/>
      <c r="CM258" s="136"/>
      <c r="CN258" s="136"/>
      <c r="CO258" s="136"/>
      <c r="CP258" s="136"/>
      <c r="CQ258" s="136"/>
      <c r="CR258" s="136"/>
      <c r="CS258" s="136"/>
      <c r="CT258" s="136"/>
      <c r="CU258" s="136"/>
      <c r="CV258" s="136"/>
      <c r="CW258" s="136"/>
      <c r="CX258" s="136"/>
      <c r="CY258" s="136"/>
      <c r="CZ258" s="136"/>
      <c r="DA258" s="136"/>
      <c r="DB258" s="136"/>
      <c r="DC258" s="136"/>
      <c r="DD258" s="136"/>
      <c r="DE258" s="136"/>
      <c r="DF258" s="136"/>
      <c r="DG258" s="136"/>
      <c r="DH258" s="136"/>
      <c r="DI258" s="136"/>
      <c r="DJ258" s="136"/>
      <c r="DK258" s="136"/>
      <c r="DL258" s="136"/>
      <c r="DM258" s="136"/>
      <c r="DN258" s="136"/>
      <c r="DO258" s="136"/>
      <c r="DP258" s="136"/>
      <c r="DQ258" s="136"/>
      <c r="DR258" s="228"/>
    </row>
    <row r="259" spans="1:122" ht="7.5" customHeight="1" x14ac:dyDescent="0.25">
      <c r="A259" s="632"/>
      <c r="B259" s="632"/>
      <c r="C259" s="632"/>
      <c r="D259" s="632"/>
      <c r="E259" s="632"/>
      <c r="F259" s="632"/>
      <c r="G259" s="632"/>
      <c r="H259" s="632"/>
      <c r="I259" s="632"/>
      <c r="J259" s="632"/>
      <c r="K259" s="632"/>
      <c r="L259" s="632"/>
      <c r="M259" s="632"/>
      <c r="N259" s="632"/>
      <c r="O259" s="632"/>
      <c r="P259" s="632"/>
      <c r="Q259" s="632"/>
      <c r="R259" s="632"/>
      <c r="S259" s="632"/>
      <c r="T259" s="632"/>
      <c r="U259" s="632"/>
      <c r="V259" s="632"/>
      <c r="W259" s="632"/>
      <c r="X259" s="632"/>
      <c r="Y259" s="632"/>
      <c r="Z259" s="632"/>
      <c r="AA259" s="632"/>
      <c r="AB259" s="632"/>
      <c r="AC259" s="632"/>
      <c r="AD259" s="632"/>
      <c r="AE259" s="632"/>
      <c r="AF259" s="632"/>
      <c r="AG259" s="634"/>
      <c r="AH259" s="139"/>
      <c r="AI259" s="139"/>
      <c r="AJ259" s="139"/>
      <c r="AK259" s="139"/>
      <c r="AL259" s="139"/>
      <c r="AM259" s="139"/>
      <c r="AN259" s="139"/>
      <c r="AO259" s="139"/>
      <c r="AP259" s="139"/>
      <c r="AQ259" s="139"/>
      <c r="AR259" s="139"/>
      <c r="AS259" s="139"/>
      <c r="AT259" s="139"/>
      <c r="AU259" s="139"/>
      <c r="AV259" s="139"/>
      <c r="AW259" s="139"/>
      <c r="AX259" s="136"/>
      <c r="AY259" s="136"/>
      <c r="AZ259" s="136"/>
      <c r="BA259" s="136"/>
      <c r="BB259" s="136"/>
      <c r="BC259" s="136"/>
      <c r="BD259" s="136"/>
      <c r="BE259" s="136"/>
      <c r="BF259" s="136"/>
      <c r="BG259" s="136"/>
      <c r="BH259" s="136"/>
      <c r="BI259" s="136"/>
      <c r="BJ259" s="136"/>
      <c r="BK259" s="136"/>
      <c r="BL259" s="136"/>
      <c r="BM259" s="136"/>
      <c r="BN259" s="136"/>
      <c r="BO259" s="136"/>
      <c r="BP259" s="136"/>
      <c r="BQ259" s="136"/>
      <c r="BR259" s="136"/>
      <c r="BS259" s="136"/>
      <c r="BT259" s="136"/>
      <c r="BU259" s="136"/>
      <c r="BV259" s="136"/>
      <c r="BW259" s="136"/>
      <c r="BX259" s="136"/>
      <c r="BY259" s="136"/>
      <c r="BZ259" s="136"/>
      <c r="CA259" s="136"/>
      <c r="CB259" s="136"/>
      <c r="CC259" s="136"/>
      <c r="CD259" s="136"/>
      <c r="CE259" s="136"/>
      <c r="CF259" s="136"/>
      <c r="CG259" s="136"/>
      <c r="CH259" s="136"/>
      <c r="CI259" s="136"/>
      <c r="CJ259" s="136"/>
      <c r="CK259" s="136"/>
      <c r="CL259" s="136"/>
      <c r="CM259" s="136"/>
      <c r="CN259" s="136"/>
      <c r="CO259" s="136"/>
      <c r="CP259" s="136"/>
      <c r="CQ259" s="136"/>
      <c r="CR259" s="136"/>
      <c r="CS259" s="136"/>
      <c r="CT259" s="136"/>
      <c r="CU259" s="136"/>
      <c r="CV259" s="136"/>
      <c r="CW259" s="136"/>
      <c r="CX259" s="136"/>
      <c r="CY259" s="136"/>
      <c r="CZ259" s="136"/>
      <c r="DA259" s="136"/>
      <c r="DB259" s="136"/>
      <c r="DC259" s="136"/>
      <c r="DD259" s="136"/>
      <c r="DE259" s="136"/>
      <c r="DF259" s="136"/>
      <c r="DG259" s="136"/>
      <c r="DH259" s="136"/>
      <c r="DI259" s="136"/>
      <c r="DJ259" s="136"/>
      <c r="DK259" s="136"/>
      <c r="DL259" s="136"/>
      <c r="DM259" s="136"/>
      <c r="DN259" s="136"/>
      <c r="DO259" s="136"/>
      <c r="DP259" s="136"/>
      <c r="DQ259" s="136"/>
      <c r="DR259" s="228"/>
    </row>
    <row r="260" spans="1:122" ht="7.5" customHeight="1" x14ac:dyDescent="0.25">
      <c r="A260" s="588"/>
      <c r="B260" s="589"/>
      <c r="C260" s="589"/>
      <c r="D260" s="589"/>
      <c r="E260" s="590"/>
      <c r="F260" s="129"/>
      <c r="G260" s="597" t="s">
        <v>389</v>
      </c>
      <c r="H260" s="597"/>
      <c r="I260" s="597"/>
      <c r="J260" s="597"/>
      <c r="K260" s="597"/>
      <c r="L260" s="597"/>
      <c r="M260" s="597"/>
      <c r="N260" s="597"/>
      <c r="O260" s="597"/>
      <c r="P260" s="597"/>
      <c r="Q260" s="597"/>
      <c r="R260" s="597"/>
      <c r="S260" s="597"/>
      <c r="T260" s="597"/>
      <c r="U260" s="597"/>
      <c r="V260" s="597"/>
      <c r="W260" s="597"/>
      <c r="X260" s="597"/>
      <c r="Y260" s="597"/>
      <c r="Z260" s="600">
        <f>(HealthMerit+1)*100</f>
        <v>100</v>
      </c>
      <c r="AA260" s="600"/>
      <c r="AB260" s="600"/>
      <c r="AC260" s="600"/>
      <c r="AD260" s="600"/>
      <c r="AE260" s="600"/>
      <c r="AF260" s="600"/>
      <c r="AG260" s="601"/>
      <c r="AH260" s="606" t="str">
        <f>IF(NOT(ISERROR(VLOOKUP($G260,'Merit Data'!$A:$CE,MATCH('Merit Data'!$BX$3,'Merit Data'!$3:$3,0),0))),VLOOKUP($G260,'Merit Data'!$A:$CE,MATCH('Merit Data'!$BX$3,'Merit Data'!$3:$3,0),0),"")</f>
        <v/>
      </c>
      <c r="AI260" s="607"/>
      <c r="AJ260" s="607"/>
      <c r="AK260" s="607"/>
      <c r="AL260" s="607"/>
      <c r="AM260" s="607"/>
      <c r="AN260" s="607"/>
      <c r="AO260" s="607"/>
      <c r="AP260" s="607"/>
      <c r="AQ260" s="607"/>
      <c r="AR260" s="607"/>
      <c r="AS260" s="607"/>
      <c r="AT260" s="607"/>
      <c r="AU260" s="607"/>
      <c r="AV260" s="607"/>
      <c r="AW260" s="608"/>
      <c r="AX260" s="616" t="str">
        <f>IF(HealthMerit&gt;0,"Current rank: Increases your maximum health by "&amp;((HealthMerit+1)*(HealthMerit+2)/2-1)*10&amp;".
","")&amp;IF(HealthMerit&lt;7,"Next Rank: Increases your maximum health by "&amp;((HealthMerit+2)*(HealthMerit+3)/2-1)*10&amp;". ","(Maximum Rank)")</f>
        <v xml:space="preserve">Next Rank: Increases your maximum health by 20. </v>
      </c>
      <c r="AY260" s="616"/>
      <c r="AZ260" s="616"/>
      <c r="BA260" s="616"/>
      <c r="BB260" s="616"/>
      <c r="BC260" s="616"/>
      <c r="BD260" s="616"/>
      <c r="BE260" s="616"/>
      <c r="BF260" s="616"/>
      <c r="BG260" s="616"/>
      <c r="BH260" s="616"/>
      <c r="BI260" s="616"/>
      <c r="BJ260" s="616"/>
      <c r="BK260" s="616"/>
      <c r="BL260" s="616"/>
      <c r="BM260" s="616"/>
      <c r="BN260" s="616"/>
      <c r="BO260" s="616"/>
      <c r="BP260" s="616"/>
      <c r="BQ260" s="616"/>
      <c r="BR260" s="616"/>
      <c r="BS260" s="616"/>
      <c r="BT260" s="616"/>
      <c r="BU260" s="616"/>
      <c r="BV260" s="616"/>
      <c r="BW260" s="616"/>
      <c r="BX260" s="616"/>
      <c r="BY260" s="616"/>
      <c r="BZ260" s="616"/>
      <c r="CA260" s="616"/>
      <c r="CB260" s="616"/>
      <c r="CC260" s="616"/>
      <c r="CD260" s="616"/>
      <c r="CE260" s="616"/>
      <c r="CF260" s="616"/>
      <c r="CG260" s="616"/>
      <c r="CH260" s="616"/>
      <c r="CI260" s="616"/>
      <c r="CJ260" s="616"/>
      <c r="CK260" s="616"/>
      <c r="CL260" s="616"/>
      <c r="CM260" s="616"/>
      <c r="CN260" s="616"/>
      <c r="CO260" s="616"/>
      <c r="CP260" s="616"/>
      <c r="CQ260" s="616"/>
      <c r="CR260" s="616"/>
      <c r="CS260" s="616"/>
      <c r="CT260" s="616"/>
      <c r="CU260" s="616"/>
      <c r="CV260" s="616"/>
      <c r="CW260" s="616"/>
      <c r="CX260" s="616"/>
      <c r="CY260" s="616"/>
      <c r="CZ260" s="616"/>
      <c r="DA260" s="616"/>
      <c r="DB260" s="616"/>
      <c r="DC260" s="616"/>
      <c r="DD260" s="616"/>
      <c r="DE260" s="616"/>
      <c r="DF260" s="616"/>
      <c r="DG260" s="616"/>
      <c r="DH260" s="616"/>
      <c r="DI260" s="616"/>
      <c r="DJ260" s="616"/>
      <c r="DK260" s="616"/>
      <c r="DL260" s="616"/>
      <c r="DM260" s="616"/>
      <c r="DN260" s="616"/>
      <c r="DO260" s="616"/>
      <c r="DP260" s="616"/>
      <c r="DQ260" s="617"/>
      <c r="DR260" s="229"/>
    </row>
    <row r="261" spans="1:122" ht="7.5" customHeight="1" x14ac:dyDescent="0.25">
      <c r="A261" s="591"/>
      <c r="B261" s="592"/>
      <c r="C261" s="592"/>
      <c r="D261" s="592"/>
      <c r="E261" s="593"/>
      <c r="F261" s="129"/>
      <c r="G261" s="598"/>
      <c r="H261" s="598"/>
      <c r="I261" s="598"/>
      <c r="J261" s="598"/>
      <c r="K261" s="598"/>
      <c r="L261" s="598"/>
      <c r="M261" s="598"/>
      <c r="N261" s="598"/>
      <c r="O261" s="598"/>
      <c r="P261" s="598"/>
      <c r="Q261" s="598"/>
      <c r="R261" s="598"/>
      <c r="S261" s="598"/>
      <c r="T261" s="598"/>
      <c r="U261" s="598"/>
      <c r="V261" s="598"/>
      <c r="W261" s="598"/>
      <c r="X261" s="598"/>
      <c r="Y261" s="598"/>
      <c r="Z261" s="602"/>
      <c r="AA261" s="602"/>
      <c r="AB261" s="602"/>
      <c r="AC261" s="602"/>
      <c r="AD261" s="602"/>
      <c r="AE261" s="602"/>
      <c r="AF261" s="602"/>
      <c r="AG261" s="635"/>
      <c r="AH261" s="609"/>
      <c r="AI261" s="610"/>
      <c r="AJ261" s="610"/>
      <c r="AK261" s="610"/>
      <c r="AL261" s="610"/>
      <c r="AM261" s="610"/>
      <c r="AN261" s="610"/>
      <c r="AO261" s="610"/>
      <c r="AP261" s="610"/>
      <c r="AQ261" s="610"/>
      <c r="AR261" s="610"/>
      <c r="AS261" s="610"/>
      <c r="AT261" s="610"/>
      <c r="AU261" s="610"/>
      <c r="AV261" s="610"/>
      <c r="AW261" s="611"/>
      <c r="AX261" s="619"/>
      <c r="AY261" s="619"/>
      <c r="AZ261" s="619"/>
      <c r="BA261" s="619"/>
      <c r="BB261" s="619"/>
      <c r="BC261" s="619"/>
      <c r="BD261" s="619"/>
      <c r="BE261" s="619"/>
      <c r="BF261" s="619"/>
      <c r="BG261" s="619"/>
      <c r="BH261" s="619"/>
      <c r="BI261" s="619"/>
      <c r="BJ261" s="619"/>
      <c r="BK261" s="619"/>
      <c r="BL261" s="619"/>
      <c r="BM261" s="619"/>
      <c r="BN261" s="619"/>
      <c r="BO261" s="619"/>
      <c r="BP261" s="619"/>
      <c r="BQ261" s="619"/>
      <c r="BR261" s="619"/>
      <c r="BS261" s="619"/>
      <c r="BT261" s="619"/>
      <c r="BU261" s="619"/>
      <c r="BV261" s="619"/>
      <c r="BW261" s="619"/>
      <c r="BX261" s="619"/>
      <c r="BY261" s="619"/>
      <c r="BZ261" s="619"/>
      <c r="CA261" s="619"/>
      <c r="CB261" s="619"/>
      <c r="CC261" s="619"/>
      <c r="CD261" s="619"/>
      <c r="CE261" s="619"/>
      <c r="CF261" s="619"/>
      <c r="CG261" s="619"/>
      <c r="CH261" s="619"/>
      <c r="CI261" s="619"/>
      <c r="CJ261" s="619"/>
      <c r="CK261" s="619"/>
      <c r="CL261" s="619"/>
      <c r="CM261" s="619"/>
      <c r="CN261" s="619"/>
      <c r="CO261" s="619"/>
      <c r="CP261" s="619"/>
      <c r="CQ261" s="619"/>
      <c r="CR261" s="619"/>
      <c r="CS261" s="619"/>
      <c r="CT261" s="619"/>
      <c r="CU261" s="619"/>
      <c r="CV261" s="619"/>
      <c r="CW261" s="619"/>
      <c r="CX261" s="619"/>
      <c r="CY261" s="619"/>
      <c r="CZ261" s="619"/>
      <c r="DA261" s="619"/>
      <c r="DB261" s="619"/>
      <c r="DC261" s="619"/>
      <c r="DD261" s="619"/>
      <c r="DE261" s="619"/>
      <c r="DF261" s="619"/>
      <c r="DG261" s="619"/>
      <c r="DH261" s="619"/>
      <c r="DI261" s="619"/>
      <c r="DJ261" s="619"/>
      <c r="DK261" s="619"/>
      <c r="DL261" s="619"/>
      <c r="DM261" s="619"/>
      <c r="DN261" s="619"/>
      <c r="DO261" s="619"/>
      <c r="DP261" s="619"/>
      <c r="DQ261" s="639"/>
      <c r="DR261" s="229"/>
    </row>
    <row r="262" spans="1:122" ht="7.5" customHeight="1" x14ac:dyDescent="0.25">
      <c r="A262" s="594"/>
      <c r="B262" s="595"/>
      <c r="C262" s="595"/>
      <c r="D262" s="595"/>
      <c r="E262" s="596"/>
      <c r="F262" s="129"/>
      <c r="G262" s="599"/>
      <c r="H262" s="599"/>
      <c r="I262" s="599"/>
      <c r="J262" s="599"/>
      <c r="K262" s="599"/>
      <c r="L262" s="599"/>
      <c r="M262" s="599"/>
      <c r="N262" s="599"/>
      <c r="O262" s="599"/>
      <c r="P262" s="599"/>
      <c r="Q262" s="599"/>
      <c r="R262" s="599"/>
      <c r="S262" s="599"/>
      <c r="T262" s="599"/>
      <c r="U262" s="599"/>
      <c r="V262" s="599"/>
      <c r="W262" s="599"/>
      <c r="X262" s="599"/>
      <c r="Y262" s="599"/>
      <c r="Z262" s="602"/>
      <c r="AA262" s="602"/>
      <c r="AB262" s="602"/>
      <c r="AC262" s="602"/>
      <c r="AD262" s="602"/>
      <c r="AE262" s="602"/>
      <c r="AF262" s="602"/>
      <c r="AG262" s="636"/>
      <c r="AH262" s="609"/>
      <c r="AI262" s="610"/>
      <c r="AJ262" s="610"/>
      <c r="AK262" s="610"/>
      <c r="AL262" s="610"/>
      <c r="AM262" s="610"/>
      <c r="AN262" s="610"/>
      <c r="AO262" s="610"/>
      <c r="AP262" s="610"/>
      <c r="AQ262" s="610"/>
      <c r="AR262" s="610"/>
      <c r="AS262" s="610"/>
      <c r="AT262" s="610"/>
      <c r="AU262" s="610"/>
      <c r="AV262" s="610"/>
      <c r="AW262" s="611"/>
      <c r="AX262" s="619"/>
      <c r="AY262" s="619"/>
      <c r="AZ262" s="619"/>
      <c r="BA262" s="619"/>
      <c r="BB262" s="619"/>
      <c r="BC262" s="619"/>
      <c r="BD262" s="619"/>
      <c r="BE262" s="619"/>
      <c r="BF262" s="619"/>
      <c r="BG262" s="619"/>
      <c r="BH262" s="619"/>
      <c r="BI262" s="619"/>
      <c r="BJ262" s="619"/>
      <c r="BK262" s="619"/>
      <c r="BL262" s="619"/>
      <c r="BM262" s="619"/>
      <c r="BN262" s="619"/>
      <c r="BO262" s="619"/>
      <c r="BP262" s="619"/>
      <c r="BQ262" s="619"/>
      <c r="BR262" s="619"/>
      <c r="BS262" s="619"/>
      <c r="BT262" s="619"/>
      <c r="BU262" s="619"/>
      <c r="BV262" s="619"/>
      <c r="BW262" s="619"/>
      <c r="BX262" s="619"/>
      <c r="BY262" s="619"/>
      <c r="BZ262" s="619"/>
      <c r="CA262" s="619"/>
      <c r="CB262" s="619"/>
      <c r="CC262" s="619"/>
      <c r="CD262" s="619"/>
      <c r="CE262" s="619"/>
      <c r="CF262" s="619"/>
      <c r="CG262" s="619"/>
      <c r="CH262" s="619"/>
      <c r="CI262" s="619"/>
      <c r="CJ262" s="619"/>
      <c r="CK262" s="619"/>
      <c r="CL262" s="619"/>
      <c r="CM262" s="619"/>
      <c r="CN262" s="619"/>
      <c r="CO262" s="619"/>
      <c r="CP262" s="619"/>
      <c r="CQ262" s="619"/>
      <c r="CR262" s="619"/>
      <c r="CS262" s="619"/>
      <c r="CT262" s="619"/>
      <c r="CU262" s="619"/>
      <c r="CV262" s="619"/>
      <c r="CW262" s="619"/>
      <c r="CX262" s="619"/>
      <c r="CY262" s="619"/>
      <c r="CZ262" s="619"/>
      <c r="DA262" s="619"/>
      <c r="DB262" s="619"/>
      <c r="DC262" s="619"/>
      <c r="DD262" s="619"/>
      <c r="DE262" s="619"/>
      <c r="DF262" s="619"/>
      <c r="DG262" s="619"/>
      <c r="DH262" s="619"/>
      <c r="DI262" s="619"/>
      <c r="DJ262" s="619"/>
      <c r="DK262" s="619"/>
      <c r="DL262" s="619"/>
      <c r="DM262" s="619"/>
      <c r="DN262" s="619"/>
      <c r="DO262" s="619"/>
      <c r="DP262" s="619"/>
      <c r="DQ262" s="640"/>
      <c r="DR262" s="229"/>
    </row>
    <row r="263" spans="1:122" ht="7.5" customHeight="1" x14ac:dyDescent="0.25">
      <c r="A263" s="119"/>
      <c r="B263" s="119"/>
      <c r="C263" s="119"/>
      <c r="D263" s="119"/>
      <c r="E263" s="119"/>
      <c r="F263" s="653" t="str">
        <f>G260</f>
        <v>Improved Stamina</v>
      </c>
      <c r="G263" s="653"/>
      <c r="H263" s="653"/>
      <c r="I263" s="653"/>
      <c r="J263" s="653"/>
      <c r="K263" s="625">
        <f>HealthMerit*(HealthMerit+1)/2*100</f>
        <v>0</v>
      </c>
      <c r="L263" s="625"/>
      <c r="M263" s="625"/>
      <c r="N263" s="626" t="b">
        <f>IF(AH256&lt;&gt;"",VLOOKUP($G260,'Merit Data'!A:BW,MATCH('Merit Data'!$B$3,'Merit Data'!$3:$3,0),0),TRUE)</f>
        <v>1</v>
      </c>
      <c r="O263" s="626"/>
      <c r="P263" s="626"/>
      <c r="Q263" s="140"/>
      <c r="R263" s="140"/>
      <c r="S263" s="140"/>
      <c r="T263" s="140"/>
      <c r="U263" s="140"/>
      <c r="V263" s="238"/>
      <c r="W263" s="238"/>
      <c r="X263" s="627" t="str">
        <f>IF(F263&gt;0,HYPERLINK("http://wiki.project-saros.com/w/"&amp;F263,"Info"),"")</f>
        <v>Info</v>
      </c>
      <c r="Y263" s="628"/>
      <c r="Z263" s="637"/>
      <c r="AA263" s="637"/>
      <c r="AB263" s="637"/>
      <c r="AC263" s="637"/>
      <c r="AD263" s="637"/>
      <c r="AE263" s="637"/>
      <c r="AF263" s="637"/>
      <c r="AG263" s="638"/>
      <c r="AH263" s="612"/>
      <c r="AI263" s="613"/>
      <c r="AJ263" s="613"/>
      <c r="AK263" s="613"/>
      <c r="AL263" s="613"/>
      <c r="AM263" s="613"/>
      <c r="AN263" s="613"/>
      <c r="AO263" s="613"/>
      <c r="AP263" s="613"/>
      <c r="AQ263" s="613"/>
      <c r="AR263" s="613"/>
      <c r="AS263" s="613"/>
      <c r="AT263" s="613"/>
      <c r="AU263" s="613"/>
      <c r="AV263" s="613"/>
      <c r="AW263" s="614"/>
      <c r="AX263" s="641"/>
      <c r="AY263" s="641"/>
      <c r="AZ263" s="641"/>
      <c r="BA263" s="641"/>
      <c r="BB263" s="641"/>
      <c r="BC263" s="641"/>
      <c r="BD263" s="641"/>
      <c r="BE263" s="641"/>
      <c r="BF263" s="641"/>
      <c r="BG263" s="641"/>
      <c r="BH263" s="641"/>
      <c r="BI263" s="641"/>
      <c r="BJ263" s="641"/>
      <c r="BK263" s="641"/>
      <c r="BL263" s="641"/>
      <c r="BM263" s="641"/>
      <c r="BN263" s="641"/>
      <c r="BO263" s="641"/>
      <c r="BP263" s="641"/>
      <c r="BQ263" s="641"/>
      <c r="BR263" s="641"/>
      <c r="BS263" s="641"/>
      <c r="BT263" s="641"/>
      <c r="BU263" s="641"/>
      <c r="BV263" s="641"/>
      <c r="BW263" s="641"/>
      <c r="BX263" s="641"/>
      <c r="BY263" s="641"/>
      <c r="BZ263" s="641"/>
      <c r="CA263" s="641"/>
      <c r="CB263" s="641"/>
      <c r="CC263" s="641"/>
      <c r="CD263" s="641"/>
      <c r="CE263" s="641"/>
      <c r="CF263" s="641"/>
      <c r="CG263" s="641"/>
      <c r="CH263" s="641"/>
      <c r="CI263" s="641"/>
      <c r="CJ263" s="641"/>
      <c r="CK263" s="641"/>
      <c r="CL263" s="641"/>
      <c r="CM263" s="641"/>
      <c r="CN263" s="641"/>
      <c r="CO263" s="641"/>
      <c r="CP263" s="641"/>
      <c r="CQ263" s="641"/>
      <c r="CR263" s="641"/>
      <c r="CS263" s="641"/>
      <c r="CT263" s="641"/>
      <c r="CU263" s="641"/>
      <c r="CV263" s="641"/>
      <c r="CW263" s="641"/>
      <c r="CX263" s="641"/>
      <c r="CY263" s="641"/>
      <c r="CZ263" s="641"/>
      <c r="DA263" s="641"/>
      <c r="DB263" s="641"/>
      <c r="DC263" s="641"/>
      <c r="DD263" s="641"/>
      <c r="DE263" s="641"/>
      <c r="DF263" s="641"/>
      <c r="DG263" s="641"/>
      <c r="DH263" s="641"/>
      <c r="DI263" s="641"/>
      <c r="DJ263" s="641"/>
      <c r="DK263" s="641"/>
      <c r="DL263" s="641"/>
      <c r="DM263" s="641"/>
      <c r="DN263" s="641"/>
      <c r="DO263" s="641"/>
      <c r="DP263" s="641"/>
      <c r="DQ263" s="642"/>
      <c r="DR263" s="229"/>
    </row>
    <row r="264" spans="1:122" ht="7.5" customHeight="1" x14ac:dyDescent="0.25">
      <c r="A264" s="588"/>
      <c r="B264" s="589"/>
      <c r="C264" s="589"/>
      <c r="D264" s="589"/>
      <c r="E264" s="590"/>
      <c r="F264" s="129"/>
      <c r="G264" s="597" t="s">
        <v>390</v>
      </c>
      <c r="H264" s="597"/>
      <c r="I264" s="597"/>
      <c r="J264" s="597"/>
      <c r="K264" s="597"/>
      <c r="L264" s="597"/>
      <c r="M264" s="597"/>
      <c r="N264" s="597"/>
      <c r="O264" s="597"/>
      <c r="P264" s="597"/>
      <c r="Q264" s="597"/>
      <c r="R264" s="597"/>
      <c r="S264" s="597"/>
      <c r="T264" s="597"/>
      <c r="U264" s="597"/>
      <c r="V264" s="597"/>
      <c r="W264" s="597"/>
      <c r="X264" s="597"/>
      <c r="Y264" s="597"/>
      <c r="Z264" s="600">
        <f>(EnergyMerit+1)*100</f>
        <v>100</v>
      </c>
      <c r="AA264" s="600"/>
      <c r="AB264" s="600"/>
      <c r="AC264" s="600"/>
      <c r="AD264" s="600"/>
      <c r="AE264" s="600"/>
      <c r="AF264" s="600"/>
      <c r="AG264" s="601"/>
      <c r="AH264" s="606" t="str">
        <f>IF(NOT(ISERROR(VLOOKUP($G264,'Merit Data'!$A:$CE,MATCH('Merit Data'!$BX$3,'Merit Data'!$3:$3,0),0))),VLOOKUP($G264,'Merit Data'!$A:$CE,MATCH('Merit Data'!$BX$3,'Merit Data'!$3:$3,0),0),"")</f>
        <v/>
      </c>
      <c r="AI264" s="607"/>
      <c r="AJ264" s="607"/>
      <c r="AK264" s="607"/>
      <c r="AL264" s="607"/>
      <c r="AM264" s="607"/>
      <c r="AN264" s="607"/>
      <c r="AO264" s="607"/>
      <c r="AP264" s="607"/>
      <c r="AQ264" s="607"/>
      <c r="AR264" s="607"/>
      <c r="AS264" s="607"/>
      <c r="AT264" s="607"/>
      <c r="AU264" s="607"/>
      <c r="AV264" s="607"/>
      <c r="AW264" s="608"/>
      <c r="AX264" s="616" t="str">
        <f>IF(EnergyMerit&gt;0,"Current rank: Increases your maximum energy by "&amp;((EnergyMerit+1)*(EnergyMerit+2)/2-1)*10&amp;".
","")&amp;IF(EnergyMerit&lt;7,"Next Rank: Increases your maximum energy by "&amp;((EnergyMerit+2)*(EnergyMerit+3)/2-1)*10&amp;". ","(Maximum Rank)")</f>
        <v xml:space="preserve">Next Rank: Increases your maximum energy by 20. </v>
      </c>
      <c r="AY264" s="616"/>
      <c r="AZ264" s="616"/>
      <c r="BA264" s="616"/>
      <c r="BB264" s="616"/>
      <c r="BC264" s="616"/>
      <c r="BD264" s="616"/>
      <c r="BE264" s="616"/>
      <c r="BF264" s="616"/>
      <c r="BG264" s="616"/>
      <c r="BH264" s="616"/>
      <c r="BI264" s="616"/>
      <c r="BJ264" s="616"/>
      <c r="BK264" s="616"/>
      <c r="BL264" s="616"/>
      <c r="BM264" s="616"/>
      <c r="BN264" s="616"/>
      <c r="BO264" s="616"/>
      <c r="BP264" s="616"/>
      <c r="BQ264" s="616"/>
      <c r="BR264" s="616"/>
      <c r="BS264" s="616"/>
      <c r="BT264" s="616"/>
      <c r="BU264" s="616"/>
      <c r="BV264" s="616"/>
      <c r="BW264" s="616"/>
      <c r="BX264" s="616"/>
      <c r="BY264" s="616"/>
      <c r="BZ264" s="616"/>
      <c r="CA264" s="616"/>
      <c r="CB264" s="616"/>
      <c r="CC264" s="616"/>
      <c r="CD264" s="616"/>
      <c r="CE264" s="616"/>
      <c r="CF264" s="616"/>
      <c r="CG264" s="616"/>
      <c r="CH264" s="616"/>
      <c r="CI264" s="616"/>
      <c r="CJ264" s="616"/>
      <c r="CK264" s="616"/>
      <c r="CL264" s="616"/>
      <c r="CM264" s="616"/>
      <c r="CN264" s="616"/>
      <c r="CO264" s="616"/>
      <c r="CP264" s="616"/>
      <c r="CQ264" s="616"/>
      <c r="CR264" s="616"/>
      <c r="CS264" s="616"/>
      <c r="CT264" s="616"/>
      <c r="CU264" s="616"/>
      <c r="CV264" s="616"/>
      <c r="CW264" s="616"/>
      <c r="CX264" s="616"/>
      <c r="CY264" s="616"/>
      <c r="CZ264" s="616"/>
      <c r="DA264" s="616"/>
      <c r="DB264" s="616"/>
      <c r="DC264" s="616"/>
      <c r="DD264" s="616"/>
      <c r="DE264" s="616"/>
      <c r="DF264" s="616"/>
      <c r="DG264" s="616"/>
      <c r="DH264" s="616"/>
      <c r="DI264" s="616"/>
      <c r="DJ264" s="616"/>
      <c r="DK264" s="616"/>
      <c r="DL264" s="616"/>
      <c r="DM264" s="616"/>
      <c r="DN264" s="616"/>
      <c r="DO264" s="616"/>
      <c r="DP264" s="616"/>
      <c r="DQ264" s="617"/>
      <c r="DR264" s="229"/>
    </row>
    <row r="265" spans="1:122" ht="7.5" customHeight="1" x14ac:dyDescent="0.25">
      <c r="A265" s="591"/>
      <c r="B265" s="592"/>
      <c r="C265" s="592"/>
      <c r="D265" s="592"/>
      <c r="E265" s="593"/>
      <c r="F265" s="129"/>
      <c r="G265" s="598"/>
      <c r="H265" s="598"/>
      <c r="I265" s="598"/>
      <c r="J265" s="598"/>
      <c r="K265" s="598"/>
      <c r="L265" s="598"/>
      <c r="M265" s="598"/>
      <c r="N265" s="598"/>
      <c r="O265" s="598"/>
      <c r="P265" s="598"/>
      <c r="Q265" s="598"/>
      <c r="R265" s="598"/>
      <c r="S265" s="598"/>
      <c r="T265" s="598"/>
      <c r="U265" s="598"/>
      <c r="V265" s="598"/>
      <c r="W265" s="598"/>
      <c r="X265" s="598"/>
      <c r="Y265" s="598"/>
      <c r="Z265" s="602"/>
      <c r="AA265" s="602"/>
      <c r="AB265" s="602"/>
      <c r="AC265" s="602"/>
      <c r="AD265" s="602"/>
      <c r="AE265" s="602"/>
      <c r="AF265" s="602"/>
      <c r="AG265" s="635"/>
      <c r="AH265" s="609"/>
      <c r="AI265" s="610"/>
      <c r="AJ265" s="610"/>
      <c r="AK265" s="610"/>
      <c r="AL265" s="610"/>
      <c r="AM265" s="610"/>
      <c r="AN265" s="610"/>
      <c r="AO265" s="610"/>
      <c r="AP265" s="610"/>
      <c r="AQ265" s="610"/>
      <c r="AR265" s="610"/>
      <c r="AS265" s="610"/>
      <c r="AT265" s="610"/>
      <c r="AU265" s="610"/>
      <c r="AV265" s="610"/>
      <c r="AW265" s="611"/>
      <c r="AX265" s="619"/>
      <c r="AY265" s="619"/>
      <c r="AZ265" s="619"/>
      <c r="BA265" s="619"/>
      <c r="BB265" s="619"/>
      <c r="BC265" s="619"/>
      <c r="BD265" s="619"/>
      <c r="BE265" s="619"/>
      <c r="BF265" s="619"/>
      <c r="BG265" s="619"/>
      <c r="BH265" s="619"/>
      <c r="BI265" s="619"/>
      <c r="BJ265" s="619"/>
      <c r="BK265" s="619"/>
      <c r="BL265" s="619"/>
      <c r="BM265" s="619"/>
      <c r="BN265" s="619"/>
      <c r="BO265" s="619"/>
      <c r="BP265" s="619"/>
      <c r="BQ265" s="619"/>
      <c r="BR265" s="619"/>
      <c r="BS265" s="619"/>
      <c r="BT265" s="619"/>
      <c r="BU265" s="619"/>
      <c r="BV265" s="619"/>
      <c r="BW265" s="619"/>
      <c r="BX265" s="619"/>
      <c r="BY265" s="619"/>
      <c r="BZ265" s="619"/>
      <c r="CA265" s="619"/>
      <c r="CB265" s="619"/>
      <c r="CC265" s="619"/>
      <c r="CD265" s="619"/>
      <c r="CE265" s="619"/>
      <c r="CF265" s="619"/>
      <c r="CG265" s="619"/>
      <c r="CH265" s="619"/>
      <c r="CI265" s="619"/>
      <c r="CJ265" s="619"/>
      <c r="CK265" s="619"/>
      <c r="CL265" s="619"/>
      <c r="CM265" s="619"/>
      <c r="CN265" s="619"/>
      <c r="CO265" s="619"/>
      <c r="CP265" s="619"/>
      <c r="CQ265" s="619"/>
      <c r="CR265" s="619"/>
      <c r="CS265" s="619"/>
      <c r="CT265" s="619"/>
      <c r="CU265" s="619"/>
      <c r="CV265" s="619"/>
      <c r="CW265" s="619"/>
      <c r="CX265" s="619"/>
      <c r="CY265" s="619"/>
      <c r="CZ265" s="619"/>
      <c r="DA265" s="619"/>
      <c r="DB265" s="619"/>
      <c r="DC265" s="619"/>
      <c r="DD265" s="619"/>
      <c r="DE265" s="619"/>
      <c r="DF265" s="619"/>
      <c r="DG265" s="619"/>
      <c r="DH265" s="619"/>
      <c r="DI265" s="619"/>
      <c r="DJ265" s="619"/>
      <c r="DK265" s="619"/>
      <c r="DL265" s="619"/>
      <c r="DM265" s="619"/>
      <c r="DN265" s="619"/>
      <c r="DO265" s="619"/>
      <c r="DP265" s="619"/>
      <c r="DQ265" s="639"/>
      <c r="DR265" s="229"/>
    </row>
    <row r="266" spans="1:122" ht="7.5" customHeight="1" x14ac:dyDescent="0.25">
      <c r="A266" s="594"/>
      <c r="B266" s="595"/>
      <c r="C266" s="595"/>
      <c r="D266" s="595"/>
      <c r="E266" s="596"/>
      <c r="F266" s="129"/>
      <c r="G266" s="599"/>
      <c r="H266" s="599"/>
      <c r="I266" s="599"/>
      <c r="J266" s="599"/>
      <c r="K266" s="599"/>
      <c r="L266" s="599"/>
      <c r="M266" s="599"/>
      <c r="N266" s="599"/>
      <c r="O266" s="599"/>
      <c r="P266" s="599"/>
      <c r="Q266" s="599"/>
      <c r="R266" s="599"/>
      <c r="S266" s="599"/>
      <c r="T266" s="599"/>
      <c r="U266" s="599"/>
      <c r="V266" s="599"/>
      <c r="W266" s="599"/>
      <c r="X266" s="599"/>
      <c r="Y266" s="599"/>
      <c r="Z266" s="602"/>
      <c r="AA266" s="602"/>
      <c r="AB266" s="602"/>
      <c r="AC266" s="602"/>
      <c r="AD266" s="602"/>
      <c r="AE266" s="602"/>
      <c r="AF266" s="602"/>
      <c r="AG266" s="636"/>
      <c r="AH266" s="609"/>
      <c r="AI266" s="610"/>
      <c r="AJ266" s="610"/>
      <c r="AK266" s="610"/>
      <c r="AL266" s="610"/>
      <c r="AM266" s="610"/>
      <c r="AN266" s="610"/>
      <c r="AO266" s="610"/>
      <c r="AP266" s="610"/>
      <c r="AQ266" s="610"/>
      <c r="AR266" s="610"/>
      <c r="AS266" s="610"/>
      <c r="AT266" s="610"/>
      <c r="AU266" s="610"/>
      <c r="AV266" s="610"/>
      <c r="AW266" s="611"/>
      <c r="AX266" s="619"/>
      <c r="AY266" s="619"/>
      <c r="AZ266" s="619"/>
      <c r="BA266" s="619"/>
      <c r="BB266" s="619"/>
      <c r="BC266" s="619"/>
      <c r="BD266" s="619"/>
      <c r="BE266" s="619"/>
      <c r="BF266" s="619"/>
      <c r="BG266" s="619"/>
      <c r="BH266" s="619"/>
      <c r="BI266" s="619"/>
      <c r="BJ266" s="619"/>
      <c r="BK266" s="619"/>
      <c r="BL266" s="619"/>
      <c r="BM266" s="619"/>
      <c r="BN266" s="619"/>
      <c r="BO266" s="619"/>
      <c r="BP266" s="619"/>
      <c r="BQ266" s="619"/>
      <c r="BR266" s="619"/>
      <c r="BS266" s="619"/>
      <c r="BT266" s="619"/>
      <c r="BU266" s="619"/>
      <c r="BV266" s="619"/>
      <c r="BW266" s="619"/>
      <c r="BX266" s="619"/>
      <c r="BY266" s="619"/>
      <c r="BZ266" s="619"/>
      <c r="CA266" s="619"/>
      <c r="CB266" s="619"/>
      <c r="CC266" s="619"/>
      <c r="CD266" s="619"/>
      <c r="CE266" s="619"/>
      <c r="CF266" s="619"/>
      <c r="CG266" s="619"/>
      <c r="CH266" s="619"/>
      <c r="CI266" s="619"/>
      <c r="CJ266" s="619"/>
      <c r="CK266" s="619"/>
      <c r="CL266" s="619"/>
      <c r="CM266" s="619"/>
      <c r="CN266" s="619"/>
      <c r="CO266" s="619"/>
      <c r="CP266" s="619"/>
      <c r="CQ266" s="619"/>
      <c r="CR266" s="619"/>
      <c r="CS266" s="619"/>
      <c r="CT266" s="619"/>
      <c r="CU266" s="619"/>
      <c r="CV266" s="619"/>
      <c r="CW266" s="619"/>
      <c r="CX266" s="619"/>
      <c r="CY266" s="619"/>
      <c r="CZ266" s="619"/>
      <c r="DA266" s="619"/>
      <c r="DB266" s="619"/>
      <c r="DC266" s="619"/>
      <c r="DD266" s="619"/>
      <c r="DE266" s="619"/>
      <c r="DF266" s="619"/>
      <c r="DG266" s="619"/>
      <c r="DH266" s="619"/>
      <c r="DI266" s="619"/>
      <c r="DJ266" s="619"/>
      <c r="DK266" s="619"/>
      <c r="DL266" s="619"/>
      <c r="DM266" s="619"/>
      <c r="DN266" s="619"/>
      <c r="DO266" s="619"/>
      <c r="DP266" s="619"/>
      <c r="DQ266" s="640"/>
      <c r="DR266" s="229"/>
    </row>
    <row r="267" spans="1:122" ht="7.5" customHeight="1" x14ac:dyDescent="0.25">
      <c r="A267" s="119"/>
      <c r="B267" s="119"/>
      <c r="C267" s="119"/>
      <c r="D267" s="119"/>
      <c r="E267" s="119"/>
      <c r="F267" s="653" t="str">
        <f>G264</f>
        <v>Improved Energy</v>
      </c>
      <c r="G267" s="653"/>
      <c r="H267" s="653"/>
      <c r="I267" s="653"/>
      <c r="J267" s="653"/>
      <c r="K267" s="695">
        <f>EnergyMerit*(EnergyMerit+1)/2*100</f>
        <v>0</v>
      </c>
      <c r="L267" s="695"/>
      <c r="M267" s="695"/>
      <c r="N267" s="626" t="b">
        <f>IF(AH260&lt;&gt;"",VLOOKUP($G264,'Merit Data'!A:BW,MATCH('Merit Data'!$B$3,'Merit Data'!$3:$3,0),0),TRUE)</f>
        <v>1</v>
      </c>
      <c r="O267" s="626"/>
      <c r="P267" s="626"/>
      <c r="Q267" s="140"/>
      <c r="R267" s="140"/>
      <c r="S267" s="140"/>
      <c r="T267" s="140"/>
      <c r="U267" s="140"/>
      <c r="V267" s="238"/>
      <c r="W267" s="238"/>
      <c r="X267" s="627" t="str">
        <f>IF(F267&gt;0,HYPERLINK("http://wiki.project-saros.com/w/"&amp;F267,"Info"),"")</f>
        <v>Info</v>
      </c>
      <c r="Y267" s="628"/>
      <c r="Z267" s="637"/>
      <c r="AA267" s="637"/>
      <c r="AB267" s="637"/>
      <c r="AC267" s="637"/>
      <c r="AD267" s="637"/>
      <c r="AE267" s="637"/>
      <c r="AF267" s="637"/>
      <c r="AG267" s="638"/>
      <c r="AH267" s="612"/>
      <c r="AI267" s="613"/>
      <c r="AJ267" s="613"/>
      <c r="AK267" s="613"/>
      <c r="AL267" s="613"/>
      <c r="AM267" s="613"/>
      <c r="AN267" s="613"/>
      <c r="AO267" s="613"/>
      <c r="AP267" s="613"/>
      <c r="AQ267" s="613"/>
      <c r="AR267" s="613"/>
      <c r="AS267" s="613"/>
      <c r="AT267" s="613"/>
      <c r="AU267" s="613"/>
      <c r="AV267" s="613"/>
      <c r="AW267" s="614"/>
      <c r="AX267" s="641"/>
      <c r="AY267" s="641"/>
      <c r="AZ267" s="641"/>
      <c r="BA267" s="641"/>
      <c r="BB267" s="641"/>
      <c r="BC267" s="641"/>
      <c r="BD267" s="641"/>
      <c r="BE267" s="641"/>
      <c r="BF267" s="641"/>
      <c r="BG267" s="641"/>
      <c r="BH267" s="641"/>
      <c r="BI267" s="641"/>
      <c r="BJ267" s="641"/>
      <c r="BK267" s="641"/>
      <c r="BL267" s="641"/>
      <c r="BM267" s="641"/>
      <c r="BN267" s="641"/>
      <c r="BO267" s="641"/>
      <c r="BP267" s="641"/>
      <c r="BQ267" s="641"/>
      <c r="BR267" s="641"/>
      <c r="BS267" s="641"/>
      <c r="BT267" s="641"/>
      <c r="BU267" s="641"/>
      <c r="BV267" s="641"/>
      <c r="BW267" s="641"/>
      <c r="BX267" s="641"/>
      <c r="BY267" s="641"/>
      <c r="BZ267" s="641"/>
      <c r="CA267" s="641"/>
      <c r="CB267" s="641"/>
      <c r="CC267" s="641"/>
      <c r="CD267" s="641"/>
      <c r="CE267" s="641"/>
      <c r="CF267" s="641"/>
      <c r="CG267" s="641"/>
      <c r="CH267" s="641"/>
      <c r="CI267" s="641"/>
      <c r="CJ267" s="641"/>
      <c r="CK267" s="641"/>
      <c r="CL267" s="641"/>
      <c r="CM267" s="641"/>
      <c r="CN267" s="641"/>
      <c r="CO267" s="641"/>
      <c r="CP267" s="641"/>
      <c r="CQ267" s="641"/>
      <c r="CR267" s="641"/>
      <c r="CS267" s="641"/>
      <c r="CT267" s="641"/>
      <c r="CU267" s="641"/>
      <c r="CV267" s="641"/>
      <c r="CW267" s="641"/>
      <c r="CX267" s="641"/>
      <c r="CY267" s="641"/>
      <c r="CZ267" s="641"/>
      <c r="DA267" s="641"/>
      <c r="DB267" s="641"/>
      <c r="DC267" s="641"/>
      <c r="DD267" s="641"/>
      <c r="DE267" s="641"/>
      <c r="DF267" s="641"/>
      <c r="DG267" s="641"/>
      <c r="DH267" s="641"/>
      <c r="DI267" s="641"/>
      <c r="DJ267" s="641"/>
      <c r="DK267" s="641"/>
      <c r="DL267" s="641"/>
      <c r="DM267" s="641"/>
      <c r="DN267" s="641"/>
      <c r="DO267" s="641"/>
      <c r="DP267" s="641"/>
      <c r="DQ267" s="642"/>
      <c r="DR267" s="229"/>
    </row>
    <row r="268" spans="1:122" ht="7.5" customHeight="1" x14ac:dyDescent="0.25">
      <c r="A268" s="588"/>
      <c r="B268" s="589"/>
      <c r="C268" s="589"/>
      <c r="D268" s="589"/>
      <c r="E268" s="590"/>
      <c r="F268" s="129"/>
      <c r="G268" s="597" t="s">
        <v>391</v>
      </c>
      <c r="H268" s="597"/>
      <c r="I268" s="597"/>
      <c r="J268" s="597"/>
      <c r="K268" s="597"/>
      <c r="L268" s="597"/>
      <c r="M268" s="597"/>
      <c r="N268" s="597"/>
      <c r="O268" s="597"/>
      <c r="P268" s="597"/>
      <c r="Q268" s="597"/>
      <c r="R268" s="597"/>
      <c r="S268" s="597"/>
      <c r="T268" s="597"/>
      <c r="U268" s="597"/>
      <c r="V268" s="597"/>
      <c r="W268" s="597"/>
      <c r="X268" s="597"/>
      <c r="Y268" s="597"/>
      <c r="Z268" s="600">
        <f>(VitalityMerit+1)*100</f>
        <v>100</v>
      </c>
      <c r="AA268" s="600"/>
      <c r="AB268" s="600"/>
      <c r="AC268" s="600"/>
      <c r="AD268" s="600"/>
      <c r="AE268" s="600"/>
      <c r="AF268" s="600"/>
      <c r="AG268" s="601"/>
      <c r="AH268" s="606" t="str">
        <f>IF(NOT(ISERROR(VLOOKUP($G268,'Merit Data'!$A:$CE,MATCH('Merit Data'!$BX$3,'Merit Data'!$3:$3,0),0))),VLOOKUP($G268,'Merit Data'!$A:$CE,MATCH('Merit Data'!$BX$3,'Merit Data'!$3:$3,0),0),"")</f>
        <v/>
      </c>
      <c r="AI268" s="607"/>
      <c r="AJ268" s="607"/>
      <c r="AK268" s="607"/>
      <c r="AL268" s="607"/>
      <c r="AM268" s="607"/>
      <c r="AN268" s="607"/>
      <c r="AO268" s="607"/>
      <c r="AP268" s="607"/>
      <c r="AQ268" s="607"/>
      <c r="AR268" s="607"/>
      <c r="AS268" s="607"/>
      <c r="AT268" s="607"/>
      <c r="AU268" s="607"/>
      <c r="AV268" s="607"/>
      <c r="AW268" s="608"/>
      <c r="AX268" s="616" t="str">
        <f>IF(VitalityMerit&gt;0,"Current rank: Increases your maximum health and energy by "&amp;((VitalityMerit+1)*(VitalityMerit+2)/2-1)*5&amp;".
","")&amp;IF(VitalityMerit&lt;7,"Next Rank: Increases your maximum health and energy by "&amp;((VitalityMerit+2)*(VitalityMerit+3)/2-1)*5&amp;". ","(Maximum Rank)")</f>
        <v xml:space="preserve">Next Rank: Increases your maximum health and energy by 10. </v>
      </c>
      <c r="AY268" s="616"/>
      <c r="AZ268" s="616"/>
      <c r="BA268" s="616"/>
      <c r="BB268" s="616"/>
      <c r="BC268" s="616"/>
      <c r="BD268" s="616"/>
      <c r="BE268" s="616"/>
      <c r="BF268" s="616"/>
      <c r="BG268" s="616"/>
      <c r="BH268" s="616"/>
      <c r="BI268" s="616"/>
      <c r="BJ268" s="616"/>
      <c r="BK268" s="616"/>
      <c r="BL268" s="616"/>
      <c r="BM268" s="616"/>
      <c r="BN268" s="616"/>
      <c r="BO268" s="616"/>
      <c r="BP268" s="616"/>
      <c r="BQ268" s="616"/>
      <c r="BR268" s="616"/>
      <c r="BS268" s="616"/>
      <c r="BT268" s="616"/>
      <c r="BU268" s="616"/>
      <c r="BV268" s="616"/>
      <c r="BW268" s="616"/>
      <c r="BX268" s="616"/>
      <c r="BY268" s="616"/>
      <c r="BZ268" s="616"/>
      <c r="CA268" s="616"/>
      <c r="CB268" s="616"/>
      <c r="CC268" s="616"/>
      <c r="CD268" s="616"/>
      <c r="CE268" s="616"/>
      <c r="CF268" s="616"/>
      <c r="CG268" s="616"/>
      <c r="CH268" s="616"/>
      <c r="CI268" s="616"/>
      <c r="CJ268" s="616"/>
      <c r="CK268" s="616"/>
      <c r="CL268" s="616"/>
      <c r="CM268" s="616"/>
      <c r="CN268" s="616"/>
      <c r="CO268" s="616"/>
      <c r="CP268" s="616"/>
      <c r="CQ268" s="616"/>
      <c r="CR268" s="616"/>
      <c r="CS268" s="616"/>
      <c r="CT268" s="616"/>
      <c r="CU268" s="616"/>
      <c r="CV268" s="616"/>
      <c r="CW268" s="616"/>
      <c r="CX268" s="616"/>
      <c r="CY268" s="616"/>
      <c r="CZ268" s="616"/>
      <c r="DA268" s="616"/>
      <c r="DB268" s="616"/>
      <c r="DC268" s="616"/>
      <c r="DD268" s="616"/>
      <c r="DE268" s="616"/>
      <c r="DF268" s="616"/>
      <c r="DG268" s="616"/>
      <c r="DH268" s="616"/>
      <c r="DI268" s="616"/>
      <c r="DJ268" s="616"/>
      <c r="DK268" s="616"/>
      <c r="DL268" s="616"/>
      <c r="DM268" s="616"/>
      <c r="DN268" s="616"/>
      <c r="DO268" s="616"/>
      <c r="DP268" s="616"/>
      <c r="DQ268" s="617"/>
      <c r="DR268" s="229"/>
    </row>
    <row r="269" spans="1:122" ht="7.5" customHeight="1" x14ac:dyDescent="0.25">
      <c r="A269" s="591"/>
      <c r="B269" s="592"/>
      <c r="C269" s="592"/>
      <c r="D269" s="592"/>
      <c r="E269" s="593"/>
      <c r="F269" s="129"/>
      <c r="G269" s="598"/>
      <c r="H269" s="598"/>
      <c r="I269" s="598"/>
      <c r="J269" s="598"/>
      <c r="K269" s="598"/>
      <c r="L269" s="598"/>
      <c r="M269" s="598"/>
      <c r="N269" s="598"/>
      <c r="O269" s="598"/>
      <c r="P269" s="598"/>
      <c r="Q269" s="598"/>
      <c r="R269" s="598"/>
      <c r="S269" s="598"/>
      <c r="T269" s="598"/>
      <c r="U269" s="598"/>
      <c r="V269" s="598"/>
      <c r="W269" s="598"/>
      <c r="X269" s="598"/>
      <c r="Y269" s="598"/>
      <c r="Z269" s="602"/>
      <c r="AA269" s="602"/>
      <c r="AB269" s="602"/>
      <c r="AC269" s="602"/>
      <c r="AD269" s="602"/>
      <c r="AE269" s="602"/>
      <c r="AF269" s="602"/>
      <c r="AG269" s="635"/>
      <c r="AH269" s="609"/>
      <c r="AI269" s="610"/>
      <c r="AJ269" s="610"/>
      <c r="AK269" s="610"/>
      <c r="AL269" s="610"/>
      <c r="AM269" s="610"/>
      <c r="AN269" s="610"/>
      <c r="AO269" s="610"/>
      <c r="AP269" s="610"/>
      <c r="AQ269" s="610"/>
      <c r="AR269" s="610"/>
      <c r="AS269" s="610"/>
      <c r="AT269" s="610"/>
      <c r="AU269" s="610"/>
      <c r="AV269" s="610"/>
      <c r="AW269" s="611"/>
      <c r="AX269" s="619"/>
      <c r="AY269" s="619"/>
      <c r="AZ269" s="619"/>
      <c r="BA269" s="619"/>
      <c r="BB269" s="619"/>
      <c r="BC269" s="619"/>
      <c r="BD269" s="619"/>
      <c r="BE269" s="619"/>
      <c r="BF269" s="619"/>
      <c r="BG269" s="619"/>
      <c r="BH269" s="619"/>
      <c r="BI269" s="619"/>
      <c r="BJ269" s="619"/>
      <c r="BK269" s="619"/>
      <c r="BL269" s="619"/>
      <c r="BM269" s="619"/>
      <c r="BN269" s="619"/>
      <c r="BO269" s="619"/>
      <c r="BP269" s="619"/>
      <c r="BQ269" s="619"/>
      <c r="BR269" s="619"/>
      <c r="BS269" s="619"/>
      <c r="BT269" s="619"/>
      <c r="BU269" s="619"/>
      <c r="BV269" s="619"/>
      <c r="BW269" s="619"/>
      <c r="BX269" s="619"/>
      <c r="BY269" s="619"/>
      <c r="BZ269" s="619"/>
      <c r="CA269" s="619"/>
      <c r="CB269" s="619"/>
      <c r="CC269" s="619"/>
      <c r="CD269" s="619"/>
      <c r="CE269" s="619"/>
      <c r="CF269" s="619"/>
      <c r="CG269" s="619"/>
      <c r="CH269" s="619"/>
      <c r="CI269" s="619"/>
      <c r="CJ269" s="619"/>
      <c r="CK269" s="619"/>
      <c r="CL269" s="619"/>
      <c r="CM269" s="619"/>
      <c r="CN269" s="619"/>
      <c r="CO269" s="619"/>
      <c r="CP269" s="619"/>
      <c r="CQ269" s="619"/>
      <c r="CR269" s="619"/>
      <c r="CS269" s="619"/>
      <c r="CT269" s="619"/>
      <c r="CU269" s="619"/>
      <c r="CV269" s="619"/>
      <c r="CW269" s="619"/>
      <c r="CX269" s="619"/>
      <c r="CY269" s="619"/>
      <c r="CZ269" s="619"/>
      <c r="DA269" s="619"/>
      <c r="DB269" s="619"/>
      <c r="DC269" s="619"/>
      <c r="DD269" s="619"/>
      <c r="DE269" s="619"/>
      <c r="DF269" s="619"/>
      <c r="DG269" s="619"/>
      <c r="DH269" s="619"/>
      <c r="DI269" s="619"/>
      <c r="DJ269" s="619"/>
      <c r="DK269" s="619"/>
      <c r="DL269" s="619"/>
      <c r="DM269" s="619"/>
      <c r="DN269" s="619"/>
      <c r="DO269" s="619"/>
      <c r="DP269" s="619"/>
      <c r="DQ269" s="639"/>
      <c r="DR269" s="229"/>
    </row>
    <row r="270" spans="1:122" ht="7.5" customHeight="1" x14ac:dyDescent="0.25">
      <c r="A270" s="594"/>
      <c r="B270" s="595"/>
      <c r="C270" s="595"/>
      <c r="D270" s="595"/>
      <c r="E270" s="596"/>
      <c r="F270" s="129"/>
      <c r="G270" s="696"/>
      <c r="H270" s="696"/>
      <c r="I270" s="696"/>
      <c r="J270" s="696"/>
      <c r="K270" s="696"/>
      <c r="L270" s="696"/>
      <c r="M270" s="696"/>
      <c r="N270" s="696"/>
      <c r="O270" s="696"/>
      <c r="P270" s="696"/>
      <c r="Q270" s="696"/>
      <c r="R270" s="696"/>
      <c r="S270" s="696"/>
      <c r="T270" s="696"/>
      <c r="U270" s="696"/>
      <c r="V270" s="696"/>
      <c r="W270" s="696"/>
      <c r="X270" s="696"/>
      <c r="Y270" s="696"/>
      <c r="Z270" s="602"/>
      <c r="AA270" s="602"/>
      <c r="AB270" s="602"/>
      <c r="AC270" s="602"/>
      <c r="AD270" s="602"/>
      <c r="AE270" s="602"/>
      <c r="AF270" s="602"/>
      <c r="AG270" s="636"/>
      <c r="AH270" s="609"/>
      <c r="AI270" s="610"/>
      <c r="AJ270" s="610"/>
      <c r="AK270" s="610"/>
      <c r="AL270" s="610"/>
      <c r="AM270" s="610"/>
      <c r="AN270" s="610"/>
      <c r="AO270" s="610"/>
      <c r="AP270" s="610"/>
      <c r="AQ270" s="610"/>
      <c r="AR270" s="610"/>
      <c r="AS270" s="610"/>
      <c r="AT270" s="610"/>
      <c r="AU270" s="610"/>
      <c r="AV270" s="610"/>
      <c r="AW270" s="611"/>
      <c r="AX270" s="619"/>
      <c r="AY270" s="619"/>
      <c r="AZ270" s="619"/>
      <c r="BA270" s="619"/>
      <c r="BB270" s="619"/>
      <c r="BC270" s="619"/>
      <c r="BD270" s="619"/>
      <c r="BE270" s="619"/>
      <c r="BF270" s="619"/>
      <c r="BG270" s="619"/>
      <c r="BH270" s="619"/>
      <c r="BI270" s="619"/>
      <c r="BJ270" s="619"/>
      <c r="BK270" s="619"/>
      <c r="BL270" s="619"/>
      <c r="BM270" s="619"/>
      <c r="BN270" s="619"/>
      <c r="BO270" s="619"/>
      <c r="BP270" s="619"/>
      <c r="BQ270" s="619"/>
      <c r="BR270" s="619"/>
      <c r="BS270" s="619"/>
      <c r="BT270" s="619"/>
      <c r="BU270" s="619"/>
      <c r="BV270" s="619"/>
      <c r="BW270" s="619"/>
      <c r="BX270" s="619"/>
      <c r="BY270" s="619"/>
      <c r="BZ270" s="619"/>
      <c r="CA270" s="619"/>
      <c r="CB270" s="619"/>
      <c r="CC270" s="619"/>
      <c r="CD270" s="619"/>
      <c r="CE270" s="619"/>
      <c r="CF270" s="619"/>
      <c r="CG270" s="619"/>
      <c r="CH270" s="619"/>
      <c r="CI270" s="619"/>
      <c r="CJ270" s="619"/>
      <c r="CK270" s="619"/>
      <c r="CL270" s="619"/>
      <c r="CM270" s="619"/>
      <c r="CN270" s="619"/>
      <c r="CO270" s="619"/>
      <c r="CP270" s="619"/>
      <c r="CQ270" s="619"/>
      <c r="CR270" s="619"/>
      <c r="CS270" s="619"/>
      <c r="CT270" s="619"/>
      <c r="CU270" s="619"/>
      <c r="CV270" s="619"/>
      <c r="CW270" s="619"/>
      <c r="CX270" s="619"/>
      <c r="CY270" s="619"/>
      <c r="CZ270" s="619"/>
      <c r="DA270" s="619"/>
      <c r="DB270" s="619"/>
      <c r="DC270" s="619"/>
      <c r="DD270" s="619"/>
      <c r="DE270" s="619"/>
      <c r="DF270" s="619"/>
      <c r="DG270" s="619"/>
      <c r="DH270" s="619"/>
      <c r="DI270" s="619"/>
      <c r="DJ270" s="619"/>
      <c r="DK270" s="619"/>
      <c r="DL270" s="619"/>
      <c r="DM270" s="619"/>
      <c r="DN270" s="619"/>
      <c r="DO270" s="619"/>
      <c r="DP270" s="619"/>
      <c r="DQ270" s="640"/>
      <c r="DR270" s="229"/>
    </row>
    <row r="271" spans="1:122" ht="7.5" customHeight="1" x14ac:dyDescent="0.25">
      <c r="A271" s="119"/>
      <c r="B271" s="119"/>
      <c r="C271" s="119"/>
      <c r="D271" s="119"/>
      <c r="E271" s="119"/>
      <c r="F271" s="653" t="str">
        <f>G268</f>
        <v>Improved Vitality</v>
      </c>
      <c r="G271" s="653"/>
      <c r="H271" s="653"/>
      <c r="I271" s="653"/>
      <c r="J271" s="653"/>
      <c r="K271" s="625">
        <f>VitalityMerit*(VitalityMerit+1)/2*100</f>
        <v>0</v>
      </c>
      <c r="L271" s="625"/>
      <c r="M271" s="625"/>
      <c r="N271" s="626" t="b">
        <f>IF(AH264&lt;&gt;"",VLOOKUP($G268,'Merit Data'!A:BW,MATCH('Merit Data'!$B$3,'Merit Data'!$3:$3,0),0),TRUE)</f>
        <v>1</v>
      </c>
      <c r="O271" s="626"/>
      <c r="P271" s="626"/>
      <c r="Q271" s="140"/>
      <c r="R271" s="140"/>
      <c r="S271" s="140"/>
      <c r="T271" s="140"/>
      <c r="U271" s="140"/>
      <c r="V271" s="238"/>
      <c r="W271" s="238"/>
      <c r="X271" s="627" t="str">
        <f>IF(F271&gt;0,HYPERLINK("http://wiki.project-saros.com/w/"&amp;F271,"Info"),"")</f>
        <v>Info</v>
      </c>
      <c r="Y271" s="628"/>
      <c r="Z271" s="637"/>
      <c r="AA271" s="637"/>
      <c r="AB271" s="637"/>
      <c r="AC271" s="637"/>
      <c r="AD271" s="637"/>
      <c r="AE271" s="637"/>
      <c r="AF271" s="637"/>
      <c r="AG271" s="638"/>
      <c r="AH271" s="612"/>
      <c r="AI271" s="613"/>
      <c r="AJ271" s="613"/>
      <c r="AK271" s="613"/>
      <c r="AL271" s="613"/>
      <c r="AM271" s="613"/>
      <c r="AN271" s="613"/>
      <c r="AO271" s="613"/>
      <c r="AP271" s="613"/>
      <c r="AQ271" s="613"/>
      <c r="AR271" s="613"/>
      <c r="AS271" s="613"/>
      <c r="AT271" s="613"/>
      <c r="AU271" s="613"/>
      <c r="AV271" s="613"/>
      <c r="AW271" s="614"/>
      <c r="AX271" s="641"/>
      <c r="AY271" s="641"/>
      <c r="AZ271" s="641"/>
      <c r="BA271" s="641"/>
      <c r="BB271" s="641"/>
      <c r="BC271" s="641"/>
      <c r="BD271" s="641"/>
      <c r="BE271" s="641"/>
      <c r="BF271" s="641"/>
      <c r="BG271" s="641"/>
      <c r="BH271" s="641"/>
      <c r="BI271" s="641"/>
      <c r="BJ271" s="641"/>
      <c r="BK271" s="641"/>
      <c r="BL271" s="641"/>
      <c r="BM271" s="641"/>
      <c r="BN271" s="641"/>
      <c r="BO271" s="641"/>
      <c r="BP271" s="641"/>
      <c r="BQ271" s="641"/>
      <c r="BR271" s="641"/>
      <c r="BS271" s="641"/>
      <c r="BT271" s="641"/>
      <c r="BU271" s="641"/>
      <c r="BV271" s="641"/>
      <c r="BW271" s="641"/>
      <c r="BX271" s="641"/>
      <c r="BY271" s="641"/>
      <c r="BZ271" s="641"/>
      <c r="CA271" s="641"/>
      <c r="CB271" s="641"/>
      <c r="CC271" s="641"/>
      <c r="CD271" s="641"/>
      <c r="CE271" s="641"/>
      <c r="CF271" s="641"/>
      <c r="CG271" s="641"/>
      <c r="CH271" s="641"/>
      <c r="CI271" s="641"/>
      <c r="CJ271" s="641"/>
      <c r="CK271" s="641"/>
      <c r="CL271" s="641"/>
      <c r="CM271" s="641"/>
      <c r="CN271" s="641"/>
      <c r="CO271" s="641"/>
      <c r="CP271" s="641"/>
      <c r="CQ271" s="641"/>
      <c r="CR271" s="641"/>
      <c r="CS271" s="641"/>
      <c r="CT271" s="641"/>
      <c r="CU271" s="641"/>
      <c r="CV271" s="641"/>
      <c r="CW271" s="641"/>
      <c r="CX271" s="641"/>
      <c r="CY271" s="641"/>
      <c r="CZ271" s="641"/>
      <c r="DA271" s="641"/>
      <c r="DB271" s="641"/>
      <c r="DC271" s="641"/>
      <c r="DD271" s="641"/>
      <c r="DE271" s="641"/>
      <c r="DF271" s="641"/>
      <c r="DG271" s="641"/>
      <c r="DH271" s="641"/>
      <c r="DI271" s="641"/>
      <c r="DJ271" s="641"/>
      <c r="DK271" s="641"/>
      <c r="DL271" s="641"/>
      <c r="DM271" s="641"/>
      <c r="DN271" s="641"/>
      <c r="DO271" s="641"/>
      <c r="DP271" s="641"/>
      <c r="DQ271" s="642"/>
      <c r="DR271" s="229"/>
    </row>
    <row r="272" spans="1:122" ht="7.5" customHeight="1" x14ac:dyDescent="0.25">
      <c r="A272" s="588"/>
      <c r="B272" s="589"/>
      <c r="C272" s="589"/>
      <c r="D272" s="589"/>
      <c r="E272" s="590"/>
      <c r="F272" s="152"/>
      <c r="G272" s="597" t="str">
        <f>INDEX('Merit Data'!A:A,ROW('Merit Data'!A6:A7),COLUMN('Merit Data'!A6:A7))</f>
        <v>Tough Constitution</v>
      </c>
      <c r="H272" s="597"/>
      <c r="I272" s="597"/>
      <c r="J272" s="597"/>
      <c r="K272" s="597"/>
      <c r="L272" s="597"/>
      <c r="M272" s="597"/>
      <c r="N272" s="597"/>
      <c r="O272" s="597"/>
      <c r="P272" s="597"/>
      <c r="Q272" s="597"/>
      <c r="R272" s="597"/>
      <c r="S272" s="597"/>
      <c r="T272" s="597"/>
      <c r="U272" s="597"/>
      <c r="V272" s="597"/>
      <c r="W272" s="597"/>
      <c r="X272" s="597"/>
      <c r="Y272" s="597"/>
      <c r="Z272" s="600">
        <f>VLOOKUP($G272,'Merit Data'!$A:$BW,MATCH('Merit Data'!$E$3,'Merit Data'!$3:$3,0),0)</f>
        <v>400</v>
      </c>
      <c r="AA272" s="600"/>
      <c r="AB272" s="600"/>
      <c r="AC272" s="600"/>
      <c r="AD272" s="600"/>
      <c r="AE272" s="600"/>
      <c r="AF272" s="600"/>
      <c r="AG272" s="601"/>
      <c r="AH272" s="606" t="str">
        <f ca="1">IF(NOT(ISERROR(VLOOKUP($G272,'Merit Data'!$A:$CE,MATCH('Merit Data'!$BX$3,'Merit Data'!$3:$3,0),0))),VLOOKUP($G272,'Merit Data'!$A:$CE,MATCH('Merit Data'!$BX$3,'Merit Data'!$3:$3,0),0),"")</f>
        <v>Improved Stamina</v>
      </c>
      <c r="AI272" s="607"/>
      <c r="AJ272" s="607"/>
      <c r="AK272" s="607"/>
      <c r="AL272" s="607"/>
      <c r="AM272" s="607"/>
      <c r="AN272" s="607"/>
      <c r="AO272" s="607"/>
      <c r="AP272" s="607"/>
      <c r="AQ272" s="607"/>
      <c r="AR272" s="607"/>
      <c r="AS272" s="607"/>
      <c r="AT272" s="607"/>
      <c r="AU272" s="607"/>
      <c r="AV272" s="607"/>
      <c r="AW272" s="608"/>
      <c r="AX272" s="615" t="str">
        <f>VLOOKUP($G272,'Merit Data'!$A:$BW,MATCH('Merit Data'!$F$3,'Merit Data'!$3:$3,0),0)</f>
        <v>You gain an additional 2 health for each point of your Constitution score.</v>
      </c>
      <c r="AY272" s="616"/>
      <c r="AZ272" s="616"/>
      <c r="BA272" s="616"/>
      <c r="BB272" s="616"/>
      <c r="BC272" s="616"/>
      <c r="BD272" s="616"/>
      <c r="BE272" s="616"/>
      <c r="BF272" s="616"/>
      <c r="BG272" s="616"/>
      <c r="BH272" s="616"/>
      <c r="BI272" s="616"/>
      <c r="BJ272" s="616"/>
      <c r="BK272" s="616"/>
      <c r="BL272" s="616"/>
      <c r="BM272" s="616"/>
      <c r="BN272" s="616"/>
      <c r="BO272" s="616"/>
      <c r="BP272" s="616"/>
      <c r="BQ272" s="616"/>
      <c r="BR272" s="616"/>
      <c r="BS272" s="616"/>
      <c r="BT272" s="616"/>
      <c r="BU272" s="616"/>
      <c r="BV272" s="616"/>
      <c r="BW272" s="616"/>
      <c r="BX272" s="616"/>
      <c r="BY272" s="616"/>
      <c r="BZ272" s="616"/>
      <c r="CA272" s="616"/>
      <c r="CB272" s="616"/>
      <c r="CC272" s="616"/>
      <c r="CD272" s="616"/>
      <c r="CE272" s="616"/>
      <c r="CF272" s="616"/>
      <c r="CG272" s="616"/>
      <c r="CH272" s="616"/>
      <c r="CI272" s="616"/>
      <c r="CJ272" s="616"/>
      <c r="CK272" s="616"/>
      <c r="CL272" s="616"/>
      <c r="CM272" s="616"/>
      <c r="CN272" s="616"/>
      <c r="CO272" s="616"/>
      <c r="CP272" s="616"/>
      <c r="CQ272" s="616"/>
      <c r="CR272" s="616"/>
      <c r="CS272" s="616"/>
      <c r="CT272" s="616"/>
      <c r="CU272" s="616"/>
      <c r="CV272" s="616"/>
      <c r="CW272" s="616"/>
      <c r="CX272" s="616"/>
      <c r="CY272" s="616"/>
      <c r="CZ272" s="616"/>
      <c r="DA272" s="616"/>
      <c r="DB272" s="616"/>
      <c r="DC272" s="616"/>
      <c r="DD272" s="616"/>
      <c r="DE272" s="616"/>
      <c r="DF272" s="616"/>
      <c r="DG272" s="616"/>
      <c r="DH272" s="616"/>
      <c r="DI272" s="616"/>
      <c r="DJ272" s="616"/>
      <c r="DK272" s="616"/>
      <c r="DL272" s="616"/>
      <c r="DM272" s="616"/>
      <c r="DN272" s="616"/>
      <c r="DO272" s="616"/>
      <c r="DP272" s="616"/>
      <c r="DQ272" s="617"/>
      <c r="DR272" s="229"/>
    </row>
    <row r="273" spans="1:122" ht="7.5" customHeight="1" x14ac:dyDescent="0.25">
      <c r="A273" s="591"/>
      <c r="B273" s="592"/>
      <c r="C273" s="592"/>
      <c r="D273" s="592"/>
      <c r="E273" s="593"/>
      <c r="F273" s="153"/>
      <c r="G273" s="598"/>
      <c r="H273" s="598"/>
      <c r="I273" s="598"/>
      <c r="J273" s="598"/>
      <c r="K273" s="598"/>
      <c r="L273" s="598"/>
      <c r="M273" s="598"/>
      <c r="N273" s="598"/>
      <c r="O273" s="598"/>
      <c r="P273" s="598"/>
      <c r="Q273" s="598"/>
      <c r="R273" s="598"/>
      <c r="S273" s="598"/>
      <c r="T273" s="598"/>
      <c r="U273" s="598"/>
      <c r="V273" s="598"/>
      <c r="W273" s="598"/>
      <c r="X273" s="598"/>
      <c r="Y273" s="598"/>
      <c r="Z273" s="602"/>
      <c r="AA273" s="602"/>
      <c r="AB273" s="602"/>
      <c r="AC273" s="602"/>
      <c r="AD273" s="602"/>
      <c r="AE273" s="602"/>
      <c r="AF273" s="602"/>
      <c r="AG273" s="603"/>
      <c r="AH273" s="609"/>
      <c r="AI273" s="610"/>
      <c r="AJ273" s="610"/>
      <c r="AK273" s="610"/>
      <c r="AL273" s="610"/>
      <c r="AM273" s="610"/>
      <c r="AN273" s="610"/>
      <c r="AO273" s="610"/>
      <c r="AP273" s="610"/>
      <c r="AQ273" s="610"/>
      <c r="AR273" s="610"/>
      <c r="AS273" s="610"/>
      <c r="AT273" s="610"/>
      <c r="AU273" s="610"/>
      <c r="AV273" s="610"/>
      <c r="AW273" s="611"/>
      <c r="AX273" s="618"/>
      <c r="AY273" s="619"/>
      <c r="AZ273" s="619"/>
      <c r="BA273" s="619"/>
      <c r="BB273" s="619"/>
      <c r="BC273" s="619"/>
      <c r="BD273" s="619"/>
      <c r="BE273" s="619"/>
      <c r="BF273" s="619"/>
      <c r="BG273" s="619"/>
      <c r="BH273" s="619"/>
      <c r="BI273" s="619"/>
      <c r="BJ273" s="619"/>
      <c r="BK273" s="619"/>
      <c r="BL273" s="619"/>
      <c r="BM273" s="619"/>
      <c r="BN273" s="619"/>
      <c r="BO273" s="619"/>
      <c r="BP273" s="619"/>
      <c r="BQ273" s="619"/>
      <c r="BR273" s="619"/>
      <c r="BS273" s="619"/>
      <c r="BT273" s="619"/>
      <c r="BU273" s="619"/>
      <c r="BV273" s="619"/>
      <c r="BW273" s="619"/>
      <c r="BX273" s="619"/>
      <c r="BY273" s="619"/>
      <c r="BZ273" s="619"/>
      <c r="CA273" s="619"/>
      <c r="CB273" s="619"/>
      <c r="CC273" s="619"/>
      <c r="CD273" s="619"/>
      <c r="CE273" s="619"/>
      <c r="CF273" s="619"/>
      <c r="CG273" s="619"/>
      <c r="CH273" s="619"/>
      <c r="CI273" s="619"/>
      <c r="CJ273" s="619"/>
      <c r="CK273" s="619"/>
      <c r="CL273" s="619"/>
      <c r="CM273" s="619"/>
      <c r="CN273" s="619"/>
      <c r="CO273" s="619"/>
      <c r="CP273" s="619"/>
      <c r="CQ273" s="619"/>
      <c r="CR273" s="619"/>
      <c r="CS273" s="619"/>
      <c r="CT273" s="619"/>
      <c r="CU273" s="619"/>
      <c r="CV273" s="619"/>
      <c r="CW273" s="619"/>
      <c r="CX273" s="619"/>
      <c r="CY273" s="619"/>
      <c r="CZ273" s="619"/>
      <c r="DA273" s="619"/>
      <c r="DB273" s="619"/>
      <c r="DC273" s="619"/>
      <c r="DD273" s="619"/>
      <c r="DE273" s="619"/>
      <c r="DF273" s="619"/>
      <c r="DG273" s="619"/>
      <c r="DH273" s="619"/>
      <c r="DI273" s="619"/>
      <c r="DJ273" s="619"/>
      <c r="DK273" s="619"/>
      <c r="DL273" s="619"/>
      <c r="DM273" s="619"/>
      <c r="DN273" s="619"/>
      <c r="DO273" s="619"/>
      <c r="DP273" s="619"/>
      <c r="DQ273" s="620"/>
      <c r="DR273" s="229"/>
    </row>
    <row r="274" spans="1:122" ht="7.5" customHeight="1" x14ac:dyDescent="0.25">
      <c r="A274" s="594"/>
      <c r="B274" s="595"/>
      <c r="C274" s="595"/>
      <c r="D274" s="595"/>
      <c r="E274" s="596"/>
      <c r="F274" s="154"/>
      <c r="G274" s="599"/>
      <c r="H274" s="599"/>
      <c r="I274" s="599"/>
      <c r="J274" s="599"/>
      <c r="K274" s="599"/>
      <c r="L274" s="599"/>
      <c r="M274" s="599"/>
      <c r="N274" s="599"/>
      <c r="O274" s="599"/>
      <c r="P274" s="599"/>
      <c r="Q274" s="599"/>
      <c r="R274" s="599"/>
      <c r="S274" s="599"/>
      <c r="T274" s="599"/>
      <c r="U274" s="599"/>
      <c r="V274" s="599"/>
      <c r="W274" s="599"/>
      <c r="X274" s="599"/>
      <c r="Y274" s="599"/>
      <c r="Z274" s="602"/>
      <c r="AA274" s="602"/>
      <c r="AB274" s="602"/>
      <c r="AC274" s="602"/>
      <c r="AD274" s="602"/>
      <c r="AE274" s="602"/>
      <c r="AF274" s="602"/>
      <c r="AG274" s="603"/>
      <c r="AH274" s="609"/>
      <c r="AI274" s="610"/>
      <c r="AJ274" s="610"/>
      <c r="AK274" s="610"/>
      <c r="AL274" s="610"/>
      <c r="AM274" s="610"/>
      <c r="AN274" s="610"/>
      <c r="AO274" s="610"/>
      <c r="AP274" s="610"/>
      <c r="AQ274" s="610"/>
      <c r="AR274" s="610"/>
      <c r="AS274" s="610"/>
      <c r="AT274" s="610"/>
      <c r="AU274" s="610"/>
      <c r="AV274" s="610"/>
      <c r="AW274" s="611"/>
      <c r="AX274" s="618"/>
      <c r="AY274" s="619"/>
      <c r="AZ274" s="619"/>
      <c r="BA274" s="619"/>
      <c r="BB274" s="619"/>
      <c r="BC274" s="619"/>
      <c r="BD274" s="619"/>
      <c r="BE274" s="619"/>
      <c r="BF274" s="619"/>
      <c r="BG274" s="619"/>
      <c r="BH274" s="619"/>
      <c r="BI274" s="619"/>
      <c r="BJ274" s="619"/>
      <c r="BK274" s="619"/>
      <c r="BL274" s="619"/>
      <c r="BM274" s="619"/>
      <c r="BN274" s="619"/>
      <c r="BO274" s="619"/>
      <c r="BP274" s="619"/>
      <c r="BQ274" s="619"/>
      <c r="BR274" s="619"/>
      <c r="BS274" s="619"/>
      <c r="BT274" s="619"/>
      <c r="BU274" s="619"/>
      <c r="BV274" s="619"/>
      <c r="BW274" s="619"/>
      <c r="BX274" s="619"/>
      <c r="BY274" s="619"/>
      <c r="BZ274" s="619"/>
      <c r="CA274" s="619"/>
      <c r="CB274" s="619"/>
      <c r="CC274" s="619"/>
      <c r="CD274" s="619"/>
      <c r="CE274" s="619"/>
      <c r="CF274" s="619"/>
      <c r="CG274" s="619"/>
      <c r="CH274" s="619"/>
      <c r="CI274" s="619"/>
      <c r="CJ274" s="619"/>
      <c r="CK274" s="619"/>
      <c r="CL274" s="619"/>
      <c r="CM274" s="619"/>
      <c r="CN274" s="619"/>
      <c r="CO274" s="619"/>
      <c r="CP274" s="619"/>
      <c r="CQ274" s="619"/>
      <c r="CR274" s="619"/>
      <c r="CS274" s="619"/>
      <c r="CT274" s="619"/>
      <c r="CU274" s="619"/>
      <c r="CV274" s="619"/>
      <c r="CW274" s="619"/>
      <c r="CX274" s="619"/>
      <c r="CY274" s="619"/>
      <c r="CZ274" s="619"/>
      <c r="DA274" s="619"/>
      <c r="DB274" s="619"/>
      <c r="DC274" s="619"/>
      <c r="DD274" s="619"/>
      <c r="DE274" s="619"/>
      <c r="DF274" s="619"/>
      <c r="DG274" s="619"/>
      <c r="DH274" s="619"/>
      <c r="DI274" s="619"/>
      <c r="DJ274" s="619"/>
      <c r="DK274" s="619"/>
      <c r="DL274" s="619"/>
      <c r="DM274" s="619"/>
      <c r="DN274" s="619"/>
      <c r="DO274" s="619"/>
      <c r="DP274" s="619"/>
      <c r="DQ274" s="620"/>
      <c r="DR274" s="229"/>
    </row>
    <row r="275" spans="1:122" ht="7.5" customHeight="1" x14ac:dyDescent="0.25">
      <c r="A275" s="119"/>
      <c r="B275" s="119"/>
      <c r="C275" s="119"/>
      <c r="D275" s="119"/>
      <c r="E275" s="119"/>
      <c r="F275" s="624" t="str">
        <f>G272</f>
        <v>Tough Constitution</v>
      </c>
      <c r="G275" s="624"/>
      <c r="H275" s="624"/>
      <c r="I275" s="624"/>
      <c r="J275" s="624"/>
      <c r="K275" s="625">
        <f>IF(A272&gt;0,Z272,0)</f>
        <v>0</v>
      </c>
      <c r="L275" s="625"/>
      <c r="M275" s="625"/>
      <c r="N275" s="626" t="b">
        <f>IF($G272&lt;&gt;"",VLOOKUP($G272,'Merit Data'!$A:$BW,MATCH('Merit Data'!$B$3,'Merit Data'!$3:$3,0),0),TRUE)</f>
        <v>0</v>
      </c>
      <c r="O275" s="626"/>
      <c r="P275" s="626"/>
      <c r="Q275" s="155"/>
      <c r="R275" s="140"/>
      <c r="S275" s="140"/>
      <c r="T275" s="140"/>
      <c r="U275" s="140"/>
      <c r="V275" s="238"/>
      <c r="W275" s="238"/>
      <c r="X275" s="627" t="str">
        <f>IF(F275&gt;0,HYPERLINK("http://wiki.project-saros.com/w/"&amp;F275,"Info"),"")</f>
        <v>Info</v>
      </c>
      <c r="Y275" s="628"/>
      <c r="Z275" s="604"/>
      <c r="AA275" s="604"/>
      <c r="AB275" s="604"/>
      <c r="AC275" s="604"/>
      <c r="AD275" s="604"/>
      <c r="AE275" s="604"/>
      <c r="AF275" s="604"/>
      <c r="AG275" s="605"/>
      <c r="AH275" s="612"/>
      <c r="AI275" s="613"/>
      <c r="AJ275" s="613"/>
      <c r="AK275" s="613"/>
      <c r="AL275" s="613"/>
      <c r="AM275" s="613"/>
      <c r="AN275" s="613"/>
      <c r="AO275" s="613"/>
      <c r="AP275" s="613"/>
      <c r="AQ275" s="613"/>
      <c r="AR275" s="613"/>
      <c r="AS275" s="613"/>
      <c r="AT275" s="613"/>
      <c r="AU275" s="613"/>
      <c r="AV275" s="613"/>
      <c r="AW275" s="614"/>
      <c r="AX275" s="621"/>
      <c r="AY275" s="622"/>
      <c r="AZ275" s="622"/>
      <c r="BA275" s="622"/>
      <c r="BB275" s="622"/>
      <c r="BC275" s="622"/>
      <c r="BD275" s="622"/>
      <c r="BE275" s="622"/>
      <c r="BF275" s="622"/>
      <c r="BG275" s="622"/>
      <c r="BH275" s="622"/>
      <c r="BI275" s="622"/>
      <c r="BJ275" s="622"/>
      <c r="BK275" s="622"/>
      <c r="BL275" s="622"/>
      <c r="BM275" s="622"/>
      <c r="BN275" s="622"/>
      <c r="BO275" s="622"/>
      <c r="BP275" s="622"/>
      <c r="BQ275" s="622"/>
      <c r="BR275" s="622"/>
      <c r="BS275" s="622"/>
      <c r="BT275" s="622"/>
      <c r="BU275" s="622"/>
      <c r="BV275" s="622"/>
      <c r="BW275" s="622"/>
      <c r="BX275" s="622"/>
      <c r="BY275" s="622"/>
      <c r="BZ275" s="622"/>
      <c r="CA275" s="622"/>
      <c r="CB275" s="622"/>
      <c r="CC275" s="622"/>
      <c r="CD275" s="622"/>
      <c r="CE275" s="622"/>
      <c r="CF275" s="622"/>
      <c r="CG275" s="622"/>
      <c r="CH275" s="622"/>
      <c r="CI275" s="622"/>
      <c r="CJ275" s="622"/>
      <c r="CK275" s="622"/>
      <c r="CL275" s="622"/>
      <c r="CM275" s="622"/>
      <c r="CN275" s="622"/>
      <c r="CO275" s="622"/>
      <c r="CP275" s="622"/>
      <c r="CQ275" s="622"/>
      <c r="CR275" s="622"/>
      <c r="CS275" s="622"/>
      <c r="CT275" s="622"/>
      <c r="CU275" s="622"/>
      <c r="CV275" s="622"/>
      <c r="CW275" s="622"/>
      <c r="CX275" s="622"/>
      <c r="CY275" s="622"/>
      <c r="CZ275" s="622"/>
      <c r="DA275" s="622"/>
      <c r="DB275" s="622"/>
      <c r="DC275" s="622"/>
      <c r="DD275" s="622"/>
      <c r="DE275" s="622"/>
      <c r="DF275" s="622"/>
      <c r="DG275" s="622"/>
      <c r="DH275" s="622"/>
      <c r="DI275" s="622"/>
      <c r="DJ275" s="622"/>
      <c r="DK275" s="622"/>
      <c r="DL275" s="622"/>
      <c r="DM275" s="622"/>
      <c r="DN275" s="622"/>
      <c r="DO275" s="622"/>
      <c r="DP275" s="622"/>
      <c r="DQ275" s="623"/>
      <c r="DR275" s="229"/>
    </row>
    <row r="276" spans="1:122" ht="7.5" customHeight="1" x14ac:dyDescent="0.25">
      <c r="A276" s="588"/>
      <c r="B276" s="589"/>
      <c r="C276" s="589"/>
      <c r="D276" s="589"/>
      <c r="E276" s="590"/>
      <c r="F276" s="152"/>
      <c r="G276" s="597" t="str">
        <f>INDEX('Merit Data'!A:A,ROW('Merit Data'!A10:A11)-COUNTA($G$272:G275)*2,COLUMN('Merit Data'!A10:A11))</f>
        <v>Purified Thoughts</v>
      </c>
      <c r="H276" s="597"/>
      <c r="I276" s="597"/>
      <c r="J276" s="597"/>
      <c r="K276" s="597"/>
      <c r="L276" s="597"/>
      <c r="M276" s="597"/>
      <c r="N276" s="597"/>
      <c r="O276" s="597"/>
      <c r="P276" s="597"/>
      <c r="Q276" s="597"/>
      <c r="R276" s="597"/>
      <c r="S276" s="597"/>
      <c r="T276" s="597"/>
      <c r="U276" s="597"/>
      <c r="V276" s="597"/>
      <c r="W276" s="597"/>
      <c r="X276" s="597"/>
      <c r="Y276" s="597"/>
      <c r="Z276" s="600">
        <f>VLOOKUP($G276,'Merit Data'!$A:$BW,MATCH('Merit Data'!$E$3,'Merit Data'!$3:$3,0),0)</f>
        <v>400</v>
      </c>
      <c r="AA276" s="600"/>
      <c r="AB276" s="600"/>
      <c r="AC276" s="600"/>
      <c r="AD276" s="600"/>
      <c r="AE276" s="600"/>
      <c r="AF276" s="600"/>
      <c r="AG276" s="601"/>
      <c r="AH276" s="606" t="str">
        <f ca="1">IF(NOT(ISERROR(VLOOKUP($G276,'Merit Data'!$A:$CE,MATCH('Merit Data'!$BX$3,'Merit Data'!$3:$3,0),0))),VLOOKUP($G276,'Merit Data'!$A:$CE,MATCH('Merit Data'!$BX$3,'Merit Data'!$3:$3,0),0),"")</f>
        <v>Improved Energy</v>
      </c>
      <c r="AI276" s="607"/>
      <c r="AJ276" s="607"/>
      <c r="AK276" s="607"/>
      <c r="AL276" s="607"/>
      <c r="AM276" s="607"/>
      <c r="AN276" s="607"/>
      <c r="AO276" s="607"/>
      <c r="AP276" s="607"/>
      <c r="AQ276" s="607"/>
      <c r="AR276" s="607"/>
      <c r="AS276" s="607"/>
      <c r="AT276" s="607"/>
      <c r="AU276" s="607"/>
      <c r="AV276" s="607"/>
      <c r="AW276" s="608"/>
      <c r="AX276" s="615" t="str">
        <f>VLOOKUP($G276,'Merit Data'!$A:$BW,MATCH('Merit Data'!$F$3,'Merit Data'!$3:$3,0),0)</f>
        <v>You gain an additional 2 energy  for each point of your Focus score.</v>
      </c>
      <c r="AY276" s="616"/>
      <c r="AZ276" s="616"/>
      <c r="BA276" s="616"/>
      <c r="BB276" s="616"/>
      <c r="BC276" s="616"/>
      <c r="BD276" s="616"/>
      <c r="BE276" s="616"/>
      <c r="BF276" s="616"/>
      <c r="BG276" s="616"/>
      <c r="BH276" s="616"/>
      <c r="BI276" s="616"/>
      <c r="BJ276" s="616"/>
      <c r="BK276" s="616"/>
      <c r="BL276" s="616"/>
      <c r="BM276" s="616"/>
      <c r="BN276" s="616"/>
      <c r="BO276" s="616"/>
      <c r="BP276" s="616"/>
      <c r="BQ276" s="616"/>
      <c r="BR276" s="616"/>
      <c r="BS276" s="616"/>
      <c r="BT276" s="616"/>
      <c r="BU276" s="616"/>
      <c r="BV276" s="616"/>
      <c r="BW276" s="616"/>
      <c r="BX276" s="616"/>
      <c r="BY276" s="616"/>
      <c r="BZ276" s="616"/>
      <c r="CA276" s="616"/>
      <c r="CB276" s="616"/>
      <c r="CC276" s="616"/>
      <c r="CD276" s="616"/>
      <c r="CE276" s="616"/>
      <c r="CF276" s="616"/>
      <c r="CG276" s="616"/>
      <c r="CH276" s="616"/>
      <c r="CI276" s="616"/>
      <c r="CJ276" s="616"/>
      <c r="CK276" s="616"/>
      <c r="CL276" s="616"/>
      <c r="CM276" s="616"/>
      <c r="CN276" s="616"/>
      <c r="CO276" s="616"/>
      <c r="CP276" s="616"/>
      <c r="CQ276" s="616"/>
      <c r="CR276" s="616"/>
      <c r="CS276" s="616"/>
      <c r="CT276" s="616"/>
      <c r="CU276" s="616"/>
      <c r="CV276" s="616"/>
      <c r="CW276" s="616"/>
      <c r="CX276" s="616"/>
      <c r="CY276" s="616"/>
      <c r="CZ276" s="616"/>
      <c r="DA276" s="616"/>
      <c r="DB276" s="616"/>
      <c r="DC276" s="616"/>
      <c r="DD276" s="616"/>
      <c r="DE276" s="616"/>
      <c r="DF276" s="616"/>
      <c r="DG276" s="616"/>
      <c r="DH276" s="616"/>
      <c r="DI276" s="616"/>
      <c r="DJ276" s="616"/>
      <c r="DK276" s="616"/>
      <c r="DL276" s="616"/>
      <c r="DM276" s="616"/>
      <c r="DN276" s="616"/>
      <c r="DO276" s="616"/>
      <c r="DP276" s="616"/>
      <c r="DQ276" s="617"/>
      <c r="DR276" s="229"/>
    </row>
    <row r="277" spans="1:122" ht="7.5" customHeight="1" x14ac:dyDescent="0.25">
      <c r="A277" s="591"/>
      <c r="B277" s="592"/>
      <c r="C277" s="592"/>
      <c r="D277" s="592"/>
      <c r="E277" s="593"/>
      <c r="F277" s="153"/>
      <c r="G277" s="598"/>
      <c r="H277" s="598"/>
      <c r="I277" s="598"/>
      <c r="J277" s="598"/>
      <c r="K277" s="598"/>
      <c r="L277" s="598"/>
      <c r="M277" s="598"/>
      <c r="N277" s="598"/>
      <c r="O277" s="598"/>
      <c r="P277" s="598"/>
      <c r="Q277" s="598"/>
      <c r="R277" s="598"/>
      <c r="S277" s="598"/>
      <c r="T277" s="598"/>
      <c r="U277" s="598"/>
      <c r="V277" s="598"/>
      <c r="W277" s="598"/>
      <c r="X277" s="598"/>
      <c r="Y277" s="598"/>
      <c r="Z277" s="602"/>
      <c r="AA277" s="602"/>
      <c r="AB277" s="602"/>
      <c r="AC277" s="602"/>
      <c r="AD277" s="602"/>
      <c r="AE277" s="602"/>
      <c r="AF277" s="602"/>
      <c r="AG277" s="603"/>
      <c r="AH277" s="609"/>
      <c r="AI277" s="610"/>
      <c r="AJ277" s="610"/>
      <c r="AK277" s="610"/>
      <c r="AL277" s="610"/>
      <c r="AM277" s="610"/>
      <c r="AN277" s="610"/>
      <c r="AO277" s="610"/>
      <c r="AP277" s="610"/>
      <c r="AQ277" s="610"/>
      <c r="AR277" s="610"/>
      <c r="AS277" s="610"/>
      <c r="AT277" s="610"/>
      <c r="AU277" s="610"/>
      <c r="AV277" s="610"/>
      <c r="AW277" s="611"/>
      <c r="AX277" s="618"/>
      <c r="AY277" s="619"/>
      <c r="AZ277" s="619"/>
      <c r="BA277" s="619"/>
      <c r="BB277" s="619"/>
      <c r="BC277" s="619"/>
      <c r="BD277" s="619"/>
      <c r="BE277" s="619"/>
      <c r="BF277" s="619"/>
      <c r="BG277" s="619"/>
      <c r="BH277" s="619"/>
      <c r="BI277" s="619"/>
      <c r="BJ277" s="619"/>
      <c r="BK277" s="619"/>
      <c r="BL277" s="619"/>
      <c r="BM277" s="619"/>
      <c r="BN277" s="619"/>
      <c r="BO277" s="619"/>
      <c r="BP277" s="619"/>
      <c r="BQ277" s="619"/>
      <c r="BR277" s="619"/>
      <c r="BS277" s="619"/>
      <c r="BT277" s="619"/>
      <c r="BU277" s="619"/>
      <c r="BV277" s="619"/>
      <c r="BW277" s="619"/>
      <c r="BX277" s="619"/>
      <c r="BY277" s="619"/>
      <c r="BZ277" s="619"/>
      <c r="CA277" s="619"/>
      <c r="CB277" s="619"/>
      <c r="CC277" s="619"/>
      <c r="CD277" s="619"/>
      <c r="CE277" s="619"/>
      <c r="CF277" s="619"/>
      <c r="CG277" s="619"/>
      <c r="CH277" s="619"/>
      <c r="CI277" s="619"/>
      <c r="CJ277" s="619"/>
      <c r="CK277" s="619"/>
      <c r="CL277" s="619"/>
      <c r="CM277" s="619"/>
      <c r="CN277" s="619"/>
      <c r="CO277" s="619"/>
      <c r="CP277" s="619"/>
      <c r="CQ277" s="619"/>
      <c r="CR277" s="619"/>
      <c r="CS277" s="619"/>
      <c r="CT277" s="619"/>
      <c r="CU277" s="619"/>
      <c r="CV277" s="619"/>
      <c r="CW277" s="619"/>
      <c r="CX277" s="619"/>
      <c r="CY277" s="619"/>
      <c r="CZ277" s="619"/>
      <c r="DA277" s="619"/>
      <c r="DB277" s="619"/>
      <c r="DC277" s="619"/>
      <c r="DD277" s="619"/>
      <c r="DE277" s="619"/>
      <c r="DF277" s="619"/>
      <c r="DG277" s="619"/>
      <c r="DH277" s="619"/>
      <c r="DI277" s="619"/>
      <c r="DJ277" s="619"/>
      <c r="DK277" s="619"/>
      <c r="DL277" s="619"/>
      <c r="DM277" s="619"/>
      <c r="DN277" s="619"/>
      <c r="DO277" s="619"/>
      <c r="DP277" s="619"/>
      <c r="DQ277" s="620"/>
      <c r="DR277" s="229"/>
    </row>
    <row r="278" spans="1:122" ht="7.5" customHeight="1" x14ac:dyDescent="0.25">
      <c r="A278" s="594"/>
      <c r="B278" s="595"/>
      <c r="C278" s="595"/>
      <c r="D278" s="595"/>
      <c r="E278" s="596"/>
      <c r="F278" s="154"/>
      <c r="G278" s="599"/>
      <c r="H278" s="599"/>
      <c r="I278" s="599"/>
      <c r="J278" s="599"/>
      <c r="K278" s="599"/>
      <c r="L278" s="599"/>
      <c r="M278" s="599"/>
      <c r="N278" s="599"/>
      <c r="O278" s="599"/>
      <c r="P278" s="599"/>
      <c r="Q278" s="599"/>
      <c r="R278" s="599"/>
      <c r="S278" s="599"/>
      <c r="T278" s="599"/>
      <c r="U278" s="599"/>
      <c r="V278" s="599"/>
      <c r="W278" s="599"/>
      <c r="X278" s="599"/>
      <c r="Y278" s="599"/>
      <c r="Z278" s="602"/>
      <c r="AA278" s="602"/>
      <c r="AB278" s="602"/>
      <c r="AC278" s="602"/>
      <c r="AD278" s="602"/>
      <c r="AE278" s="602"/>
      <c r="AF278" s="602"/>
      <c r="AG278" s="603"/>
      <c r="AH278" s="609"/>
      <c r="AI278" s="610"/>
      <c r="AJ278" s="610"/>
      <c r="AK278" s="610"/>
      <c r="AL278" s="610"/>
      <c r="AM278" s="610"/>
      <c r="AN278" s="610"/>
      <c r="AO278" s="610"/>
      <c r="AP278" s="610"/>
      <c r="AQ278" s="610"/>
      <c r="AR278" s="610"/>
      <c r="AS278" s="610"/>
      <c r="AT278" s="610"/>
      <c r="AU278" s="610"/>
      <c r="AV278" s="610"/>
      <c r="AW278" s="611"/>
      <c r="AX278" s="618"/>
      <c r="AY278" s="619"/>
      <c r="AZ278" s="619"/>
      <c r="BA278" s="619"/>
      <c r="BB278" s="619"/>
      <c r="BC278" s="619"/>
      <c r="BD278" s="619"/>
      <c r="BE278" s="619"/>
      <c r="BF278" s="619"/>
      <c r="BG278" s="619"/>
      <c r="BH278" s="619"/>
      <c r="BI278" s="619"/>
      <c r="BJ278" s="619"/>
      <c r="BK278" s="619"/>
      <c r="BL278" s="619"/>
      <c r="BM278" s="619"/>
      <c r="BN278" s="619"/>
      <c r="BO278" s="619"/>
      <c r="BP278" s="619"/>
      <c r="BQ278" s="619"/>
      <c r="BR278" s="619"/>
      <c r="BS278" s="619"/>
      <c r="BT278" s="619"/>
      <c r="BU278" s="619"/>
      <c r="BV278" s="619"/>
      <c r="BW278" s="619"/>
      <c r="BX278" s="619"/>
      <c r="BY278" s="619"/>
      <c r="BZ278" s="619"/>
      <c r="CA278" s="619"/>
      <c r="CB278" s="619"/>
      <c r="CC278" s="619"/>
      <c r="CD278" s="619"/>
      <c r="CE278" s="619"/>
      <c r="CF278" s="619"/>
      <c r="CG278" s="619"/>
      <c r="CH278" s="619"/>
      <c r="CI278" s="619"/>
      <c r="CJ278" s="619"/>
      <c r="CK278" s="619"/>
      <c r="CL278" s="619"/>
      <c r="CM278" s="619"/>
      <c r="CN278" s="619"/>
      <c r="CO278" s="619"/>
      <c r="CP278" s="619"/>
      <c r="CQ278" s="619"/>
      <c r="CR278" s="619"/>
      <c r="CS278" s="619"/>
      <c r="CT278" s="619"/>
      <c r="CU278" s="619"/>
      <c r="CV278" s="619"/>
      <c r="CW278" s="619"/>
      <c r="CX278" s="619"/>
      <c r="CY278" s="619"/>
      <c r="CZ278" s="619"/>
      <c r="DA278" s="619"/>
      <c r="DB278" s="619"/>
      <c r="DC278" s="619"/>
      <c r="DD278" s="619"/>
      <c r="DE278" s="619"/>
      <c r="DF278" s="619"/>
      <c r="DG278" s="619"/>
      <c r="DH278" s="619"/>
      <c r="DI278" s="619"/>
      <c r="DJ278" s="619"/>
      <c r="DK278" s="619"/>
      <c r="DL278" s="619"/>
      <c r="DM278" s="619"/>
      <c r="DN278" s="619"/>
      <c r="DO278" s="619"/>
      <c r="DP278" s="619"/>
      <c r="DQ278" s="620"/>
      <c r="DR278" s="229"/>
    </row>
    <row r="279" spans="1:122" ht="7.5" customHeight="1" x14ac:dyDescent="0.25">
      <c r="A279" s="119"/>
      <c r="B279" s="119"/>
      <c r="C279" s="119"/>
      <c r="D279" s="119"/>
      <c r="E279" s="119"/>
      <c r="F279" s="624" t="str">
        <f>G276</f>
        <v>Purified Thoughts</v>
      </c>
      <c r="G279" s="624"/>
      <c r="H279" s="624"/>
      <c r="I279" s="624"/>
      <c r="J279" s="624"/>
      <c r="K279" s="625">
        <f>IF(A276&gt;0,Z276,0)</f>
        <v>0</v>
      </c>
      <c r="L279" s="625"/>
      <c r="M279" s="625"/>
      <c r="N279" s="626" t="b">
        <f>IF($G276&lt;&gt;"",VLOOKUP($G276,'Merit Data'!$A:$BW,MATCH('Merit Data'!$B$3,'Merit Data'!$3:$3,0),0),TRUE)</f>
        <v>0</v>
      </c>
      <c r="O279" s="626"/>
      <c r="P279" s="626"/>
      <c r="Q279" s="155"/>
      <c r="R279" s="140"/>
      <c r="S279" s="140"/>
      <c r="T279" s="140"/>
      <c r="U279" s="140"/>
      <c r="V279" s="238"/>
      <c r="W279" s="238"/>
      <c r="X279" s="627" t="str">
        <f>IF(F279&gt;0,HYPERLINK("http://wiki.project-saros.com/w/"&amp;F279,"Info"),"")</f>
        <v>Info</v>
      </c>
      <c r="Y279" s="628"/>
      <c r="Z279" s="604"/>
      <c r="AA279" s="604"/>
      <c r="AB279" s="604"/>
      <c r="AC279" s="604"/>
      <c r="AD279" s="604"/>
      <c r="AE279" s="604"/>
      <c r="AF279" s="604"/>
      <c r="AG279" s="605"/>
      <c r="AH279" s="612"/>
      <c r="AI279" s="613"/>
      <c r="AJ279" s="613"/>
      <c r="AK279" s="613"/>
      <c r="AL279" s="613"/>
      <c r="AM279" s="613"/>
      <c r="AN279" s="613"/>
      <c r="AO279" s="613"/>
      <c r="AP279" s="613"/>
      <c r="AQ279" s="613"/>
      <c r="AR279" s="613"/>
      <c r="AS279" s="613"/>
      <c r="AT279" s="613"/>
      <c r="AU279" s="613"/>
      <c r="AV279" s="613"/>
      <c r="AW279" s="614"/>
      <c r="AX279" s="621"/>
      <c r="AY279" s="622"/>
      <c r="AZ279" s="622"/>
      <c r="BA279" s="622"/>
      <c r="BB279" s="622"/>
      <c r="BC279" s="622"/>
      <c r="BD279" s="622"/>
      <c r="BE279" s="622"/>
      <c r="BF279" s="622"/>
      <c r="BG279" s="622"/>
      <c r="BH279" s="622"/>
      <c r="BI279" s="622"/>
      <c r="BJ279" s="622"/>
      <c r="BK279" s="622"/>
      <c r="BL279" s="622"/>
      <c r="BM279" s="622"/>
      <c r="BN279" s="622"/>
      <c r="BO279" s="622"/>
      <c r="BP279" s="622"/>
      <c r="BQ279" s="622"/>
      <c r="BR279" s="622"/>
      <c r="BS279" s="622"/>
      <c r="BT279" s="622"/>
      <c r="BU279" s="622"/>
      <c r="BV279" s="622"/>
      <c r="BW279" s="622"/>
      <c r="BX279" s="622"/>
      <c r="BY279" s="622"/>
      <c r="BZ279" s="622"/>
      <c r="CA279" s="622"/>
      <c r="CB279" s="622"/>
      <c r="CC279" s="622"/>
      <c r="CD279" s="622"/>
      <c r="CE279" s="622"/>
      <c r="CF279" s="622"/>
      <c r="CG279" s="622"/>
      <c r="CH279" s="622"/>
      <c r="CI279" s="622"/>
      <c r="CJ279" s="622"/>
      <c r="CK279" s="622"/>
      <c r="CL279" s="622"/>
      <c r="CM279" s="622"/>
      <c r="CN279" s="622"/>
      <c r="CO279" s="622"/>
      <c r="CP279" s="622"/>
      <c r="CQ279" s="622"/>
      <c r="CR279" s="622"/>
      <c r="CS279" s="622"/>
      <c r="CT279" s="622"/>
      <c r="CU279" s="622"/>
      <c r="CV279" s="622"/>
      <c r="CW279" s="622"/>
      <c r="CX279" s="622"/>
      <c r="CY279" s="622"/>
      <c r="CZ279" s="622"/>
      <c r="DA279" s="622"/>
      <c r="DB279" s="622"/>
      <c r="DC279" s="622"/>
      <c r="DD279" s="622"/>
      <c r="DE279" s="622"/>
      <c r="DF279" s="622"/>
      <c r="DG279" s="622"/>
      <c r="DH279" s="622"/>
      <c r="DI279" s="622"/>
      <c r="DJ279" s="622"/>
      <c r="DK279" s="622"/>
      <c r="DL279" s="622"/>
      <c r="DM279" s="622"/>
      <c r="DN279" s="622"/>
      <c r="DO279" s="622"/>
      <c r="DP279" s="622"/>
      <c r="DQ279" s="623"/>
      <c r="DR279" s="229"/>
    </row>
    <row r="280" spans="1:122" ht="7.5" customHeight="1" x14ac:dyDescent="0.25">
      <c r="A280" s="588"/>
      <c r="B280" s="589"/>
      <c r="C280" s="589"/>
      <c r="D280" s="589"/>
      <c r="E280" s="590"/>
      <c r="F280" s="152"/>
      <c r="G280" s="597" t="str">
        <f>INDEX('Merit Data'!A:A,ROW('Merit Data'!A14:A15)-COUNTA($G$272:G279)*2,COLUMN('Merit Data'!A14:A15))</f>
        <v>Stoic Convictions</v>
      </c>
      <c r="H280" s="597"/>
      <c r="I280" s="597"/>
      <c r="J280" s="597"/>
      <c r="K280" s="597"/>
      <c r="L280" s="597"/>
      <c r="M280" s="597"/>
      <c r="N280" s="597"/>
      <c r="O280" s="597"/>
      <c r="P280" s="597"/>
      <c r="Q280" s="597"/>
      <c r="R280" s="597"/>
      <c r="S280" s="597"/>
      <c r="T280" s="597"/>
      <c r="U280" s="597"/>
      <c r="V280" s="597"/>
      <c r="W280" s="597"/>
      <c r="X280" s="597"/>
      <c r="Y280" s="597"/>
      <c r="Z280" s="600">
        <f>VLOOKUP($G280,'Merit Data'!$A:$BW,MATCH('Merit Data'!$E$3,'Merit Data'!$3:$3,0),0)</f>
        <v>400</v>
      </c>
      <c r="AA280" s="600"/>
      <c r="AB280" s="600"/>
      <c r="AC280" s="600"/>
      <c r="AD280" s="600"/>
      <c r="AE280" s="600"/>
      <c r="AF280" s="600"/>
      <c r="AG280" s="601"/>
      <c r="AH280" s="606" t="str">
        <f ca="1">IF(NOT(ISERROR(VLOOKUP($G280,'Merit Data'!$A:$CE,MATCH('Merit Data'!$BX$3,'Merit Data'!$3:$3,0),0))),VLOOKUP($G280,'Merit Data'!$A:$CE,MATCH('Merit Data'!$BX$3,'Merit Data'!$3:$3,0),0),"")</f>
        <v>Improved Vitality</v>
      </c>
      <c r="AI280" s="607"/>
      <c r="AJ280" s="607"/>
      <c r="AK280" s="607"/>
      <c r="AL280" s="607"/>
      <c r="AM280" s="607"/>
      <c r="AN280" s="607"/>
      <c r="AO280" s="607"/>
      <c r="AP280" s="607"/>
      <c r="AQ280" s="607"/>
      <c r="AR280" s="607"/>
      <c r="AS280" s="607"/>
      <c r="AT280" s="607"/>
      <c r="AU280" s="607"/>
      <c r="AV280" s="607"/>
      <c r="AW280" s="608"/>
      <c r="AX280" s="615" t="str">
        <f>VLOOKUP($G280,'Merit Data'!$A:$BW,MATCH('Merit Data'!$F$3,'Merit Data'!$3:$3,0),0)</f>
        <v>You gain an additional 1 health and energy for each point of your Conviction score.</v>
      </c>
      <c r="AY280" s="616"/>
      <c r="AZ280" s="616"/>
      <c r="BA280" s="616"/>
      <c r="BB280" s="616"/>
      <c r="BC280" s="616"/>
      <c r="BD280" s="616"/>
      <c r="BE280" s="616"/>
      <c r="BF280" s="616"/>
      <c r="BG280" s="616"/>
      <c r="BH280" s="616"/>
      <c r="BI280" s="616"/>
      <c r="BJ280" s="616"/>
      <c r="BK280" s="616"/>
      <c r="BL280" s="616"/>
      <c r="BM280" s="616"/>
      <c r="BN280" s="616"/>
      <c r="BO280" s="616"/>
      <c r="BP280" s="616"/>
      <c r="BQ280" s="616"/>
      <c r="BR280" s="616"/>
      <c r="BS280" s="616"/>
      <c r="BT280" s="616"/>
      <c r="BU280" s="616"/>
      <c r="BV280" s="616"/>
      <c r="BW280" s="616"/>
      <c r="BX280" s="616"/>
      <c r="BY280" s="616"/>
      <c r="BZ280" s="616"/>
      <c r="CA280" s="616"/>
      <c r="CB280" s="616"/>
      <c r="CC280" s="616"/>
      <c r="CD280" s="616"/>
      <c r="CE280" s="616"/>
      <c r="CF280" s="616"/>
      <c r="CG280" s="616"/>
      <c r="CH280" s="616"/>
      <c r="CI280" s="616"/>
      <c r="CJ280" s="616"/>
      <c r="CK280" s="616"/>
      <c r="CL280" s="616"/>
      <c r="CM280" s="616"/>
      <c r="CN280" s="616"/>
      <c r="CO280" s="616"/>
      <c r="CP280" s="616"/>
      <c r="CQ280" s="616"/>
      <c r="CR280" s="616"/>
      <c r="CS280" s="616"/>
      <c r="CT280" s="616"/>
      <c r="CU280" s="616"/>
      <c r="CV280" s="616"/>
      <c r="CW280" s="616"/>
      <c r="CX280" s="616"/>
      <c r="CY280" s="616"/>
      <c r="CZ280" s="616"/>
      <c r="DA280" s="616"/>
      <c r="DB280" s="616"/>
      <c r="DC280" s="616"/>
      <c r="DD280" s="616"/>
      <c r="DE280" s="616"/>
      <c r="DF280" s="616"/>
      <c r="DG280" s="616"/>
      <c r="DH280" s="616"/>
      <c r="DI280" s="616"/>
      <c r="DJ280" s="616"/>
      <c r="DK280" s="616"/>
      <c r="DL280" s="616"/>
      <c r="DM280" s="616"/>
      <c r="DN280" s="616"/>
      <c r="DO280" s="616"/>
      <c r="DP280" s="616"/>
      <c r="DQ280" s="617"/>
      <c r="DR280" s="229"/>
    </row>
    <row r="281" spans="1:122" ht="7.5" customHeight="1" x14ac:dyDescent="0.25">
      <c r="A281" s="591"/>
      <c r="B281" s="592"/>
      <c r="C281" s="592"/>
      <c r="D281" s="592"/>
      <c r="E281" s="593"/>
      <c r="F281" s="153"/>
      <c r="G281" s="598"/>
      <c r="H281" s="598"/>
      <c r="I281" s="598"/>
      <c r="J281" s="598"/>
      <c r="K281" s="598"/>
      <c r="L281" s="598"/>
      <c r="M281" s="598"/>
      <c r="N281" s="598"/>
      <c r="O281" s="598"/>
      <c r="P281" s="598"/>
      <c r="Q281" s="598"/>
      <c r="R281" s="598"/>
      <c r="S281" s="598"/>
      <c r="T281" s="598"/>
      <c r="U281" s="598"/>
      <c r="V281" s="598"/>
      <c r="W281" s="598"/>
      <c r="X281" s="598"/>
      <c r="Y281" s="598"/>
      <c r="Z281" s="602"/>
      <c r="AA281" s="602"/>
      <c r="AB281" s="602"/>
      <c r="AC281" s="602"/>
      <c r="AD281" s="602"/>
      <c r="AE281" s="602"/>
      <c r="AF281" s="602"/>
      <c r="AG281" s="603"/>
      <c r="AH281" s="609"/>
      <c r="AI281" s="610"/>
      <c r="AJ281" s="610"/>
      <c r="AK281" s="610"/>
      <c r="AL281" s="610"/>
      <c r="AM281" s="610"/>
      <c r="AN281" s="610"/>
      <c r="AO281" s="610"/>
      <c r="AP281" s="610"/>
      <c r="AQ281" s="610"/>
      <c r="AR281" s="610"/>
      <c r="AS281" s="610"/>
      <c r="AT281" s="610"/>
      <c r="AU281" s="610"/>
      <c r="AV281" s="610"/>
      <c r="AW281" s="611"/>
      <c r="AX281" s="618"/>
      <c r="AY281" s="619"/>
      <c r="AZ281" s="619"/>
      <c r="BA281" s="619"/>
      <c r="BB281" s="619"/>
      <c r="BC281" s="619"/>
      <c r="BD281" s="619"/>
      <c r="BE281" s="619"/>
      <c r="BF281" s="619"/>
      <c r="BG281" s="619"/>
      <c r="BH281" s="619"/>
      <c r="BI281" s="619"/>
      <c r="BJ281" s="619"/>
      <c r="BK281" s="619"/>
      <c r="BL281" s="619"/>
      <c r="BM281" s="619"/>
      <c r="BN281" s="619"/>
      <c r="BO281" s="619"/>
      <c r="BP281" s="619"/>
      <c r="BQ281" s="619"/>
      <c r="BR281" s="619"/>
      <c r="BS281" s="619"/>
      <c r="BT281" s="619"/>
      <c r="BU281" s="619"/>
      <c r="BV281" s="619"/>
      <c r="BW281" s="619"/>
      <c r="BX281" s="619"/>
      <c r="BY281" s="619"/>
      <c r="BZ281" s="619"/>
      <c r="CA281" s="619"/>
      <c r="CB281" s="619"/>
      <c r="CC281" s="619"/>
      <c r="CD281" s="619"/>
      <c r="CE281" s="619"/>
      <c r="CF281" s="619"/>
      <c r="CG281" s="619"/>
      <c r="CH281" s="619"/>
      <c r="CI281" s="619"/>
      <c r="CJ281" s="619"/>
      <c r="CK281" s="619"/>
      <c r="CL281" s="619"/>
      <c r="CM281" s="619"/>
      <c r="CN281" s="619"/>
      <c r="CO281" s="619"/>
      <c r="CP281" s="619"/>
      <c r="CQ281" s="619"/>
      <c r="CR281" s="619"/>
      <c r="CS281" s="619"/>
      <c r="CT281" s="619"/>
      <c r="CU281" s="619"/>
      <c r="CV281" s="619"/>
      <c r="CW281" s="619"/>
      <c r="CX281" s="619"/>
      <c r="CY281" s="619"/>
      <c r="CZ281" s="619"/>
      <c r="DA281" s="619"/>
      <c r="DB281" s="619"/>
      <c r="DC281" s="619"/>
      <c r="DD281" s="619"/>
      <c r="DE281" s="619"/>
      <c r="DF281" s="619"/>
      <c r="DG281" s="619"/>
      <c r="DH281" s="619"/>
      <c r="DI281" s="619"/>
      <c r="DJ281" s="619"/>
      <c r="DK281" s="619"/>
      <c r="DL281" s="619"/>
      <c r="DM281" s="619"/>
      <c r="DN281" s="619"/>
      <c r="DO281" s="619"/>
      <c r="DP281" s="619"/>
      <c r="DQ281" s="620"/>
      <c r="DR281" s="229"/>
    </row>
    <row r="282" spans="1:122" ht="7.5" customHeight="1" x14ac:dyDescent="0.25">
      <c r="A282" s="594"/>
      <c r="B282" s="595"/>
      <c r="C282" s="595"/>
      <c r="D282" s="595"/>
      <c r="E282" s="596"/>
      <c r="F282" s="154"/>
      <c r="G282" s="599"/>
      <c r="H282" s="599"/>
      <c r="I282" s="599"/>
      <c r="J282" s="599"/>
      <c r="K282" s="599"/>
      <c r="L282" s="599"/>
      <c r="M282" s="599"/>
      <c r="N282" s="599"/>
      <c r="O282" s="599"/>
      <c r="P282" s="599"/>
      <c r="Q282" s="599"/>
      <c r="R282" s="599"/>
      <c r="S282" s="599"/>
      <c r="T282" s="599"/>
      <c r="U282" s="599"/>
      <c r="V282" s="599"/>
      <c r="W282" s="599"/>
      <c r="X282" s="599"/>
      <c r="Y282" s="599"/>
      <c r="Z282" s="602"/>
      <c r="AA282" s="602"/>
      <c r="AB282" s="602"/>
      <c r="AC282" s="602"/>
      <c r="AD282" s="602"/>
      <c r="AE282" s="602"/>
      <c r="AF282" s="602"/>
      <c r="AG282" s="603"/>
      <c r="AH282" s="609"/>
      <c r="AI282" s="610"/>
      <c r="AJ282" s="610"/>
      <c r="AK282" s="610"/>
      <c r="AL282" s="610"/>
      <c r="AM282" s="610"/>
      <c r="AN282" s="610"/>
      <c r="AO282" s="610"/>
      <c r="AP282" s="610"/>
      <c r="AQ282" s="610"/>
      <c r="AR282" s="610"/>
      <c r="AS282" s="610"/>
      <c r="AT282" s="610"/>
      <c r="AU282" s="610"/>
      <c r="AV282" s="610"/>
      <c r="AW282" s="611"/>
      <c r="AX282" s="618"/>
      <c r="AY282" s="619"/>
      <c r="AZ282" s="619"/>
      <c r="BA282" s="619"/>
      <c r="BB282" s="619"/>
      <c r="BC282" s="619"/>
      <c r="BD282" s="619"/>
      <c r="BE282" s="619"/>
      <c r="BF282" s="619"/>
      <c r="BG282" s="619"/>
      <c r="BH282" s="619"/>
      <c r="BI282" s="619"/>
      <c r="BJ282" s="619"/>
      <c r="BK282" s="619"/>
      <c r="BL282" s="619"/>
      <c r="BM282" s="619"/>
      <c r="BN282" s="619"/>
      <c r="BO282" s="619"/>
      <c r="BP282" s="619"/>
      <c r="BQ282" s="619"/>
      <c r="BR282" s="619"/>
      <c r="BS282" s="619"/>
      <c r="BT282" s="619"/>
      <c r="BU282" s="619"/>
      <c r="BV282" s="619"/>
      <c r="BW282" s="619"/>
      <c r="BX282" s="619"/>
      <c r="BY282" s="619"/>
      <c r="BZ282" s="619"/>
      <c r="CA282" s="619"/>
      <c r="CB282" s="619"/>
      <c r="CC282" s="619"/>
      <c r="CD282" s="619"/>
      <c r="CE282" s="619"/>
      <c r="CF282" s="619"/>
      <c r="CG282" s="619"/>
      <c r="CH282" s="619"/>
      <c r="CI282" s="619"/>
      <c r="CJ282" s="619"/>
      <c r="CK282" s="619"/>
      <c r="CL282" s="619"/>
      <c r="CM282" s="619"/>
      <c r="CN282" s="619"/>
      <c r="CO282" s="619"/>
      <c r="CP282" s="619"/>
      <c r="CQ282" s="619"/>
      <c r="CR282" s="619"/>
      <c r="CS282" s="619"/>
      <c r="CT282" s="619"/>
      <c r="CU282" s="619"/>
      <c r="CV282" s="619"/>
      <c r="CW282" s="619"/>
      <c r="CX282" s="619"/>
      <c r="CY282" s="619"/>
      <c r="CZ282" s="619"/>
      <c r="DA282" s="619"/>
      <c r="DB282" s="619"/>
      <c r="DC282" s="619"/>
      <c r="DD282" s="619"/>
      <c r="DE282" s="619"/>
      <c r="DF282" s="619"/>
      <c r="DG282" s="619"/>
      <c r="DH282" s="619"/>
      <c r="DI282" s="619"/>
      <c r="DJ282" s="619"/>
      <c r="DK282" s="619"/>
      <c r="DL282" s="619"/>
      <c r="DM282" s="619"/>
      <c r="DN282" s="619"/>
      <c r="DO282" s="619"/>
      <c r="DP282" s="619"/>
      <c r="DQ282" s="620"/>
      <c r="DR282" s="229"/>
    </row>
    <row r="283" spans="1:122" ht="7.5" customHeight="1" x14ac:dyDescent="0.25">
      <c r="A283" s="119"/>
      <c r="B283" s="119"/>
      <c r="C283" s="119"/>
      <c r="D283" s="119"/>
      <c r="E283" s="119"/>
      <c r="F283" s="624" t="str">
        <f>G280</f>
        <v>Stoic Convictions</v>
      </c>
      <c r="G283" s="624"/>
      <c r="H283" s="624"/>
      <c r="I283" s="624"/>
      <c r="J283" s="624"/>
      <c r="K283" s="625">
        <f>IF(A280&gt;0,Z280,0)</f>
        <v>0</v>
      </c>
      <c r="L283" s="625"/>
      <c r="M283" s="625"/>
      <c r="N283" s="626" t="b">
        <f>IF($G280&lt;&gt;"",VLOOKUP($G280,'Merit Data'!$A:$BW,MATCH('Merit Data'!$B$3,'Merit Data'!$3:$3,0),0),TRUE)</f>
        <v>0</v>
      </c>
      <c r="O283" s="626"/>
      <c r="P283" s="626"/>
      <c r="Q283" s="155"/>
      <c r="R283" s="140"/>
      <c r="S283" s="140"/>
      <c r="T283" s="140"/>
      <c r="U283" s="140"/>
      <c r="V283" s="238"/>
      <c r="W283" s="238"/>
      <c r="X283" s="627" t="str">
        <f>IF(F283&gt;0,HYPERLINK("http://wiki.project-saros.com/w/"&amp;F283,"Info"),"")</f>
        <v>Info</v>
      </c>
      <c r="Y283" s="628"/>
      <c r="Z283" s="604"/>
      <c r="AA283" s="604"/>
      <c r="AB283" s="604"/>
      <c r="AC283" s="604"/>
      <c r="AD283" s="604"/>
      <c r="AE283" s="604"/>
      <c r="AF283" s="604"/>
      <c r="AG283" s="605"/>
      <c r="AH283" s="612"/>
      <c r="AI283" s="613"/>
      <c r="AJ283" s="613"/>
      <c r="AK283" s="613"/>
      <c r="AL283" s="613"/>
      <c r="AM283" s="613"/>
      <c r="AN283" s="613"/>
      <c r="AO283" s="613"/>
      <c r="AP283" s="613"/>
      <c r="AQ283" s="613"/>
      <c r="AR283" s="613"/>
      <c r="AS283" s="613"/>
      <c r="AT283" s="613"/>
      <c r="AU283" s="613"/>
      <c r="AV283" s="613"/>
      <c r="AW283" s="614"/>
      <c r="AX283" s="621"/>
      <c r="AY283" s="622"/>
      <c r="AZ283" s="622"/>
      <c r="BA283" s="622"/>
      <c r="BB283" s="622"/>
      <c r="BC283" s="622"/>
      <c r="BD283" s="622"/>
      <c r="BE283" s="622"/>
      <c r="BF283" s="622"/>
      <c r="BG283" s="622"/>
      <c r="BH283" s="622"/>
      <c r="BI283" s="622"/>
      <c r="BJ283" s="622"/>
      <c r="BK283" s="622"/>
      <c r="BL283" s="622"/>
      <c r="BM283" s="622"/>
      <c r="BN283" s="622"/>
      <c r="BO283" s="622"/>
      <c r="BP283" s="622"/>
      <c r="BQ283" s="622"/>
      <c r="BR283" s="622"/>
      <c r="BS283" s="622"/>
      <c r="BT283" s="622"/>
      <c r="BU283" s="622"/>
      <c r="BV283" s="622"/>
      <c r="BW283" s="622"/>
      <c r="BX283" s="622"/>
      <c r="BY283" s="622"/>
      <c r="BZ283" s="622"/>
      <c r="CA283" s="622"/>
      <c r="CB283" s="622"/>
      <c r="CC283" s="622"/>
      <c r="CD283" s="622"/>
      <c r="CE283" s="622"/>
      <c r="CF283" s="622"/>
      <c r="CG283" s="622"/>
      <c r="CH283" s="622"/>
      <c r="CI283" s="622"/>
      <c r="CJ283" s="622"/>
      <c r="CK283" s="622"/>
      <c r="CL283" s="622"/>
      <c r="CM283" s="622"/>
      <c r="CN283" s="622"/>
      <c r="CO283" s="622"/>
      <c r="CP283" s="622"/>
      <c r="CQ283" s="622"/>
      <c r="CR283" s="622"/>
      <c r="CS283" s="622"/>
      <c r="CT283" s="622"/>
      <c r="CU283" s="622"/>
      <c r="CV283" s="622"/>
      <c r="CW283" s="622"/>
      <c r="CX283" s="622"/>
      <c r="CY283" s="622"/>
      <c r="CZ283" s="622"/>
      <c r="DA283" s="622"/>
      <c r="DB283" s="622"/>
      <c r="DC283" s="622"/>
      <c r="DD283" s="622"/>
      <c r="DE283" s="622"/>
      <c r="DF283" s="622"/>
      <c r="DG283" s="622"/>
      <c r="DH283" s="622"/>
      <c r="DI283" s="622"/>
      <c r="DJ283" s="622"/>
      <c r="DK283" s="622"/>
      <c r="DL283" s="622"/>
      <c r="DM283" s="622"/>
      <c r="DN283" s="622"/>
      <c r="DO283" s="622"/>
      <c r="DP283" s="622"/>
      <c r="DQ283" s="623"/>
      <c r="DR283" s="229"/>
    </row>
    <row r="284" spans="1:122" ht="7.5" customHeight="1" x14ac:dyDescent="0.25">
      <c r="A284" s="588"/>
      <c r="B284" s="589"/>
      <c r="C284" s="589"/>
      <c r="D284" s="589"/>
      <c r="E284" s="590"/>
      <c r="F284" s="152"/>
      <c r="G284" s="597" t="str">
        <f>INDEX('Merit Data'!A:A,ROW('Merit Data'!A18:A19)-COUNTA($G$272:G283)*2,COLUMN('Merit Data'!A18:A19))</f>
        <v>Deep Sleeper</v>
      </c>
      <c r="H284" s="597"/>
      <c r="I284" s="597"/>
      <c r="J284" s="597"/>
      <c r="K284" s="597"/>
      <c r="L284" s="597"/>
      <c r="M284" s="597"/>
      <c r="N284" s="597"/>
      <c r="O284" s="597"/>
      <c r="P284" s="597"/>
      <c r="Q284" s="597"/>
      <c r="R284" s="597"/>
      <c r="S284" s="597"/>
      <c r="T284" s="597"/>
      <c r="U284" s="597"/>
      <c r="V284" s="597"/>
      <c r="W284" s="597"/>
      <c r="X284" s="597"/>
      <c r="Y284" s="597"/>
      <c r="Z284" s="600">
        <f>VLOOKUP($G284,'Merit Data'!$A:$BW,MATCH('Merit Data'!$E$3,'Merit Data'!$3:$3,0),0)</f>
        <v>100</v>
      </c>
      <c r="AA284" s="600"/>
      <c r="AB284" s="600"/>
      <c r="AC284" s="600"/>
      <c r="AD284" s="600"/>
      <c r="AE284" s="600"/>
      <c r="AF284" s="600"/>
      <c r="AG284" s="601"/>
      <c r="AH284" s="606" t="str">
        <f ca="1">IF(NOT(ISERROR(VLOOKUP($G284,'Merit Data'!$A:$CE,MATCH('Merit Data'!$BX$3,'Merit Data'!$3:$3,0),0))),VLOOKUP($G284,'Merit Data'!$A:$CE,MATCH('Merit Data'!$BX$3,'Merit Data'!$3:$3,0),0),"")</f>
        <v>Focus (18)</v>
      </c>
      <c r="AI284" s="607"/>
      <c r="AJ284" s="607"/>
      <c r="AK284" s="607"/>
      <c r="AL284" s="607"/>
      <c r="AM284" s="607"/>
      <c r="AN284" s="607"/>
      <c r="AO284" s="607"/>
      <c r="AP284" s="607"/>
      <c r="AQ284" s="607"/>
      <c r="AR284" s="607"/>
      <c r="AS284" s="607"/>
      <c r="AT284" s="607"/>
      <c r="AU284" s="607"/>
      <c r="AV284" s="607"/>
      <c r="AW284" s="608"/>
      <c r="AX284" s="615" t="str">
        <f>VLOOKUP($G284,'Merit Data'!$A:$BW,MATCH('Merit Data'!$F$3,'Merit Data'!$3:$3,0),0)</f>
        <v xml:space="preserve">You fall asleep quickly, allowing better sleep. You are considered restfully sleeping and receive full energy regeneration even in uncomfortable or interrupted sleep. </v>
      </c>
      <c r="AY284" s="616"/>
      <c r="AZ284" s="616"/>
      <c r="BA284" s="616"/>
      <c r="BB284" s="616"/>
      <c r="BC284" s="616"/>
      <c r="BD284" s="616"/>
      <c r="BE284" s="616"/>
      <c r="BF284" s="616"/>
      <c r="BG284" s="616"/>
      <c r="BH284" s="616"/>
      <c r="BI284" s="616"/>
      <c r="BJ284" s="616"/>
      <c r="BK284" s="616"/>
      <c r="BL284" s="616"/>
      <c r="BM284" s="616"/>
      <c r="BN284" s="616"/>
      <c r="BO284" s="616"/>
      <c r="BP284" s="616"/>
      <c r="BQ284" s="616"/>
      <c r="BR284" s="616"/>
      <c r="BS284" s="616"/>
      <c r="BT284" s="616"/>
      <c r="BU284" s="616"/>
      <c r="BV284" s="616"/>
      <c r="BW284" s="616"/>
      <c r="BX284" s="616"/>
      <c r="BY284" s="616"/>
      <c r="BZ284" s="616"/>
      <c r="CA284" s="616"/>
      <c r="CB284" s="616"/>
      <c r="CC284" s="616"/>
      <c r="CD284" s="616"/>
      <c r="CE284" s="616"/>
      <c r="CF284" s="616"/>
      <c r="CG284" s="616"/>
      <c r="CH284" s="616"/>
      <c r="CI284" s="616"/>
      <c r="CJ284" s="616"/>
      <c r="CK284" s="616"/>
      <c r="CL284" s="616"/>
      <c r="CM284" s="616"/>
      <c r="CN284" s="616"/>
      <c r="CO284" s="616"/>
      <c r="CP284" s="616"/>
      <c r="CQ284" s="616"/>
      <c r="CR284" s="616"/>
      <c r="CS284" s="616"/>
      <c r="CT284" s="616"/>
      <c r="CU284" s="616"/>
      <c r="CV284" s="616"/>
      <c r="CW284" s="616"/>
      <c r="CX284" s="616"/>
      <c r="CY284" s="616"/>
      <c r="CZ284" s="616"/>
      <c r="DA284" s="616"/>
      <c r="DB284" s="616"/>
      <c r="DC284" s="616"/>
      <c r="DD284" s="616"/>
      <c r="DE284" s="616"/>
      <c r="DF284" s="616"/>
      <c r="DG284" s="616"/>
      <c r="DH284" s="616"/>
      <c r="DI284" s="616"/>
      <c r="DJ284" s="616"/>
      <c r="DK284" s="616"/>
      <c r="DL284" s="616"/>
      <c r="DM284" s="616"/>
      <c r="DN284" s="616"/>
      <c r="DO284" s="616"/>
      <c r="DP284" s="616"/>
      <c r="DQ284" s="617"/>
      <c r="DR284" s="229"/>
    </row>
    <row r="285" spans="1:122" ht="7.5" customHeight="1" x14ac:dyDescent="0.25">
      <c r="A285" s="591"/>
      <c r="B285" s="592"/>
      <c r="C285" s="592"/>
      <c r="D285" s="592"/>
      <c r="E285" s="593"/>
      <c r="F285" s="153"/>
      <c r="G285" s="598"/>
      <c r="H285" s="598"/>
      <c r="I285" s="598"/>
      <c r="J285" s="598"/>
      <c r="K285" s="598"/>
      <c r="L285" s="598"/>
      <c r="M285" s="598"/>
      <c r="N285" s="598"/>
      <c r="O285" s="598"/>
      <c r="P285" s="598"/>
      <c r="Q285" s="598"/>
      <c r="R285" s="598"/>
      <c r="S285" s="598"/>
      <c r="T285" s="598"/>
      <c r="U285" s="598"/>
      <c r="V285" s="598"/>
      <c r="W285" s="598"/>
      <c r="X285" s="598"/>
      <c r="Y285" s="598"/>
      <c r="Z285" s="602"/>
      <c r="AA285" s="602"/>
      <c r="AB285" s="602"/>
      <c r="AC285" s="602"/>
      <c r="AD285" s="602"/>
      <c r="AE285" s="602"/>
      <c r="AF285" s="602"/>
      <c r="AG285" s="603"/>
      <c r="AH285" s="609"/>
      <c r="AI285" s="610"/>
      <c r="AJ285" s="610"/>
      <c r="AK285" s="610"/>
      <c r="AL285" s="610"/>
      <c r="AM285" s="610"/>
      <c r="AN285" s="610"/>
      <c r="AO285" s="610"/>
      <c r="AP285" s="610"/>
      <c r="AQ285" s="610"/>
      <c r="AR285" s="610"/>
      <c r="AS285" s="610"/>
      <c r="AT285" s="610"/>
      <c r="AU285" s="610"/>
      <c r="AV285" s="610"/>
      <c r="AW285" s="611"/>
      <c r="AX285" s="618"/>
      <c r="AY285" s="619"/>
      <c r="AZ285" s="619"/>
      <c r="BA285" s="619"/>
      <c r="BB285" s="619"/>
      <c r="BC285" s="619"/>
      <c r="BD285" s="619"/>
      <c r="BE285" s="619"/>
      <c r="BF285" s="619"/>
      <c r="BG285" s="619"/>
      <c r="BH285" s="619"/>
      <c r="BI285" s="619"/>
      <c r="BJ285" s="619"/>
      <c r="BK285" s="619"/>
      <c r="BL285" s="619"/>
      <c r="BM285" s="619"/>
      <c r="BN285" s="619"/>
      <c r="BO285" s="619"/>
      <c r="BP285" s="619"/>
      <c r="BQ285" s="619"/>
      <c r="BR285" s="619"/>
      <c r="BS285" s="619"/>
      <c r="BT285" s="619"/>
      <c r="BU285" s="619"/>
      <c r="BV285" s="619"/>
      <c r="BW285" s="619"/>
      <c r="BX285" s="619"/>
      <c r="BY285" s="619"/>
      <c r="BZ285" s="619"/>
      <c r="CA285" s="619"/>
      <c r="CB285" s="619"/>
      <c r="CC285" s="619"/>
      <c r="CD285" s="619"/>
      <c r="CE285" s="619"/>
      <c r="CF285" s="619"/>
      <c r="CG285" s="619"/>
      <c r="CH285" s="619"/>
      <c r="CI285" s="619"/>
      <c r="CJ285" s="619"/>
      <c r="CK285" s="619"/>
      <c r="CL285" s="619"/>
      <c r="CM285" s="619"/>
      <c r="CN285" s="619"/>
      <c r="CO285" s="619"/>
      <c r="CP285" s="619"/>
      <c r="CQ285" s="619"/>
      <c r="CR285" s="619"/>
      <c r="CS285" s="619"/>
      <c r="CT285" s="619"/>
      <c r="CU285" s="619"/>
      <c r="CV285" s="619"/>
      <c r="CW285" s="619"/>
      <c r="CX285" s="619"/>
      <c r="CY285" s="619"/>
      <c r="CZ285" s="619"/>
      <c r="DA285" s="619"/>
      <c r="DB285" s="619"/>
      <c r="DC285" s="619"/>
      <c r="DD285" s="619"/>
      <c r="DE285" s="619"/>
      <c r="DF285" s="619"/>
      <c r="DG285" s="619"/>
      <c r="DH285" s="619"/>
      <c r="DI285" s="619"/>
      <c r="DJ285" s="619"/>
      <c r="DK285" s="619"/>
      <c r="DL285" s="619"/>
      <c r="DM285" s="619"/>
      <c r="DN285" s="619"/>
      <c r="DO285" s="619"/>
      <c r="DP285" s="619"/>
      <c r="DQ285" s="620"/>
      <c r="DR285" s="229"/>
    </row>
    <row r="286" spans="1:122" ht="7.5" customHeight="1" x14ac:dyDescent="0.25">
      <c r="A286" s="594"/>
      <c r="B286" s="595"/>
      <c r="C286" s="595"/>
      <c r="D286" s="595"/>
      <c r="E286" s="596"/>
      <c r="F286" s="154"/>
      <c r="G286" s="599"/>
      <c r="H286" s="599"/>
      <c r="I286" s="599"/>
      <c r="J286" s="599"/>
      <c r="K286" s="599"/>
      <c r="L286" s="599"/>
      <c r="M286" s="599"/>
      <c r="N286" s="599"/>
      <c r="O286" s="599"/>
      <c r="P286" s="599"/>
      <c r="Q286" s="599"/>
      <c r="R286" s="599"/>
      <c r="S286" s="599"/>
      <c r="T286" s="599"/>
      <c r="U286" s="599"/>
      <c r="V286" s="599"/>
      <c r="W286" s="599"/>
      <c r="X286" s="599"/>
      <c r="Y286" s="599"/>
      <c r="Z286" s="602"/>
      <c r="AA286" s="602"/>
      <c r="AB286" s="602"/>
      <c r="AC286" s="602"/>
      <c r="AD286" s="602"/>
      <c r="AE286" s="602"/>
      <c r="AF286" s="602"/>
      <c r="AG286" s="603"/>
      <c r="AH286" s="609"/>
      <c r="AI286" s="610"/>
      <c r="AJ286" s="610"/>
      <c r="AK286" s="610"/>
      <c r="AL286" s="610"/>
      <c r="AM286" s="610"/>
      <c r="AN286" s="610"/>
      <c r="AO286" s="610"/>
      <c r="AP286" s="610"/>
      <c r="AQ286" s="610"/>
      <c r="AR286" s="610"/>
      <c r="AS286" s="610"/>
      <c r="AT286" s="610"/>
      <c r="AU286" s="610"/>
      <c r="AV286" s="610"/>
      <c r="AW286" s="611"/>
      <c r="AX286" s="618"/>
      <c r="AY286" s="619"/>
      <c r="AZ286" s="619"/>
      <c r="BA286" s="619"/>
      <c r="BB286" s="619"/>
      <c r="BC286" s="619"/>
      <c r="BD286" s="619"/>
      <c r="BE286" s="619"/>
      <c r="BF286" s="619"/>
      <c r="BG286" s="619"/>
      <c r="BH286" s="619"/>
      <c r="BI286" s="619"/>
      <c r="BJ286" s="619"/>
      <c r="BK286" s="619"/>
      <c r="BL286" s="619"/>
      <c r="BM286" s="619"/>
      <c r="BN286" s="619"/>
      <c r="BO286" s="619"/>
      <c r="BP286" s="619"/>
      <c r="BQ286" s="619"/>
      <c r="BR286" s="619"/>
      <c r="BS286" s="619"/>
      <c r="BT286" s="619"/>
      <c r="BU286" s="619"/>
      <c r="BV286" s="619"/>
      <c r="BW286" s="619"/>
      <c r="BX286" s="619"/>
      <c r="BY286" s="619"/>
      <c r="BZ286" s="619"/>
      <c r="CA286" s="619"/>
      <c r="CB286" s="619"/>
      <c r="CC286" s="619"/>
      <c r="CD286" s="619"/>
      <c r="CE286" s="619"/>
      <c r="CF286" s="619"/>
      <c r="CG286" s="619"/>
      <c r="CH286" s="619"/>
      <c r="CI286" s="619"/>
      <c r="CJ286" s="619"/>
      <c r="CK286" s="619"/>
      <c r="CL286" s="619"/>
      <c r="CM286" s="619"/>
      <c r="CN286" s="619"/>
      <c r="CO286" s="619"/>
      <c r="CP286" s="619"/>
      <c r="CQ286" s="619"/>
      <c r="CR286" s="619"/>
      <c r="CS286" s="619"/>
      <c r="CT286" s="619"/>
      <c r="CU286" s="619"/>
      <c r="CV286" s="619"/>
      <c r="CW286" s="619"/>
      <c r="CX286" s="619"/>
      <c r="CY286" s="619"/>
      <c r="CZ286" s="619"/>
      <c r="DA286" s="619"/>
      <c r="DB286" s="619"/>
      <c r="DC286" s="619"/>
      <c r="DD286" s="619"/>
      <c r="DE286" s="619"/>
      <c r="DF286" s="619"/>
      <c r="DG286" s="619"/>
      <c r="DH286" s="619"/>
      <c r="DI286" s="619"/>
      <c r="DJ286" s="619"/>
      <c r="DK286" s="619"/>
      <c r="DL286" s="619"/>
      <c r="DM286" s="619"/>
      <c r="DN286" s="619"/>
      <c r="DO286" s="619"/>
      <c r="DP286" s="619"/>
      <c r="DQ286" s="620"/>
      <c r="DR286" s="229"/>
    </row>
    <row r="287" spans="1:122" ht="7.5" customHeight="1" x14ac:dyDescent="0.25">
      <c r="A287" s="119"/>
      <c r="B287" s="119"/>
      <c r="C287" s="119"/>
      <c r="D287" s="119"/>
      <c r="E287" s="119"/>
      <c r="F287" s="624" t="str">
        <f>G284</f>
        <v>Deep Sleeper</v>
      </c>
      <c r="G287" s="624"/>
      <c r="H287" s="624"/>
      <c r="I287" s="624"/>
      <c r="J287" s="624"/>
      <c r="K287" s="625">
        <f>IF(A284&gt;0,Z284,0)</f>
        <v>0</v>
      </c>
      <c r="L287" s="625"/>
      <c r="M287" s="625"/>
      <c r="N287" s="626" t="b">
        <f>IF($G284&lt;&gt;"",VLOOKUP($G284,'Merit Data'!$A:$BW,MATCH('Merit Data'!$B$3,'Merit Data'!$3:$3,0),0),TRUE)</f>
        <v>1</v>
      </c>
      <c r="O287" s="626"/>
      <c r="P287" s="626"/>
      <c r="Q287" s="155"/>
      <c r="R287" s="140"/>
      <c r="S287" s="140"/>
      <c r="T287" s="140"/>
      <c r="U287" s="140"/>
      <c r="V287" s="238"/>
      <c r="W287" s="238"/>
      <c r="X287" s="627" t="str">
        <f>IF(F287&gt;0,HYPERLINK("http://wiki.project-saros.com/w/"&amp;F287,"Info"),"")</f>
        <v>Info</v>
      </c>
      <c r="Y287" s="628"/>
      <c r="Z287" s="604"/>
      <c r="AA287" s="604"/>
      <c r="AB287" s="604"/>
      <c r="AC287" s="604"/>
      <c r="AD287" s="604"/>
      <c r="AE287" s="604"/>
      <c r="AF287" s="604"/>
      <c r="AG287" s="605"/>
      <c r="AH287" s="612"/>
      <c r="AI287" s="613"/>
      <c r="AJ287" s="613"/>
      <c r="AK287" s="613"/>
      <c r="AL287" s="613"/>
      <c r="AM287" s="613"/>
      <c r="AN287" s="613"/>
      <c r="AO287" s="613"/>
      <c r="AP287" s="613"/>
      <c r="AQ287" s="613"/>
      <c r="AR287" s="613"/>
      <c r="AS287" s="613"/>
      <c r="AT287" s="613"/>
      <c r="AU287" s="613"/>
      <c r="AV287" s="613"/>
      <c r="AW287" s="614"/>
      <c r="AX287" s="621"/>
      <c r="AY287" s="622"/>
      <c r="AZ287" s="622"/>
      <c r="BA287" s="622"/>
      <c r="BB287" s="622"/>
      <c r="BC287" s="622"/>
      <c r="BD287" s="622"/>
      <c r="BE287" s="622"/>
      <c r="BF287" s="622"/>
      <c r="BG287" s="622"/>
      <c r="BH287" s="622"/>
      <c r="BI287" s="622"/>
      <c r="BJ287" s="622"/>
      <c r="BK287" s="622"/>
      <c r="BL287" s="622"/>
      <c r="BM287" s="622"/>
      <c r="BN287" s="622"/>
      <c r="BO287" s="622"/>
      <c r="BP287" s="622"/>
      <c r="BQ287" s="622"/>
      <c r="BR287" s="622"/>
      <c r="BS287" s="622"/>
      <c r="BT287" s="622"/>
      <c r="BU287" s="622"/>
      <c r="BV287" s="622"/>
      <c r="BW287" s="622"/>
      <c r="BX287" s="622"/>
      <c r="BY287" s="622"/>
      <c r="BZ287" s="622"/>
      <c r="CA287" s="622"/>
      <c r="CB287" s="622"/>
      <c r="CC287" s="622"/>
      <c r="CD287" s="622"/>
      <c r="CE287" s="622"/>
      <c r="CF287" s="622"/>
      <c r="CG287" s="622"/>
      <c r="CH287" s="622"/>
      <c r="CI287" s="622"/>
      <c r="CJ287" s="622"/>
      <c r="CK287" s="622"/>
      <c r="CL287" s="622"/>
      <c r="CM287" s="622"/>
      <c r="CN287" s="622"/>
      <c r="CO287" s="622"/>
      <c r="CP287" s="622"/>
      <c r="CQ287" s="622"/>
      <c r="CR287" s="622"/>
      <c r="CS287" s="622"/>
      <c r="CT287" s="622"/>
      <c r="CU287" s="622"/>
      <c r="CV287" s="622"/>
      <c r="CW287" s="622"/>
      <c r="CX287" s="622"/>
      <c r="CY287" s="622"/>
      <c r="CZ287" s="622"/>
      <c r="DA287" s="622"/>
      <c r="DB287" s="622"/>
      <c r="DC287" s="622"/>
      <c r="DD287" s="622"/>
      <c r="DE287" s="622"/>
      <c r="DF287" s="622"/>
      <c r="DG287" s="622"/>
      <c r="DH287" s="622"/>
      <c r="DI287" s="622"/>
      <c r="DJ287" s="622"/>
      <c r="DK287" s="622"/>
      <c r="DL287" s="622"/>
      <c r="DM287" s="622"/>
      <c r="DN287" s="622"/>
      <c r="DO287" s="622"/>
      <c r="DP287" s="622"/>
      <c r="DQ287" s="623"/>
      <c r="DR287" s="229"/>
    </row>
    <row r="288" spans="1:122" ht="7.5" customHeight="1" x14ac:dyDescent="0.25">
      <c r="A288" s="588"/>
      <c r="B288" s="589"/>
      <c r="C288" s="589"/>
      <c r="D288" s="589"/>
      <c r="E288" s="590"/>
      <c r="F288" s="152"/>
      <c r="G288" s="597" t="str">
        <f>INDEX('Merit Data'!A:A,ROW('Merit Data'!A22:A23)-COUNTA($G$272:G287)*2,COLUMN('Merit Data'!A22:A23))</f>
        <v>Quick Reactions</v>
      </c>
      <c r="H288" s="597"/>
      <c r="I288" s="597"/>
      <c r="J288" s="597"/>
      <c r="K288" s="597"/>
      <c r="L288" s="597"/>
      <c r="M288" s="597"/>
      <c r="N288" s="597"/>
      <c r="O288" s="597"/>
      <c r="P288" s="597"/>
      <c r="Q288" s="597"/>
      <c r="R288" s="597"/>
      <c r="S288" s="597"/>
      <c r="T288" s="597"/>
      <c r="U288" s="597"/>
      <c r="V288" s="597"/>
      <c r="W288" s="597"/>
      <c r="X288" s="597"/>
      <c r="Y288" s="597"/>
      <c r="Z288" s="600">
        <f>VLOOKUP($G288,'Merit Data'!$A:$BW,MATCH('Merit Data'!$E$3,'Merit Data'!$3:$3,0),0)</f>
        <v>100</v>
      </c>
      <c r="AA288" s="600"/>
      <c r="AB288" s="600"/>
      <c r="AC288" s="600"/>
      <c r="AD288" s="600"/>
      <c r="AE288" s="600"/>
      <c r="AF288" s="600"/>
      <c r="AG288" s="601"/>
      <c r="AH288" s="606" t="str">
        <f ca="1">IF(NOT(ISERROR(VLOOKUP($G288,'Merit Data'!$A:$CE,MATCH('Merit Data'!$BX$3,'Merit Data'!$3:$3,0),0))),VLOOKUP($G288,'Merit Data'!$A:$CE,MATCH('Merit Data'!$BX$3,'Merit Data'!$3:$3,0),0),"")</f>
        <v/>
      </c>
      <c r="AI288" s="607"/>
      <c r="AJ288" s="607"/>
      <c r="AK288" s="607"/>
      <c r="AL288" s="607"/>
      <c r="AM288" s="607"/>
      <c r="AN288" s="607"/>
      <c r="AO288" s="607"/>
      <c r="AP288" s="607"/>
      <c r="AQ288" s="607"/>
      <c r="AR288" s="607"/>
      <c r="AS288" s="607"/>
      <c r="AT288" s="607"/>
      <c r="AU288" s="607"/>
      <c r="AV288" s="607"/>
      <c r="AW288" s="608"/>
      <c r="AX288" s="615" t="str">
        <f>VLOOKUP($G288,'Merit Data'!$A:$BW,MATCH('Merit Data'!$F$3,'Merit Data'!$3:$3,0),0)</f>
        <v>You gain a +2 merit bonus to your initiative modifier</v>
      </c>
      <c r="AY288" s="616"/>
      <c r="AZ288" s="616"/>
      <c r="BA288" s="616"/>
      <c r="BB288" s="616"/>
      <c r="BC288" s="616"/>
      <c r="BD288" s="616"/>
      <c r="BE288" s="616"/>
      <c r="BF288" s="616"/>
      <c r="BG288" s="616"/>
      <c r="BH288" s="616"/>
      <c r="BI288" s="616"/>
      <c r="BJ288" s="616"/>
      <c r="BK288" s="616"/>
      <c r="BL288" s="616"/>
      <c r="BM288" s="616"/>
      <c r="BN288" s="616"/>
      <c r="BO288" s="616"/>
      <c r="BP288" s="616"/>
      <c r="BQ288" s="616"/>
      <c r="BR288" s="616"/>
      <c r="BS288" s="616"/>
      <c r="BT288" s="616"/>
      <c r="BU288" s="616"/>
      <c r="BV288" s="616"/>
      <c r="BW288" s="616"/>
      <c r="BX288" s="616"/>
      <c r="BY288" s="616"/>
      <c r="BZ288" s="616"/>
      <c r="CA288" s="616"/>
      <c r="CB288" s="616"/>
      <c r="CC288" s="616"/>
      <c r="CD288" s="616"/>
      <c r="CE288" s="616"/>
      <c r="CF288" s="616"/>
      <c r="CG288" s="616"/>
      <c r="CH288" s="616"/>
      <c r="CI288" s="616"/>
      <c r="CJ288" s="616"/>
      <c r="CK288" s="616"/>
      <c r="CL288" s="616"/>
      <c r="CM288" s="616"/>
      <c r="CN288" s="616"/>
      <c r="CO288" s="616"/>
      <c r="CP288" s="616"/>
      <c r="CQ288" s="616"/>
      <c r="CR288" s="616"/>
      <c r="CS288" s="616"/>
      <c r="CT288" s="616"/>
      <c r="CU288" s="616"/>
      <c r="CV288" s="616"/>
      <c r="CW288" s="616"/>
      <c r="CX288" s="616"/>
      <c r="CY288" s="616"/>
      <c r="CZ288" s="616"/>
      <c r="DA288" s="616"/>
      <c r="DB288" s="616"/>
      <c r="DC288" s="616"/>
      <c r="DD288" s="616"/>
      <c r="DE288" s="616"/>
      <c r="DF288" s="616"/>
      <c r="DG288" s="616"/>
      <c r="DH288" s="616"/>
      <c r="DI288" s="616"/>
      <c r="DJ288" s="616"/>
      <c r="DK288" s="616"/>
      <c r="DL288" s="616"/>
      <c r="DM288" s="616"/>
      <c r="DN288" s="616"/>
      <c r="DO288" s="616"/>
      <c r="DP288" s="616"/>
      <c r="DQ288" s="617"/>
      <c r="DR288" s="229"/>
    </row>
    <row r="289" spans="1:122" ht="7.5" customHeight="1" x14ac:dyDescent="0.25">
      <c r="A289" s="591"/>
      <c r="B289" s="592"/>
      <c r="C289" s="592"/>
      <c r="D289" s="592"/>
      <c r="E289" s="593"/>
      <c r="F289" s="153"/>
      <c r="G289" s="598"/>
      <c r="H289" s="598"/>
      <c r="I289" s="598"/>
      <c r="J289" s="598"/>
      <c r="K289" s="598"/>
      <c r="L289" s="598"/>
      <c r="M289" s="598"/>
      <c r="N289" s="598"/>
      <c r="O289" s="598"/>
      <c r="P289" s="598"/>
      <c r="Q289" s="598"/>
      <c r="R289" s="598"/>
      <c r="S289" s="598"/>
      <c r="T289" s="598"/>
      <c r="U289" s="598"/>
      <c r="V289" s="598"/>
      <c r="W289" s="598"/>
      <c r="X289" s="598"/>
      <c r="Y289" s="598"/>
      <c r="Z289" s="602"/>
      <c r="AA289" s="602"/>
      <c r="AB289" s="602"/>
      <c r="AC289" s="602"/>
      <c r="AD289" s="602"/>
      <c r="AE289" s="602"/>
      <c r="AF289" s="602"/>
      <c r="AG289" s="603"/>
      <c r="AH289" s="609"/>
      <c r="AI289" s="610"/>
      <c r="AJ289" s="610"/>
      <c r="AK289" s="610"/>
      <c r="AL289" s="610"/>
      <c r="AM289" s="610"/>
      <c r="AN289" s="610"/>
      <c r="AO289" s="610"/>
      <c r="AP289" s="610"/>
      <c r="AQ289" s="610"/>
      <c r="AR289" s="610"/>
      <c r="AS289" s="610"/>
      <c r="AT289" s="610"/>
      <c r="AU289" s="610"/>
      <c r="AV289" s="610"/>
      <c r="AW289" s="611"/>
      <c r="AX289" s="618"/>
      <c r="AY289" s="619"/>
      <c r="AZ289" s="619"/>
      <c r="BA289" s="619"/>
      <c r="BB289" s="619"/>
      <c r="BC289" s="619"/>
      <c r="BD289" s="619"/>
      <c r="BE289" s="619"/>
      <c r="BF289" s="619"/>
      <c r="BG289" s="619"/>
      <c r="BH289" s="619"/>
      <c r="BI289" s="619"/>
      <c r="BJ289" s="619"/>
      <c r="BK289" s="619"/>
      <c r="BL289" s="619"/>
      <c r="BM289" s="619"/>
      <c r="BN289" s="619"/>
      <c r="BO289" s="619"/>
      <c r="BP289" s="619"/>
      <c r="BQ289" s="619"/>
      <c r="BR289" s="619"/>
      <c r="BS289" s="619"/>
      <c r="BT289" s="619"/>
      <c r="BU289" s="619"/>
      <c r="BV289" s="619"/>
      <c r="BW289" s="619"/>
      <c r="BX289" s="619"/>
      <c r="BY289" s="619"/>
      <c r="BZ289" s="619"/>
      <c r="CA289" s="619"/>
      <c r="CB289" s="619"/>
      <c r="CC289" s="619"/>
      <c r="CD289" s="619"/>
      <c r="CE289" s="619"/>
      <c r="CF289" s="619"/>
      <c r="CG289" s="619"/>
      <c r="CH289" s="619"/>
      <c r="CI289" s="619"/>
      <c r="CJ289" s="619"/>
      <c r="CK289" s="619"/>
      <c r="CL289" s="619"/>
      <c r="CM289" s="619"/>
      <c r="CN289" s="619"/>
      <c r="CO289" s="619"/>
      <c r="CP289" s="619"/>
      <c r="CQ289" s="619"/>
      <c r="CR289" s="619"/>
      <c r="CS289" s="619"/>
      <c r="CT289" s="619"/>
      <c r="CU289" s="619"/>
      <c r="CV289" s="619"/>
      <c r="CW289" s="619"/>
      <c r="CX289" s="619"/>
      <c r="CY289" s="619"/>
      <c r="CZ289" s="619"/>
      <c r="DA289" s="619"/>
      <c r="DB289" s="619"/>
      <c r="DC289" s="619"/>
      <c r="DD289" s="619"/>
      <c r="DE289" s="619"/>
      <c r="DF289" s="619"/>
      <c r="DG289" s="619"/>
      <c r="DH289" s="619"/>
      <c r="DI289" s="619"/>
      <c r="DJ289" s="619"/>
      <c r="DK289" s="619"/>
      <c r="DL289" s="619"/>
      <c r="DM289" s="619"/>
      <c r="DN289" s="619"/>
      <c r="DO289" s="619"/>
      <c r="DP289" s="619"/>
      <c r="DQ289" s="620"/>
      <c r="DR289" s="229"/>
    </row>
    <row r="290" spans="1:122" ht="7.5" customHeight="1" x14ac:dyDescent="0.25">
      <c r="A290" s="594"/>
      <c r="B290" s="595"/>
      <c r="C290" s="595"/>
      <c r="D290" s="595"/>
      <c r="E290" s="596"/>
      <c r="F290" s="154"/>
      <c r="G290" s="599"/>
      <c r="H290" s="599"/>
      <c r="I290" s="599"/>
      <c r="J290" s="599"/>
      <c r="K290" s="599"/>
      <c r="L290" s="599"/>
      <c r="M290" s="599"/>
      <c r="N290" s="599"/>
      <c r="O290" s="599"/>
      <c r="P290" s="599"/>
      <c r="Q290" s="599"/>
      <c r="R290" s="599"/>
      <c r="S290" s="599"/>
      <c r="T290" s="599"/>
      <c r="U290" s="599"/>
      <c r="V290" s="599"/>
      <c r="W290" s="599"/>
      <c r="X290" s="599"/>
      <c r="Y290" s="599"/>
      <c r="Z290" s="602"/>
      <c r="AA290" s="602"/>
      <c r="AB290" s="602"/>
      <c r="AC290" s="602"/>
      <c r="AD290" s="602"/>
      <c r="AE290" s="602"/>
      <c r="AF290" s="602"/>
      <c r="AG290" s="603"/>
      <c r="AH290" s="609"/>
      <c r="AI290" s="610"/>
      <c r="AJ290" s="610"/>
      <c r="AK290" s="610"/>
      <c r="AL290" s="610"/>
      <c r="AM290" s="610"/>
      <c r="AN290" s="610"/>
      <c r="AO290" s="610"/>
      <c r="AP290" s="610"/>
      <c r="AQ290" s="610"/>
      <c r="AR290" s="610"/>
      <c r="AS290" s="610"/>
      <c r="AT290" s="610"/>
      <c r="AU290" s="610"/>
      <c r="AV290" s="610"/>
      <c r="AW290" s="611"/>
      <c r="AX290" s="618"/>
      <c r="AY290" s="619"/>
      <c r="AZ290" s="619"/>
      <c r="BA290" s="619"/>
      <c r="BB290" s="619"/>
      <c r="BC290" s="619"/>
      <c r="BD290" s="619"/>
      <c r="BE290" s="619"/>
      <c r="BF290" s="619"/>
      <c r="BG290" s="619"/>
      <c r="BH290" s="619"/>
      <c r="BI290" s="619"/>
      <c r="BJ290" s="619"/>
      <c r="BK290" s="619"/>
      <c r="BL290" s="619"/>
      <c r="BM290" s="619"/>
      <c r="BN290" s="619"/>
      <c r="BO290" s="619"/>
      <c r="BP290" s="619"/>
      <c r="BQ290" s="619"/>
      <c r="BR290" s="619"/>
      <c r="BS290" s="619"/>
      <c r="BT290" s="619"/>
      <c r="BU290" s="619"/>
      <c r="BV290" s="619"/>
      <c r="BW290" s="619"/>
      <c r="BX290" s="619"/>
      <c r="BY290" s="619"/>
      <c r="BZ290" s="619"/>
      <c r="CA290" s="619"/>
      <c r="CB290" s="619"/>
      <c r="CC290" s="619"/>
      <c r="CD290" s="619"/>
      <c r="CE290" s="619"/>
      <c r="CF290" s="619"/>
      <c r="CG290" s="619"/>
      <c r="CH290" s="619"/>
      <c r="CI290" s="619"/>
      <c r="CJ290" s="619"/>
      <c r="CK290" s="619"/>
      <c r="CL290" s="619"/>
      <c r="CM290" s="619"/>
      <c r="CN290" s="619"/>
      <c r="CO290" s="619"/>
      <c r="CP290" s="619"/>
      <c r="CQ290" s="619"/>
      <c r="CR290" s="619"/>
      <c r="CS290" s="619"/>
      <c r="CT290" s="619"/>
      <c r="CU290" s="619"/>
      <c r="CV290" s="619"/>
      <c r="CW290" s="619"/>
      <c r="CX290" s="619"/>
      <c r="CY290" s="619"/>
      <c r="CZ290" s="619"/>
      <c r="DA290" s="619"/>
      <c r="DB290" s="619"/>
      <c r="DC290" s="619"/>
      <c r="DD290" s="619"/>
      <c r="DE290" s="619"/>
      <c r="DF290" s="619"/>
      <c r="DG290" s="619"/>
      <c r="DH290" s="619"/>
      <c r="DI290" s="619"/>
      <c r="DJ290" s="619"/>
      <c r="DK290" s="619"/>
      <c r="DL290" s="619"/>
      <c r="DM290" s="619"/>
      <c r="DN290" s="619"/>
      <c r="DO290" s="619"/>
      <c r="DP290" s="619"/>
      <c r="DQ290" s="620"/>
      <c r="DR290" s="229"/>
    </row>
    <row r="291" spans="1:122" ht="7.5" customHeight="1" x14ac:dyDescent="0.25">
      <c r="A291" s="119"/>
      <c r="B291" s="119"/>
      <c r="C291" s="119"/>
      <c r="D291" s="119"/>
      <c r="E291" s="119"/>
      <c r="F291" s="624" t="str">
        <f>G288</f>
        <v>Quick Reactions</v>
      </c>
      <c r="G291" s="624"/>
      <c r="H291" s="624"/>
      <c r="I291" s="624"/>
      <c r="J291" s="624"/>
      <c r="K291" s="625">
        <f>IF(A288&gt;0,Z288,0)</f>
        <v>0</v>
      </c>
      <c r="L291" s="625"/>
      <c r="M291" s="625"/>
      <c r="N291" s="626" t="b">
        <f>IF($G288&lt;&gt;"",VLOOKUP($G288,'Merit Data'!$A:$BW,MATCH('Merit Data'!$B$3,'Merit Data'!$3:$3,0),0),TRUE)</f>
        <v>1</v>
      </c>
      <c r="O291" s="626"/>
      <c r="P291" s="626"/>
      <c r="Q291" s="155"/>
      <c r="R291" s="140"/>
      <c r="S291" s="140"/>
      <c r="T291" s="140"/>
      <c r="U291" s="140"/>
      <c r="V291" s="238"/>
      <c r="W291" s="238"/>
      <c r="X291" s="627" t="str">
        <f>IF(F291&gt;0,HYPERLINK("http://wiki.project-saros.com/w/"&amp;F291,"Info"),"")</f>
        <v>Info</v>
      </c>
      <c r="Y291" s="628"/>
      <c r="Z291" s="604"/>
      <c r="AA291" s="604"/>
      <c r="AB291" s="604"/>
      <c r="AC291" s="604"/>
      <c r="AD291" s="604"/>
      <c r="AE291" s="604"/>
      <c r="AF291" s="604"/>
      <c r="AG291" s="605"/>
      <c r="AH291" s="612"/>
      <c r="AI291" s="613"/>
      <c r="AJ291" s="613"/>
      <c r="AK291" s="613"/>
      <c r="AL291" s="613"/>
      <c r="AM291" s="613"/>
      <c r="AN291" s="613"/>
      <c r="AO291" s="613"/>
      <c r="AP291" s="613"/>
      <c r="AQ291" s="613"/>
      <c r="AR291" s="613"/>
      <c r="AS291" s="613"/>
      <c r="AT291" s="613"/>
      <c r="AU291" s="613"/>
      <c r="AV291" s="613"/>
      <c r="AW291" s="614"/>
      <c r="AX291" s="621"/>
      <c r="AY291" s="622"/>
      <c r="AZ291" s="622"/>
      <c r="BA291" s="622"/>
      <c r="BB291" s="622"/>
      <c r="BC291" s="622"/>
      <c r="BD291" s="622"/>
      <c r="BE291" s="622"/>
      <c r="BF291" s="622"/>
      <c r="BG291" s="622"/>
      <c r="BH291" s="622"/>
      <c r="BI291" s="622"/>
      <c r="BJ291" s="622"/>
      <c r="BK291" s="622"/>
      <c r="BL291" s="622"/>
      <c r="BM291" s="622"/>
      <c r="BN291" s="622"/>
      <c r="BO291" s="622"/>
      <c r="BP291" s="622"/>
      <c r="BQ291" s="622"/>
      <c r="BR291" s="622"/>
      <c r="BS291" s="622"/>
      <c r="BT291" s="622"/>
      <c r="BU291" s="622"/>
      <c r="BV291" s="622"/>
      <c r="BW291" s="622"/>
      <c r="BX291" s="622"/>
      <c r="BY291" s="622"/>
      <c r="BZ291" s="622"/>
      <c r="CA291" s="622"/>
      <c r="CB291" s="622"/>
      <c r="CC291" s="622"/>
      <c r="CD291" s="622"/>
      <c r="CE291" s="622"/>
      <c r="CF291" s="622"/>
      <c r="CG291" s="622"/>
      <c r="CH291" s="622"/>
      <c r="CI291" s="622"/>
      <c r="CJ291" s="622"/>
      <c r="CK291" s="622"/>
      <c r="CL291" s="622"/>
      <c r="CM291" s="622"/>
      <c r="CN291" s="622"/>
      <c r="CO291" s="622"/>
      <c r="CP291" s="622"/>
      <c r="CQ291" s="622"/>
      <c r="CR291" s="622"/>
      <c r="CS291" s="622"/>
      <c r="CT291" s="622"/>
      <c r="CU291" s="622"/>
      <c r="CV291" s="622"/>
      <c r="CW291" s="622"/>
      <c r="CX291" s="622"/>
      <c r="CY291" s="622"/>
      <c r="CZ291" s="622"/>
      <c r="DA291" s="622"/>
      <c r="DB291" s="622"/>
      <c r="DC291" s="622"/>
      <c r="DD291" s="622"/>
      <c r="DE291" s="622"/>
      <c r="DF291" s="622"/>
      <c r="DG291" s="622"/>
      <c r="DH291" s="622"/>
      <c r="DI291" s="622"/>
      <c r="DJ291" s="622"/>
      <c r="DK291" s="622"/>
      <c r="DL291" s="622"/>
      <c r="DM291" s="622"/>
      <c r="DN291" s="622"/>
      <c r="DO291" s="622"/>
      <c r="DP291" s="622"/>
      <c r="DQ291" s="623"/>
      <c r="DR291" s="229"/>
    </row>
    <row r="292" spans="1:122" ht="7.5" customHeight="1" x14ac:dyDescent="0.25">
      <c r="A292" s="588"/>
      <c r="B292" s="589"/>
      <c r="C292" s="589"/>
      <c r="D292" s="589"/>
      <c r="E292" s="590"/>
      <c r="F292" s="152"/>
      <c r="G292" s="597" t="str">
        <f>INDEX('Merit Data'!A:A,ROW('Merit Data'!A26:A27)-COUNTA($G$272:G291)*2,COLUMN('Merit Data'!A26:A27))</f>
        <v>Swift Reactions</v>
      </c>
      <c r="H292" s="597"/>
      <c r="I292" s="597"/>
      <c r="J292" s="597"/>
      <c r="K292" s="597"/>
      <c r="L292" s="597"/>
      <c r="M292" s="597"/>
      <c r="N292" s="597"/>
      <c r="O292" s="597"/>
      <c r="P292" s="597"/>
      <c r="Q292" s="597"/>
      <c r="R292" s="597"/>
      <c r="S292" s="597"/>
      <c r="T292" s="597"/>
      <c r="U292" s="597"/>
      <c r="V292" s="597"/>
      <c r="W292" s="597"/>
      <c r="X292" s="597"/>
      <c r="Y292" s="597"/>
      <c r="Z292" s="600">
        <f>VLOOKUP($G292,'Merit Data'!$A:$BW,MATCH('Merit Data'!$E$3,'Merit Data'!$3:$3,0),0)</f>
        <v>200</v>
      </c>
      <c r="AA292" s="600"/>
      <c r="AB292" s="600"/>
      <c r="AC292" s="600"/>
      <c r="AD292" s="600"/>
      <c r="AE292" s="600"/>
      <c r="AF292" s="600"/>
      <c r="AG292" s="601"/>
      <c r="AH292" s="606" t="str">
        <f ca="1">IF(NOT(ISERROR(VLOOKUP($G292,'Merit Data'!$A:$CE,MATCH('Merit Data'!$BX$3,'Merit Data'!$3:$3,0),0))),VLOOKUP($G292,'Merit Data'!$A:$CE,MATCH('Merit Data'!$BX$3,'Merit Data'!$3:$3,0),0),"")</f>
        <v>Quick Reactions</v>
      </c>
      <c r="AI292" s="607"/>
      <c r="AJ292" s="607"/>
      <c r="AK292" s="607"/>
      <c r="AL292" s="607"/>
      <c r="AM292" s="607"/>
      <c r="AN292" s="607"/>
      <c r="AO292" s="607"/>
      <c r="AP292" s="607"/>
      <c r="AQ292" s="607"/>
      <c r="AR292" s="607"/>
      <c r="AS292" s="607"/>
      <c r="AT292" s="607"/>
      <c r="AU292" s="607"/>
      <c r="AV292" s="607"/>
      <c r="AW292" s="608"/>
      <c r="AX292" s="615" t="str">
        <f>VLOOKUP($G292,'Merit Data'!$A:$BW,MATCH('Merit Data'!$F$3,'Merit Data'!$3:$3,0),0)</f>
        <v>You gain a +4 merit bonus to your initiative modifier</v>
      </c>
      <c r="AY292" s="616"/>
      <c r="AZ292" s="616"/>
      <c r="BA292" s="616"/>
      <c r="BB292" s="616"/>
      <c r="BC292" s="616"/>
      <c r="BD292" s="616"/>
      <c r="BE292" s="616"/>
      <c r="BF292" s="616"/>
      <c r="BG292" s="616"/>
      <c r="BH292" s="616"/>
      <c r="BI292" s="616"/>
      <c r="BJ292" s="616"/>
      <c r="BK292" s="616"/>
      <c r="BL292" s="616"/>
      <c r="BM292" s="616"/>
      <c r="BN292" s="616"/>
      <c r="BO292" s="616"/>
      <c r="BP292" s="616"/>
      <c r="BQ292" s="616"/>
      <c r="BR292" s="616"/>
      <c r="BS292" s="616"/>
      <c r="BT292" s="616"/>
      <c r="BU292" s="616"/>
      <c r="BV292" s="616"/>
      <c r="BW292" s="616"/>
      <c r="BX292" s="616"/>
      <c r="BY292" s="616"/>
      <c r="BZ292" s="616"/>
      <c r="CA292" s="616"/>
      <c r="CB292" s="616"/>
      <c r="CC292" s="616"/>
      <c r="CD292" s="616"/>
      <c r="CE292" s="616"/>
      <c r="CF292" s="616"/>
      <c r="CG292" s="616"/>
      <c r="CH292" s="616"/>
      <c r="CI292" s="616"/>
      <c r="CJ292" s="616"/>
      <c r="CK292" s="616"/>
      <c r="CL292" s="616"/>
      <c r="CM292" s="616"/>
      <c r="CN292" s="616"/>
      <c r="CO292" s="616"/>
      <c r="CP292" s="616"/>
      <c r="CQ292" s="616"/>
      <c r="CR292" s="616"/>
      <c r="CS292" s="616"/>
      <c r="CT292" s="616"/>
      <c r="CU292" s="616"/>
      <c r="CV292" s="616"/>
      <c r="CW292" s="616"/>
      <c r="CX292" s="616"/>
      <c r="CY292" s="616"/>
      <c r="CZ292" s="616"/>
      <c r="DA292" s="616"/>
      <c r="DB292" s="616"/>
      <c r="DC292" s="616"/>
      <c r="DD292" s="616"/>
      <c r="DE292" s="616"/>
      <c r="DF292" s="616"/>
      <c r="DG292" s="616"/>
      <c r="DH292" s="616"/>
      <c r="DI292" s="616"/>
      <c r="DJ292" s="616"/>
      <c r="DK292" s="616"/>
      <c r="DL292" s="616"/>
      <c r="DM292" s="616"/>
      <c r="DN292" s="616"/>
      <c r="DO292" s="616"/>
      <c r="DP292" s="616"/>
      <c r="DQ292" s="617"/>
      <c r="DR292" s="229"/>
    </row>
    <row r="293" spans="1:122" ht="7.5" customHeight="1" x14ac:dyDescent="0.25">
      <c r="A293" s="591"/>
      <c r="B293" s="592"/>
      <c r="C293" s="592"/>
      <c r="D293" s="592"/>
      <c r="E293" s="593"/>
      <c r="F293" s="153"/>
      <c r="G293" s="598"/>
      <c r="H293" s="598"/>
      <c r="I293" s="598"/>
      <c r="J293" s="598"/>
      <c r="K293" s="598"/>
      <c r="L293" s="598"/>
      <c r="M293" s="598"/>
      <c r="N293" s="598"/>
      <c r="O293" s="598"/>
      <c r="P293" s="598"/>
      <c r="Q293" s="598"/>
      <c r="R293" s="598"/>
      <c r="S293" s="598"/>
      <c r="T293" s="598"/>
      <c r="U293" s="598"/>
      <c r="V293" s="598"/>
      <c r="W293" s="598"/>
      <c r="X293" s="598"/>
      <c r="Y293" s="598"/>
      <c r="Z293" s="602"/>
      <c r="AA293" s="602"/>
      <c r="AB293" s="602"/>
      <c r="AC293" s="602"/>
      <c r="AD293" s="602"/>
      <c r="AE293" s="602"/>
      <c r="AF293" s="602"/>
      <c r="AG293" s="603"/>
      <c r="AH293" s="609"/>
      <c r="AI293" s="610"/>
      <c r="AJ293" s="610"/>
      <c r="AK293" s="610"/>
      <c r="AL293" s="610"/>
      <c r="AM293" s="610"/>
      <c r="AN293" s="610"/>
      <c r="AO293" s="610"/>
      <c r="AP293" s="610"/>
      <c r="AQ293" s="610"/>
      <c r="AR293" s="610"/>
      <c r="AS293" s="610"/>
      <c r="AT293" s="610"/>
      <c r="AU293" s="610"/>
      <c r="AV293" s="610"/>
      <c r="AW293" s="611"/>
      <c r="AX293" s="618"/>
      <c r="AY293" s="619"/>
      <c r="AZ293" s="619"/>
      <c r="BA293" s="619"/>
      <c r="BB293" s="619"/>
      <c r="BC293" s="619"/>
      <c r="BD293" s="619"/>
      <c r="BE293" s="619"/>
      <c r="BF293" s="619"/>
      <c r="BG293" s="619"/>
      <c r="BH293" s="619"/>
      <c r="BI293" s="619"/>
      <c r="BJ293" s="619"/>
      <c r="BK293" s="619"/>
      <c r="BL293" s="619"/>
      <c r="BM293" s="619"/>
      <c r="BN293" s="619"/>
      <c r="BO293" s="619"/>
      <c r="BP293" s="619"/>
      <c r="BQ293" s="619"/>
      <c r="BR293" s="619"/>
      <c r="BS293" s="619"/>
      <c r="BT293" s="619"/>
      <c r="BU293" s="619"/>
      <c r="BV293" s="619"/>
      <c r="BW293" s="619"/>
      <c r="BX293" s="619"/>
      <c r="BY293" s="619"/>
      <c r="BZ293" s="619"/>
      <c r="CA293" s="619"/>
      <c r="CB293" s="619"/>
      <c r="CC293" s="619"/>
      <c r="CD293" s="619"/>
      <c r="CE293" s="619"/>
      <c r="CF293" s="619"/>
      <c r="CG293" s="619"/>
      <c r="CH293" s="619"/>
      <c r="CI293" s="619"/>
      <c r="CJ293" s="619"/>
      <c r="CK293" s="619"/>
      <c r="CL293" s="619"/>
      <c r="CM293" s="619"/>
      <c r="CN293" s="619"/>
      <c r="CO293" s="619"/>
      <c r="CP293" s="619"/>
      <c r="CQ293" s="619"/>
      <c r="CR293" s="619"/>
      <c r="CS293" s="619"/>
      <c r="CT293" s="619"/>
      <c r="CU293" s="619"/>
      <c r="CV293" s="619"/>
      <c r="CW293" s="619"/>
      <c r="CX293" s="619"/>
      <c r="CY293" s="619"/>
      <c r="CZ293" s="619"/>
      <c r="DA293" s="619"/>
      <c r="DB293" s="619"/>
      <c r="DC293" s="619"/>
      <c r="DD293" s="619"/>
      <c r="DE293" s="619"/>
      <c r="DF293" s="619"/>
      <c r="DG293" s="619"/>
      <c r="DH293" s="619"/>
      <c r="DI293" s="619"/>
      <c r="DJ293" s="619"/>
      <c r="DK293" s="619"/>
      <c r="DL293" s="619"/>
      <c r="DM293" s="619"/>
      <c r="DN293" s="619"/>
      <c r="DO293" s="619"/>
      <c r="DP293" s="619"/>
      <c r="DQ293" s="620"/>
      <c r="DR293" s="229"/>
    </row>
    <row r="294" spans="1:122" ht="7.5" customHeight="1" x14ac:dyDescent="0.25">
      <c r="A294" s="594"/>
      <c r="B294" s="595"/>
      <c r="C294" s="595"/>
      <c r="D294" s="595"/>
      <c r="E294" s="596"/>
      <c r="F294" s="154"/>
      <c r="G294" s="599"/>
      <c r="H294" s="599"/>
      <c r="I294" s="599"/>
      <c r="J294" s="599"/>
      <c r="K294" s="599"/>
      <c r="L294" s="599"/>
      <c r="M294" s="599"/>
      <c r="N294" s="599"/>
      <c r="O294" s="599"/>
      <c r="P294" s="599"/>
      <c r="Q294" s="599"/>
      <c r="R294" s="599"/>
      <c r="S294" s="599"/>
      <c r="T294" s="599"/>
      <c r="U294" s="599"/>
      <c r="V294" s="599"/>
      <c r="W294" s="599"/>
      <c r="X294" s="599"/>
      <c r="Y294" s="599"/>
      <c r="Z294" s="602"/>
      <c r="AA294" s="602"/>
      <c r="AB294" s="602"/>
      <c r="AC294" s="602"/>
      <c r="AD294" s="602"/>
      <c r="AE294" s="602"/>
      <c r="AF294" s="602"/>
      <c r="AG294" s="603"/>
      <c r="AH294" s="609"/>
      <c r="AI294" s="610"/>
      <c r="AJ294" s="610"/>
      <c r="AK294" s="610"/>
      <c r="AL294" s="610"/>
      <c r="AM294" s="610"/>
      <c r="AN294" s="610"/>
      <c r="AO294" s="610"/>
      <c r="AP294" s="610"/>
      <c r="AQ294" s="610"/>
      <c r="AR294" s="610"/>
      <c r="AS294" s="610"/>
      <c r="AT294" s="610"/>
      <c r="AU294" s="610"/>
      <c r="AV294" s="610"/>
      <c r="AW294" s="611"/>
      <c r="AX294" s="618"/>
      <c r="AY294" s="619"/>
      <c r="AZ294" s="619"/>
      <c r="BA294" s="619"/>
      <c r="BB294" s="619"/>
      <c r="BC294" s="619"/>
      <c r="BD294" s="619"/>
      <c r="BE294" s="619"/>
      <c r="BF294" s="619"/>
      <c r="BG294" s="619"/>
      <c r="BH294" s="619"/>
      <c r="BI294" s="619"/>
      <c r="BJ294" s="619"/>
      <c r="BK294" s="619"/>
      <c r="BL294" s="619"/>
      <c r="BM294" s="619"/>
      <c r="BN294" s="619"/>
      <c r="BO294" s="619"/>
      <c r="BP294" s="619"/>
      <c r="BQ294" s="619"/>
      <c r="BR294" s="619"/>
      <c r="BS294" s="619"/>
      <c r="BT294" s="619"/>
      <c r="BU294" s="619"/>
      <c r="BV294" s="619"/>
      <c r="BW294" s="619"/>
      <c r="BX294" s="619"/>
      <c r="BY294" s="619"/>
      <c r="BZ294" s="619"/>
      <c r="CA294" s="619"/>
      <c r="CB294" s="619"/>
      <c r="CC294" s="619"/>
      <c r="CD294" s="619"/>
      <c r="CE294" s="619"/>
      <c r="CF294" s="619"/>
      <c r="CG294" s="619"/>
      <c r="CH294" s="619"/>
      <c r="CI294" s="619"/>
      <c r="CJ294" s="619"/>
      <c r="CK294" s="619"/>
      <c r="CL294" s="619"/>
      <c r="CM294" s="619"/>
      <c r="CN294" s="619"/>
      <c r="CO294" s="619"/>
      <c r="CP294" s="619"/>
      <c r="CQ294" s="619"/>
      <c r="CR294" s="619"/>
      <c r="CS294" s="619"/>
      <c r="CT294" s="619"/>
      <c r="CU294" s="619"/>
      <c r="CV294" s="619"/>
      <c r="CW294" s="619"/>
      <c r="CX294" s="619"/>
      <c r="CY294" s="619"/>
      <c r="CZ294" s="619"/>
      <c r="DA294" s="619"/>
      <c r="DB294" s="619"/>
      <c r="DC294" s="619"/>
      <c r="DD294" s="619"/>
      <c r="DE294" s="619"/>
      <c r="DF294" s="619"/>
      <c r="DG294" s="619"/>
      <c r="DH294" s="619"/>
      <c r="DI294" s="619"/>
      <c r="DJ294" s="619"/>
      <c r="DK294" s="619"/>
      <c r="DL294" s="619"/>
      <c r="DM294" s="619"/>
      <c r="DN294" s="619"/>
      <c r="DO294" s="619"/>
      <c r="DP294" s="619"/>
      <c r="DQ294" s="620"/>
      <c r="DR294" s="229"/>
    </row>
    <row r="295" spans="1:122" ht="7.5" customHeight="1" x14ac:dyDescent="0.25">
      <c r="A295" s="119"/>
      <c r="B295" s="119"/>
      <c r="C295" s="119"/>
      <c r="D295" s="119"/>
      <c r="E295" s="119"/>
      <c r="F295" s="624" t="str">
        <f>G292</f>
        <v>Swift Reactions</v>
      </c>
      <c r="G295" s="624"/>
      <c r="H295" s="624"/>
      <c r="I295" s="624"/>
      <c r="J295" s="624"/>
      <c r="K295" s="625">
        <f>IF(A292&gt;0,Z292,0)</f>
        <v>0</v>
      </c>
      <c r="L295" s="625"/>
      <c r="M295" s="625"/>
      <c r="N295" s="626" t="b">
        <f>IF($G292&lt;&gt;"",VLOOKUP($G292,'Merit Data'!$A:$BW,MATCH('Merit Data'!$B$3,'Merit Data'!$3:$3,0),0),TRUE)</f>
        <v>0</v>
      </c>
      <c r="O295" s="626"/>
      <c r="P295" s="626"/>
      <c r="Q295" s="155"/>
      <c r="R295" s="140"/>
      <c r="S295" s="140"/>
      <c r="T295" s="140"/>
      <c r="U295" s="140"/>
      <c r="V295" s="238"/>
      <c r="W295" s="238"/>
      <c r="X295" s="627" t="str">
        <f>IF(F295&gt;0,HYPERLINK("http://wiki.project-saros.com/w/"&amp;F295,"Info"),"")</f>
        <v>Info</v>
      </c>
      <c r="Y295" s="628"/>
      <c r="Z295" s="604"/>
      <c r="AA295" s="604"/>
      <c r="AB295" s="604"/>
      <c r="AC295" s="604"/>
      <c r="AD295" s="604"/>
      <c r="AE295" s="604"/>
      <c r="AF295" s="604"/>
      <c r="AG295" s="605"/>
      <c r="AH295" s="612"/>
      <c r="AI295" s="613"/>
      <c r="AJ295" s="613"/>
      <c r="AK295" s="613"/>
      <c r="AL295" s="613"/>
      <c r="AM295" s="613"/>
      <c r="AN295" s="613"/>
      <c r="AO295" s="613"/>
      <c r="AP295" s="613"/>
      <c r="AQ295" s="613"/>
      <c r="AR295" s="613"/>
      <c r="AS295" s="613"/>
      <c r="AT295" s="613"/>
      <c r="AU295" s="613"/>
      <c r="AV295" s="613"/>
      <c r="AW295" s="614"/>
      <c r="AX295" s="621"/>
      <c r="AY295" s="622"/>
      <c r="AZ295" s="622"/>
      <c r="BA295" s="622"/>
      <c r="BB295" s="622"/>
      <c r="BC295" s="622"/>
      <c r="BD295" s="622"/>
      <c r="BE295" s="622"/>
      <c r="BF295" s="622"/>
      <c r="BG295" s="622"/>
      <c r="BH295" s="622"/>
      <c r="BI295" s="622"/>
      <c r="BJ295" s="622"/>
      <c r="BK295" s="622"/>
      <c r="BL295" s="622"/>
      <c r="BM295" s="622"/>
      <c r="BN295" s="622"/>
      <c r="BO295" s="622"/>
      <c r="BP295" s="622"/>
      <c r="BQ295" s="622"/>
      <c r="BR295" s="622"/>
      <c r="BS295" s="622"/>
      <c r="BT295" s="622"/>
      <c r="BU295" s="622"/>
      <c r="BV295" s="622"/>
      <c r="BW295" s="622"/>
      <c r="BX295" s="622"/>
      <c r="BY295" s="622"/>
      <c r="BZ295" s="622"/>
      <c r="CA295" s="622"/>
      <c r="CB295" s="622"/>
      <c r="CC295" s="622"/>
      <c r="CD295" s="622"/>
      <c r="CE295" s="622"/>
      <c r="CF295" s="622"/>
      <c r="CG295" s="622"/>
      <c r="CH295" s="622"/>
      <c r="CI295" s="622"/>
      <c r="CJ295" s="622"/>
      <c r="CK295" s="622"/>
      <c r="CL295" s="622"/>
      <c r="CM295" s="622"/>
      <c r="CN295" s="622"/>
      <c r="CO295" s="622"/>
      <c r="CP295" s="622"/>
      <c r="CQ295" s="622"/>
      <c r="CR295" s="622"/>
      <c r="CS295" s="622"/>
      <c r="CT295" s="622"/>
      <c r="CU295" s="622"/>
      <c r="CV295" s="622"/>
      <c r="CW295" s="622"/>
      <c r="CX295" s="622"/>
      <c r="CY295" s="622"/>
      <c r="CZ295" s="622"/>
      <c r="DA295" s="622"/>
      <c r="DB295" s="622"/>
      <c r="DC295" s="622"/>
      <c r="DD295" s="622"/>
      <c r="DE295" s="622"/>
      <c r="DF295" s="622"/>
      <c r="DG295" s="622"/>
      <c r="DH295" s="622"/>
      <c r="DI295" s="622"/>
      <c r="DJ295" s="622"/>
      <c r="DK295" s="622"/>
      <c r="DL295" s="622"/>
      <c r="DM295" s="622"/>
      <c r="DN295" s="622"/>
      <c r="DO295" s="622"/>
      <c r="DP295" s="622"/>
      <c r="DQ295" s="623"/>
      <c r="DR295" s="229"/>
    </row>
    <row r="296" spans="1:122" ht="7.5" customHeight="1" x14ac:dyDescent="0.25">
      <c r="A296" s="588"/>
      <c r="B296" s="589"/>
      <c r="C296" s="589"/>
      <c r="D296" s="589"/>
      <c r="E296" s="590"/>
      <c r="F296" s="152"/>
      <c r="G296" s="597" t="str">
        <f>INDEX('Merit Data'!A:A,ROW('Merit Data'!A30:A31)-COUNTA($G$272:G295)*2,COLUMN('Merit Data'!A30:A31))</f>
        <v>Rapid Reactions</v>
      </c>
      <c r="H296" s="597"/>
      <c r="I296" s="597"/>
      <c r="J296" s="597"/>
      <c r="K296" s="597"/>
      <c r="L296" s="597"/>
      <c r="M296" s="597"/>
      <c r="N296" s="597"/>
      <c r="O296" s="597"/>
      <c r="P296" s="597"/>
      <c r="Q296" s="597"/>
      <c r="R296" s="597"/>
      <c r="S296" s="597"/>
      <c r="T296" s="597"/>
      <c r="U296" s="597"/>
      <c r="V296" s="597"/>
      <c r="W296" s="597"/>
      <c r="X296" s="597"/>
      <c r="Y296" s="597"/>
      <c r="Z296" s="600">
        <f>VLOOKUP($G296,'Merit Data'!$A:$BW,MATCH('Merit Data'!$E$3,'Merit Data'!$3:$3,0),0)</f>
        <v>300</v>
      </c>
      <c r="AA296" s="600"/>
      <c r="AB296" s="600"/>
      <c r="AC296" s="600"/>
      <c r="AD296" s="600"/>
      <c r="AE296" s="600"/>
      <c r="AF296" s="600"/>
      <c r="AG296" s="601"/>
      <c r="AH296" s="606" t="str">
        <f ca="1">IF(NOT(ISERROR(VLOOKUP($G296,'Merit Data'!$A:$CE,MATCH('Merit Data'!$BX$3,'Merit Data'!$3:$3,0),0))),VLOOKUP($G296,'Merit Data'!$A:$CE,MATCH('Merit Data'!$BX$3,'Merit Data'!$3:$3,0),0),"")</f>
        <v>Swift Reactions</v>
      </c>
      <c r="AI296" s="607"/>
      <c r="AJ296" s="607"/>
      <c r="AK296" s="607"/>
      <c r="AL296" s="607"/>
      <c r="AM296" s="607"/>
      <c r="AN296" s="607"/>
      <c r="AO296" s="607"/>
      <c r="AP296" s="607"/>
      <c r="AQ296" s="607"/>
      <c r="AR296" s="607"/>
      <c r="AS296" s="607"/>
      <c r="AT296" s="607"/>
      <c r="AU296" s="607"/>
      <c r="AV296" s="607"/>
      <c r="AW296" s="608"/>
      <c r="AX296" s="615" t="str">
        <f>VLOOKUP($G296,'Merit Data'!$A:$BW,MATCH('Merit Data'!$F$3,'Merit Data'!$3:$3,0),0)</f>
        <v>You gain a +6 merit bonus to your initiative modifier</v>
      </c>
      <c r="AY296" s="616"/>
      <c r="AZ296" s="616"/>
      <c r="BA296" s="616"/>
      <c r="BB296" s="616"/>
      <c r="BC296" s="616"/>
      <c r="BD296" s="616"/>
      <c r="BE296" s="616"/>
      <c r="BF296" s="616"/>
      <c r="BG296" s="616"/>
      <c r="BH296" s="616"/>
      <c r="BI296" s="616"/>
      <c r="BJ296" s="616"/>
      <c r="BK296" s="616"/>
      <c r="BL296" s="616"/>
      <c r="BM296" s="616"/>
      <c r="BN296" s="616"/>
      <c r="BO296" s="616"/>
      <c r="BP296" s="616"/>
      <c r="BQ296" s="616"/>
      <c r="BR296" s="616"/>
      <c r="BS296" s="616"/>
      <c r="BT296" s="616"/>
      <c r="BU296" s="616"/>
      <c r="BV296" s="616"/>
      <c r="BW296" s="616"/>
      <c r="BX296" s="616"/>
      <c r="BY296" s="616"/>
      <c r="BZ296" s="616"/>
      <c r="CA296" s="616"/>
      <c r="CB296" s="616"/>
      <c r="CC296" s="616"/>
      <c r="CD296" s="616"/>
      <c r="CE296" s="616"/>
      <c r="CF296" s="616"/>
      <c r="CG296" s="616"/>
      <c r="CH296" s="616"/>
      <c r="CI296" s="616"/>
      <c r="CJ296" s="616"/>
      <c r="CK296" s="616"/>
      <c r="CL296" s="616"/>
      <c r="CM296" s="616"/>
      <c r="CN296" s="616"/>
      <c r="CO296" s="616"/>
      <c r="CP296" s="616"/>
      <c r="CQ296" s="616"/>
      <c r="CR296" s="616"/>
      <c r="CS296" s="616"/>
      <c r="CT296" s="616"/>
      <c r="CU296" s="616"/>
      <c r="CV296" s="616"/>
      <c r="CW296" s="616"/>
      <c r="CX296" s="616"/>
      <c r="CY296" s="616"/>
      <c r="CZ296" s="616"/>
      <c r="DA296" s="616"/>
      <c r="DB296" s="616"/>
      <c r="DC296" s="616"/>
      <c r="DD296" s="616"/>
      <c r="DE296" s="616"/>
      <c r="DF296" s="616"/>
      <c r="DG296" s="616"/>
      <c r="DH296" s="616"/>
      <c r="DI296" s="616"/>
      <c r="DJ296" s="616"/>
      <c r="DK296" s="616"/>
      <c r="DL296" s="616"/>
      <c r="DM296" s="616"/>
      <c r="DN296" s="616"/>
      <c r="DO296" s="616"/>
      <c r="DP296" s="616"/>
      <c r="DQ296" s="617"/>
      <c r="DR296" s="229"/>
    </row>
    <row r="297" spans="1:122" ht="7.5" customHeight="1" x14ac:dyDescent="0.25">
      <c r="A297" s="591"/>
      <c r="B297" s="592"/>
      <c r="C297" s="592"/>
      <c r="D297" s="592"/>
      <c r="E297" s="593"/>
      <c r="F297" s="153"/>
      <c r="G297" s="598"/>
      <c r="H297" s="598"/>
      <c r="I297" s="598"/>
      <c r="J297" s="598"/>
      <c r="K297" s="598"/>
      <c r="L297" s="598"/>
      <c r="M297" s="598"/>
      <c r="N297" s="598"/>
      <c r="O297" s="598"/>
      <c r="P297" s="598"/>
      <c r="Q297" s="598"/>
      <c r="R297" s="598"/>
      <c r="S297" s="598"/>
      <c r="T297" s="598"/>
      <c r="U297" s="598"/>
      <c r="V297" s="598"/>
      <c r="W297" s="598"/>
      <c r="X297" s="598"/>
      <c r="Y297" s="598"/>
      <c r="Z297" s="602"/>
      <c r="AA297" s="602"/>
      <c r="AB297" s="602"/>
      <c r="AC297" s="602"/>
      <c r="AD297" s="602"/>
      <c r="AE297" s="602"/>
      <c r="AF297" s="602"/>
      <c r="AG297" s="603"/>
      <c r="AH297" s="609"/>
      <c r="AI297" s="610"/>
      <c r="AJ297" s="610"/>
      <c r="AK297" s="610"/>
      <c r="AL297" s="610"/>
      <c r="AM297" s="610"/>
      <c r="AN297" s="610"/>
      <c r="AO297" s="610"/>
      <c r="AP297" s="610"/>
      <c r="AQ297" s="610"/>
      <c r="AR297" s="610"/>
      <c r="AS297" s="610"/>
      <c r="AT297" s="610"/>
      <c r="AU297" s="610"/>
      <c r="AV297" s="610"/>
      <c r="AW297" s="611"/>
      <c r="AX297" s="618"/>
      <c r="AY297" s="619"/>
      <c r="AZ297" s="619"/>
      <c r="BA297" s="619"/>
      <c r="BB297" s="619"/>
      <c r="BC297" s="619"/>
      <c r="BD297" s="619"/>
      <c r="BE297" s="619"/>
      <c r="BF297" s="619"/>
      <c r="BG297" s="619"/>
      <c r="BH297" s="619"/>
      <c r="BI297" s="619"/>
      <c r="BJ297" s="619"/>
      <c r="BK297" s="619"/>
      <c r="BL297" s="619"/>
      <c r="BM297" s="619"/>
      <c r="BN297" s="619"/>
      <c r="BO297" s="619"/>
      <c r="BP297" s="619"/>
      <c r="BQ297" s="619"/>
      <c r="BR297" s="619"/>
      <c r="BS297" s="619"/>
      <c r="BT297" s="619"/>
      <c r="BU297" s="619"/>
      <c r="BV297" s="619"/>
      <c r="BW297" s="619"/>
      <c r="BX297" s="619"/>
      <c r="BY297" s="619"/>
      <c r="BZ297" s="619"/>
      <c r="CA297" s="619"/>
      <c r="CB297" s="619"/>
      <c r="CC297" s="619"/>
      <c r="CD297" s="619"/>
      <c r="CE297" s="619"/>
      <c r="CF297" s="619"/>
      <c r="CG297" s="619"/>
      <c r="CH297" s="619"/>
      <c r="CI297" s="619"/>
      <c r="CJ297" s="619"/>
      <c r="CK297" s="619"/>
      <c r="CL297" s="619"/>
      <c r="CM297" s="619"/>
      <c r="CN297" s="619"/>
      <c r="CO297" s="619"/>
      <c r="CP297" s="619"/>
      <c r="CQ297" s="619"/>
      <c r="CR297" s="619"/>
      <c r="CS297" s="619"/>
      <c r="CT297" s="619"/>
      <c r="CU297" s="619"/>
      <c r="CV297" s="619"/>
      <c r="CW297" s="619"/>
      <c r="CX297" s="619"/>
      <c r="CY297" s="619"/>
      <c r="CZ297" s="619"/>
      <c r="DA297" s="619"/>
      <c r="DB297" s="619"/>
      <c r="DC297" s="619"/>
      <c r="DD297" s="619"/>
      <c r="DE297" s="619"/>
      <c r="DF297" s="619"/>
      <c r="DG297" s="619"/>
      <c r="DH297" s="619"/>
      <c r="DI297" s="619"/>
      <c r="DJ297" s="619"/>
      <c r="DK297" s="619"/>
      <c r="DL297" s="619"/>
      <c r="DM297" s="619"/>
      <c r="DN297" s="619"/>
      <c r="DO297" s="619"/>
      <c r="DP297" s="619"/>
      <c r="DQ297" s="620"/>
      <c r="DR297" s="229"/>
    </row>
    <row r="298" spans="1:122" ht="7.5" customHeight="1" x14ac:dyDescent="0.25">
      <c r="A298" s="594"/>
      <c r="B298" s="595"/>
      <c r="C298" s="595"/>
      <c r="D298" s="595"/>
      <c r="E298" s="596"/>
      <c r="F298" s="154"/>
      <c r="G298" s="599"/>
      <c r="H298" s="599"/>
      <c r="I298" s="599"/>
      <c r="J298" s="599"/>
      <c r="K298" s="599"/>
      <c r="L298" s="599"/>
      <c r="M298" s="599"/>
      <c r="N298" s="599"/>
      <c r="O298" s="599"/>
      <c r="P298" s="599"/>
      <c r="Q298" s="599"/>
      <c r="R298" s="599"/>
      <c r="S298" s="599"/>
      <c r="T298" s="599"/>
      <c r="U298" s="599"/>
      <c r="V298" s="599"/>
      <c r="W298" s="599"/>
      <c r="X298" s="599"/>
      <c r="Y298" s="599"/>
      <c r="Z298" s="602"/>
      <c r="AA298" s="602"/>
      <c r="AB298" s="602"/>
      <c r="AC298" s="602"/>
      <c r="AD298" s="602"/>
      <c r="AE298" s="602"/>
      <c r="AF298" s="602"/>
      <c r="AG298" s="603"/>
      <c r="AH298" s="609"/>
      <c r="AI298" s="610"/>
      <c r="AJ298" s="610"/>
      <c r="AK298" s="610"/>
      <c r="AL298" s="610"/>
      <c r="AM298" s="610"/>
      <c r="AN298" s="610"/>
      <c r="AO298" s="610"/>
      <c r="AP298" s="610"/>
      <c r="AQ298" s="610"/>
      <c r="AR298" s="610"/>
      <c r="AS298" s="610"/>
      <c r="AT298" s="610"/>
      <c r="AU298" s="610"/>
      <c r="AV298" s="610"/>
      <c r="AW298" s="611"/>
      <c r="AX298" s="618"/>
      <c r="AY298" s="619"/>
      <c r="AZ298" s="619"/>
      <c r="BA298" s="619"/>
      <c r="BB298" s="619"/>
      <c r="BC298" s="619"/>
      <c r="BD298" s="619"/>
      <c r="BE298" s="619"/>
      <c r="BF298" s="619"/>
      <c r="BG298" s="619"/>
      <c r="BH298" s="619"/>
      <c r="BI298" s="619"/>
      <c r="BJ298" s="619"/>
      <c r="BK298" s="619"/>
      <c r="BL298" s="619"/>
      <c r="BM298" s="619"/>
      <c r="BN298" s="619"/>
      <c r="BO298" s="619"/>
      <c r="BP298" s="619"/>
      <c r="BQ298" s="619"/>
      <c r="BR298" s="619"/>
      <c r="BS298" s="619"/>
      <c r="BT298" s="619"/>
      <c r="BU298" s="619"/>
      <c r="BV298" s="619"/>
      <c r="BW298" s="619"/>
      <c r="BX298" s="619"/>
      <c r="BY298" s="619"/>
      <c r="BZ298" s="619"/>
      <c r="CA298" s="619"/>
      <c r="CB298" s="619"/>
      <c r="CC298" s="619"/>
      <c r="CD298" s="619"/>
      <c r="CE298" s="619"/>
      <c r="CF298" s="619"/>
      <c r="CG298" s="619"/>
      <c r="CH298" s="619"/>
      <c r="CI298" s="619"/>
      <c r="CJ298" s="619"/>
      <c r="CK298" s="619"/>
      <c r="CL298" s="619"/>
      <c r="CM298" s="619"/>
      <c r="CN298" s="619"/>
      <c r="CO298" s="619"/>
      <c r="CP298" s="619"/>
      <c r="CQ298" s="619"/>
      <c r="CR298" s="619"/>
      <c r="CS298" s="619"/>
      <c r="CT298" s="619"/>
      <c r="CU298" s="619"/>
      <c r="CV298" s="619"/>
      <c r="CW298" s="619"/>
      <c r="CX298" s="619"/>
      <c r="CY298" s="619"/>
      <c r="CZ298" s="619"/>
      <c r="DA298" s="619"/>
      <c r="DB298" s="619"/>
      <c r="DC298" s="619"/>
      <c r="DD298" s="619"/>
      <c r="DE298" s="619"/>
      <c r="DF298" s="619"/>
      <c r="DG298" s="619"/>
      <c r="DH298" s="619"/>
      <c r="DI298" s="619"/>
      <c r="DJ298" s="619"/>
      <c r="DK298" s="619"/>
      <c r="DL298" s="619"/>
      <c r="DM298" s="619"/>
      <c r="DN298" s="619"/>
      <c r="DO298" s="619"/>
      <c r="DP298" s="619"/>
      <c r="DQ298" s="620"/>
      <c r="DR298" s="229"/>
    </row>
    <row r="299" spans="1:122" ht="7.5" customHeight="1" x14ac:dyDescent="0.25">
      <c r="A299" s="119"/>
      <c r="B299" s="119"/>
      <c r="C299" s="119"/>
      <c r="D299" s="119"/>
      <c r="E299" s="119"/>
      <c r="F299" s="624" t="str">
        <f>G296</f>
        <v>Rapid Reactions</v>
      </c>
      <c r="G299" s="624"/>
      <c r="H299" s="624"/>
      <c r="I299" s="624"/>
      <c r="J299" s="624"/>
      <c r="K299" s="625">
        <f>IF(A296&gt;0,Z296,0)</f>
        <v>0</v>
      </c>
      <c r="L299" s="625"/>
      <c r="M299" s="625"/>
      <c r="N299" s="626" t="b">
        <f>IF($G296&lt;&gt;"",VLOOKUP($G296,'Merit Data'!$A:$BW,MATCH('Merit Data'!$B$3,'Merit Data'!$3:$3,0),0),TRUE)</f>
        <v>0</v>
      </c>
      <c r="O299" s="626"/>
      <c r="P299" s="626"/>
      <c r="Q299" s="155"/>
      <c r="R299" s="140"/>
      <c r="S299" s="140"/>
      <c r="T299" s="140"/>
      <c r="U299" s="140"/>
      <c r="V299" s="238"/>
      <c r="W299" s="238"/>
      <c r="X299" s="627" t="str">
        <f>IF(F299&gt;0,HYPERLINK("http://wiki.project-saros.com/w/"&amp;F299,"Info"),"")</f>
        <v>Info</v>
      </c>
      <c r="Y299" s="628"/>
      <c r="Z299" s="604"/>
      <c r="AA299" s="604"/>
      <c r="AB299" s="604"/>
      <c r="AC299" s="604"/>
      <c r="AD299" s="604"/>
      <c r="AE299" s="604"/>
      <c r="AF299" s="604"/>
      <c r="AG299" s="605"/>
      <c r="AH299" s="612"/>
      <c r="AI299" s="613"/>
      <c r="AJ299" s="613"/>
      <c r="AK299" s="613"/>
      <c r="AL299" s="613"/>
      <c r="AM299" s="613"/>
      <c r="AN299" s="613"/>
      <c r="AO299" s="613"/>
      <c r="AP299" s="613"/>
      <c r="AQ299" s="613"/>
      <c r="AR299" s="613"/>
      <c r="AS299" s="613"/>
      <c r="AT299" s="613"/>
      <c r="AU299" s="613"/>
      <c r="AV299" s="613"/>
      <c r="AW299" s="614"/>
      <c r="AX299" s="621"/>
      <c r="AY299" s="622"/>
      <c r="AZ299" s="622"/>
      <c r="BA299" s="622"/>
      <c r="BB299" s="622"/>
      <c r="BC299" s="622"/>
      <c r="BD299" s="622"/>
      <c r="BE299" s="622"/>
      <c r="BF299" s="622"/>
      <c r="BG299" s="622"/>
      <c r="BH299" s="622"/>
      <c r="BI299" s="622"/>
      <c r="BJ299" s="622"/>
      <c r="BK299" s="622"/>
      <c r="BL299" s="622"/>
      <c r="BM299" s="622"/>
      <c r="BN299" s="622"/>
      <c r="BO299" s="622"/>
      <c r="BP299" s="622"/>
      <c r="BQ299" s="622"/>
      <c r="BR299" s="622"/>
      <c r="BS299" s="622"/>
      <c r="BT299" s="622"/>
      <c r="BU299" s="622"/>
      <c r="BV299" s="622"/>
      <c r="BW299" s="622"/>
      <c r="BX299" s="622"/>
      <c r="BY299" s="622"/>
      <c r="BZ299" s="622"/>
      <c r="CA299" s="622"/>
      <c r="CB299" s="622"/>
      <c r="CC299" s="622"/>
      <c r="CD299" s="622"/>
      <c r="CE299" s="622"/>
      <c r="CF299" s="622"/>
      <c r="CG299" s="622"/>
      <c r="CH299" s="622"/>
      <c r="CI299" s="622"/>
      <c r="CJ299" s="622"/>
      <c r="CK299" s="622"/>
      <c r="CL299" s="622"/>
      <c r="CM299" s="622"/>
      <c r="CN299" s="622"/>
      <c r="CO299" s="622"/>
      <c r="CP299" s="622"/>
      <c r="CQ299" s="622"/>
      <c r="CR299" s="622"/>
      <c r="CS299" s="622"/>
      <c r="CT299" s="622"/>
      <c r="CU299" s="622"/>
      <c r="CV299" s="622"/>
      <c r="CW299" s="622"/>
      <c r="CX299" s="622"/>
      <c r="CY299" s="622"/>
      <c r="CZ299" s="622"/>
      <c r="DA299" s="622"/>
      <c r="DB299" s="622"/>
      <c r="DC299" s="622"/>
      <c r="DD299" s="622"/>
      <c r="DE299" s="622"/>
      <c r="DF299" s="622"/>
      <c r="DG299" s="622"/>
      <c r="DH299" s="622"/>
      <c r="DI299" s="622"/>
      <c r="DJ299" s="622"/>
      <c r="DK299" s="622"/>
      <c r="DL299" s="622"/>
      <c r="DM299" s="622"/>
      <c r="DN299" s="622"/>
      <c r="DO299" s="622"/>
      <c r="DP299" s="622"/>
      <c r="DQ299" s="623"/>
      <c r="DR299" s="229"/>
    </row>
    <row r="300" spans="1:122" ht="7.5" customHeight="1" x14ac:dyDescent="0.25">
      <c r="A300" s="588"/>
      <c r="B300" s="589"/>
      <c r="C300" s="589"/>
      <c r="D300" s="589"/>
      <c r="E300" s="590"/>
      <c r="F300" s="152"/>
      <c r="G300" s="597" t="str">
        <f>INDEX('Merit Data'!A:A,ROW('Merit Data'!A34:A35)-COUNTA($G$272:G299)*2,COLUMN('Merit Data'!A34:A35))</f>
        <v>Expeditious Reactions</v>
      </c>
      <c r="H300" s="597"/>
      <c r="I300" s="597"/>
      <c r="J300" s="597"/>
      <c r="K300" s="597"/>
      <c r="L300" s="597"/>
      <c r="M300" s="597"/>
      <c r="N300" s="597"/>
      <c r="O300" s="597"/>
      <c r="P300" s="597"/>
      <c r="Q300" s="597"/>
      <c r="R300" s="597"/>
      <c r="S300" s="597"/>
      <c r="T300" s="597"/>
      <c r="U300" s="597"/>
      <c r="V300" s="597"/>
      <c r="W300" s="597"/>
      <c r="X300" s="597"/>
      <c r="Y300" s="597"/>
      <c r="Z300" s="600">
        <f>VLOOKUP($G300,'Merit Data'!$A:$BW,MATCH('Merit Data'!$E$3,'Merit Data'!$3:$3,0),0)</f>
        <v>400</v>
      </c>
      <c r="AA300" s="600"/>
      <c r="AB300" s="600"/>
      <c r="AC300" s="600"/>
      <c r="AD300" s="600"/>
      <c r="AE300" s="600"/>
      <c r="AF300" s="600"/>
      <c r="AG300" s="601"/>
      <c r="AH300" s="606" t="str">
        <f ca="1">IF(NOT(ISERROR(VLOOKUP($G300,'Merit Data'!$A:$CE,MATCH('Merit Data'!$BX$3,'Merit Data'!$3:$3,0),0))),VLOOKUP($G300,'Merit Data'!$A:$CE,MATCH('Merit Data'!$BX$3,'Merit Data'!$3:$3,0),0),"")</f>
        <v>Rapid Reactions</v>
      </c>
      <c r="AI300" s="607"/>
      <c r="AJ300" s="607"/>
      <c r="AK300" s="607"/>
      <c r="AL300" s="607"/>
      <c r="AM300" s="607"/>
      <c r="AN300" s="607"/>
      <c r="AO300" s="607"/>
      <c r="AP300" s="607"/>
      <c r="AQ300" s="607"/>
      <c r="AR300" s="607"/>
      <c r="AS300" s="607"/>
      <c r="AT300" s="607"/>
      <c r="AU300" s="607"/>
      <c r="AV300" s="607"/>
      <c r="AW300" s="608"/>
      <c r="AX300" s="615" t="str">
        <f>VLOOKUP($G300,'Merit Data'!$A:$BW,MATCH('Merit Data'!$F$3,'Merit Data'!$3:$3,0),0)</f>
        <v>You gain a +8 merit bonus to your initiative modifier</v>
      </c>
      <c r="AY300" s="616"/>
      <c r="AZ300" s="616"/>
      <c r="BA300" s="616"/>
      <c r="BB300" s="616"/>
      <c r="BC300" s="616"/>
      <c r="BD300" s="616"/>
      <c r="BE300" s="616"/>
      <c r="BF300" s="616"/>
      <c r="BG300" s="616"/>
      <c r="BH300" s="616"/>
      <c r="BI300" s="616"/>
      <c r="BJ300" s="616"/>
      <c r="BK300" s="616"/>
      <c r="BL300" s="616"/>
      <c r="BM300" s="616"/>
      <c r="BN300" s="616"/>
      <c r="BO300" s="616"/>
      <c r="BP300" s="616"/>
      <c r="BQ300" s="616"/>
      <c r="BR300" s="616"/>
      <c r="BS300" s="616"/>
      <c r="BT300" s="616"/>
      <c r="BU300" s="616"/>
      <c r="BV300" s="616"/>
      <c r="BW300" s="616"/>
      <c r="BX300" s="616"/>
      <c r="BY300" s="616"/>
      <c r="BZ300" s="616"/>
      <c r="CA300" s="616"/>
      <c r="CB300" s="616"/>
      <c r="CC300" s="616"/>
      <c r="CD300" s="616"/>
      <c r="CE300" s="616"/>
      <c r="CF300" s="616"/>
      <c r="CG300" s="616"/>
      <c r="CH300" s="616"/>
      <c r="CI300" s="616"/>
      <c r="CJ300" s="616"/>
      <c r="CK300" s="616"/>
      <c r="CL300" s="616"/>
      <c r="CM300" s="616"/>
      <c r="CN300" s="616"/>
      <c r="CO300" s="616"/>
      <c r="CP300" s="616"/>
      <c r="CQ300" s="616"/>
      <c r="CR300" s="616"/>
      <c r="CS300" s="616"/>
      <c r="CT300" s="616"/>
      <c r="CU300" s="616"/>
      <c r="CV300" s="616"/>
      <c r="CW300" s="616"/>
      <c r="CX300" s="616"/>
      <c r="CY300" s="616"/>
      <c r="CZ300" s="616"/>
      <c r="DA300" s="616"/>
      <c r="DB300" s="616"/>
      <c r="DC300" s="616"/>
      <c r="DD300" s="616"/>
      <c r="DE300" s="616"/>
      <c r="DF300" s="616"/>
      <c r="DG300" s="616"/>
      <c r="DH300" s="616"/>
      <c r="DI300" s="616"/>
      <c r="DJ300" s="616"/>
      <c r="DK300" s="616"/>
      <c r="DL300" s="616"/>
      <c r="DM300" s="616"/>
      <c r="DN300" s="616"/>
      <c r="DO300" s="616"/>
      <c r="DP300" s="616"/>
      <c r="DQ300" s="617"/>
      <c r="DR300" s="229"/>
    </row>
    <row r="301" spans="1:122" ht="7.5" customHeight="1" x14ac:dyDescent="0.25">
      <c r="A301" s="591"/>
      <c r="B301" s="592"/>
      <c r="C301" s="592"/>
      <c r="D301" s="592"/>
      <c r="E301" s="593"/>
      <c r="F301" s="153"/>
      <c r="G301" s="598"/>
      <c r="H301" s="598"/>
      <c r="I301" s="598"/>
      <c r="J301" s="598"/>
      <c r="K301" s="598"/>
      <c r="L301" s="598"/>
      <c r="M301" s="598"/>
      <c r="N301" s="598"/>
      <c r="O301" s="598"/>
      <c r="P301" s="598"/>
      <c r="Q301" s="598"/>
      <c r="R301" s="598"/>
      <c r="S301" s="598"/>
      <c r="T301" s="598"/>
      <c r="U301" s="598"/>
      <c r="V301" s="598"/>
      <c r="W301" s="598"/>
      <c r="X301" s="598"/>
      <c r="Y301" s="598"/>
      <c r="Z301" s="602"/>
      <c r="AA301" s="602"/>
      <c r="AB301" s="602"/>
      <c r="AC301" s="602"/>
      <c r="AD301" s="602"/>
      <c r="AE301" s="602"/>
      <c r="AF301" s="602"/>
      <c r="AG301" s="603"/>
      <c r="AH301" s="609"/>
      <c r="AI301" s="610"/>
      <c r="AJ301" s="610"/>
      <c r="AK301" s="610"/>
      <c r="AL301" s="610"/>
      <c r="AM301" s="610"/>
      <c r="AN301" s="610"/>
      <c r="AO301" s="610"/>
      <c r="AP301" s="610"/>
      <c r="AQ301" s="610"/>
      <c r="AR301" s="610"/>
      <c r="AS301" s="610"/>
      <c r="AT301" s="610"/>
      <c r="AU301" s="610"/>
      <c r="AV301" s="610"/>
      <c r="AW301" s="611"/>
      <c r="AX301" s="618"/>
      <c r="AY301" s="619"/>
      <c r="AZ301" s="619"/>
      <c r="BA301" s="619"/>
      <c r="BB301" s="619"/>
      <c r="BC301" s="619"/>
      <c r="BD301" s="619"/>
      <c r="BE301" s="619"/>
      <c r="BF301" s="619"/>
      <c r="BG301" s="619"/>
      <c r="BH301" s="619"/>
      <c r="BI301" s="619"/>
      <c r="BJ301" s="619"/>
      <c r="BK301" s="619"/>
      <c r="BL301" s="619"/>
      <c r="BM301" s="619"/>
      <c r="BN301" s="619"/>
      <c r="BO301" s="619"/>
      <c r="BP301" s="619"/>
      <c r="BQ301" s="619"/>
      <c r="BR301" s="619"/>
      <c r="BS301" s="619"/>
      <c r="BT301" s="619"/>
      <c r="BU301" s="619"/>
      <c r="BV301" s="619"/>
      <c r="BW301" s="619"/>
      <c r="BX301" s="619"/>
      <c r="BY301" s="619"/>
      <c r="BZ301" s="619"/>
      <c r="CA301" s="619"/>
      <c r="CB301" s="619"/>
      <c r="CC301" s="619"/>
      <c r="CD301" s="619"/>
      <c r="CE301" s="619"/>
      <c r="CF301" s="619"/>
      <c r="CG301" s="619"/>
      <c r="CH301" s="619"/>
      <c r="CI301" s="619"/>
      <c r="CJ301" s="619"/>
      <c r="CK301" s="619"/>
      <c r="CL301" s="619"/>
      <c r="CM301" s="619"/>
      <c r="CN301" s="619"/>
      <c r="CO301" s="619"/>
      <c r="CP301" s="619"/>
      <c r="CQ301" s="619"/>
      <c r="CR301" s="619"/>
      <c r="CS301" s="619"/>
      <c r="CT301" s="619"/>
      <c r="CU301" s="619"/>
      <c r="CV301" s="619"/>
      <c r="CW301" s="619"/>
      <c r="CX301" s="619"/>
      <c r="CY301" s="619"/>
      <c r="CZ301" s="619"/>
      <c r="DA301" s="619"/>
      <c r="DB301" s="619"/>
      <c r="DC301" s="619"/>
      <c r="DD301" s="619"/>
      <c r="DE301" s="619"/>
      <c r="DF301" s="619"/>
      <c r="DG301" s="619"/>
      <c r="DH301" s="619"/>
      <c r="DI301" s="619"/>
      <c r="DJ301" s="619"/>
      <c r="DK301" s="619"/>
      <c r="DL301" s="619"/>
      <c r="DM301" s="619"/>
      <c r="DN301" s="619"/>
      <c r="DO301" s="619"/>
      <c r="DP301" s="619"/>
      <c r="DQ301" s="620"/>
      <c r="DR301" s="229"/>
    </row>
    <row r="302" spans="1:122" ht="7.5" customHeight="1" x14ac:dyDescent="0.25">
      <c r="A302" s="594"/>
      <c r="B302" s="595"/>
      <c r="C302" s="595"/>
      <c r="D302" s="595"/>
      <c r="E302" s="596"/>
      <c r="F302" s="154"/>
      <c r="G302" s="599"/>
      <c r="H302" s="599"/>
      <c r="I302" s="599"/>
      <c r="J302" s="599"/>
      <c r="K302" s="599"/>
      <c r="L302" s="599"/>
      <c r="M302" s="599"/>
      <c r="N302" s="599"/>
      <c r="O302" s="599"/>
      <c r="P302" s="599"/>
      <c r="Q302" s="599"/>
      <c r="R302" s="599"/>
      <c r="S302" s="599"/>
      <c r="T302" s="599"/>
      <c r="U302" s="599"/>
      <c r="V302" s="599"/>
      <c r="W302" s="599"/>
      <c r="X302" s="599"/>
      <c r="Y302" s="599"/>
      <c r="Z302" s="602"/>
      <c r="AA302" s="602"/>
      <c r="AB302" s="602"/>
      <c r="AC302" s="602"/>
      <c r="AD302" s="602"/>
      <c r="AE302" s="602"/>
      <c r="AF302" s="602"/>
      <c r="AG302" s="603"/>
      <c r="AH302" s="609"/>
      <c r="AI302" s="610"/>
      <c r="AJ302" s="610"/>
      <c r="AK302" s="610"/>
      <c r="AL302" s="610"/>
      <c r="AM302" s="610"/>
      <c r="AN302" s="610"/>
      <c r="AO302" s="610"/>
      <c r="AP302" s="610"/>
      <c r="AQ302" s="610"/>
      <c r="AR302" s="610"/>
      <c r="AS302" s="610"/>
      <c r="AT302" s="610"/>
      <c r="AU302" s="610"/>
      <c r="AV302" s="610"/>
      <c r="AW302" s="611"/>
      <c r="AX302" s="618"/>
      <c r="AY302" s="619"/>
      <c r="AZ302" s="619"/>
      <c r="BA302" s="619"/>
      <c r="BB302" s="619"/>
      <c r="BC302" s="619"/>
      <c r="BD302" s="619"/>
      <c r="BE302" s="619"/>
      <c r="BF302" s="619"/>
      <c r="BG302" s="619"/>
      <c r="BH302" s="619"/>
      <c r="BI302" s="619"/>
      <c r="BJ302" s="619"/>
      <c r="BK302" s="619"/>
      <c r="BL302" s="619"/>
      <c r="BM302" s="619"/>
      <c r="BN302" s="619"/>
      <c r="BO302" s="619"/>
      <c r="BP302" s="619"/>
      <c r="BQ302" s="619"/>
      <c r="BR302" s="619"/>
      <c r="BS302" s="619"/>
      <c r="BT302" s="619"/>
      <c r="BU302" s="619"/>
      <c r="BV302" s="619"/>
      <c r="BW302" s="619"/>
      <c r="BX302" s="619"/>
      <c r="BY302" s="619"/>
      <c r="BZ302" s="619"/>
      <c r="CA302" s="619"/>
      <c r="CB302" s="619"/>
      <c r="CC302" s="619"/>
      <c r="CD302" s="619"/>
      <c r="CE302" s="619"/>
      <c r="CF302" s="619"/>
      <c r="CG302" s="619"/>
      <c r="CH302" s="619"/>
      <c r="CI302" s="619"/>
      <c r="CJ302" s="619"/>
      <c r="CK302" s="619"/>
      <c r="CL302" s="619"/>
      <c r="CM302" s="619"/>
      <c r="CN302" s="619"/>
      <c r="CO302" s="619"/>
      <c r="CP302" s="619"/>
      <c r="CQ302" s="619"/>
      <c r="CR302" s="619"/>
      <c r="CS302" s="619"/>
      <c r="CT302" s="619"/>
      <c r="CU302" s="619"/>
      <c r="CV302" s="619"/>
      <c r="CW302" s="619"/>
      <c r="CX302" s="619"/>
      <c r="CY302" s="619"/>
      <c r="CZ302" s="619"/>
      <c r="DA302" s="619"/>
      <c r="DB302" s="619"/>
      <c r="DC302" s="619"/>
      <c r="DD302" s="619"/>
      <c r="DE302" s="619"/>
      <c r="DF302" s="619"/>
      <c r="DG302" s="619"/>
      <c r="DH302" s="619"/>
      <c r="DI302" s="619"/>
      <c r="DJ302" s="619"/>
      <c r="DK302" s="619"/>
      <c r="DL302" s="619"/>
      <c r="DM302" s="619"/>
      <c r="DN302" s="619"/>
      <c r="DO302" s="619"/>
      <c r="DP302" s="619"/>
      <c r="DQ302" s="620"/>
      <c r="DR302" s="229"/>
    </row>
    <row r="303" spans="1:122" ht="7.5" customHeight="1" x14ac:dyDescent="0.25">
      <c r="A303" s="119"/>
      <c r="B303" s="119"/>
      <c r="C303" s="119"/>
      <c r="D303" s="119"/>
      <c r="E303" s="119"/>
      <c r="F303" s="624" t="str">
        <f>G300</f>
        <v>Expeditious Reactions</v>
      </c>
      <c r="G303" s="624"/>
      <c r="H303" s="624"/>
      <c r="I303" s="624"/>
      <c r="J303" s="624"/>
      <c r="K303" s="625">
        <f>IF(A300&gt;0,Z300,0)</f>
        <v>0</v>
      </c>
      <c r="L303" s="625"/>
      <c r="M303" s="625"/>
      <c r="N303" s="626" t="b">
        <f>IF($G300&lt;&gt;"",VLOOKUP($G300,'Merit Data'!$A:$BW,MATCH('Merit Data'!$B$3,'Merit Data'!$3:$3,0),0),TRUE)</f>
        <v>0</v>
      </c>
      <c r="O303" s="626"/>
      <c r="P303" s="626"/>
      <c r="Q303" s="155"/>
      <c r="R303" s="140"/>
      <c r="S303" s="140"/>
      <c r="T303" s="140"/>
      <c r="U303" s="140"/>
      <c r="V303" s="238"/>
      <c r="W303" s="238"/>
      <c r="X303" s="627" t="str">
        <f>IF(F303&gt;0,HYPERLINK("http://wiki.project-saros.com/w/"&amp;F303,"Info"),"")</f>
        <v>Info</v>
      </c>
      <c r="Y303" s="628"/>
      <c r="Z303" s="604"/>
      <c r="AA303" s="604"/>
      <c r="AB303" s="604"/>
      <c r="AC303" s="604"/>
      <c r="AD303" s="604"/>
      <c r="AE303" s="604"/>
      <c r="AF303" s="604"/>
      <c r="AG303" s="605"/>
      <c r="AH303" s="612"/>
      <c r="AI303" s="613"/>
      <c r="AJ303" s="613"/>
      <c r="AK303" s="613"/>
      <c r="AL303" s="613"/>
      <c r="AM303" s="613"/>
      <c r="AN303" s="613"/>
      <c r="AO303" s="613"/>
      <c r="AP303" s="613"/>
      <c r="AQ303" s="613"/>
      <c r="AR303" s="613"/>
      <c r="AS303" s="613"/>
      <c r="AT303" s="613"/>
      <c r="AU303" s="613"/>
      <c r="AV303" s="613"/>
      <c r="AW303" s="614"/>
      <c r="AX303" s="621"/>
      <c r="AY303" s="622"/>
      <c r="AZ303" s="622"/>
      <c r="BA303" s="622"/>
      <c r="BB303" s="622"/>
      <c r="BC303" s="622"/>
      <c r="BD303" s="622"/>
      <c r="BE303" s="622"/>
      <c r="BF303" s="622"/>
      <c r="BG303" s="622"/>
      <c r="BH303" s="622"/>
      <c r="BI303" s="622"/>
      <c r="BJ303" s="622"/>
      <c r="BK303" s="622"/>
      <c r="BL303" s="622"/>
      <c r="BM303" s="622"/>
      <c r="BN303" s="622"/>
      <c r="BO303" s="622"/>
      <c r="BP303" s="622"/>
      <c r="BQ303" s="622"/>
      <c r="BR303" s="622"/>
      <c r="BS303" s="622"/>
      <c r="BT303" s="622"/>
      <c r="BU303" s="622"/>
      <c r="BV303" s="622"/>
      <c r="BW303" s="622"/>
      <c r="BX303" s="622"/>
      <c r="BY303" s="622"/>
      <c r="BZ303" s="622"/>
      <c r="CA303" s="622"/>
      <c r="CB303" s="622"/>
      <c r="CC303" s="622"/>
      <c r="CD303" s="622"/>
      <c r="CE303" s="622"/>
      <c r="CF303" s="622"/>
      <c r="CG303" s="622"/>
      <c r="CH303" s="622"/>
      <c r="CI303" s="622"/>
      <c r="CJ303" s="622"/>
      <c r="CK303" s="622"/>
      <c r="CL303" s="622"/>
      <c r="CM303" s="622"/>
      <c r="CN303" s="622"/>
      <c r="CO303" s="622"/>
      <c r="CP303" s="622"/>
      <c r="CQ303" s="622"/>
      <c r="CR303" s="622"/>
      <c r="CS303" s="622"/>
      <c r="CT303" s="622"/>
      <c r="CU303" s="622"/>
      <c r="CV303" s="622"/>
      <c r="CW303" s="622"/>
      <c r="CX303" s="622"/>
      <c r="CY303" s="622"/>
      <c r="CZ303" s="622"/>
      <c r="DA303" s="622"/>
      <c r="DB303" s="622"/>
      <c r="DC303" s="622"/>
      <c r="DD303" s="622"/>
      <c r="DE303" s="622"/>
      <c r="DF303" s="622"/>
      <c r="DG303" s="622"/>
      <c r="DH303" s="622"/>
      <c r="DI303" s="622"/>
      <c r="DJ303" s="622"/>
      <c r="DK303" s="622"/>
      <c r="DL303" s="622"/>
      <c r="DM303" s="622"/>
      <c r="DN303" s="622"/>
      <c r="DO303" s="622"/>
      <c r="DP303" s="622"/>
      <c r="DQ303" s="623"/>
      <c r="DR303" s="229"/>
    </row>
    <row r="304" spans="1:122" ht="7.5" customHeight="1" x14ac:dyDescent="0.25">
      <c r="A304" s="588"/>
      <c r="B304" s="589"/>
      <c r="C304" s="589"/>
      <c r="D304" s="589"/>
      <c r="E304" s="590"/>
      <c r="F304" s="152"/>
      <c r="G304" s="597" t="str">
        <f>INDEX('Merit Data'!A:A,ROW('Merit Data'!A38:A39)-COUNTA($G$272:G303)*2,COLUMN('Merit Data'!A38:A39))</f>
        <v>Rush</v>
      </c>
      <c r="H304" s="597"/>
      <c r="I304" s="597"/>
      <c r="J304" s="597"/>
      <c r="K304" s="597"/>
      <c r="L304" s="597"/>
      <c r="M304" s="597"/>
      <c r="N304" s="597"/>
      <c r="O304" s="597"/>
      <c r="P304" s="597"/>
      <c r="Q304" s="597"/>
      <c r="R304" s="597"/>
      <c r="S304" s="597"/>
      <c r="T304" s="597"/>
      <c r="U304" s="597"/>
      <c r="V304" s="597"/>
      <c r="W304" s="597"/>
      <c r="X304" s="597"/>
      <c r="Y304" s="597"/>
      <c r="Z304" s="600">
        <f>VLOOKUP($G304,'Merit Data'!$A:$BW,MATCH('Merit Data'!$E$3,'Merit Data'!$3:$3,0),0)</f>
        <v>400</v>
      </c>
      <c r="AA304" s="600"/>
      <c r="AB304" s="600"/>
      <c r="AC304" s="600"/>
      <c r="AD304" s="600"/>
      <c r="AE304" s="600"/>
      <c r="AF304" s="600"/>
      <c r="AG304" s="601"/>
      <c r="AH304" s="606" t="str">
        <f ca="1">IF(NOT(ISERROR(VLOOKUP($G304,'Merit Data'!$A:$CE,MATCH('Merit Data'!$BX$3,'Merit Data'!$3:$3,0),0))),VLOOKUP($G304,'Merit Data'!$A:$CE,MATCH('Merit Data'!$BX$3,'Merit Data'!$3:$3,0),0),"")</f>
        <v>Swift Reactions</v>
      </c>
      <c r="AI304" s="607"/>
      <c r="AJ304" s="607"/>
      <c r="AK304" s="607"/>
      <c r="AL304" s="607"/>
      <c r="AM304" s="607"/>
      <c r="AN304" s="607"/>
      <c r="AO304" s="607"/>
      <c r="AP304" s="607"/>
      <c r="AQ304" s="607"/>
      <c r="AR304" s="607"/>
      <c r="AS304" s="607"/>
      <c r="AT304" s="607"/>
      <c r="AU304" s="607"/>
      <c r="AV304" s="607"/>
      <c r="AW304" s="608"/>
      <c r="AX304" s="615" t="str">
        <f>VLOOKUP($G304,'Merit Data'!$A:$BW,MATCH('Merit Data'!$F$3,'Merit Data'!$3:$3,0),0)</f>
        <v>1 TP: You gain 3 Action Points.  You can use this up to three times per encounter, but only at the start of your turn.</v>
      </c>
      <c r="AY304" s="616"/>
      <c r="AZ304" s="616"/>
      <c r="BA304" s="616"/>
      <c r="BB304" s="616"/>
      <c r="BC304" s="616"/>
      <c r="BD304" s="616"/>
      <c r="BE304" s="616"/>
      <c r="BF304" s="616"/>
      <c r="BG304" s="616"/>
      <c r="BH304" s="616"/>
      <c r="BI304" s="616"/>
      <c r="BJ304" s="616"/>
      <c r="BK304" s="616"/>
      <c r="BL304" s="616"/>
      <c r="BM304" s="616"/>
      <c r="BN304" s="616"/>
      <c r="BO304" s="616"/>
      <c r="BP304" s="616"/>
      <c r="BQ304" s="616"/>
      <c r="BR304" s="616"/>
      <c r="BS304" s="616"/>
      <c r="BT304" s="616"/>
      <c r="BU304" s="616"/>
      <c r="BV304" s="616"/>
      <c r="BW304" s="616"/>
      <c r="BX304" s="616"/>
      <c r="BY304" s="616"/>
      <c r="BZ304" s="616"/>
      <c r="CA304" s="616"/>
      <c r="CB304" s="616"/>
      <c r="CC304" s="616"/>
      <c r="CD304" s="616"/>
      <c r="CE304" s="616"/>
      <c r="CF304" s="616"/>
      <c r="CG304" s="616"/>
      <c r="CH304" s="616"/>
      <c r="CI304" s="616"/>
      <c r="CJ304" s="616"/>
      <c r="CK304" s="616"/>
      <c r="CL304" s="616"/>
      <c r="CM304" s="616"/>
      <c r="CN304" s="616"/>
      <c r="CO304" s="616"/>
      <c r="CP304" s="616"/>
      <c r="CQ304" s="616"/>
      <c r="CR304" s="616"/>
      <c r="CS304" s="616"/>
      <c r="CT304" s="616"/>
      <c r="CU304" s="616"/>
      <c r="CV304" s="616"/>
      <c r="CW304" s="616"/>
      <c r="CX304" s="616"/>
      <c r="CY304" s="616"/>
      <c r="CZ304" s="616"/>
      <c r="DA304" s="616"/>
      <c r="DB304" s="616"/>
      <c r="DC304" s="616"/>
      <c r="DD304" s="616"/>
      <c r="DE304" s="616"/>
      <c r="DF304" s="616"/>
      <c r="DG304" s="616"/>
      <c r="DH304" s="616"/>
      <c r="DI304" s="616"/>
      <c r="DJ304" s="616"/>
      <c r="DK304" s="616"/>
      <c r="DL304" s="616"/>
      <c r="DM304" s="616"/>
      <c r="DN304" s="616"/>
      <c r="DO304" s="616"/>
      <c r="DP304" s="616"/>
      <c r="DQ304" s="617"/>
      <c r="DR304" s="229"/>
    </row>
    <row r="305" spans="1:122" ht="7.5" customHeight="1" x14ac:dyDescent="0.25">
      <c r="A305" s="591"/>
      <c r="B305" s="592"/>
      <c r="C305" s="592"/>
      <c r="D305" s="592"/>
      <c r="E305" s="593"/>
      <c r="F305" s="153"/>
      <c r="G305" s="598"/>
      <c r="H305" s="598"/>
      <c r="I305" s="598"/>
      <c r="J305" s="598"/>
      <c r="K305" s="598"/>
      <c r="L305" s="598"/>
      <c r="M305" s="598"/>
      <c r="N305" s="598"/>
      <c r="O305" s="598"/>
      <c r="P305" s="598"/>
      <c r="Q305" s="598"/>
      <c r="R305" s="598"/>
      <c r="S305" s="598"/>
      <c r="T305" s="598"/>
      <c r="U305" s="598"/>
      <c r="V305" s="598"/>
      <c r="W305" s="598"/>
      <c r="X305" s="598"/>
      <c r="Y305" s="598"/>
      <c r="Z305" s="602"/>
      <c r="AA305" s="602"/>
      <c r="AB305" s="602"/>
      <c r="AC305" s="602"/>
      <c r="AD305" s="602"/>
      <c r="AE305" s="602"/>
      <c r="AF305" s="602"/>
      <c r="AG305" s="603"/>
      <c r="AH305" s="609"/>
      <c r="AI305" s="610"/>
      <c r="AJ305" s="610"/>
      <c r="AK305" s="610"/>
      <c r="AL305" s="610"/>
      <c r="AM305" s="610"/>
      <c r="AN305" s="610"/>
      <c r="AO305" s="610"/>
      <c r="AP305" s="610"/>
      <c r="AQ305" s="610"/>
      <c r="AR305" s="610"/>
      <c r="AS305" s="610"/>
      <c r="AT305" s="610"/>
      <c r="AU305" s="610"/>
      <c r="AV305" s="610"/>
      <c r="AW305" s="611"/>
      <c r="AX305" s="618"/>
      <c r="AY305" s="619"/>
      <c r="AZ305" s="619"/>
      <c r="BA305" s="619"/>
      <c r="BB305" s="619"/>
      <c r="BC305" s="619"/>
      <c r="BD305" s="619"/>
      <c r="BE305" s="619"/>
      <c r="BF305" s="619"/>
      <c r="BG305" s="619"/>
      <c r="BH305" s="619"/>
      <c r="BI305" s="619"/>
      <c r="BJ305" s="619"/>
      <c r="BK305" s="619"/>
      <c r="BL305" s="619"/>
      <c r="BM305" s="619"/>
      <c r="BN305" s="619"/>
      <c r="BO305" s="619"/>
      <c r="BP305" s="619"/>
      <c r="BQ305" s="619"/>
      <c r="BR305" s="619"/>
      <c r="BS305" s="619"/>
      <c r="BT305" s="619"/>
      <c r="BU305" s="619"/>
      <c r="BV305" s="619"/>
      <c r="BW305" s="619"/>
      <c r="BX305" s="619"/>
      <c r="BY305" s="619"/>
      <c r="BZ305" s="619"/>
      <c r="CA305" s="619"/>
      <c r="CB305" s="619"/>
      <c r="CC305" s="619"/>
      <c r="CD305" s="619"/>
      <c r="CE305" s="619"/>
      <c r="CF305" s="619"/>
      <c r="CG305" s="619"/>
      <c r="CH305" s="619"/>
      <c r="CI305" s="619"/>
      <c r="CJ305" s="619"/>
      <c r="CK305" s="619"/>
      <c r="CL305" s="619"/>
      <c r="CM305" s="619"/>
      <c r="CN305" s="619"/>
      <c r="CO305" s="619"/>
      <c r="CP305" s="619"/>
      <c r="CQ305" s="619"/>
      <c r="CR305" s="619"/>
      <c r="CS305" s="619"/>
      <c r="CT305" s="619"/>
      <c r="CU305" s="619"/>
      <c r="CV305" s="619"/>
      <c r="CW305" s="619"/>
      <c r="CX305" s="619"/>
      <c r="CY305" s="619"/>
      <c r="CZ305" s="619"/>
      <c r="DA305" s="619"/>
      <c r="DB305" s="619"/>
      <c r="DC305" s="619"/>
      <c r="DD305" s="619"/>
      <c r="DE305" s="619"/>
      <c r="DF305" s="619"/>
      <c r="DG305" s="619"/>
      <c r="DH305" s="619"/>
      <c r="DI305" s="619"/>
      <c r="DJ305" s="619"/>
      <c r="DK305" s="619"/>
      <c r="DL305" s="619"/>
      <c r="DM305" s="619"/>
      <c r="DN305" s="619"/>
      <c r="DO305" s="619"/>
      <c r="DP305" s="619"/>
      <c r="DQ305" s="620"/>
      <c r="DR305" s="229"/>
    </row>
    <row r="306" spans="1:122" ht="7.5" customHeight="1" x14ac:dyDescent="0.25">
      <c r="A306" s="594"/>
      <c r="B306" s="595"/>
      <c r="C306" s="595"/>
      <c r="D306" s="595"/>
      <c r="E306" s="596"/>
      <c r="F306" s="154"/>
      <c r="G306" s="599"/>
      <c r="H306" s="599"/>
      <c r="I306" s="599"/>
      <c r="J306" s="599"/>
      <c r="K306" s="599"/>
      <c r="L306" s="599"/>
      <c r="M306" s="599"/>
      <c r="N306" s="599"/>
      <c r="O306" s="599"/>
      <c r="P306" s="599"/>
      <c r="Q306" s="599"/>
      <c r="R306" s="599"/>
      <c r="S306" s="599"/>
      <c r="T306" s="599"/>
      <c r="U306" s="599"/>
      <c r="V306" s="599"/>
      <c r="W306" s="599"/>
      <c r="X306" s="599"/>
      <c r="Y306" s="599"/>
      <c r="Z306" s="602"/>
      <c r="AA306" s="602"/>
      <c r="AB306" s="602"/>
      <c r="AC306" s="602"/>
      <c r="AD306" s="602"/>
      <c r="AE306" s="602"/>
      <c r="AF306" s="602"/>
      <c r="AG306" s="603"/>
      <c r="AH306" s="609"/>
      <c r="AI306" s="610"/>
      <c r="AJ306" s="610"/>
      <c r="AK306" s="610"/>
      <c r="AL306" s="610"/>
      <c r="AM306" s="610"/>
      <c r="AN306" s="610"/>
      <c r="AO306" s="610"/>
      <c r="AP306" s="610"/>
      <c r="AQ306" s="610"/>
      <c r="AR306" s="610"/>
      <c r="AS306" s="610"/>
      <c r="AT306" s="610"/>
      <c r="AU306" s="610"/>
      <c r="AV306" s="610"/>
      <c r="AW306" s="611"/>
      <c r="AX306" s="618"/>
      <c r="AY306" s="619"/>
      <c r="AZ306" s="619"/>
      <c r="BA306" s="619"/>
      <c r="BB306" s="619"/>
      <c r="BC306" s="619"/>
      <c r="BD306" s="619"/>
      <c r="BE306" s="619"/>
      <c r="BF306" s="619"/>
      <c r="BG306" s="619"/>
      <c r="BH306" s="619"/>
      <c r="BI306" s="619"/>
      <c r="BJ306" s="619"/>
      <c r="BK306" s="619"/>
      <c r="BL306" s="619"/>
      <c r="BM306" s="619"/>
      <c r="BN306" s="619"/>
      <c r="BO306" s="619"/>
      <c r="BP306" s="619"/>
      <c r="BQ306" s="619"/>
      <c r="BR306" s="619"/>
      <c r="BS306" s="619"/>
      <c r="BT306" s="619"/>
      <c r="BU306" s="619"/>
      <c r="BV306" s="619"/>
      <c r="BW306" s="619"/>
      <c r="BX306" s="619"/>
      <c r="BY306" s="619"/>
      <c r="BZ306" s="619"/>
      <c r="CA306" s="619"/>
      <c r="CB306" s="619"/>
      <c r="CC306" s="619"/>
      <c r="CD306" s="619"/>
      <c r="CE306" s="619"/>
      <c r="CF306" s="619"/>
      <c r="CG306" s="619"/>
      <c r="CH306" s="619"/>
      <c r="CI306" s="619"/>
      <c r="CJ306" s="619"/>
      <c r="CK306" s="619"/>
      <c r="CL306" s="619"/>
      <c r="CM306" s="619"/>
      <c r="CN306" s="619"/>
      <c r="CO306" s="619"/>
      <c r="CP306" s="619"/>
      <c r="CQ306" s="619"/>
      <c r="CR306" s="619"/>
      <c r="CS306" s="619"/>
      <c r="CT306" s="619"/>
      <c r="CU306" s="619"/>
      <c r="CV306" s="619"/>
      <c r="CW306" s="619"/>
      <c r="CX306" s="619"/>
      <c r="CY306" s="619"/>
      <c r="CZ306" s="619"/>
      <c r="DA306" s="619"/>
      <c r="DB306" s="619"/>
      <c r="DC306" s="619"/>
      <c r="DD306" s="619"/>
      <c r="DE306" s="619"/>
      <c r="DF306" s="619"/>
      <c r="DG306" s="619"/>
      <c r="DH306" s="619"/>
      <c r="DI306" s="619"/>
      <c r="DJ306" s="619"/>
      <c r="DK306" s="619"/>
      <c r="DL306" s="619"/>
      <c r="DM306" s="619"/>
      <c r="DN306" s="619"/>
      <c r="DO306" s="619"/>
      <c r="DP306" s="619"/>
      <c r="DQ306" s="620"/>
      <c r="DR306" s="229"/>
    </row>
    <row r="307" spans="1:122" ht="7.5" customHeight="1" x14ac:dyDescent="0.25">
      <c r="A307" s="119"/>
      <c r="B307" s="119"/>
      <c r="C307" s="119"/>
      <c r="D307" s="119"/>
      <c r="E307" s="119"/>
      <c r="F307" s="624" t="str">
        <f>G304</f>
        <v>Rush</v>
      </c>
      <c r="G307" s="624"/>
      <c r="H307" s="624"/>
      <c r="I307" s="624"/>
      <c r="J307" s="624"/>
      <c r="K307" s="625">
        <f>IF(A304&gt;0,Z304,0)</f>
        <v>0</v>
      </c>
      <c r="L307" s="625"/>
      <c r="M307" s="625"/>
      <c r="N307" s="626" t="b">
        <f>IF($G304&lt;&gt;"",VLOOKUP($G304,'Merit Data'!$A:$BW,MATCH('Merit Data'!$B$3,'Merit Data'!$3:$3,0),0),TRUE)</f>
        <v>0</v>
      </c>
      <c r="O307" s="626"/>
      <c r="P307" s="626"/>
      <c r="Q307" s="155"/>
      <c r="R307" s="140"/>
      <c r="S307" s="140"/>
      <c r="T307" s="140"/>
      <c r="U307" s="140"/>
      <c r="V307" s="238"/>
      <c r="W307" s="238"/>
      <c r="X307" s="627" t="str">
        <f>IF(F307&gt;0,HYPERLINK("http://wiki.project-saros.com/w/"&amp;F307,"Info"),"")</f>
        <v>Info</v>
      </c>
      <c r="Y307" s="628"/>
      <c r="Z307" s="604"/>
      <c r="AA307" s="604"/>
      <c r="AB307" s="604"/>
      <c r="AC307" s="604"/>
      <c r="AD307" s="604"/>
      <c r="AE307" s="604"/>
      <c r="AF307" s="604"/>
      <c r="AG307" s="605"/>
      <c r="AH307" s="612"/>
      <c r="AI307" s="613"/>
      <c r="AJ307" s="613"/>
      <c r="AK307" s="613"/>
      <c r="AL307" s="613"/>
      <c r="AM307" s="613"/>
      <c r="AN307" s="613"/>
      <c r="AO307" s="613"/>
      <c r="AP307" s="613"/>
      <c r="AQ307" s="613"/>
      <c r="AR307" s="613"/>
      <c r="AS307" s="613"/>
      <c r="AT307" s="613"/>
      <c r="AU307" s="613"/>
      <c r="AV307" s="613"/>
      <c r="AW307" s="614"/>
      <c r="AX307" s="621"/>
      <c r="AY307" s="622"/>
      <c r="AZ307" s="622"/>
      <c r="BA307" s="622"/>
      <c r="BB307" s="622"/>
      <c r="BC307" s="622"/>
      <c r="BD307" s="622"/>
      <c r="BE307" s="622"/>
      <c r="BF307" s="622"/>
      <c r="BG307" s="622"/>
      <c r="BH307" s="622"/>
      <c r="BI307" s="622"/>
      <c r="BJ307" s="622"/>
      <c r="BK307" s="622"/>
      <c r="BL307" s="622"/>
      <c r="BM307" s="622"/>
      <c r="BN307" s="622"/>
      <c r="BO307" s="622"/>
      <c r="BP307" s="622"/>
      <c r="BQ307" s="622"/>
      <c r="BR307" s="622"/>
      <c r="BS307" s="622"/>
      <c r="BT307" s="622"/>
      <c r="BU307" s="622"/>
      <c r="BV307" s="622"/>
      <c r="BW307" s="622"/>
      <c r="BX307" s="622"/>
      <c r="BY307" s="622"/>
      <c r="BZ307" s="622"/>
      <c r="CA307" s="622"/>
      <c r="CB307" s="622"/>
      <c r="CC307" s="622"/>
      <c r="CD307" s="622"/>
      <c r="CE307" s="622"/>
      <c r="CF307" s="622"/>
      <c r="CG307" s="622"/>
      <c r="CH307" s="622"/>
      <c r="CI307" s="622"/>
      <c r="CJ307" s="622"/>
      <c r="CK307" s="622"/>
      <c r="CL307" s="622"/>
      <c r="CM307" s="622"/>
      <c r="CN307" s="622"/>
      <c r="CO307" s="622"/>
      <c r="CP307" s="622"/>
      <c r="CQ307" s="622"/>
      <c r="CR307" s="622"/>
      <c r="CS307" s="622"/>
      <c r="CT307" s="622"/>
      <c r="CU307" s="622"/>
      <c r="CV307" s="622"/>
      <c r="CW307" s="622"/>
      <c r="CX307" s="622"/>
      <c r="CY307" s="622"/>
      <c r="CZ307" s="622"/>
      <c r="DA307" s="622"/>
      <c r="DB307" s="622"/>
      <c r="DC307" s="622"/>
      <c r="DD307" s="622"/>
      <c r="DE307" s="622"/>
      <c r="DF307" s="622"/>
      <c r="DG307" s="622"/>
      <c r="DH307" s="622"/>
      <c r="DI307" s="622"/>
      <c r="DJ307" s="622"/>
      <c r="DK307" s="622"/>
      <c r="DL307" s="622"/>
      <c r="DM307" s="622"/>
      <c r="DN307" s="622"/>
      <c r="DO307" s="622"/>
      <c r="DP307" s="622"/>
      <c r="DQ307" s="623"/>
      <c r="DR307" s="229"/>
    </row>
    <row r="308" spans="1:122" ht="7.5" customHeight="1" x14ac:dyDescent="0.25">
      <c r="A308" s="588"/>
      <c r="B308" s="589"/>
      <c r="C308" s="589"/>
      <c r="D308" s="589"/>
      <c r="E308" s="590"/>
      <c r="F308" s="152"/>
      <c r="G308" s="597" t="str">
        <f>INDEX('Merit Data'!A:A,ROW('Merit Data'!A42:A43)-COUNTA($G$272:G307)*2,COLUMN('Merit Data'!A42:A43))</f>
        <v>Disarm</v>
      </c>
      <c r="H308" s="597"/>
      <c r="I308" s="597"/>
      <c r="J308" s="597"/>
      <c r="K308" s="597"/>
      <c r="L308" s="597"/>
      <c r="M308" s="597"/>
      <c r="N308" s="597"/>
      <c r="O308" s="597"/>
      <c r="P308" s="597"/>
      <c r="Q308" s="597"/>
      <c r="R308" s="597"/>
      <c r="S308" s="597"/>
      <c r="T308" s="597"/>
      <c r="U308" s="597"/>
      <c r="V308" s="597"/>
      <c r="W308" s="597"/>
      <c r="X308" s="597"/>
      <c r="Y308" s="597"/>
      <c r="Z308" s="600">
        <f>VLOOKUP($G308,'Merit Data'!$A:$BW,MATCH('Merit Data'!$E$3,'Merit Data'!$3:$3,0),0)</f>
        <v>100</v>
      </c>
      <c r="AA308" s="600"/>
      <c r="AB308" s="600"/>
      <c r="AC308" s="600"/>
      <c r="AD308" s="600"/>
      <c r="AE308" s="600"/>
      <c r="AF308" s="600"/>
      <c r="AG308" s="601"/>
      <c r="AH308" s="606" t="str">
        <f ca="1">IF(NOT(ISERROR(VLOOKUP($G308,'Merit Data'!$A:$CE,MATCH('Merit Data'!$BX$3,'Merit Data'!$3:$3,0),0))),VLOOKUP($G308,'Merit Data'!$A:$CE,MATCH('Merit Data'!$BX$3,'Merit Data'!$3:$3,0),0),"")</f>
        <v>Swift Reactions, Wisdom (18)</v>
      </c>
      <c r="AI308" s="607"/>
      <c r="AJ308" s="607"/>
      <c r="AK308" s="607"/>
      <c r="AL308" s="607"/>
      <c r="AM308" s="607"/>
      <c r="AN308" s="607"/>
      <c r="AO308" s="607"/>
      <c r="AP308" s="607"/>
      <c r="AQ308" s="607"/>
      <c r="AR308" s="607"/>
      <c r="AS308" s="607"/>
      <c r="AT308" s="607"/>
      <c r="AU308" s="607"/>
      <c r="AV308" s="607"/>
      <c r="AW308" s="608"/>
      <c r="AX308" s="615" t="str">
        <f>VLOOKUP($G308,'Merit Data'!$A:$BW,MATCH('Merit Data'!$F$3,'Merit Data'!$3:$3,0),0)</f>
        <v xml:space="preserve">Make a melee basic attack against your opponent with -4 accuracy and an additional -2 accuracy for each size larger the target object is compared to your weapon. Your opponent may add a weapon skill check to their avoidance against this attack. If you hit, their object is knocked to the ground. </v>
      </c>
      <c r="AY308" s="616"/>
      <c r="AZ308" s="616"/>
      <c r="BA308" s="616"/>
      <c r="BB308" s="616"/>
      <c r="BC308" s="616"/>
      <c r="BD308" s="616"/>
      <c r="BE308" s="616"/>
      <c r="BF308" s="616"/>
      <c r="BG308" s="616"/>
      <c r="BH308" s="616"/>
      <c r="BI308" s="616"/>
      <c r="BJ308" s="616"/>
      <c r="BK308" s="616"/>
      <c r="BL308" s="616"/>
      <c r="BM308" s="616"/>
      <c r="BN308" s="616"/>
      <c r="BO308" s="616"/>
      <c r="BP308" s="616"/>
      <c r="BQ308" s="616"/>
      <c r="BR308" s="616"/>
      <c r="BS308" s="616"/>
      <c r="BT308" s="616"/>
      <c r="BU308" s="616"/>
      <c r="BV308" s="616"/>
      <c r="BW308" s="616"/>
      <c r="BX308" s="616"/>
      <c r="BY308" s="616"/>
      <c r="BZ308" s="616"/>
      <c r="CA308" s="616"/>
      <c r="CB308" s="616"/>
      <c r="CC308" s="616"/>
      <c r="CD308" s="616"/>
      <c r="CE308" s="616"/>
      <c r="CF308" s="616"/>
      <c r="CG308" s="616"/>
      <c r="CH308" s="616"/>
      <c r="CI308" s="616"/>
      <c r="CJ308" s="616"/>
      <c r="CK308" s="616"/>
      <c r="CL308" s="616"/>
      <c r="CM308" s="616"/>
      <c r="CN308" s="616"/>
      <c r="CO308" s="616"/>
      <c r="CP308" s="616"/>
      <c r="CQ308" s="616"/>
      <c r="CR308" s="616"/>
      <c r="CS308" s="616"/>
      <c r="CT308" s="616"/>
      <c r="CU308" s="616"/>
      <c r="CV308" s="616"/>
      <c r="CW308" s="616"/>
      <c r="CX308" s="616"/>
      <c r="CY308" s="616"/>
      <c r="CZ308" s="616"/>
      <c r="DA308" s="616"/>
      <c r="DB308" s="616"/>
      <c r="DC308" s="616"/>
      <c r="DD308" s="616"/>
      <c r="DE308" s="616"/>
      <c r="DF308" s="616"/>
      <c r="DG308" s="616"/>
      <c r="DH308" s="616"/>
      <c r="DI308" s="616"/>
      <c r="DJ308" s="616"/>
      <c r="DK308" s="616"/>
      <c r="DL308" s="616"/>
      <c r="DM308" s="616"/>
      <c r="DN308" s="616"/>
      <c r="DO308" s="616"/>
      <c r="DP308" s="616"/>
      <c r="DQ308" s="617"/>
      <c r="DR308" s="233"/>
    </row>
    <row r="309" spans="1:122" ht="7.5" customHeight="1" x14ac:dyDescent="0.25">
      <c r="A309" s="591"/>
      <c r="B309" s="592"/>
      <c r="C309" s="592"/>
      <c r="D309" s="592"/>
      <c r="E309" s="593"/>
      <c r="F309" s="153"/>
      <c r="G309" s="598"/>
      <c r="H309" s="598"/>
      <c r="I309" s="598"/>
      <c r="J309" s="598"/>
      <c r="K309" s="598"/>
      <c r="L309" s="598"/>
      <c r="M309" s="598"/>
      <c r="N309" s="598"/>
      <c r="O309" s="598"/>
      <c r="P309" s="598"/>
      <c r="Q309" s="598"/>
      <c r="R309" s="598"/>
      <c r="S309" s="598"/>
      <c r="T309" s="598"/>
      <c r="U309" s="598"/>
      <c r="V309" s="598"/>
      <c r="W309" s="598"/>
      <c r="X309" s="598"/>
      <c r="Y309" s="598"/>
      <c r="Z309" s="602"/>
      <c r="AA309" s="602"/>
      <c r="AB309" s="602"/>
      <c r="AC309" s="602"/>
      <c r="AD309" s="602"/>
      <c r="AE309" s="602"/>
      <c r="AF309" s="602"/>
      <c r="AG309" s="603"/>
      <c r="AH309" s="609"/>
      <c r="AI309" s="610"/>
      <c r="AJ309" s="610"/>
      <c r="AK309" s="610"/>
      <c r="AL309" s="610"/>
      <c r="AM309" s="610"/>
      <c r="AN309" s="610"/>
      <c r="AO309" s="610"/>
      <c r="AP309" s="610"/>
      <c r="AQ309" s="610"/>
      <c r="AR309" s="610"/>
      <c r="AS309" s="610"/>
      <c r="AT309" s="610"/>
      <c r="AU309" s="610"/>
      <c r="AV309" s="610"/>
      <c r="AW309" s="611"/>
      <c r="AX309" s="618"/>
      <c r="AY309" s="619"/>
      <c r="AZ309" s="619"/>
      <c r="BA309" s="619"/>
      <c r="BB309" s="619"/>
      <c r="BC309" s="619"/>
      <c r="BD309" s="619"/>
      <c r="BE309" s="619"/>
      <c r="BF309" s="619"/>
      <c r="BG309" s="619"/>
      <c r="BH309" s="619"/>
      <c r="BI309" s="619"/>
      <c r="BJ309" s="619"/>
      <c r="BK309" s="619"/>
      <c r="BL309" s="619"/>
      <c r="BM309" s="619"/>
      <c r="BN309" s="619"/>
      <c r="BO309" s="619"/>
      <c r="BP309" s="619"/>
      <c r="BQ309" s="619"/>
      <c r="BR309" s="619"/>
      <c r="BS309" s="619"/>
      <c r="BT309" s="619"/>
      <c r="BU309" s="619"/>
      <c r="BV309" s="619"/>
      <c r="BW309" s="619"/>
      <c r="BX309" s="619"/>
      <c r="BY309" s="619"/>
      <c r="BZ309" s="619"/>
      <c r="CA309" s="619"/>
      <c r="CB309" s="619"/>
      <c r="CC309" s="619"/>
      <c r="CD309" s="619"/>
      <c r="CE309" s="619"/>
      <c r="CF309" s="619"/>
      <c r="CG309" s="619"/>
      <c r="CH309" s="619"/>
      <c r="CI309" s="619"/>
      <c r="CJ309" s="619"/>
      <c r="CK309" s="619"/>
      <c r="CL309" s="619"/>
      <c r="CM309" s="619"/>
      <c r="CN309" s="619"/>
      <c r="CO309" s="619"/>
      <c r="CP309" s="619"/>
      <c r="CQ309" s="619"/>
      <c r="CR309" s="619"/>
      <c r="CS309" s="619"/>
      <c r="CT309" s="619"/>
      <c r="CU309" s="619"/>
      <c r="CV309" s="619"/>
      <c r="CW309" s="619"/>
      <c r="CX309" s="619"/>
      <c r="CY309" s="619"/>
      <c r="CZ309" s="619"/>
      <c r="DA309" s="619"/>
      <c r="DB309" s="619"/>
      <c r="DC309" s="619"/>
      <c r="DD309" s="619"/>
      <c r="DE309" s="619"/>
      <c r="DF309" s="619"/>
      <c r="DG309" s="619"/>
      <c r="DH309" s="619"/>
      <c r="DI309" s="619"/>
      <c r="DJ309" s="619"/>
      <c r="DK309" s="619"/>
      <c r="DL309" s="619"/>
      <c r="DM309" s="619"/>
      <c r="DN309" s="619"/>
      <c r="DO309" s="619"/>
      <c r="DP309" s="619"/>
      <c r="DQ309" s="620"/>
      <c r="DR309" s="233"/>
    </row>
    <row r="310" spans="1:122" ht="7.5" customHeight="1" x14ac:dyDescent="0.25">
      <c r="A310" s="594"/>
      <c r="B310" s="595"/>
      <c r="C310" s="595"/>
      <c r="D310" s="595"/>
      <c r="E310" s="596"/>
      <c r="F310" s="154"/>
      <c r="G310" s="599"/>
      <c r="H310" s="599"/>
      <c r="I310" s="599"/>
      <c r="J310" s="599"/>
      <c r="K310" s="599"/>
      <c r="L310" s="599"/>
      <c r="M310" s="599"/>
      <c r="N310" s="599"/>
      <c r="O310" s="599"/>
      <c r="P310" s="599"/>
      <c r="Q310" s="599"/>
      <c r="R310" s="599"/>
      <c r="S310" s="599"/>
      <c r="T310" s="599"/>
      <c r="U310" s="599"/>
      <c r="V310" s="599"/>
      <c r="W310" s="599"/>
      <c r="X310" s="599"/>
      <c r="Y310" s="599"/>
      <c r="Z310" s="602"/>
      <c r="AA310" s="602"/>
      <c r="AB310" s="602"/>
      <c r="AC310" s="602"/>
      <c r="AD310" s="602"/>
      <c r="AE310" s="602"/>
      <c r="AF310" s="602"/>
      <c r="AG310" s="603"/>
      <c r="AH310" s="609"/>
      <c r="AI310" s="610"/>
      <c r="AJ310" s="610"/>
      <c r="AK310" s="610"/>
      <c r="AL310" s="610"/>
      <c r="AM310" s="610"/>
      <c r="AN310" s="610"/>
      <c r="AO310" s="610"/>
      <c r="AP310" s="610"/>
      <c r="AQ310" s="610"/>
      <c r="AR310" s="610"/>
      <c r="AS310" s="610"/>
      <c r="AT310" s="610"/>
      <c r="AU310" s="610"/>
      <c r="AV310" s="610"/>
      <c r="AW310" s="611"/>
      <c r="AX310" s="618"/>
      <c r="AY310" s="619"/>
      <c r="AZ310" s="619"/>
      <c r="BA310" s="619"/>
      <c r="BB310" s="619"/>
      <c r="BC310" s="619"/>
      <c r="BD310" s="619"/>
      <c r="BE310" s="619"/>
      <c r="BF310" s="619"/>
      <c r="BG310" s="619"/>
      <c r="BH310" s="619"/>
      <c r="BI310" s="619"/>
      <c r="BJ310" s="619"/>
      <c r="BK310" s="619"/>
      <c r="BL310" s="619"/>
      <c r="BM310" s="619"/>
      <c r="BN310" s="619"/>
      <c r="BO310" s="619"/>
      <c r="BP310" s="619"/>
      <c r="BQ310" s="619"/>
      <c r="BR310" s="619"/>
      <c r="BS310" s="619"/>
      <c r="BT310" s="619"/>
      <c r="BU310" s="619"/>
      <c r="BV310" s="619"/>
      <c r="BW310" s="619"/>
      <c r="BX310" s="619"/>
      <c r="BY310" s="619"/>
      <c r="BZ310" s="619"/>
      <c r="CA310" s="619"/>
      <c r="CB310" s="619"/>
      <c r="CC310" s="619"/>
      <c r="CD310" s="619"/>
      <c r="CE310" s="619"/>
      <c r="CF310" s="619"/>
      <c r="CG310" s="619"/>
      <c r="CH310" s="619"/>
      <c r="CI310" s="619"/>
      <c r="CJ310" s="619"/>
      <c r="CK310" s="619"/>
      <c r="CL310" s="619"/>
      <c r="CM310" s="619"/>
      <c r="CN310" s="619"/>
      <c r="CO310" s="619"/>
      <c r="CP310" s="619"/>
      <c r="CQ310" s="619"/>
      <c r="CR310" s="619"/>
      <c r="CS310" s="619"/>
      <c r="CT310" s="619"/>
      <c r="CU310" s="619"/>
      <c r="CV310" s="619"/>
      <c r="CW310" s="619"/>
      <c r="CX310" s="619"/>
      <c r="CY310" s="619"/>
      <c r="CZ310" s="619"/>
      <c r="DA310" s="619"/>
      <c r="DB310" s="619"/>
      <c r="DC310" s="619"/>
      <c r="DD310" s="619"/>
      <c r="DE310" s="619"/>
      <c r="DF310" s="619"/>
      <c r="DG310" s="619"/>
      <c r="DH310" s="619"/>
      <c r="DI310" s="619"/>
      <c r="DJ310" s="619"/>
      <c r="DK310" s="619"/>
      <c r="DL310" s="619"/>
      <c r="DM310" s="619"/>
      <c r="DN310" s="619"/>
      <c r="DO310" s="619"/>
      <c r="DP310" s="619"/>
      <c r="DQ310" s="620"/>
      <c r="DR310" s="233"/>
    </row>
    <row r="311" spans="1:122" ht="7.5" customHeight="1" x14ac:dyDescent="0.25">
      <c r="A311" s="119"/>
      <c r="B311" s="119"/>
      <c r="C311" s="119"/>
      <c r="D311" s="119"/>
      <c r="E311" s="119"/>
      <c r="F311" s="624" t="str">
        <f>G308</f>
        <v>Disarm</v>
      </c>
      <c r="G311" s="624"/>
      <c r="H311" s="624"/>
      <c r="I311" s="624"/>
      <c r="J311" s="624"/>
      <c r="K311" s="625">
        <f>IF(A308&gt;0,Z308,0)</f>
        <v>0</v>
      </c>
      <c r="L311" s="625"/>
      <c r="M311" s="625"/>
      <c r="N311" s="626" t="b">
        <f>IF($G308&lt;&gt;"",VLOOKUP($G308,'Merit Data'!$A:$BW,MATCH('Merit Data'!$B$3,'Merit Data'!$3:$3,0),0),TRUE)</f>
        <v>0</v>
      </c>
      <c r="O311" s="626"/>
      <c r="P311" s="626"/>
      <c r="Q311" s="155"/>
      <c r="R311" s="140"/>
      <c r="S311" s="140"/>
      <c r="T311" s="140"/>
      <c r="U311" s="140"/>
      <c r="V311" s="238"/>
      <c r="W311" s="238"/>
      <c r="X311" s="627" t="str">
        <f>IF(F311&gt;0,HYPERLINK("http://wiki.project-saros.com/w/"&amp;F311,"Info"),"")</f>
        <v>Info</v>
      </c>
      <c r="Y311" s="628"/>
      <c r="Z311" s="604"/>
      <c r="AA311" s="604"/>
      <c r="AB311" s="604"/>
      <c r="AC311" s="604"/>
      <c r="AD311" s="604"/>
      <c r="AE311" s="604"/>
      <c r="AF311" s="604"/>
      <c r="AG311" s="605"/>
      <c r="AH311" s="612"/>
      <c r="AI311" s="613"/>
      <c r="AJ311" s="613"/>
      <c r="AK311" s="613"/>
      <c r="AL311" s="613"/>
      <c r="AM311" s="613"/>
      <c r="AN311" s="613"/>
      <c r="AO311" s="613"/>
      <c r="AP311" s="613"/>
      <c r="AQ311" s="613"/>
      <c r="AR311" s="613"/>
      <c r="AS311" s="613"/>
      <c r="AT311" s="613"/>
      <c r="AU311" s="613"/>
      <c r="AV311" s="613"/>
      <c r="AW311" s="614"/>
      <c r="AX311" s="621"/>
      <c r="AY311" s="622"/>
      <c r="AZ311" s="622"/>
      <c r="BA311" s="622"/>
      <c r="BB311" s="622"/>
      <c r="BC311" s="622"/>
      <c r="BD311" s="622"/>
      <c r="BE311" s="622"/>
      <c r="BF311" s="622"/>
      <c r="BG311" s="622"/>
      <c r="BH311" s="622"/>
      <c r="BI311" s="622"/>
      <c r="BJ311" s="622"/>
      <c r="BK311" s="622"/>
      <c r="BL311" s="622"/>
      <c r="BM311" s="622"/>
      <c r="BN311" s="622"/>
      <c r="BO311" s="622"/>
      <c r="BP311" s="622"/>
      <c r="BQ311" s="622"/>
      <c r="BR311" s="622"/>
      <c r="BS311" s="622"/>
      <c r="BT311" s="622"/>
      <c r="BU311" s="622"/>
      <c r="BV311" s="622"/>
      <c r="BW311" s="622"/>
      <c r="BX311" s="622"/>
      <c r="BY311" s="622"/>
      <c r="BZ311" s="622"/>
      <c r="CA311" s="622"/>
      <c r="CB311" s="622"/>
      <c r="CC311" s="622"/>
      <c r="CD311" s="622"/>
      <c r="CE311" s="622"/>
      <c r="CF311" s="622"/>
      <c r="CG311" s="622"/>
      <c r="CH311" s="622"/>
      <c r="CI311" s="622"/>
      <c r="CJ311" s="622"/>
      <c r="CK311" s="622"/>
      <c r="CL311" s="622"/>
      <c r="CM311" s="622"/>
      <c r="CN311" s="622"/>
      <c r="CO311" s="622"/>
      <c r="CP311" s="622"/>
      <c r="CQ311" s="622"/>
      <c r="CR311" s="622"/>
      <c r="CS311" s="622"/>
      <c r="CT311" s="622"/>
      <c r="CU311" s="622"/>
      <c r="CV311" s="622"/>
      <c r="CW311" s="622"/>
      <c r="CX311" s="622"/>
      <c r="CY311" s="622"/>
      <c r="CZ311" s="622"/>
      <c r="DA311" s="622"/>
      <c r="DB311" s="622"/>
      <c r="DC311" s="622"/>
      <c r="DD311" s="622"/>
      <c r="DE311" s="622"/>
      <c r="DF311" s="622"/>
      <c r="DG311" s="622"/>
      <c r="DH311" s="622"/>
      <c r="DI311" s="622"/>
      <c r="DJ311" s="622"/>
      <c r="DK311" s="622"/>
      <c r="DL311" s="622"/>
      <c r="DM311" s="622"/>
      <c r="DN311" s="622"/>
      <c r="DO311" s="622"/>
      <c r="DP311" s="622"/>
      <c r="DQ311" s="623"/>
      <c r="DR311" s="233"/>
    </row>
    <row r="312" spans="1:122" ht="7.5" customHeight="1" x14ac:dyDescent="0.25">
      <c r="A312" s="588"/>
      <c r="B312" s="589"/>
      <c r="C312" s="589"/>
      <c r="D312" s="589"/>
      <c r="E312" s="590"/>
      <c r="F312" s="152"/>
      <c r="G312" s="597" t="str">
        <f>INDEX('Merit Data'!A:A,ROW('Merit Data'!A46:A47)-COUNTA($G$272:G311)*2,COLUMN('Merit Data'!A46:A47))</f>
        <v>Improved Disarm</v>
      </c>
      <c r="H312" s="597"/>
      <c r="I312" s="597"/>
      <c r="J312" s="597"/>
      <c r="K312" s="597"/>
      <c r="L312" s="597"/>
      <c r="M312" s="597"/>
      <c r="N312" s="597"/>
      <c r="O312" s="597"/>
      <c r="P312" s="597"/>
      <c r="Q312" s="597"/>
      <c r="R312" s="597"/>
      <c r="S312" s="597"/>
      <c r="T312" s="597"/>
      <c r="U312" s="597"/>
      <c r="V312" s="597"/>
      <c r="W312" s="597"/>
      <c r="X312" s="597"/>
      <c r="Y312" s="597"/>
      <c r="Z312" s="600">
        <f>VLOOKUP($G312,'Merit Data'!$A:$BW,MATCH('Merit Data'!$E$3,'Merit Data'!$3:$3,0),0)</f>
        <v>200</v>
      </c>
      <c r="AA312" s="600"/>
      <c r="AB312" s="600"/>
      <c r="AC312" s="600"/>
      <c r="AD312" s="600"/>
      <c r="AE312" s="600"/>
      <c r="AF312" s="600"/>
      <c r="AG312" s="601"/>
      <c r="AH312" s="606" t="str">
        <f ca="1">IF(NOT(ISERROR(VLOOKUP($G312,'Merit Data'!$A:$CE,MATCH('Merit Data'!$BX$3,'Merit Data'!$3:$3,0),0))),VLOOKUP($G312,'Merit Data'!$A:$CE,MATCH('Merit Data'!$BX$3,'Merit Data'!$3:$3,0),0),"")</f>
        <v>Disarm, Agility (18), Weapon Skill (18)</v>
      </c>
      <c r="AI312" s="607"/>
      <c r="AJ312" s="607"/>
      <c r="AK312" s="607"/>
      <c r="AL312" s="607"/>
      <c r="AM312" s="607"/>
      <c r="AN312" s="607"/>
      <c r="AO312" s="607"/>
      <c r="AP312" s="607"/>
      <c r="AQ312" s="607"/>
      <c r="AR312" s="607"/>
      <c r="AS312" s="607"/>
      <c r="AT312" s="607"/>
      <c r="AU312" s="607"/>
      <c r="AV312" s="607"/>
      <c r="AW312" s="608"/>
      <c r="AX312" s="615" t="str">
        <f>VLOOKUP($G312,'Merit Data'!$A:$BW,MATCH('Merit Data'!$F$3,'Merit Data'!$3:$3,0),0)</f>
        <v xml:space="preserve">When you use Disarm, roll twice and use the better result. </v>
      </c>
      <c r="AY312" s="616"/>
      <c r="AZ312" s="616"/>
      <c r="BA312" s="616"/>
      <c r="BB312" s="616"/>
      <c r="BC312" s="616"/>
      <c r="BD312" s="616"/>
      <c r="BE312" s="616"/>
      <c r="BF312" s="616"/>
      <c r="BG312" s="616"/>
      <c r="BH312" s="616"/>
      <c r="BI312" s="616"/>
      <c r="BJ312" s="616"/>
      <c r="BK312" s="616"/>
      <c r="BL312" s="616"/>
      <c r="BM312" s="616"/>
      <c r="BN312" s="616"/>
      <c r="BO312" s="616"/>
      <c r="BP312" s="616"/>
      <c r="BQ312" s="616"/>
      <c r="BR312" s="616"/>
      <c r="BS312" s="616"/>
      <c r="BT312" s="616"/>
      <c r="BU312" s="616"/>
      <c r="BV312" s="616"/>
      <c r="BW312" s="616"/>
      <c r="BX312" s="616"/>
      <c r="BY312" s="616"/>
      <c r="BZ312" s="616"/>
      <c r="CA312" s="616"/>
      <c r="CB312" s="616"/>
      <c r="CC312" s="616"/>
      <c r="CD312" s="616"/>
      <c r="CE312" s="616"/>
      <c r="CF312" s="616"/>
      <c r="CG312" s="616"/>
      <c r="CH312" s="616"/>
      <c r="CI312" s="616"/>
      <c r="CJ312" s="616"/>
      <c r="CK312" s="616"/>
      <c r="CL312" s="616"/>
      <c r="CM312" s="616"/>
      <c r="CN312" s="616"/>
      <c r="CO312" s="616"/>
      <c r="CP312" s="616"/>
      <c r="CQ312" s="616"/>
      <c r="CR312" s="616"/>
      <c r="CS312" s="616"/>
      <c r="CT312" s="616"/>
      <c r="CU312" s="616"/>
      <c r="CV312" s="616"/>
      <c r="CW312" s="616"/>
      <c r="CX312" s="616"/>
      <c r="CY312" s="616"/>
      <c r="CZ312" s="616"/>
      <c r="DA312" s="616"/>
      <c r="DB312" s="616"/>
      <c r="DC312" s="616"/>
      <c r="DD312" s="616"/>
      <c r="DE312" s="616"/>
      <c r="DF312" s="616"/>
      <c r="DG312" s="616"/>
      <c r="DH312" s="616"/>
      <c r="DI312" s="616"/>
      <c r="DJ312" s="616"/>
      <c r="DK312" s="616"/>
      <c r="DL312" s="616"/>
      <c r="DM312" s="616"/>
      <c r="DN312" s="616"/>
      <c r="DO312" s="616"/>
      <c r="DP312" s="616"/>
      <c r="DQ312" s="617"/>
      <c r="DR312" s="233"/>
    </row>
    <row r="313" spans="1:122" ht="7.5" customHeight="1" x14ac:dyDescent="0.25">
      <c r="A313" s="591"/>
      <c r="B313" s="592"/>
      <c r="C313" s="592"/>
      <c r="D313" s="592"/>
      <c r="E313" s="593"/>
      <c r="F313" s="153"/>
      <c r="G313" s="598"/>
      <c r="H313" s="598"/>
      <c r="I313" s="598"/>
      <c r="J313" s="598"/>
      <c r="K313" s="598"/>
      <c r="L313" s="598"/>
      <c r="M313" s="598"/>
      <c r="N313" s="598"/>
      <c r="O313" s="598"/>
      <c r="P313" s="598"/>
      <c r="Q313" s="598"/>
      <c r="R313" s="598"/>
      <c r="S313" s="598"/>
      <c r="T313" s="598"/>
      <c r="U313" s="598"/>
      <c r="V313" s="598"/>
      <c r="W313" s="598"/>
      <c r="X313" s="598"/>
      <c r="Y313" s="598"/>
      <c r="Z313" s="602"/>
      <c r="AA313" s="602"/>
      <c r="AB313" s="602"/>
      <c r="AC313" s="602"/>
      <c r="AD313" s="602"/>
      <c r="AE313" s="602"/>
      <c r="AF313" s="602"/>
      <c r="AG313" s="603"/>
      <c r="AH313" s="609"/>
      <c r="AI313" s="610"/>
      <c r="AJ313" s="610"/>
      <c r="AK313" s="610"/>
      <c r="AL313" s="610"/>
      <c r="AM313" s="610"/>
      <c r="AN313" s="610"/>
      <c r="AO313" s="610"/>
      <c r="AP313" s="610"/>
      <c r="AQ313" s="610"/>
      <c r="AR313" s="610"/>
      <c r="AS313" s="610"/>
      <c r="AT313" s="610"/>
      <c r="AU313" s="610"/>
      <c r="AV313" s="610"/>
      <c r="AW313" s="611"/>
      <c r="AX313" s="618"/>
      <c r="AY313" s="619"/>
      <c r="AZ313" s="619"/>
      <c r="BA313" s="619"/>
      <c r="BB313" s="619"/>
      <c r="BC313" s="619"/>
      <c r="BD313" s="619"/>
      <c r="BE313" s="619"/>
      <c r="BF313" s="619"/>
      <c r="BG313" s="619"/>
      <c r="BH313" s="619"/>
      <c r="BI313" s="619"/>
      <c r="BJ313" s="619"/>
      <c r="BK313" s="619"/>
      <c r="BL313" s="619"/>
      <c r="BM313" s="619"/>
      <c r="BN313" s="619"/>
      <c r="BO313" s="619"/>
      <c r="BP313" s="619"/>
      <c r="BQ313" s="619"/>
      <c r="BR313" s="619"/>
      <c r="BS313" s="619"/>
      <c r="BT313" s="619"/>
      <c r="BU313" s="619"/>
      <c r="BV313" s="619"/>
      <c r="BW313" s="619"/>
      <c r="BX313" s="619"/>
      <c r="BY313" s="619"/>
      <c r="BZ313" s="619"/>
      <c r="CA313" s="619"/>
      <c r="CB313" s="619"/>
      <c r="CC313" s="619"/>
      <c r="CD313" s="619"/>
      <c r="CE313" s="619"/>
      <c r="CF313" s="619"/>
      <c r="CG313" s="619"/>
      <c r="CH313" s="619"/>
      <c r="CI313" s="619"/>
      <c r="CJ313" s="619"/>
      <c r="CK313" s="619"/>
      <c r="CL313" s="619"/>
      <c r="CM313" s="619"/>
      <c r="CN313" s="619"/>
      <c r="CO313" s="619"/>
      <c r="CP313" s="619"/>
      <c r="CQ313" s="619"/>
      <c r="CR313" s="619"/>
      <c r="CS313" s="619"/>
      <c r="CT313" s="619"/>
      <c r="CU313" s="619"/>
      <c r="CV313" s="619"/>
      <c r="CW313" s="619"/>
      <c r="CX313" s="619"/>
      <c r="CY313" s="619"/>
      <c r="CZ313" s="619"/>
      <c r="DA313" s="619"/>
      <c r="DB313" s="619"/>
      <c r="DC313" s="619"/>
      <c r="DD313" s="619"/>
      <c r="DE313" s="619"/>
      <c r="DF313" s="619"/>
      <c r="DG313" s="619"/>
      <c r="DH313" s="619"/>
      <c r="DI313" s="619"/>
      <c r="DJ313" s="619"/>
      <c r="DK313" s="619"/>
      <c r="DL313" s="619"/>
      <c r="DM313" s="619"/>
      <c r="DN313" s="619"/>
      <c r="DO313" s="619"/>
      <c r="DP313" s="619"/>
      <c r="DQ313" s="620"/>
      <c r="DR313" s="233"/>
    </row>
    <row r="314" spans="1:122" ht="7.5" customHeight="1" x14ac:dyDescent="0.25">
      <c r="A314" s="594"/>
      <c r="B314" s="595"/>
      <c r="C314" s="595"/>
      <c r="D314" s="595"/>
      <c r="E314" s="596"/>
      <c r="F314" s="154"/>
      <c r="G314" s="599"/>
      <c r="H314" s="599"/>
      <c r="I314" s="599"/>
      <c r="J314" s="599"/>
      <c r="K314" s="599"/>
      <c r="L314" s="599"/>
      <c r="M314" s="599"/>
      <c r="N314" s="599"/>
      <c r="O314" s="599"/>
      <c r="P314" s="599"/>
      <c r="Q314" s="599"/>
      <c r="R314" s="599"/>
      <c r="S314" s="599"/>
      <c r="T314" s="599"/>
      <c r="U314" s="599"/>
      <c r="V314" s="599"/>
      <c r="W314" s="599"/>
      <c r="X314" s="599"/>
      <c r="Y314" s="599"/>
      <c r="Z314" s="602"/>
      <c r="AA314" s="602"/>
      <c r="AB314" s="602"/>
      <c r="AC314" s="602"/>
      <c r="AD314" s="602"/>
      <c r="AE314" s="602"/>
      <c r="AF314" s="602"/>
      <c r="AG314" s="603"/>
      <c r="AH314" s="609"/>
      <c r="AI314" s="610"/>
      <c r="AJ314" s="610"/>
      <c r="AK314" s="610"/>
      <c r="AL314" s="610"/>
      <c r="AM314" s="610"/>
      <c r="AN314" s="610"/>
      <c r="AO314" s="610"/>
      <c r="AP314" s="610"/>
      <c r="AQ314" s="610"/>
      <c r="AR314" s="610"/>
      <c r="AS314" s="610"/>
      <c r="AT314" s="610"/>
      <c r="AU314" s="610"/>
      <c r="AV314" s="610"/>
      <c r="AW314" s="611"/>
      <c r="AX314" s="618"/>
      <c r="AY314" s="619"/>
      <c r="AZ314" s="619"/>
      <c r="BA314" s="619"/>
      <c r="BB314" s="619"/>
      <c r="BC314" s="619"/>
      <c r="BD314" s="619"/>
      <c r="BE314" s="619"/>
      <c r="BF314" s="619"/>
      <c r="BG314" s="619"/>
      <c r="BH314" s="619"/>
      <c r="BI314" s="619"/>
      <c r="BJ314" s="619"/>
      <c r="BK314" s="619"/>
      <c r="BL314" s="619"/>
      <c r="BM314" s="619"/>
      <c r="BN314" s="619"/>
      <c r="BO314" s="619"/>
      <c r="BP314" s="619"/>
      <c r="BQ314" s="619"/>
      <c r="BR314" s="619"/>
      <c r="BS314" s="619"/>
      <c r="BT314" s="619"/>
      <c r="BU314" s="619"/>
      <c r="BV314" s="619"/>
      <c r="BW314" s="619"/>
      <c r="BX314" s="619"/>
      <c r="BY314" s="619"/>
      <c r="BZ314" s="619"/>
      <c r="CA314" s="619"/>
      <c r="CB314" s="619"/>
      <c r="CC314" s="619"/>
      <c r="CD314" s="619"/>
      <c r="CE314" s="619"/>
      <c r="CF314" s="619"/>
      <c r="CG314" s="619"/>
      <c r="CH314" s="619"/>
      <c r="CI314" s="619"/>
      <c r="CJ314" s="619"/>
      <c r="CK314" s="619"/>
      <c r="CL314" s="619"/>
      <c r="CM314" s="619"/>
      <c r="CN314" s="619"/>
      <c r="CO314" s="619"/>
      <c r="CP314" s="619"/>
      <c r="CQ314" s="619"/>
      <c r="CR314" s="619"/>
      <c r="CS314" s="619"/>
      <c r="CT314" s="619"/>
      <c r="CU314" s="619"/>
      <c r="CV314" s="619"/>
      <c r="CW314" s="619"/>
      <c r="CX314" s="619"/>
      <c r="CY314" s="619"/>
      <c r="CZ314" s="619"/>
      <c r="DA314" s="619"/>
      <c r="DB314" s="619"/>
      <c r="DC314" s="619"/>
      <c r="DD314" s="619"/>
      <c r="DE314" s="619"/>
      <c r="DF314" s="619"/>
      <c r="DG314" s="619"/>
      <c r="DH314" s="619"/>
      <c r="DI314" s="619"/>
      <c r="DJ314" s="619"/>
      <c r="DK314" s="619"/>
      <c r="DL314" s="619"/>
      <c r="DM314" s="619"/>
      <c r="DN314" s="619"/>
      <c r="DO314" s="619"/>
      <c r="DP314" s="619"/>
      <c r="DQ314" s="620"/>
      <c r="DR314" s="233"/>
    </row>
    <row r="315" spans="1:122" ht="7.5" customHeight="1" x14ac:dyDescent="0.25">
      <c r="A315" s="119"/>
      <c r="B315" s="119"/>
      <c r="C315" s="119"/>
      <c r="D315" s="119"/>
      <c r="E315" s="119"/>
      <c r="F315" s="624" t="str">
        <f>G312</f>
        <v>Improved Disarm</v>
      </c>
      <c r="G315" s="624"/>
      <c r="H315" s="624"/>
      <c r="I315" s="624"/>
      <c r="J315" s="624"/>
      <c r="K315" s="625">
        <f>IF(A312&gt;0,Z312,0)</f>
        <v>0</v>
      </c>
      <c r="L315" s="625"/>
      <c r="M315" s="625"/>
      <c r="N315" s="626" t="b">
        <f>IF($G312&lt;&gt;"",VLOOKUP($G312,'Merit Data'!$A:$BW,MATCH('Merit Data'!$B$3,'Merit Data'!$3:$3,0),0),TRUE)</f>
        <v>0</v>
      </c>
      <c r="O315" s="626"/>
      <c r="P315" s="626"/>
      <c r="Q315" s="155"/>
      <c r="R315" s="140"/>
      <c r="S315" s="140"/>
      <c r="T315" s="140"/>
      <c r="U315" s="140"/>
      <c r="V315" s="238"/>
      <c r="W315" s="238"/>
      <c r="X315" s="627" t="str">
        <f>IF(F315&gt;0,HYPERLINK("http://wiki.project-saros.com/w/"&amp;F315,"Info"),"")</f>
        <v>Info</v>
      </c>
      <c r="Y315" s="628"/>
      <c r="Z315" s="604"/>
      <c r="AA315" s="604"/>
      <c r="AB315" s="604"/>
      <c r="AC315" s="604"/>
      <c r="AD315" s="604"/>
      <c r="AE315" s="604"/>
      <c r="AF315" s="604"/>
      <c r="AG315" s="605"/>
      <c r="AH315" s="612"/>
      <c r="AI315" s="613"/>
      <c r="AJ315" s="613"/>
      <c r="AK315" s="613"/>
      <c r="AL315" s="613"/>
      <c r="AM315" s="613"/>
      <c r="AN315" s="613"/>
      <c r="AO315" s="613"/>
      <c r="AP315" s="613"/>
      <c r="AQ315" s="613"/>
      <c r="AR315" s="613"/>
      <c r="AS315" s="613"/>
      <c r="AT315" s="613"/>
      <c r="AU315" s="613"/>
      <c r="AV315" s="613"/>
      <c r="AW315" s="614"/>
      <c r="AX315" s="621"/>
      <c r="AY315" s="622"/>
      <c r="AZ315" s="622"/>
      <c r="BA315" s="622"/>
      <c r="BB315" s="622"/>
      <c r="BC315" s="622"/>
      <c r="BD315" s="622"/>
      <c r="BE315" s="622"/>
      <c r="BF315" s="622"/>
      <c r="BG315" s="622"/>
      <c r="BH315" s="622"/>
      <c r="BI315" s="622"/>
      <c r="BJ315" s="622"/>
      <c r="BK315" s="622"/>
      <c r="BL315" s="622"/>
      <c r="BM315" s="622"/>
      <c r="BN315" s="622"/>
      <c r="BO315" s="622"/>
      <c r="BP315" s="622"/>
      <c r="BQ315" s="622"/>
      <c r="BR315" s="622"/>
      <c r="BS315" s="622"/>
      <c r="BT315" s="622"/>
      <c r="BU315" s="622"/>
      <c r="BV315" s="622"/>
      <c r="BW315" s="622"/>
      <c r="BX315" s="622"/>
      <c r="BY315" s="622"/>
      <c r="BZ315" s="622"/>
      <c r="CA315" s="622"/>
      <c r="CB315" s="622"/>
      <c r="CC315" s="622"/>
      <c r="CD315" s="622"/>
      <c r="CE315" s="622"/>
      <c r="CF315" s="622"/>
      <c r="CG315" s="622"/>
      <c r="CH315" s="622"/>
      <c r="CI315" s="622"/>
      <c r="CJ315" s="622"/>
      <c r="CK315" s="622"/>
      <c r="CL315" s="622"/>
      <c r="CM315" s="622"/>
      <c r="CN315" s="622"/>
      <c r="CO315" s="622"/>
      <c r="CP315" s="622"/>
      <c r="CQ315" s="622"/>
      <c r="CR315" s="622"/>
      <c r="CS315" s="622"/>
      <c r="CT315" s="622"/>
      <c r="CU315" s="622"/>
      <c r="CV315" s="622"/>
      <c r="CW315" s="622"/>
      <c r="CX315" s="622"/>
      <c r="CY315" s="622"/>
      <c r="CZ315" s="622"/>
      <c r="DA315" s="622"/>
      <c r="DB315" s="622"/>
      <c r="DC315" s="622"/>
      <c r="DD315" s="622"/>
      <c r="DE315" s="622"/>
      <c r="DF315" s="622"/>
      <c r="DG315" s="622"/>
      <c r="DH315" s="622"/>
      <c r="DI315" s="622"/>
      <c r="DJ315" s="622"/>
      <c r="DK315" s="622"/>
      <c r="DL315" s="622"/>
      <c r="DM315" s="622"/>
      <c r="DN315" s="622"/>
      <c r="DO315" s="622"/>
      <c r="DP315" s="622"/>
      <c r="DQ315" s="623"/>
      <c r="DR315" s="233"/>
    </row>
    <row r="316" spans="1:122" ht="7.5" customHeight="1" x14ac:dyDescent="0.25">
      <c r="A316" s="588"/>
      <c r="B316" s="589"/>
      <c r="C316" s="589"/>
      <c r="D316" s="589"/>
      <c r="E316" s="590"/>
      <c r="F316" s="152"/>
      <c r="G316" s="597" t="str">
        <f>INDEX('Merit Data'!A:A,ROW('Merit Data'!A50:A51)-COUNTA($G$272:G315)*2,COLUMN('Merit Data'!A50:A51))</f>
        <v>Disarming Accuracy</v>
      </c>
      <c r="H316" s="597"/>
      <c r="I316" s="597"/>
      <c r="J316" s="597"/>
      <c r="K316" s="597"/>
      <c r="L316" s="597"/>
      <c r="M316" s="597"/>
      <c r="N316" s="597"/>
      <c r="O316" s="597"/>
      <c r="P316" s="597"/>
      <c r="Q316" s="597"/>
      <c r="R316" s="597"/>
      <c r="S316" s="597"/>
      <c r="T316" s="597"/>
      <c r="U316" s="597"/>
      <c r="V316" s="597"/>
      <c r="W316" s="597"/>
      <c r="X316" s="597"/>
      <c r="Y316" s="597"/>
      <c r="Z316" s="600">
        <f>VLOOKUP($G316,'Merit Data'!$A:$BW,MATCH('Merit Data'!$E$3,'Merit Data'!$3:$3,0),0)</f>
        <v>200</v>
      </c>
      <c r="AA316" s="600"/>
      <c r="AB316" s="600"/>
      <c r="AC316" s="600"/>
      <c r="AD316" s="600"/>
      <c r="AE316" s="600"/>
      <c r="AF316" s="600"/>
      <c r="AG316" s="601"/>
      <c r="AH316" s="606" t="str">
        <f ca="1">IF(NOT(ISERROR(VLOOKUP($G316,'Merit Data'!$A:$CE,MATCH('Merit Data'!$BX$3,'Merit Data'!$3:$3,0),0))),VLOOKUP($G316,'Merit Data'!$A:$CE,MATCH('Merit Data'!$BX$3,'Merit Data'!$3:$3,0),0),"")</f>
        <v>Disarm</v>
      </c>
      <c r="AI316" s="607"/>
      <c r="AJ316" s="607"/>
      <c r="AK316" s="607"/>
      <c r="AL316" s="607"/>
      <c r="AM316" s="607"/>
      <c r="AN316" s="607"/>
      <c r="AO316" s="607"/>
      <c r="AP316" s="607"/>
      <c r="AQ316" s="607"/>
      <c r="AR316" s="607"/>
      <c r="AS316" s="607"/>
      <c r="AT316" s="607"/>
      <c r="AU316" s="607"/>
      <c r="AV316" s="607"/>
      <c r="AW316" s="608"/>
      <c r="AX316" s="615" t="str">
        <f>VLOOKUP($G316,'Merit Data'!$A:$BW,MATCH('Merit Data'!$F$3,'Merit Data'!$3:$3,0),0)</f>
        <v>When you use Disarm, you gain a +4 bonus to the attack roll.</v>
      </c>
      <c r="AY316" s="616"/>
      <c r="AZ316" s="616"/>
      <c r="BA316" s="616"/>
      <c r="BB316" s="616"/>
      <c r="BC316" s="616"/>
      <c r="BD316" s="616"/>
      <c r="BE316" s="616"/>
      <c r="BF316" s="616"/>
      <c r="BG316" s="616"/>
      <c r="BH316" s="616"/>
      <c r="BI316" s="616"/>
      <c r="BJ316" s="616"/>
      <c r="BK316" s="616"/>
      <c r="BL316" s="616"/>
      <c r="BM316" s="616"/>
      <c r="BN316" s="616"/>
      <c r="BO316" s="616"/>
      <c r="BP316" s="616"/>
      <c r="BQ316" s="616"/>
      <c r="BR316" s="616"/>
      <c r="BS316" s="616"/>
      <c r="BT316" s="616"/>
      <c r="BU316" s="616"/>
      <c r="BV316" s="616"/>
      <c r="BW316" s="616"/>
      <c r="BX316" s="616"/>
      <c r="BY316" s="616"/>
      <c r="BZ316" s="616"/>
      <c r="CA316" s="616"/>
      <c r="CB316" s="616"/>
      <c r="CC316" s="616"/>
      <c r="CD316" s="616"/>
      <c r="CE316" s="616"/>
      <c r="CF316" s="616"/>
      <c r="CG316" s="616"/>
      <c r="CH316" s="616"/>
      <c r="CI316" s="616"/>
      <c r="CJ316" s="616"/>
      <c r="CK316" s="616"/>
      <c r="CL316" s="616"/>
      <c r="CM316" s="616"/>
      <c r="CN316" s="616"/>
      <c r="CO316" s="616"/>
      <c r="CP316" s="616"/>
      <c r="CQ316" s="616"/>
      <c r="CR316" s="616"/>
      <c r="CS316" s="616"/>
      <c r="CT316" s="616"/>
      <c r="CU316" s="616"/>
      <c r="CV316" s="616"/>
      <c r="CW316" s="616"/>
      <c r="CX316" s="616"/>
      <c r="CY316" s="616"/>
      <c r="CZ316" s="616"/>
      <c r="DA316" s="616"/>
      <c r="DB316" s="616"/>
      <c r="DC316" s="616"/>
      <c r="DD316" s="616"/>
      <c r="DE316" s="616"/>
      <c r="DF316" s="616"/>
      <c r="DG316" s="616"/>
      <c r="DH316" s="616"/>
      <c r="DI316" s="616"/>
      <c r="DJ316" s="616"/>
      <c r="DK316" s="616"/>
      <c r="DL316" s="616"/>
      <c r="DM316" s="616"/>
      <c r="DN316" s="616"/>
      <c r="DO316" s="616"/>
      <c r="DP316" s="616"/>
      <c r="DQ316" s="617"/>
      <c r="DR316" s="233"/>
    </row>
    <row r="317" spans="1:122" ht="7.5" customHeight="1" x14ac:dyDescent="0.25">
      <c r="A317" s="591"/>
      <c r="B317" s="592"/>
      <c r="C317" s="592"/>
      <c r="D317" s="592"/>
      <c r="E317" s="593"/>
      <c r="F317" s="153"/>
      <c r="G317" s="598"/>
      <c r="H317" s="598"/>
      <c r="I317" s="598"/>
      <c r="J317" s="598"/>
      <c r="K317" s="598"/>
      <c r="L317" s="598"/>
      <c r="M317" s="598"/>
      <c r="N317" s="598"/>
      <c r="O317" s="598"/>
      <c r="P317" s="598"/>
      <c r="Q317" s="598"/>
      <c r="R317" s="598"/>
      <c r="S317" s="598"/>
      <c r="T317" s="598"/>
      <c r="U317" s="598"/>
      <c r="V317" s="598"/>
      <c r="W317" s="598"/>
      <c r="X317" s="598"/>
      <c r="Y317" s="598"/>
      <c r="Z317" s="602"/>
      <c r="AA317" s="602"/>
      <c r="AB317" s="602"/>
      <c r="AC317" s="602"/>
      <c r="AD317" s="602"/>
      <c r="AE317" s="602"/>
      <c r="AF317" s="602"/>
      <c r="AG317" s="603"/>
      <c r="AH317" s="609"/>
      <c r="AI317" s="610"/>
      <c r="AJ317" s="610"/>
      <c r="AK317" s="610"/>
      <c r="AL317" s="610"/>
      <c r="AM317" s="610"/>
      <c r="AN317" s="610"/>
      <c r="AO317" s="610"/>
      <c r="AP317" s="610"/>
      <c r="AQ317" s="610"/>
      <c r="AR317" s="610"/>
      <c r="AS317" s="610"/>
      <c r="AT317" s="610"/>
      <c r="AU317" s="610"/>
      <c r="AV317" s="610"/>
      <c r="AW317" s="611"/>
      <c r="AX317" s="618"/>
      <c r="AY317" s="619"/>
      <c r="AZ317" s="619"/>
      <c r="BA317" s="619"/>
      <c r="BB317" s="619"/>
      <c r="BC317" s="619"/>
      <c r="BD317" s="619"/>
      <c r="BE317" s="619"/>
      <c r="BF317" s="619"/>
      <c r="BG317" s="619"/>
      <c r="BH317" s="619"/>
      <c r="BI317" s="619"/>
      <c r="BJ317" s="619"/>
      <c r="BK317" s="619"/>
      <c r="BL317" s="619"/>
      <c r="BM317" s="619"/>
      <c r="BN317" s="619"/>
      <c r="BO317" s="619"/>
      <c r="BP317" s="619"/>
      <c r="BQ317" s="619"/>
      <c r="BR317" s="619"/>
      <c r="BS317" s="619"/>
      <c r="BT317" s="619"/>
      <c r="BU317" s="619"/>
      <c r="BV317" s="619"/>
      <c r="BW317" s="619"/>
      <c r="BX317" s="619"/>
      <c r="BY317" s="619"/>
      <c r="BZ317" s="619"/>
      <c r="CA317" s="619"/>
      <c r="CB317" s="619"/>
      <c r="CC317" s="619"/>
      <c r="CD317" s="619"/>
      <c r="CE317" s="619"/>
      <c r="CF317" s="619"/>
      <c r="CG317" s="619"/>
      <c r="CH317" s="619"/>
      <c r="CI317" s="619"/>
      <c r="CJ317" s="619"/>
      <c r="CK317" s="619"/>
      <c r="CL317" s="619"/>
      <c r="CM317" s="619"/>
      <c r="CN317" s="619"/>
      <c r="CO317" s="619"/>
      <c r="CP317" s="619"/>
      <c r="CQ317" s="619"/>
      <c r="CR317" s="619"/>
      <c r="CS317" s="619"/>
      <c r="CT317" s="619"/>
      <c r="CU317" s="619"/>
      <c r="CV317" s="619"/>
      <c r="CW317" s="619"/>
      <c r="CX317" s="619"/>
      <c r="CY317" s="619"/>
      <c r="CZ317" s="619"/>
      <c r="DA317" s="619"/>
      <c r="DB317" s="619"/>
      <c r="DC317" s="619"/>
      <c r="DD317" s="619"/>
      <c r="DE317" s="619"/>
      <c r="DF317" s="619"/>
      <c r="DG317" s="619"/>
      <c r="DH317" s="619"/>
      <c r="DI317" s="619"/>
      <c r="DJ317" s="619"/>
      <c r="DK317" s="619"/>
      <c r="DL317" s="619"/>
      <c r="DM317" s="619"/>
      <c r="DN317" s="619"/>
      <c r="DO317" s="619"/>
      <c r="DP317" s="619"/>
      <c r="DQ317" s="620"/>
      <c r="DR317" s="233"/>
    </row>
    <row r="318" spans="1:122" ht="7.5" customHeight="1" x14ac:dyDescent="0.25">
      <c r="A318" s="594"/>
      <c r="B318" s="595"/>
      <c r="C318" s="595"/>
      <c r="D318" s="595"/>
      <c r="E318" s="596"/>
      <c r="F318" s="154"/>
      <c r="G318" s="599"/>
      <c r="H318" s="599"/>
      <c r="I318" s="599"/>
      <c r="J318" s="599"/>
      <c r="K318" s="599"/>
      <c r="L318" s="599"/>
      <c r="M318" s="599"/>
      <c r="N318" s="599"/>
      <c r="O318" s="599"/>
      <c r="P318" s="599"/>
      <c r="Q318" s="599"/>
      <c r="R318" s="599"/>
      <c r="S318" s="599"/>
      <c r="T318" s="599"/>
      <c r="U318" s="599"/>
      <c r="V318" s="599"/>
      <c r="W318" s="599"/>
      <c r="X318" s="599"/>
      <c r="Y318" s="599"/>
      <c r="Z318" s="602"/>
      <c r="AA318" s="602"/>
      <c r="AB318" s="602"/>
      <c r="AC318" s="602"/>
      <c r="AD318" s="602"/>
      <c r="AE318" s="602"/>
      <c r="AF318" s="602"/>
      <c r="AG318" s="603"/>
      <c r="AH318" s="609"/>
      <c r="AI318" s="610"/>
      <c r="AJ318" s="610"/>
      <c r="AK318" s="610"/>
      <c r="AL318" s="610"/>
      <c r="AM318" s="610"/>
      <c r="AN318" s="610"/>
      <c r="AO318" s="610"/>
      <c r="AP318" s="610"/>
      <c r="AQ318" s="610"/>
      <c r="AR318" s="610"/>
      <c r="AS318" s="610"/>
      <c r="AT318" s="610"/>
      <c r="AU318" s="610"/>
      <c r="AV318" s="610"/>
      <c r="AW318" s="611"/>
      <c r="AX318" s="618"/>
      <c r="AY318" s="619"/>
      <c r="AZ318" s="619"/>
      <c r="BA318" s="619"/>
      <c r="BB318" s="619"/>
      <c r="BC318" s="619"/>
      <c r="BD318" s="619"/>
      <c r="BE318" s="619"/>
      <c r="BF318" s="619"/>
      <c r="BG318" s="619"/>
      <c r="BH318" s="619"/>
      <c r="BI318" s="619"/>
      <c r="BJ318" s="619"/>
      <c r="BK318" s="619"/>
      <c r="BL318" s="619"/>
      <c r="BM318" s="619"/>
      <c r="BN318" s="619"/>
      <c r="BO318" s="619"/>
      <c r="BP318" s="619"/>
      <c r="BQ318" s="619"/>
      <c r="BR318" s="619"/>
      <c r="BS318" s="619"/>
      <c r="BT318" s="619"/>
      <c r="BU318" s="619"/>
      <c r="BV318" s="619"/>
      <c r="BW318" s="619"/>
      <c r="BX318" s="619"/>
      <c r="BY318" s="619"/>
      <c r="BZ318" s="619"/>
      <c r="CA318" s="619"/>
      <c r="CB318" s="619"/>
      <c r="CC318" s="619"/>
      <c r="CD318" s="619"/>
      <c r="CE318" s="619"/>
      <c r="CF318" s="619"/>
      <c r="CG318" s="619"/>
      <c r="CH318" s="619"/>
      <c r="CI318" s="619"/>
      <c r="CJ318" s="619"/>
      <c r="CK318" s="619"/>
      <c r="CL318" s="619"/>
      <c r="CM318" s="619"/>
      <c r="CN318" s="619"/>
      <c r="CO318" s="619"/>
      <c r="CP318" s="619"/>
      <c r="CQ318" s="619"/>
      <c r="CR318" s="619"/>
      <c r="CS318" s="619"/>
      <c r="CT318" s="619"/>
      <c r="CU318" s="619"/>
      <c r="CV318" s="619"/>
      <c r="CW318" s="619"/>
      <c r="CX318" s="619"/>
      <c r="CY318" s="619"/>
      <c r="CZ318" s="619"/>
      <c r="DA318" s="619"/>
      <c r="DB318" s="619"/>
      <c r="DC318" s="619"/>
      <c r="DD318" s="619"/>
      <c r="DE318" s="619"/>
      <c r="DF318" s="619"/>
      <c r="DG318" s="619"/>
      <c r="DH318" s="619"/>
      <c r="DI318" s="619"/>
      <c r="DJ318" s="619"/>
      <c r="DK318" s="619"/>
      <c r="DL318" s="619"/>
      <c r="DM318" s="619"/>
      <c r="DN318" s="619"/>
      <c r="DO318" s="619"/>
      <c r="DP318" s="619"/>
      <c r="DQ318" s="620"/>
      <c r="DR318" s="233"/>
    </row>
    <row r="319" spans="1:122" ht="7.5" customHeight="1" x14ac:dyDescent="0.25">
      <c r="A319" s="119"/>
      <c r="B319" s="119"/>
      <c r="C319" s="119"/>
      <c r="D319" s="119"/>
      <c r="E319" s="119"/>
      <c r="F319" s="624" t="str">
        <f>G316</f>
        <v>Disarming Accuracy</v>
      </c>
      <c r="G319" s="624"/>
      <c r="H319" s="624"/>
      <c r="I319" s="624"/>
      <c r="J319" s="624"/>
      <c r="K319" s="625">
        <f>IF(A316&gt;0,Z316,0)</f>
        <v>0</v>
      </c>
      <c r="L319" s="625"/>
      <c r="M319" s="625"/>
      <c r="N319" s="626" t="b">
        <f>IF($G316&lt;&gt;"",VLOOKUP($G316,'Merit Data'!$A:$BW,MATCH('Merit Data'!$B$3,'Merit Data'!$3:$3,0),0),TRUE)</f>
        <v>0</v>
      </c>
      <c r="O319" s="626"/>
      <c r="P319" s="626"/>
      <c r="Q319" s="155"/>
      <c r="R319" s="140"/>
      <c r="S319" s="140"/>
      <c r="T319" s="140"/>
      <c r="U319" s="140"/>
      <c r="V319" s="238"/>
      <c r="W319" s="238"/>
      <c r="X319" s="627" t="str">
        <f>IF(F319&gt;0,HYPERLINK("http://wiki.project-saros.com/w/"&amp;F319,"Info"),"")</f>
        <v>Info</v>
      </c>
      <c r="Y319" s="628"/>
      <c r="Z319" s="604"/>
      <c r="AA319" s="604"/>
      <c r="AB319" s="604"/>
      <c r="AC319" s="604"/>
      <c r="AD319" s="604"/>
      <c r="AE319" s="604"/>
      <c r="AF319" s="604"/>
      <c r="AG319" s="605"/>
      <c r="AH319" s="612"/>
      <c r="AI319" s="613"/>
      <c r="AJ319" s="613"/>
      <c r="AK319" s="613"/>
      <c r="AL319" s="613"/>
      <c r="AM319" s="613"/>
      <c r="AN319" s="613"/>
      <c r="AO319" s="613"/>
      <c r="AP319" s="613"/>
      <c r="AQ319" s="613"/>
      <c r="AR319" s="613"/>
      <c r="AS319" s="613"/>
      <c r="AT319" s="613"/>
      <c r="AU319" s="613"/>
      <c r="AV319" s="613"/>
      <c r="AW319" s="614"/>
      <c r="AX319" s="621"/>
      <c r="AY319" s="622"/>
      <c r="AZ319" s="622"/>
      <c r="BA319" s="622"/>
      <c r="BB319" s="622"/>
      <c r="BC319" s="622"/>
      <c r="BD319" s="622"/>
      <c r="BE319" s="622"/>
      <c r="BF319" s="622"/>
      <c r="BG319" s="622"/>
      <c r="BH319" s="622"/>
      <c r="BI319" s="622"/>
      <c r="BJ319" s="622"/>
      <c r="BK319" s="622"/>
      <c r="BL319" s="622"/>
      <c r="BM319" s="622"/>
      <c r="BN319" s="622"/>
      <c r="BO319" s="622"/>
      <c r="BP319" s="622"/>
      <c r="BQ319" s="622"/>
      <c r="BR319" s="622"/>
      <c r="BS319" s="622"/>
      <c r="BT319" s="622"/>
      <c r="BU319" s="622"/>
      <c r="BV319" s="622"/>
      <c r="BW319" s="622"/>
      <c r="BX319" s="622"/>
      <c r="BY319" s="622"/>
      <c r="BZ319" s="622"/>
      <c r="CA319" s="622"/>
      <c r="CB319" s="622"/>
      <c r="CC319" s="622"/>
      <c r="CD319" s="622"/>
      <c r="CE319" s="622"/>
      <c r="CF319" s="622"/>
      <c r="CG319" s="622"/>
      <c r="CH319" s="622"/>
      <c r="CI319" s="622"/>
      <c r="CJ319" s="622"/>
      <c r="CK319" s="622"/>
      <c r="CL319" s="622"/>
      <c r="CM319" s="622"/>
      <c r="CN319" s="622"/>
      <c r="CO319" s="622"/>
      <c r="CP319" s="622"/>
      <c r="CQ319" s="622"/>
      <c r="CR319" s="622"/>
      <c r="CS319" s="622"/>
      <c r="CT319" s="622"/>
      <c r="CU319" s="622"/>
      <c r="CV319" s="622"/>
      <c r="CW319" s="622"/>
      <c r="CX319" s="622"/>
      <c r="CY319" s="622"/>
      <c r="CZ319" s="622"/>
      <c r="DA319" s="622"/>
      <c r="DB319" s="622"/>
      <c r="DC319" s="622"/>
      <c r="DD319" s="622"/>
      <c r="DE319" s="622"/>
      <c r="DF319" s="622"/>
      <c r="DG319" s="622"/>
      <c r="DH319" s="622"/>
      <c r="DI319" s="622"/>
      <c r="DJ319" s="622"/>
      <c r="DK319" s="622"/>
      <c r="DL319" s="622"/>
      <c r="DM319" s="622"/>
      <c r="DN319" s="622"/>
      <c r="DO319" s="622"/>
      <c r="DP319" s="622"/>
      <c r="DQ319" s="623"/>
      <c r="DR319" s="233"/>
    </row>
    <row r="320" spans="1:122" ht="7.5" customHeight="1" x14ac:dyDescent="0.25">
      <c r="A320" s="588"/>
      <c r="B320" s="589"/>
      <c r="C320" s="589"/>
      <c r="D320" s="589"/>
      <c r="E320" s="590"/>
      <c r="F320" s="152"/>
      <c r="G320" s="597" t="str">
        <f>INDEX('Merit Data'!A:A,ROW('Merit Data'!A54:A55)-COUNTA($G$272:G319)*2,COLUMN('Merit Data'!A54:A55))</f>
        <v>Evasion</v>
      </c>
      <c r="H320" s="597"/>
      <c r="I320" s="597"/>
      <c r="J320" s="597"/>
      <c r="K320" s="597"/>
      <c r="L320" s="597"/>
      <c r="M320" s="597"/>
      <c r="N320" s="597"/>
      <c r="O320" s="597"/>
      <c r="P320" s="597"/>
      <c r="Q320" s="597"/>
      <c r="R320" s="597"/>
      <c r="S320" s="597"/>
      <c r="T320" s="597"/>
      <c r="U320" s="597"/>
      <c r="V320" s="597"/>
      <c r="W320" s="597"/>
      <c r="X320" s="597"/>
      <c r="Y320" s="597"/>
      <c r="Z320" s="600">
        <f>VLOOKUP($G320,'Merit Data'!$A:$BW,MATCH('Merit Data'!$E$3,'Merit Data'!$3:$3,0),0)</f>
        <v>200</v>
      </c>
      <c r="AA320" s="600"/>
      <c r="AB320" s="600"/>
      <c r="AC320" s="600"/>
      <c r="AD320" s="600"/>
      <c r="AE320" s="600"/>
      <c r="AF320" s="600"/>
      <c r="AG320" s="601"/>
      <c r="AH320" s="606" t="str">
        <f ca="1">IF(NOT(ISERROR(VLOOKUP($G320,'Merit Data'!$A:$CE,MATCH('Merit Data'!$BX$3,'Merit Data'!$3:$3,0),0))),VLOOKUP($G320,'Merit Data'!$A:$CE,MATCH('Merit Data'!$BX$3,'Merit Data'!$3:$3,0),0),"")</f>
        <v>Agility (18), Acrobatics (8)</v>
      </c>
      <c r="AI320" s="607"/>
      <c r="AJ320" s="607"/>
      <c r="AK320" s="607"/>
      <c r="AL320" s="607"/>
      <c r="AM320" s="607"/>
      <c r="AN320" s="607"/>
      <c r="AO320" s="607"/>
      <c r="AP320" s="607"/>
      <c r="AQ320" s="607"/>
      <c r="AR320" s="607"/>
      <c r="AS320" s="607"/>
      <c r="AT320" s="607"/>
      <c r="AU320" s="607"/>
      <c r="AV320" s="607"/>
      <c r="AW320" s="608"/>
      <c r="AX320" s="615" t="str">
        <f>VLOOKUP($G320,'Merit Data'!$A:$BW,MATCH('Merit Data'!$F$3,'Merit Data'!$3:$3,0),0)</f>
        <v xml:space="preserve">When you are attacked by the last opponent you made a melee attack against, you may pay 5 AP to add an acrobatics check to your dodge. </v>
      </c>
      <c r="AY320" s="616"/>
      <c r="AZ320" s="616"/>
      <c r="BA320" s="616"/>
      <c r="BB320" s="616"/>
      <c r="BC320" s="616"/>
      <c r="BD320" s="616"/>
      <c r="BE320" s="616"/>
      <c r="BF320" s="616"/>
      <c r="BG320" s="616"/>
      <c r="BH320" s="616"/>
      <c r="BI320" s="616"/>
      <c r="BJ320" s="616"/>
      <c r="BK320" s="616"/>
      <c r="BL320" s="616"/>
      <c r="BM320" s="616"/>
      <c r="BN320" s="616"/>
      <c r="BO320" s="616"/>
      <c r="BP320" s="616"/>
      <c r="BQ320" s="616"/>
      <c r="BR320" s="616"/>
      <c r="BS320" s="616"/>
      <c r="BT320" s="616"/>
      <c r="BU320" s="616"/>
      <c r="BV320" s="616"/>
      <c r="BW320" s="616"/>
      <c r="BX320" s="616"/>
      <c r="BY320" s="616"/>
      <c r="BZ320" s="616"/>
      <c r="CA320" s="616"/>
      <c r="CB320" s="616"/>
      <c r="CC320" s="616"/>
      <c r="CD320" s="616"/>
      <c r="CE320" s="616"/>
      <c r="CF320" s="616"/>
      <c r="CG320" s="616"/>
      <c r="CH320" s="616"/>
      <c r="CI320" s="616"/>
      <c r="CJ320" s="616"/>
      <c r="CK320" s="616"/>
      <c r="CL320" s="616"/>
      <c r="CM320" s="616"/>
      <c r="CN320" s="616"/>
      <c r="CO320" s="616"/>
      <c r="CP320" s="616"/>
      <c r="CQ320" s="616"/>
      <c r="CR320" s="616"/>
      <c r="CS320" s="616"/>
      <c r="CT320" s="616"/>
      <c r="CU320" s="616"/>
      <c r="CV320" s="616"/>
      <c r="CW320" s="616"/>
      <c r="CX320" s="616"/>
      <c r="CY320" s="616"/>
      <c r="CZ320" s="616"/>
      <c r="DA320" s="616"/>
      <c r="DB320" s="616"/>
      <c r="DC320" s="616"/>
      <c r="DD320" s="616"/>
      <c r="DE320" s="616"/>
      <c r="DF320" s="616"/>
      <c r="DG320" s="616"/>
      <c r="DH320" s="616"/>
      <c r="DI320" s="616"/>
      <c r="DJ320" s="616"/>
      <c r="DK320" s="616"/>
      <c r="DL320" s="616"/>
      <c r="DM320" s="616"/>
      <c r="DN320" s="616"/>
      <c r="DO320" s="616"/>
      <c r="DP320" s="616"/>
      <c r="DQ320" s="617"/>
      <c r="DR320" s="233"/>
    </row>
    <row r="321" spans="1:122" ht="7.5" customHeight="1" x14ac:dyDescent="0.25">
      <c r="A321" s="591"/>
      <c r="B321" s="592"/>
      <c r="C321" s="592"/>
      <c r="D321" s="592"/>
      <c r="E321" s="593"/>
      <c r="F321" s="153"/>
      <c r="G321" s="598"/>
      <c r="H321" s="598"/>
      <c r="I321" s="598"/>
      <c r="J321" s="598"/>
      <c r="K321" s="598"/>
      <c r="L321" s="598"/>
      <c r="M321" s="598"/>
      <c r="N321" s="598"/>
      <c r="O321" s="598"/>
      <c r="P321" s="598"/>
      <c r="Q321" s="598"/>
      <c r="R321" s="598"/>
      <c r="S321" s="598"/>
      <c r="T321" s="598"/>
      <c r="U321" s="598"/>
      <c r="V321" s="598"/>
      <c r="W321" s="598"/>
      <c r="X321" s="598"/>
      <c r="Y321" s="598"/>
      <c r="Z321" s="602"/>
      <c r="AA321" s="602"/>
      <c r="AB321" s="602"/>
      <c r="AC321" s="602"/>
      <c r="AD321" s="602"/>
      <c r="AE321" s="602"/>
      <c r="AF321" s="602"/>
      <c r="AG321" s="603"/>
      <c r="AH321" s="609"/>
      <c r="AI321" s="610"/>
      <c r="AJ321" s="610"/>
      <c r="AK321" s="610"/>
      <c r="AL321" s="610"/>
      <c r="AM321" s="610"/>
      <c r="AN321" s="610"/>
      <c r="AO321" s="610"/>
      <c r="AP321" s="610"/>
      <c r="AQ321" s="610"/>
      <c r="AR321" s="610"/>
      <c r="AS321" s="610"/>
      <c r="AT321" s="610"/>
      <c r="AU321" s="610"/>
      <c r="AV321" s="610"/>
      <c r="AW321" s="611"/>
      <c r="AX321" s="618"/>
      <c r="AY321" s="619"/>
      <c r="AZ321" s="619"/>
      <c r="BA321" s="619"/>
      <c r="BB321" s="619"/>
      <c r="BC321" s="619"/>
      <c r="BD321" s="619"/>
      <c r="BE321" s="619"/>
      <c r="BF321" s="619"/>
      <c r="BG321" s="619"/>
      <c r="BH321" s="619"/>
      <c r="BI321" s="619"/>
      <c r="BJ321" s="619"/>
      <c r="BK321" s="619"/>
      <c r="BL321" s="619"/>
      <c r="BM321" s="619"/>
      <c r="BN321" s="619"/>
      <c r="BO321" s="619"/>
      <c r="BP321" s="619"/>
      <c r="BQ321" s="619"/>
      <c r="BR321" s="619"/>
      <c r="BS321" s="619"/>
      <c r="BT321" s="619"/>
      <c r="BU321" s="619"/>
      <c r="BV321" s="619"/>
      <c r="BW321" s="619"/>
      <c r="BX321" s="619"/>
      <c r="BY321" s="619"/>
      <c r="BZ321" s="619"/>
      <c r="CA321" s="619"/>
      <c r="CB321" s="619"/>
      <c r="CC321" s="619"/>
      <c r="CD321" s="619"/>
      <c r="CE321" s="619"/>
      <c r="CF321" s="619"/>
      <c r="CG321" s="619"/>
      <c r="CH321" s="619"/>
      <c r="CI321" s="619"/>
      <c r="CJ321" s="619"/>
      <c r="CK321" s="619"/>
      <c r="CL321" s="619"/>
      <c r="CM321" s="619"/>
      <c r="CN321" s="619"/>
      <c r="CO321" s="619"/>
      <c r="CP321" s="619"/>
      <c r="CQ321" s="619"/>
      <c r="CR321" s="619"/>
      <c r="CS321" s="619"/>
      <c r="CT321" s="619"/>
      <c r="CU321" s="619"/>
      <c r="CV321" s="619"/>
      <c r="CW321" s="619"/>
      <c r="CX321" s="619"/>
      <c r="CY321" s="619"/>
      <c r="CZ321" s="619"/>
      <c r="DA321" s="619"/>
      <c r="DB321" s="619"/>
      <c r="DC321" s="619"/>
      <c r="DD321" s="619"/>
      <c r="DE321" s="619"/>
      <c r="DF321" s="619"/>
      <c r="DG321" s="619"/>
      <c r="DH321" s="619"/>
      <c r="DI321" s="619"/>
      <c r="DJ321" s="619"/>
      <c r="DK321" s="619"/>
      <c r="DL321" s="619"/>
      <c r="DM321" s="619"/>
      <c r="DN321" s="619"/>
      <c r="DO321" s="619"/>
      <c r="DP321" s="619"/>
      <c r="DQ321" s="620"/>
      <c r="DR321" s="233"/>
    </row>
    <row r="322" spans="1:122" ht="7.5" customHeight="1" x14ac:dyDescent="0.25">
      <c r="A322" s="594"/>
      <c r="B322" s="595"/>
      <c r="C322" s="595"/>
      <c r="D322" s="595"/>
      <c r="E322" s="596"/>
      <c r="F322" s="154"/>
      <c r="G322" s="599"/>
      <c r="H322" s="599"/>
      <c r="I322" s="599"/>
      <c r="J322" s="599"/>
      <c r="K322" s="599"/>
      <c r="L322" s="599"/>
      <c r="M322" s="599"/>
      <c r="N322" s="599"/>
      <c r="O322" s="599"/>
      <c r="P322" s="599"/>
      <c r="Q322" s="599"/>
      <c r="R322" s="599"/>
      <c r="S322" s="599"/>
      <c r="T322" s="599"/>
      <c r="U322" s="599"/>
      <c r="V322" s="599"/>
      <c r="W322" s="599"/>
      <c r="X322" s="599"/>
      <c r="Y322" s="599"/>
      <c r="Z322" s="602"/>
      <c r="AA322" s="602"/>
      <c r="AB322" s="602"/>
      <c r="AC322" s="602"/>
      <c r="AD322" s="602"/>
      <c r="AE322" s="602"/>
      <c r="AF322" s="602"/>
      <c r="AG322" s="603"/>
      <c r="AH322" s="609"/>
      <c r="AI322" s="610"/>
      <c r="AJ322" s="610"/>
      <c r="AK322" s="610"/>
      <c r="AL322" s="610"/>
      <c r="AM322" s="610"/>
      <c r="AN322" s="610"/>
      <c r="AO322" s="610"/>
      <c r="AP322" s="610"/>
      <c r="AQ322" s="610"/>
      <c r="AR322" s="610"/>
      <c r="AS322" s="610"/>
      <c r="AT322" s="610"/>
      <c r="AU322" s="610"/>
      <c r="AV322" s="610"/>
      <c r="AW322" s="611"/>
      <c r="AX322" s="618"/>
      <c r="AY322" s="619"/>
      <c r="AZ322" s="619"/>
      <c r="BA322" s="619"/>
      <c r="BB322" s="619"/>
      <c r="BC322" s="619"/>
      <c r="BD322" s="619"/>
      <c r="BE322" s="619"/>
      <c r="BF322" s="619"/>
      <c r="BG322" s="619"/>
      <c r="BH322" s="619"/>
      <c r="BI322" s="619"/>
      <c r="BJ322" s="619"/>
      <c r="BK322" s="619"/>
      <c r="BL322" s="619"/>
      <c r="BM322" s="619"/>
      <c r="BN322" s="619"/>
      <c r="BO322" s="619"/>
      <c r="BP322" s="619"/>
      <c r="BQ322" s="619"/>
      <c r="BR322" s="619"/>
      <c r="BS322" s="619"/>
      <c r="BT322" s="619"/>
      <c r="BU322" s="619"/>
      <c r="BV322" s="619"/>
      <c r="BW322" s="619"/>
      <c r="BX322" s="619"/>
      <c r="BY322" s="619"/>
      <c r="BZ322" s="619"/>
      <c r="CA322" s="619"/>
      <c r="CB322" s="619"/>
      <c r="CC322" s="619"/>
      <c r="CD322" s="619"/>
      <c r="CE322" s="619"/>
      <c r="CF322" s="619"/>
      <c r="CG322" s="619"/>
      <c r="CH322" s="619"/>
      <c r="CI322" s="619"/>
      <c r="CJ322" s="619"/>
      <c r="CK322" s="619"/>
      <c r="CL322" s="619"/>
      <c r="CM322" s="619"/>
      <c r="CN322" s="619"/>
      <c r="CO322" s="619"/>
      <c r="CP322" s="619"/>
      <c r="CQ322" s="619"/>
      <c r="CR322" s="619"/>
      <c r="CS322" s="619"/>
      <c r="CT322" s="619"/>
      <c r="CU322" s="619"/>
      <c r="CV322" s="619"/>
      <c r="CW322" s="619"/>
      <c r="CX322" s="619"/>
      <c r="CY322" s="619"/>
      <c r="CZ322" s="619"/>
      <c r="DA322" s="619"/>
      <c r="DB322" s="619"/>
      <c r="DC322" s="619"/>
      <c r="DD322" s="619"/>
      <c r="DE322" s="619"/>
      <c r="DF322" s="619"/>
      <c r="DG322" s="619"/>
      <c r="DH322" s="619"/>
      <c r="DI322" s="619"/>
      <c r="DJ322" s="619"/>
      <c r="DK322" s="619"/>
      <c r="DL322" s="619"/>
      <c r="DM322" s="619"/>
      <c r="DN322" s="619"/>
      <c r="DO322" s="619"/>
      <c r="DP322" s="619"/>
      <c r="DQ322" s="620"/>
      <c r="DR322" s="233"/>
    </row>
    <row r="323" spans="1:122" ht="7.5" customHeight="1" x14ac:dyDescent="0.25">
      <c r="A323" s="119"/>
      <c r="B323" s="119"/>
      <c r="C323" s="119"/>
      <c r="D323" s="119"/>
      <c r="E323" s="119"/>
      <c r="F323" s="624" t="str">
        <f>G320</f>
        <v>Evasion</v>
      </c>
      <c r="G323" s="624"/>
      <c r="H323" s="624"/>
      <c r="I323" s="624"/>
      <c r="J323" s="624"/>
      <c r="K323" s="625">
        <f>IF(A320&gt;0,Z320,0)</f>
        <v>0</v>
      </c>
      <c r="L323" s="625"/>
      <c r="M323" s="625"/>
      <c r="N323" s="626" t="b">
        <f>IF($G320&lt;&gt;"",VLOOKUP($G320,'Merit Data'!$A:$BW,MATCH('Merit Data'!$B$3,'Merit Data'!$3:$3,0),0),TRUE)</f>
        <v>1</v>
      </c>
      <c r="O323" s="626"/>
      <c r="P323" s="626"/>
      <c r="Q323" s="155"/>
      <c r="R323" s="140"/>
      <c r="S323" s="140"/>
      <c r="T323" s="140"/>
      <c r="U323" s="140"/>
      <c r="V323" s="238"/>
      <c r="W323" s="238"/>
      <c r="X323" s="627" t="str">
        <f>IF(F323&gt;0,HYPERLINK("http://wiki.project-saros.com/w/"&amp;F323,"Info"),"")</f>
        <v>Info</v>
      </c>
      <c r="Y323" s="628"/>
      <c r="Z323" s="604"/>
      <c r="AA323" s="604"/>
      <c r="AB323" s="604"/>
      <c r="AC323" s="604"/>
      <c r="AD323" s="604"/>
      <c r="AE323" s="604"/>
      <c r="AF323" s="604"/>
      <c r="AG323" s="605"/>
      <c r="AH323" s="612"/>
      <c r="AI323" s="613"/>
      <c r="AJ323" s="613"/>
      <c r="AK323" s="613"/>
      <c r="AL323" s="613"/>
      <c r="AM323" s="613"/>
      <c r="AN323" s="613"/>
      <c r="AO323" s="613"/>
      <c r="AP323" s="613"/>
      <c r="AQ323" s="613"/>
      <c r="AR323" s="613"/>
      <c r="AS323" s="613"/>
      <c r="AT323" s="613"/>
      <c r="AU323" s="613"/>
      <c r="AV323" s="613"/>
      <c r="AW323" s="614"/>
      <c r="AX323" s="621"/>
      <c r="AY323" s="622"/>
      <c r="AZ323" s="622"/>
      <c r="BA323" s="622"/>
      <c r="BB323" s="622"/>
      <c r="BC323" s="622"/>
      <c r="BD323" s="622"/>
      <c r="BE323" s="622"/>
      <c r="BF323" s="622"/>
      <c r="BG323" s="622"/>
      <c r="BH323" s="622"/>
      <c r="BI323" s="622"/>
      <c r="BJ323" s="622"/>
      <c r="BK323" s="622"/>
      <c r="BL323" s="622"/>
      <c r="BM323" s="622"/>
      <c r="BN323" s="622"/>
      <c r="BO323" s="622"/>
      <c r="BP323" s="622"/>
      <c r="BQ323" s="622"/>
      <c r="BR323" s="622"/>
      <c r="BS323" s="622"/>
      <c r="BT323" s="622"/>
      <c r="BU323" s="622"/>
      <c r="BV323" s="622"/>
      <c r="BW323" s="622"/>
      <c r="BX323" s="622"/>
      <c r="BY323" s="622"/>
      <c r="BZ323" s="622"/>
      <c r="CA323" s="622"/>
      <c r="CB323" s="622"/>
      <c r="CC323" s="622"/>
      <c r="CD323" s="622"/>
      <c r="CE323" s="622"/>
      <c r="CF323" s="622"/>
      <c r="CG323" s="622"/>
      <c r="CH323" s="622"/>
      <c r="CI323" s="622"/>
      <c r="CJ323" s="622"/>
      <c r="CK323" s="622"/>
      <c r="CL323" s="622"/>
      <c r="CM323" s="622"/>
      <c r="CN323" s="622"/>
      <c r="CO323" s="622"/>
      <c r="CP323" s="622"/>
      <c r="CQ323" s="622"/>
      <c r="CR323" s="622"/>
      <c r="CS323" s="622"/>
      <c r="CT323" s="622"/>
      <c r="CU323" s="622"/>
      <c r="CV323" s="622"/>
      <c r="CW323" s="622"/>
      <c r="CX323" s="622"/>
      <c r="CY323" s="622"/>
      <c r="CZ323" s="622"/>
      <c r="DA323" s="622"/>
      <c r="DB323" s="622"/>
      <c r="DC323" s="622"/>
      <c r="DD323" s="622"/>
      <c r="DE323" s="622"/>
      <c r="DF323" s="622"/>
      <c r="DG323" s="622"/>
      <c r="DH323" s="622"/>
      <c r="DI323" s="622"/>
      <c r="DJ323" s="622"/>
      <c r="DK323" s="622"/>
      <c r="DL323" s="622"/>
      <c r="DM323" s="622"/>
      <c r="DN323" s="622"/>
      <c r="DO323" s="622"/>
      <c r="DP323" s="622"/>
      <c r="DQ323" s="623"/>
      <c r="DR323" s="233"/>
    </row>
    <row r="324" spans="1:122" ht="7.5" customHeight="1" x14ac:dyDescent="0.25">
      <c r="A324" s="588"/>
      <c r="B324" s="589"/>
      <c r="C324" s="589"/>
      <c r="D324" s="589"/>
      <c r="E324" s="590"/>
      <c r="F324" s="152"/>
      <c r="G324" s="597" t="str">
        <f>INDEX('Merit Data'!A:A,ROW('Merit Data'!A58:A59)-COUNTA($G$272:G323)*2,COLUMN('Merit Data'!A58:A59))</f>
        <v>Uncanny Dodge</v>
      </c>
      <c r="H324" s="597"/>
      <c r="I324" s="597"/>
      <c r="J324" s="597"/>
      <c r="K324" s="597"/>
      <c r="L324" s="597"/>
      <c r="M324" s="597"/>
      <c r="N324" s="597"/>
      <c r="O324" s="597"/>
      <c r="P324" s="597"/>
      <c r="Q324" s="597"/>
      <c r="R324" s="597"/>
      <c r="S324" s="597"/>
      <c r="T324" s="597"/>
      <c r="U324" s="597"/>
      <c r="V324" s="597"/>
      <c r="W324" s="597"/>
      <c r="X324" s="597"/>
      <c r="Y324" s="597"/>
      <c r="Z324" s="600">
        <f>VLOOKUP($G324,'Merit Data'!$A:$BW,MATCH('Merit Data'!$E$3,'Merit Data'!$3:$3,0),0)</f>
        <v>200</v>
      </c>
      <c r="AA324" s="600"/>
      <c r="AB324" s="600"/>
      <c r="AC324" s="600"/>
      <c r="AD324" s="600"/>
      <c r="AE324" s="600"/>
      <c r="AF324" s="600"/>
      <c r="AG324" s="601"/>
      <c r="AH324" s="606" t="str">
        <f ca="1">IF(NOT(ISERROR(VLOOKUP($G324,'Merit Data'!$A:$CE,MATCH('Merit Data'!$BX$3,'Merit Data'!$3:$3,0),0))),VLOOKUP($G324,'Merit Data'!$A:$CE,MATCH('Merit Data'!$BX$3,'Merit Data'!$3:$3,0),0),"")</f>
        <v>23</v>
      </c>
      <c r="AI324" s="607"/>
      <c r="AJ324" s="607"/>
      <c r="AK324" s="607"/>
      <c r="AL324" s="607"/>
      <c r="AM324" s="607"/>
      <c r="AN324" s="607"/>
      <c r="AO324" s="607"/>
      <c r="AP324" s="607"/>
      <c r="AQ324" s="607"/>
      <c r="AR324" s="607"/>
      <c r="AS324" s="607"/>
      <c r="AT324" s="607"/>
      <c r="AU324" s="607"/>
      <c r="AV324" s="607"/>
      <c r="AW324" s="608"/>
      <c r="AX324" s="615" t="str">
        <f>VLOOKUP($G324,'Merit Data'!$A:$BW,MATCH('Merit Data'!$F$3,'Merit Data'!$3:$3,0),0)</f>
        <v xml:space="preserve">You are subconsciously aware of danger. When you provide advantage, you provide 2 less accuracy bonus. </v>
      </c>
      <c r="AY324" s="616"/>
      <c r="AZ324" s="616"/>
      <c r="BA324" s="616"/>
      <c r="BB324" s="616"/>
      <c r="BC324" s="616"/>
      <c r="BD324" s="616"/>
      <c r="BE324" s="616"/>
      <c r="BF324" s="616"/>
      <c r="BG324" s="616"/>
      <c r="BH324" s="616"/>
      <c r="BI324" s="616"/>
      <c r="BJ324" s="616"/>
      <c r="BK324" s="616"/>
      <c r="BL324" s="616"/>
      <c r="BM324" s="616"/>
      <c r="BN324" s="616"/>
      <c r="BO324" s="616"/>
      <c r="BP324" s="616"/>
      <c r="BQ324" s="616"/>
      <c r="BR324" s="616"/>
      <c r="BS324" s="616"/>
      <c r="BT324" s="616"/>
      <c r="BU324" s="616"/>
      <c r="BV324" s="616"/>
      <c r="BW324" s="616"/>
      <c r="BX324" s="616"/>
      <c r="BY324" s="616"/>
      <c r="BZ324" s="616"/>
      <c r="CA324" s="616"/>
      <c r="CB324" s="616"/>
      <c r="CC324" s="616"/>
      <c r="CD324" s="616"/>
      <c r="CE324" s="616"/>
      <c r="CF324" s="616"/>
      <c r="CG324" s="616"/>
      <c r="CH324" s="616"/>
      <c r="CI324" s="616"/>
      <c r="CJ324" s="616"/>
      <c r="CK324" s="616"/>
      <c r="CL324" s="616"/>
      <c r="CM324" s="616"/>
      <c r="CN324" s="616"/>
      <c r="CO324" s="616"/>
      <c r="CP324" s="616"/>
      <c r="CQ324" s="616"/>
      <c r="CR324" s="616"/>
      <c r="CS324" s="616"/>
      <c r="CT324" s="616"/>
      <c r="CU324" s="616"/>
      <c r="CV324" s="616"/>
      <c r="CW324" s="616"/>
      <c r="CX324" s="616"/>
      <c r="CY324" s="616"/>
      <c r="CZ324" s="616"/>
      <c r="DA324" s="616"/>
      <c r="DB324" s="616"/>
      <c r="DC324" s="616"/>
      <c r="DD324" s="616"/>
      <c r="DE324" s="616"/>
      <c r="DF324" s="616"/>
      <c r="DG324" s="616"/>
      <c r="DH324" s="616"/>
      <c r="DI324" s="616"/>
      <c r="DJ324" s="616"/>
      <c r="DK324" s="616"/>
      <c r="DL324" s="616"/>
      <c r="DM324" s="616"/>
      <c r="DN324" s="616"/>
      <c r="DO324" s="616"/>
      <c r="DP324" s="616"/>
      <c r="DQ324" s="617"/>
      <c r="DR324" s="233"/>
    </row>
    <row r="325" spans="1:122" ht="7.5" customHeight="1" x14ac:dyDescent="0.25">
      <c r="A325" s="591"/>
      <c r="B325" s="592"/>
      <c r="C325" s="592"/>
      <c r="D325" s="592"/>
      <c r="E325" s="593"/>
      <c r="F325" s="153"/>
      <c r="G325" s="598"/>
      <c r="H325" s="598"/>
      <c r="I325" s="598"/>
      <c r="J325" s="598"/>
      <c r="K325" s="598"/>
      <c r="L325" s="598"/>
      <c r="M325" s="598"/>
      <c r="N325" s="598"/>
      <c r="O325" s="598"/>
      <c r="P325" s="598"/>
      <c r="Q325" s="598"/>
      <c r="R325" s="598"/>
      <c r="S325" s="598"/>
      <c r="T325" s="598"/>
      <c r="U325" s="598"/>
      <c r="V325" s="598"/>
      <c r="W325" s="598"/>
      <c r="X325" s="598"/>
      <c r="Y325" s="598"/>
      <c r="Z325" s="602"/>
      <c r="AA325" s="602"/>
      <c r="AB325" s="602"/>
      <c r="AC325" s="602"/>
      <c r="AD325" s="602"/>
      <c r="AE325" s="602"/>
      <c r="AF325" s="602"/>
      <c r="AG325" s="603"/>
      <c r="AH325" s="609"/>
      <c r="AI325" s="610"/>
      <c r="AJ325" s="610"/>
      <c r="AK325" s="610"/>
      <c r="AL325" s="610"/>
      <c r="AM325" s="610"/>
      <c r="AN325" s="610"/>
      <c r="AO325" s="610"/>
      <c r="AP325" s="610"/>
      <c r="AQ325" s="610"/>
      <c r="AR325" s="610"/>
      <c r="AS325" s="610"/>
      <c r="AT325" s="610"/>
      <c r="AU325" s="610"/>
      <c r="AV325" s="610"/>
      <c r="AW325" s="611"/>
      <c r="AX325" s="618"/>
      <c r="AY325" s="619"/>
      <c r="AZ325" s="619"/>
      <c r="BA325" s="619"/>
      <c r="BB325" s="619"/>
      <c r="BC325" s="619"/>
      <c r="BD325" s="619"/>
      <c r="BE325" s="619"/>
      <c r="BF325" s="619"/>
      <c r="BG325" s="619"/>
      <c r="BH325" s="619"/>
      <c r="BI325" s="619"/>
      <c r="BJ325" s="619"/>
      <c r="BK325" s="619"/>
      <c r="BL325" s="619"/>
      <c r="BM325" s="619"/>
      <c r="BN325" s="619"/>
      <c r="BO325" s="619"/>
      <c r="BP325" s="619"/>
      <c r="BQ325" s="619"/>
      <c r="BR325" s="619"/>
      <c r="BS325" s="619"/>
      <c r="BT325" s="619"/>
      <c r="BU325" s="619"/>
      <c r="BV325" s="619"/>
      <c r="BW325" s="619"/>
      <c r="BX325" s="619"/>
      <c r="BY325" s="619"/>
      <c r="BZ325" s="619"/>
      <c r="CA325" s="619"/>
      <c r="CB325" s="619"/>
      <c r="CC325" s="619"/>
      <c r="CD325" s="619"/>
      <c r="CE325" s="619"/>
      <c r="CF325" s="619"/>
      <c r="CG325" s="619"/>
      <c r="CH325" s="619"/>
      <c r="CI325" s="619"/>
      <c r="CJ325" s="619"/>
      <c r="CK325" s="619"/>
      <c r="CL325" s="619"/>
      <c r="CM325" s="619"/>
      <c r="CN325" s="619"/>
      <c r="CO325" s="619"/>
      <c r="CP325" s="619"/>
      <c r="CQ325" s="619"/>
      <c r="CR325" s="619"/>
      <c r="CS325" s="619"/>
      <c r="CT325" s="619"/>
      <c r="CU325" s="619"/>
      <c r="CV325" s="619"/>
      <c r="CW325" s="619"/>
      <c r="CX325" s="619"/>
      <c r="CY325" s="619"/>
      <c r="CZ325" s="619"/>
      <c r="DA325" s="619"/>
      <c r="DB325" s="619"/>
      <c r="DC325" s="619"/>
      <c r="DD325" s="619"/>
      <c r="DE325" s="619"/>
      <c r="DF325" s="619"/>
      <c r="DG325" s="619"/>
      <c r="DH325" s="619"/>
      <c r="DI325" s="619"/>
      <c r="DJ325" s="619"/>
      <c r="DK325" s="619"/>
      <c r="DL325" s="619"/>
      <c r="DM325" s="619"/>
      <c r="DN325" s="619"/>
      <c r="DO325" s="619"/>
      <c r="DP325" s="619"/>
      <c r="DQ325" s="620"/>
      <c r="DR325" s="233"/>
    </row>
    <row r="326" spans="1:122" ht="7.5" customHeight="1" x14ac:dyDescent="0.25">
      <c r="A326" s="594"/>
      <c r="B326" s="595"/>
      <c r="C326" s="595"/>
      <c r="D326" s="595"/>
      <c r="E326" s="596"/>
      <c r="F326" s="154"/>
      <c r="G326" s="599"/>
      <c r="H326" s="599"/>
      <c r="I326" s="599"/>
      <c r="J326" s="599"/>
      <c r="K326" s="599"/>
      <c r="L326" s="599"/>
      <c r="M326" s="599"/>
      <c r="N326" s="599"/>
      <c r="O326" s="599"/>
      <c r="P326" s="599"/>
      <c r="Q326" s="599"/>
      <c r="R326" s="599"/>
      <c r="S326" s="599"/>
      <c r="T326" s="599"/>
      <c r="U326" s="599"/>
      <c r="V326" s="599"/>
      <c r="W326" s="599"/>
      <c r="X326" s="599"/>
      <c r="Y326" s="599"/>
      <c r="Z326" s="602"/>
      <c r="AA326" s="602"/>
      <c r="AB326" s="602"/>
      <c r="AC326" s="602"/>
      <c r="AD326" s="602"/>
      <c r="AE326" s="602"/>
      <c r="AF326" s="602"/>
      <c r="AG326" s="603"/>
      <c r="AH326" s="609"/>
      <c r="AI326" s="610"/>
      <c r="AJ326" s="610"/>
      <c r="AK326" s="610"/>
      <c r="AL326" s="610"/>
      <c r="AM326" s="610"/>
      <c r="AN326" s="610"/>
      <c r="AO326" s="610"/>
      <c r="AP326" s="610"/>
      <c r="AQ326" s="610"/>
      <c r="AR326" s="610"/>
      <c r="AS326" s="610"/>
      <c r="AT326" s="610"/>
      <c r="AU326" s="610"/>
      <c r="AV326" s="610"/>
      <c r="AW326" s="611"/>
      <c r="AX326" s="618"/>
      <c r="AY326" s="619"/>
      <c r="AZ326" s="619"/>
      <c r="BA326" s="619"/>
      <c r="BB326" s="619"/>
      <c r="BC326" s="619"/>
      <c r="BD326" s="619"/>
      <c r="BE326" s="619"/>
      <c r="BF326" s="619"/>
      <c r="BG326" s="619"/>
      <c r="BH326" s="619"/>
      <c r="BI326" s="619"/>
      <c r="BJ326" s="619"/>
      <c r="BK326" s="619"/>
      <c r="BL326" s="619"/>
      <c r="BM326" s="619"/>
      <c r="BN326" s="619"/>
      <c r="BO326" s="619"/>
      <c r="BP326" s="619"/>
      <c r="BQ326" s="619"/>
      <c r="BR326" s="619"/>
      <c r="BS326" s="619"/>
      <c r="BT326" s="619"/>
      <c r="BU326" s="619"/>
      <c r="BV326" s="619"/>
      <c r="BW326" s="619"/>
      <c r="BX326" s="619"/>
      <c r="BY326" s="619"/>
      <c r="BZ326" s="619"/>
      <c r="CA326" s="619"/>
      <c r="CB326" s="619"/>
      <c r="CC326" s="619"/>
      <c r="CD326" s="619"/>
      <c r="CE326" s="619"/>
      <c r="CF326" s="619"/>
      <c r="CG326" s="619"/>
      <c r="CH326" s="619"/>
      <c r="CI326" s="619"/>
      <c r="CJ326" s="619"/>
      <c r="CK326" s="619"/>
      <c r="CL326" s="619"/>
      <c r="CM326" s="619"/>
      <c r="CN326" s="619"/>
      <c r="CO326" s="619"/>
      <c r="CP326" s="619"/>
      <c r="CQ326" s="619"/>
      <c r="CR326" s="619"/>
      <c r="CS326" s="619"/>
      <c r="CT326" s="619"/>
      <c r="CU326" s="619"/>
      <c r="CV326" s="619"/>
      <c r="CW326" s="619"/>
      <c r="CX326" s="619"/>
      <c r="CY326" s="619"/>
      <c r="CZ326" s="619"/>
      <c r="DA326" s="619"/>
      <c r="DB326" s="619"/>
      <c r="DC326" s="619"/>
      <c r="DD326" s="619"/>
      <c r="DE326" s="619"/>
      <c r="DF326" s="619"/>
      <c r="DG326" s="619"/>
      <c r="DH326" s="619"/>
      <c r="DI326" s="619"/>
      <c r="DJ326" s="619"/>
      <c r="DK326" s="619"/>
      <c r="DL326" s="619"/>
      <c r="DM326" s="619"/>
      <c r="DN326" s="619"/>
      <c r="DO326" s="619"/>
      <c r="DP326" s="619"/>
      <c r="DQ326" s="620"/>
      <c r="DR326" s="233"/>
    </row>
    <row r="327" spans="1:122" ht="7.5" customHeight="1" x14ac:dyDescent="0.25">
      <c r="A327" s="119"/>
      <c r="B327" s="119"/>
      <c r="C327" s="119"/>
      <c r="D327" s="119"/>
      <c r="E327" s="119"/>
      <c r="F327" s="624" t="str">
        <f>G324</f>
        <v>Uncanny Dodge</v>
      </c>
      <c r="G327" s="624"/>
      <c r="H327" s="624"/>
      <c r="I327" s="624"/>
      <c r="J327" s="624"/>
      <c r="K327" s="625">
        <f>IF(A324&gt;0,Z324,0)</f>
        <v>0</v>
      </c>
      <c r="L327" s="625"/>
      <c r="M327" s="625"/>
      <c r="N327" s="626" t="b">
        <f>IF($G324&lt;&gt;"",VLOOKUP($G324,'Merit Data'!$A:$BW,MATCH('Merit Data'!$B$3,'Merit Data'!$3:$3,0),0),TRUE)</f>
        <v>1</v>
      </c>
      <c r="O327" s="626"/>
      <c r="P327" s="626"/>
      <c r="Q327" s="155"/>
      <c r="R327" s="140"/>
      <c r="S327" s="140"/>
      <c r="T327" s="140"/>
      <c r="U327" s="140"/>
      <c r="V327" s="238"/>
      <c r="W327" s="238"/>
      <c r="X327" s="627" t="str">
        <f>IF(F327&gt;0,HYPERLINK("http://wiki.project-saros.com/w/"&amp;F327,"Info"),"")</f>
        <v>Info</v>
      </c>
      <c r="Y327" s="628"/>
      <c r="Z327" s="604"/>
      <c r="AA327" s="604"/>
      <c r="AB327" s="604"/>
      <c r="AC327" s="604"/>
      <c r="AD327" s="604"/>
      <c r="AE327" s="604"/>
      <c r="AF327" s="604"/>
      <c r="AG327" s="605"/>
      <c r="AH327" s="612"/>
      <c r="AI327" s="613"/>
      <c r="AJ327" s="613"/>
      <c r="AK327" s="613"/>
      <c r="AL327" s="613"/>
      <c r="AM327" s="613"/>
      <c r="AN327" s="613"/>
      <c r="AO327" s="613"/>
      <c r="AP327" s="613"/>
      <c r="AQ327" s="613"/>
      <c r="AR327" s="613"/>
      <c r="AS327" s="613"/>
      <c r="AT327" s="613"/>
      <c r="AU327" s="613"/>
      <c r="AV327" s="613"/>
      <c r="AW327" s="614"/>
      <c r="AX327" s="621"/>
      <c r="AY327" s="622"/>
      <c r="AZ327" s="622"/>
      <c r="BA327" s="622"/>
      <c r="BB327" s="622"/>
      <c r="BC327" s="622"/>
      <c r="BD327" s="622"/>
      <c r="BE327" s="622"/>
      <c r="BF327" s="622"/>
      <c r="BG327" s="622"/>
      <c r="BH327" s="622"/>
      <c r="BI327" s="622"/>
      <c r="BJ327" s="622"/>
      <c r="BK327" s="622"/>
      <c r="BL327" s="622"/>
      <c r="BM327" s="622"/>
      <c r="BN327" s="622"/>
      <c r="BO327" s="622"/>
      <c r="BP327" s="622"/>
      <c r="BQ327" s="622"/>
      <c r="BR327" s="622"/>
      <c r="BS327" s="622"/>
      <c r="BT327" s="622"/>
      <c r="BU327" s="622"/>
      <c r="BV327" s="622"/>
      <c r="BW327" s="622"/>
      <c r="BX327" s="622"/>
      <c r="BY327" s="622"/>
      <c r="BZ327" s="622"/>
      <c r="CA327" s="622"/>
      <c r="CB327" s="622"/>
      <c r="CC327" s="622"/>
      <c r="CD327" s="622"/>
      <c r="CE327" s="622"/>
      <c r="CF327" s="622"/>
      <c r="CG327" s="622"/>
      <c r="CH327" s="622"/>
      <c r="CI327" s="622"/>
      <c r="CJ327" s="622"/>
      <c r="CK327" s="622"/>
      <c r="CL327" s="622"/>
      <c r="CM327" s="622"/>
      <c r="CN327" s="622"/>
      <c r="CO327" s="622"/>
      <c r="CP327" s="622"/>
      <c r="CQ327" s="622"/>
      <c r="CR327" s="622"/>
      <c r="CS327" s="622"/>
      <c r="CT327" s="622"/>
      <c r="CU327" s="622"/>
      <c r="CV327" s="622"/>
      <c r="CW327" s="622"/>
      <c r="CX327" s="622"/>
      <c r="CY327" s="622"/>
      <c r="CZ327" s="622"/>
      <c r="DA327" s="622"/>
      <c r="DB327" s="622"/>
      <c r="DC327" s="622"/>
      <c r="DD327" s="622"/>
      <c r="DE327" s="622"/>
      <c r="DF327" s="622"/>
      <c r="DG327" s="622"/>
      <c r="DH327" s="622"/>
      <c r="DI327" s="622"/>
      <c r="DJ327" s="622"/>
      <c r="DK327" s="622"/>
      <c r="DL327" s="622"/>
      <c r="DM327" s="622"/>
      <c r="DN327" s="622"/>
      <c r="DO327" s="622"/>
      <c r="DP327" s="622"/>
      <c r="DQ327" s="623"/>
      <c r="DR327" s="233"/>
    </row>
    <row r="328" spans="1:122" ht="7.5" customHeight="1" x14ac:dyDescent="0.25">
      <c r="A328" s="588"/>
      <c r="B328" s="589"/>
      <c r="C328" s="589"/>
      <c r="D328" s="589"/>
      <c r="E328" s="590"/>
      <c r="F328" s="152"/>
      <c r="G328" s="597" t="str">
        <f>INDEX('Merit Data'!A:A,ROW('Merit Data'!A62:A63)-COUNTA($G$272:G327)*2,COLUMN('Merit Data'!A62:A63))</f>
        <v>Lightning Reactions</v>
      </c>
      <c r="H328" s="597"/>
      <c r="I328" s="597"/>
      <c r="J328" s="597"/>
      <c r="K328" s="597"/>
      <c r="L328" s="597"/>
      <c r="M328" s="597"/>
      <c r="N328" s="597"/>
      <c r="O328" s="597"/>
      <c r="P328" s="597"/>
      <c r="Q328" s="597"/>
      <c r="R328" s="597"/>
      <c r="S328" s="597"/>
      <c r="T328" s="597"/>
      <c r="U328" s="597"/>
      <c r="V328" s="597"/>
      <c r="W328" s="597"/>
      <c r="X328" s="597"/>
      <c r="Y328" s="597"/>
      <c r="Z328" s="600">
        <f>VLOOKUP($G328,'Merit Data'!$A:$BW,MATCH('Merit Data'!$E$3,'Merit Data'!$3:$3,0),0)</f>
        <v>200</v>
      </c>
      <c r="AA328" s="600"/>
      <c r="AB328" s="600"/>
      <c r="AC328" s="600"/>
      <c r="AD328" s="600"/>
      <c r="AE328" s="600"/>
      <c r="AF328" s="600"/>
      <c r="AG328" s="601"/>
      <c r="AH328" s="606" t="str">
        <f ca="1">IF(NOT(ISERROR(VLOOKUP($G328,'Merit Data'!$A:$CE,MATCH('Merit Data'!$BX$3,'Merit Data'!$3:$3,0),0))),VLOOKUP($G328,'Merit Data'!$A:$CE,MATCH('Merit Data'!$BX$3,'Merit Data'!$3:$3,0),0),"")</f>
        <v>23</v>
      </c>
      <c r="AI328" s="607"/>
      <c r="AJ328" s="607"/>
      <c r="AK328" s="607"/>
      <c r="AL328" s="607"/>
      <c r="AM328" s="607"/>
      <c r="AN328" s="607"/>
      <c r="AO328" s="607"/>
      <c r="AP328" s="607"/>
      <c r="AQ328" s="607"/>
      <c r="AR328" s="607"/>
      <c r="AS328" s="607"/>
      <c r="AT328" s="607"/>
      <c r="AU328" s="607"/>
      <c r="AV328" s="607"/>
      <c r="AW328" s="608"/>
      <c r="AX328" s="615" t="str">
        <f>VLOOKUP($G328,'Merit Data'!$A:$BW,MATCH('Merit Data'!$F$3,'Merit Data'!$3:$3,0),0)</f>
        <v xml:space="preserve">You do not suffer the penalty to accuracy while you are granting advantage. </v>
      </c>
      <c r="AY328" s="616"/>
      <c r="AZ328" s="616"/>
      <c r="BA328" s="616"/>
      <c r="BB328" s="616"/>
      <c r="BC328" s="616"/>
      <c r="BD328" s="616"/>
      <c r="BE328" s="616"/>
      <c r="BF328" s="616"/>
      <c r="BG328" s="616"/>
      <c r="BH328" s="616"/>
      <c r="BI328" s="616"/>
      <c r="BJ328" s="616"/>
      <c r="BK328" s="616"/>
      <c r="BL328" s="616"/>
      <c r="BM328" s="616"/>
      <c r="BN328" s="616"/>
      <c r="BO328" s="616"/>
      <c r="BP328" s="616"/>
      <c r="BQ328" s="616"/>
      <c r="BR328" s="616"/>
      <c r="BS328" s="616"/>
      <c r="BT328" s="616"/>
      <c r="BU328" s="616"/>
      <c r="BV328" s="616"/>
      <c r="BW328" s="616"/>
      <c r="BX328" s="616"/>
      <c r="BY328" s="616"/>
      <c r="BZ328" s="616"/>
      <c r="CA328" s="616"/>
      <c r="CB328" s="616"/>
      <c r="CC328" s="616"/>
      <c r="CD328" s="616"/>
      <c r="CE328" s="616"/>
      <c r="CF328" s="616"/>
      <c r="CG328" s="616"/>
      <c r="CH328" s="616"/>
      <c r="CI328" s="616"/>
      <c r="CJ328" s="616"/>
      <c r="CK328" s="616"/>
      <c r="CL328" s="616"/>
      <c r="CM328" s="616"/>
      <c r="CN328" s="616"/>
      <c r="CO328" s="616"/>
      <c r="CP328" s="616"/>
      <c r="CQ328" s="616"/>
      <c r="CR328" s="616"/>
      <c r="CS328" s="616"/>
      <c r="CT328" s="616"/>
      <c r="CU328" s="616"/>
      <c r="CV328" s="616"/>
      <c r="CW328" s="616"/>
      <c r="CX328" s="616"/>
      <c r="CY328" s="616"/>
      <c r="CZ328" s="616"/>
      <c r="DA328" s="616"/>
      <c r="DB328" s="616"/>
      <c r="DC328" s="616"/>
      <c r="DD328" s="616"/>
      <c r="DE328" s="616"/>
      <c r="DF328" s="616"/>
      <c r="DG328" s="616"/>
      <c r="DH328" s="616"/>
      <c r="DI328" s="616"/>
      <c r="DJ328" s="616"/>
      <c r="DK328" s="616"/>
      <c r="DL328" s="616"/>
      <c r="DM328" s="616"/>
      <c r="DN328" s="616"/>
      <c r="DO328" s="616"/>
      <c r="DP328" s="616"/>
      <c r="DQ328" s="617"/>
      <c r="DR328" s="233"/>
    </row>
    <row r="329" spans="1:122" ht="7.5" customHeight="1" x14ac:dyDescent="0.25">
      <c r="A329" s="591"/>
      <c r="B329" s="592"/>
      <c r="C329" s="592"/>
      <c r="D329" s="592"/>
      <c r="E329" s="593"/>
      <c r="F329" s="153"/>
      <c r="G329" s="598"/>
      <c r="H329" s="598"/>
      <c r="I329" s="598"/>
      <c r="J329" s="598"/>
      <c r="K329" s="598"/>
      <c r="L329" s="598"/>
      <c r="M329" s="598"/>
      <c r="N329" s="598"/>
      <c r="O329" s="598"/>
      <c r="P329" s="598"/>
      <c r="Q329" s="598"/>
      <c r="R329" s="598"/>
      <c r="S329" s="598"/>
      <c r="T329" s="598"/>
      <c r="U329" s="598"/>
      <c r="V329" s="598"/>
      <c r="W329" s="598"/>
      <c r="X329" s="598"/>
      <c r="Y329" s="598"/>
      <c r="Z329" s="602"/>
      <c r="AA329" s="602"/>
      <c r="AB329" s="602"/>
      <c r="AC329" s="602"/>
      <c r="AD329" s="602"/>
      <c r="AE329" s="602"/>
      <c r="AF329" s="602"/>
      <c r="AG329" s="603"/>
      <c r="AH329" s="609"/>
      <c r="AI329" s="610"/>
      <c r="AJ329" s="610"/>
      <c r="AK329" s="610"/>
      <c r="AL329" s="610"/>
      <c r="AM329" s="610"/>
      <c r="AN329" s="610"/>
      <c r="AO329" s="610"/>
      <c r="AP329" s="610"/>
      <c r="AQ329" s="610"/>
      <c r="AR329" s="610"/>
      <c r="AS329" s="610"/>
      <c r="AT329" s="610"/>
      <c r="AU329" s="610"/>
      <c r="AV329" s="610"/>
      <c r="AW329" s="611"/>
      <c r="AX329" s="618"/>
      <c r="AY329" s="619"/>
      <c r="AZ329" s="619"/>
      <c r="BA329" s="619"/>
      <c r="BB329" s="619"/>
      <c r="BC329" s="619"/>
      <c r="BD329" s="619"/>
      <c r="BE329" s="619"/>
      <c r="BF329" s="619"/>
      <c r="BG329" s="619"/>
      <c r="BH329" s="619"/>
      <c r="BI329" s="619"/>
      <c r="BJ329" s="619"/>
      <c r="BK329" s="619"/>
      <c r="BL329" s="619"/>
      <c r="BM329" s="619"/>
      <c r="BN329" s="619"/>
      <c r="BO329" s="619"/>
      <c r="BP329" s="619"/>
      <c r="BQ329" s="619"/>
      <c r="BR329" s="619"/>
      <c r="BS329" s="619"/>
      <c r="BT329" s="619"/>
      <c r="BU329" s="619"/>
      <c r="BV329" s="619"/>
      <c r="BW329" s="619"/>
      <c r="BX329" s="619"/>
      <c r="BY329" s="619"/>
      <c r="BZ329" s="619"/>
      <c r="CA329" s="619"/>
      <c r="CB329" s="619"/>
      <c r="CC329" s="619"/>
      <c r="CD329" s="619"/>
      <c r="CE329" s="619"/>
      <c r="CF329" s="619"/>
      <c r="CG329" s="619"/>
      <c r="CH329" s="619"/>
      <c r="CI329" s="619"/>
      <c r="CJ329" s="619"/>
      <c r="CK329" s="619"/>
      <c r="CL329" s="619"/>
      <c r="CM329" s="619"/>
      <c r="CN329" s="619"/>
      <c r="CO329" s="619"/>
      <c r="CP329" s="619"/>
      <c r="CQ329" s="619"/>
      <c r="CR329" s="619"/>
      <c r="CS329" s="619"/>
      <c r="CT329" s="619"/>
      <c r="CU329" s="619"/>
      <c r="CV329" s="619"/>
      <c r="CW329" s="619"/>
      <c r="CX329" s="619"/>
      <c r="CY329" s="619"/>
      <c r="CZ329" s="619"/>
      <c r="DA329" s="619"/>
      <c r="DB329" s="619"/>
      <c r="DC329" s="619"/>
      <c r="DD329" s="619"/>
      <c r="DE329" s="619"/>
      <c r="DF329" s="619"/>
      <c r="DG329" s="619"/>
      <c r="DH329" s="619"/>
      <c r="DI329" s="619"/>
      <c r="DJ329" s="619"/>
      <c r="DK329" s="619"/>
      <c r="DL329" s="619"/>
      <c r="DM329" s="619"/>
      <c r="DN329" s="619"/>
      <c r="DO329" s="619"/>
      <c r="DP329" s="619"/>
      <c r="DQ329" s="620"/>
      <c r="DR329" s="233"/>
    </row>
    <row r="330" spans="1:122" ht="7.5" customHeight="1" x14ac:dyDescent="0.25">
      <c r="A330" s="594"/>
      <c r="B330" s="595"/>
      <c r="C330" s="595"/>
      <c r="D330" s="595"/>
      <c r="E330" s="596"/>
      <c r="F330" s="154"/>
      <c r="G330" s="599"/>
      <c r="H330" s="599"/>
      <c r="I330" s="599"/>
      <c r="J330" s="599"/>
      <c r="K330" s="599"/>
      <c r="L330" s="599"/>
      <c r="M330" s="599"/>
      <c r="N330" s="599"/>
      <c r="O330" s="599"/>
      <c r="P330" s="599"/>
      <c r="Q330" s="599"/>
      <c r="R330" s="599"/>
      <c r="S330" s="599"/>
      <c r="T330" s="599"/>
      <c r="U330" s="599"/>
      <c r="V330" s="599"/>
      <c r="W330" s="599"/>
      <c r="X330" s="599"/>
      <c r="Y330" s="599"/>
      <c r="Z330" s="602"/>
      <c r="AA330" s="602"/>
      <c r="AB330" s="602"/>
      <c r="AC330" s="602"/>
      <c r="AD330" s="602"/>
      <c r="AE330" s="602"/>
      <c r="AF330" s="602"/>
      <c r="AG330" s="603"/>
      <c r="AH330" s="609"/>
      <c r="AI330" s="610"/>
      <c r="AJ330" s="610"/>
      <c r="AK330" s="610"/>
      <c r="AL330" s="610"/>
      <c r="AM330" s="610"/>
      <c r="AN330" s="610"/>
      <c r="AO330" s="610"/>
      <c r="AP330" s="610"/>
      <c r="AQ330" s="610"/>
      <c r="AR330" s="610"/>
      <c r="AS330" s="610"/>
      <c r="AT330" s="610"/>
      <c r="AU330" s="610"/>
      <c r="AV330" s="610"/>
      <c r="AW330" s="611"/>
      <c r="AX330" s="618"/>
      <c r="AY330" s="619"/>
      <c r="AZ330" s="619"/>
      <c r="BA330" s="619"/>
      <c r="BB330" s="619"/>
      <c r="BC330" s="619"/>
      <c r="BD330" s="619"/>
      <c r="BE330" s="619"/>
      <c r="BF330" s="619"/>
      <c r="BG330" s="619"/>
      <c r="BH330" s="619"/>
      <c r="BI330" s="619"/>
      <c r="BJ330" s="619"/>
      <c r="BK330" s="619"/>
      <c r="BL330" s="619"/>
      <c r="BM330" s="619"/>
      <c r="BN330" s="619"/>
      <c r="BO330" s="619"/>
      <c r="BP330" s="619"/>
      <c r="BQ330" s="619"/>
      <c r="BR330" s="619"/>
      <c r="BS330" s="619"/>
      <c r="BT330" s="619"/>
      <c r="BU330" s="619"/>
      <c r="BV330" s="619"/>
      <c r="BW330" s="619"/>
      <c r="BX330" s="619"/>
      <c r="BY330" s="619"/>
      <c r="BZ330" s="619"/>
      <c r="CA330" s="619"/>
      <c r="CB330" s="619"/>
      <c r="CC330" s="619"/>
      <c r="CD330" s="619"/>
      <c r="CE330" s="619"/>
      <c r="CF330" s="619"/>
      <c r="CG330" s="619"/>
      <c r="CH330" s="619"/>
      <c r="CI330" s="619"/>
      <c r="CJ330" s="619"/>
      <c r="CK330" s="619"/>
      <c r="CL330" s="619"/>
      <c r="CM330" s="619"/>
      <c r="CN330" s="619"/>
      <c r="CO330" s="619"/>
      <c r="CP330" s="619"/>
      <c r="CQ330" s="619"/>
      <c r="CR330" s="619"/>
      <c r="CS330" s="619"/>
      <c r="CT330" s="619"/>
      <c r="CU330" s="619"/>
      <c r="CV330" s="619"/>
      <c r="CW330" s="619"/>
      <c r="CX330" s="619"/>
      <c r="CY330" s="619"/>
      <c r="CZ330" s="619"/>
      <c r="DA330" s="619"/>
      <c r="DB330" s="619"/>
      <c r="DC330" s="619"/>
      <c r="DD330" s="619"/>
      <c r="DE330" s="619"/>
      <c r="DF330" s="619"/>
      <c r="DG330" s="619"/>
      <c r="DH330" s="619"/>
      <c r="DI330" s="619"/>
      <c r="DJ330" s="619"/>
      <c r="DK330" s="619"/>
      <c r="DL330" s="619"/>
      <c r="DM330" s="619"/>
      <c r="DN330" s="619"/>
      <c r="DO330" s="619"/>
      <c r="DP330" s="619"/>
      <c r="DQ330" s="620"/>
      <c r="DR330" s="233"/>
    </row>
    <row r="331" spans="1:122" ht="7.5" customHeight="1" x14ac:dyDescent="0.25">
      <c r="A331" s="119"/>
      <c r="B331" s="119"/>
      <c r="C331" s="119"/>
      <c r="D331" s="119"/>
      <c r="E331" s="119"/>
      <c r="F331" s="624" t="str">
        <f>G328</f>
        <v>Lightning Reactions</v>
      </c>
      <c r="G331" s="624"/>
      <c r="H331" s="624"/>
      <c r="I331" s="624"/>
      <c r="J331" s="624"/>
      <c r="K331" s="625">
        <f>IF(A328&gt;0,Z328,0)</f>
        <v>0</v>
      </c>
      <c r="L331" s="625"/>
      <c r="M331" s="625"/>
      <c r="N331" s="626" t="b">
        <f>IF($G328&lt;&gt;"",VLOOKUP($G328,'Merit Data'!$A:$BW,MATCH('Merit Data'!$B$3,'Merit Data'!$3:$3,0),0),TRUE)</f>
        <v>1</v>
      </c>
      <c r="O331" s="626"/>
      <c r="P331" s="626"/>
      <c r="Q331" s="155"/>
      <c r="R331" s="140"/>
      <c r="S331" s="140"/>
      <c r="T331" s="140"/>
      <c r="U331" s="140"/>
      <c r="V331" s="238"/>
      <c r="W331" s="238"/>
      <c r="X331" s="627" t="str">
        <f>IF(F331&gt;0,HYPERLINK("http://wiki.project-saros.com/w/"&amp;F331,"Info"),"")</f>
        <v>Info</v>
      </c>
      <c r="Y331" s="628"/>
      <c r="Z331" s="604"/>
      <c r="AA331" s="604"/>
      <c r="AB331" s="604"/>
      <c r="AC331" s="604"/>
      <c r="AD331" s="604"/>
      <c r="AE331" s="604"/>
      <c r="AF331" s="604"/>
      <c r="AG331" s="605"/>
      <c r="AH331" s="612"/>
      <c r="AI331" s="613"/>
      <c r="AJ331" s="613"/>
      <c r="AK331" s="613"/>
      <c r="AL331" s="613"/>
      <c r="AM331" s="613"/>
      <c r="AN331" s="613"/>
      <c r="AO331" s="613"/>
      <c r="AP331" s="613"/>
      <c r="AQ331" s="613"/>
      <c r="AR331" s="613"/>
      <c r="AS331" s="613"/>
      <c r="AT331" s="613"/>
      <c r="AU331" s="613"/>
      <c r="AV331" s="613"/>
      <c r="AW331" s="614"/>
      <c r="AX331" s="621"/>
      <c r="AY331" s="622"/>
      <c r="AZ331" s="622"/>
      <c r="BA331" s="622"/>
      <c r="BB331" s="622"/>
      <c r="BC331" s="622"/>
      <c r="BD331" s="622"/>
      <c r="BE331" s="622"/>
      <c r="BF331" s="622"/>
      <c r="BG331" s="622"/>
      <c r="BH331" s="622"/>
      <c r="BI331" s="622"/>
      <c r="BJ331" s="622"/>
      <c r="BK331" s="622"/>
      <c r="BL331" s="622"/>
      <c r="BM331" s="622"/>
      <c r="BN331" s="622"/>
      <c r="BO331" s="622"/>
      <c r="BP331" s="622"/>
      <c r="BQ331" s="622"/>
      <c r="BR331" s="622"/>
      <c r="BS331" s="622"/>
      <c r="BT331" s="622"/>
      <c r="BU331" s="622"/>
      <c r="BV331" s="622"/>
      <c r="BW331" s="622"/>
      <c r="BX331" s="622"/>
      <c r="BY331" s="622"/>
      <c r="BZ331" s="622"/>
      <c r="CA331" s="622"/>
      <c r="CB331" s="622"/>
      <c r="CC331" s="622"/>
      <c r="CD331" s="622"/>
      <c r="CE331" s="622"/>
      <c r="CF331" s="622"/>
      <c r="CG331" s="622"/>
      <c r="CH331" s="622"/>
      <c r="CI331" s="622"/>
      <c r="CJ331" s="622"/>
      <c r="CK331" s="622"/>
      <c r="CL331" s="622"/>
      <c r="CM331" s="622"/>
      <c r="CN331" s="622"/>
      <c r="CO331" s="622"/>
      <c r="CP331" s="622"/>
      <c r="CQ331" s="622"/>
      <c r="CR331" s="622"/>
      <c r="CS331" s="622"/>
      <c r="CT331" s="622"/>
      <c r="CU331" s="622"/>
      <c r="CV331" s="622"/>
      <c r="CW331" s="622"/>
      <c r="CX331" s="622"/>
      <c r="CY331" s="622"/>
      <c r="CZ331" s="622"/>
      <c r="DA331" s="622"/>
      <c r="DB331" s="622"/>
      <c r="DC331" s="622"/>
      <c r="DD331" s="622"/>
      <c r="DE331" s="622"/>
      <c r="DF331" s="622"/>
      <c r="DG331" s="622"/>
      <c r="DH331" s="622"/>
      <c r="DI331" s="622"/>
      <c r="DJ331" s="622"/>
      <c r="DK331" s="622"/>
      <c r="DL331" s="622"/>
      <c r="DM331" s="622"/>
      <c r="DN331" s="622"/>
      <c r="DO331" s="622"/>
      <c r="DP331" s="622"/>
      <c r="DQ331" s="623"/>
      <c r="DR331" s="233"/>
    </row>
    <row r="332" spans="1:122" ht="7.5" customHeight="1" x14ac:dyDescent="0.25">
      <c r="A332" s="588"/>
      <c r="B332" s="589"/>
      <c r="C332" s="589"/>
      <c r="D332" s="589"/>
      <c r="E332" s="590"/>
      <c r="F332" s="152"/>
      <c r="G332" s="597" t="str">
        <f>INDEX('Merit Data'!A:A,ROW('Merit Data'!A66:A67)-COUNTA($G$272:G331)*2,COLUMN('Merit Data'!A66:A67))</f>
        <v>Mind and Body</v>
      </c>
      <c r="H332" s="597"/>
      <c r="I332" s="597"/>
      <c r="J332" s="597"/>
      <c r="K332" s="597"/>
      <c r="L332" s="597"/>
      <c r="M332" s="597"/>
      <c r="N332" s="597"/>
      <c r="O332" s="597"/>
      <c r="P332" s="597"/>
      <c r="Q332" s="597"/>
      <c r="R332" s="597"/>
      <c r="S332" s="597"/>
      <c r="T332" s="597"/>
      <c r="U332" s="597"/>
      <c r="V332" s="597"/>
      <c r="W332" s="597"/>
      <c r="X332" s="597"/>
      <c r="Y332" s="597"/>
      <c r="Z332" s="600">
        <f>VLOOKUP($G332,'Merit Data'!$A:$BW,MATCH('Merit Data'!$E$3,'Merit Data'!$3:$3,0),0)</f>
        <v>300</v>
      </c>
      <c r="AA332" s="600"/>
      <c r="AB332" s="600"/>
      <c r="AC332" s="600"/>
      <c r="AD332" s="600"/>
      <c r="AE332" s="600"/>
      <c r="AF332" s="600"/>
      <c r="AG332" s="601"/>
      <c r="AH332" s="606" t="str">
        <f ca="1">IF(NOT(ISERROR(VLOOKUP($G332,'Merit Data'!$A:$CE,MATCH('Merit Data'!$BX$3,'Merit Data'!$3:$3,0),0))),VLOOKUP($G332,'Merit Data'!$A:$CE,MATCH('Merit Data'!$BX$3,'Merit Data'!$3:$3,0),0),"")</f>
        <v>Evasion, Uncanny Dodge, Lightning Reactions</v>
      </c>
      <c r="AI332" s="607"/>
      <c r="AJ332" s="607"/>
      <c r="AK332" s="607"/>
      <c r="AL332" s="607"/>
      <c r="AM332" s="607"/>
      <c r="AN332" s="607"/>
      <c r="AO332" s="607"/>
      <c r="AP332" s="607"/>
      <c r="AQ332" s="607"/>
      <c r="AR332" s="607"/>
      <c r="AS332" s="607"/>
      <c r="AT332" s="607"/>
      <c r="AU332" s="607"/>
      <c r="AV332" s="607"/>
      <c r="AW332" s="608"/>
      <c r="AX332" s="615" t="str">
        <f>VLOOKUP($G332,'Merit Data'!$A:$BW,MATCH('Merit Data'!$F$3,'Merit Data'!$3:$3,0),0)</f>
        <v xml:space="preserve">You may add your focus modifier to your avoidance. </v>
      </c>
      <c r="AY332" s="616"/>
      <c r="AZ332" s="616"/>
      <c r="BA332" s="616"/>
      <c r="BB332" s="616"/>
      <c r="BC332" s="616"/>
      <c r="BD332" s="616"/>
      <c r="BE332" s="616"/>
      <c r="BF332" s="616"/>
      <c r="BG332" s="616"/>
      <c r="BH332" s="616"/>
      <c r="BI332" s="616"/>
      <c r="BJ332" s="616"/>
      <c r="BK332" s="616"/>
      <c r="BL332" s="616"/>
      <c r="BM332" s="616"/>
      <c r="BN332" s="616"/>
      <c r="BO332" s="616"/>
      <c r="BP332" s="616"/>
      <c r="BQ332" s="616"/>
      <c r="BR332" s="616"/>
      <c r="BS332" s="616"/>
      <c r="BT332" s="616"/>
      <c r="BU332" s="616"/>
      <c r="BV332" s="616"/>
      <c r="BW332" s="616"/>
      <c r="BX332" s="616"/>
      <c r="BY332" s="616"/>
      <c r="BZ332" s="616"/>
      <c r="CA332" s="616"/>
      <c r="CB332" s="616"/>
      <c r="CC332" s="616"/>
      <c r="CD332" s="616"/>
      <c r="CE332" s="616"/>
      <c r="CF332" s="616"/>
      <c r="CG332" s="616"/>
      <c r="CH332" s="616"/>
      <c r="CI332" s="616"/>
      <c r="CJ332" s="616"/>
      <c r="CK332" s="616"/>
      <c r="CL332" s="616"/>
      <c r="CM332" s="616"/>
      <c r="CN332" s="616"/>
      <c r="CO332" s="616"/>
      <c r="CP332" s="616"/>
      <c r="CQ332" s="616"/>
      <c r="CR332" s="616"/>
      <c r="CS332" s="616"/>
      <c r="CT332" s="616"/>
      <c r="CU332" s="616"/>
      <c r="CV332" s="616"/>
      <c r="CW332" s="616"/>
      <c r="CX332" s="616"/>
      <c r="CY332" s="616"/>
      <c r="CZ332" s="616"/>
      <c r="DA332" s="616"/>
      <c r="DB332" s="616"/>
      <c r="DC332" s="616"/>
      <c r="DD332" s="616"/>
      <c r="DE332" s="616"/>
      <c r="DF332" s="616"/>
      <c r="DG332" s="616"/>
      <c r="DH332" s="616"/>
      <c r="DI332" s="616"/>
      <c r="DJ332" s="616"/>
      <c r="DK332" s="616"/>
      <c r="DL332" s="616"/>
      <c r="DM332" s="616"/>
      <c r="DN332" s="616"/>
      <c r="DO332" s="616"/>
      <c r="DP332" s="616"/>
      <c r="DQ332" s="617"/>
      <c r="DR332" s="233"/>
    </row>
    <row r="333" spans="1:122" ht="7.5" customHeight="1" x14ac:dyDescent="0.25">
      <c r="A333" s="591"/>
      <c r="B333" s="592"/>
      <c r="C333" s="592"/>
      <c r="D333" s="592"/>
      <c r="E333" s="593"/>
      <c r="F333" s="153"/>
      <c r="G333" s="598"/>
      <c r="H333" s="598"/>
      <c r="I333" s="598"/>
      <c r="J333" s="598"/>
      <c r="K333" s="598"/>
      <c r="L333" s="598"/>
      <c r="M333" s="598"/>
      <c r="N333" s="598"/>
      <c r="O333" s="598"/>
      <c r="P333" s="598"/>
      <c r="Q333" s="598"/>
      <c r="R333" s="598"/>
      <c r="S333" s="598"/>
      <c r="T333" s="598"/>
      <c r="U333" s="598"/>
      <c r="V333" s="598"/>
      <c r="W333" s="598"/>
      <c r="X333" s="598"/>
      <c r="Y333" s="598"/>
      <c r="Z333" s="602"/>
      <c r="AA333" s="602"/>
      <c r="AB333" s="602"/>
      <c r="AC333" s="602"/>
      <c r="AD333" s="602"/>
      <c r="AE333" s="602"/>
      <c r="AF333" s="602"/>
      <c r="AG333" s="603"/>
      <c r="AH333" s="609"/>
      <c r="AI333" s="610"/>
      <c r="AJ333" s="610"/>
      <c r="AK333" s="610"/>
      <c r="AL333" s="610"/>
      <c r="AM333" s="610"/>
      <c r="AN333" s="610"/>
      <c r="AO333" s="610"/>
      <c r="AP333" s="610"/>
      <c r="AQ333" s="610"/>
      <c r="AR333" s="610"/>
      <c r="AS333" s="610"/>
      <c r="AT333" s="610"/>
      <c r="AU333" s="610"/>
      <c r="AV333" s="610"/>
      <c r="AW333" s="611"/>
      <c r="AX333" s="618"/>
      <c r="AY333" s="619"/>
      <c r="AZ333" s="619"/>
      <c r="BA333" s="619"/>
      <c r="BB333" s="619"/>
      <c r="BC333" s="619"/>
      <c r="BD333" s="619"/>
      <c r="BE333" s="619"/>
      <c r="BF333" s="619"/>
      <c r="BG333" s="619"/>
      <c r="BH333" s="619"/>
      <c r="BI333" s="619"/>
      <c r="BJ333" s="619"/>
      <c r="BK333" s="619"/>
      <c r="BL333" s="619"/>
      <c r="BM333" s="619"/>
      <c r="BN333" s="619"/>
      <c r="BO333" s="619"/>
      <c r="BP333" s="619"/>
      <c r="BQ333" s="619"/>
      <c r="BR333" s="619"/>
      <c r="BS333" s="619"/>
      <c r="BT333" s="619"/>
      <c r="BU333" s="619"/>
      <c r="BV333" s="619"/>
      <c r="BW333" s="619"/>
      <c r="BX333" s="619"/>
      <c r="BY333" s="619"/>
      <c r="BZ333" s="619"/>
      <c r="CA333" s="619"/>
      <c r="CB333" s="619"/>
      <c r="CC333" s="619"/>
      <c r="CD333" s="619"/>
      <c r="CE333" s="619"/>
      <c r="CF333" s="619"/>
      <c r="CG333" s="619"/>
      <c r="CH333" s="619"/>
      <c r="CI333" s="619"/>
      <c r="CJ333" s="619"/>
      <c r="CK333" s="619"/>
      <c r="CL333" s="619"/>
      <c r="CM333" s="619"/>
      <c r="CN333" s="619"/>
      <c r="CO333" s="619"/>
      <c r="CP333" s="619"/>
      <c r="CQ333" s="619"/>
      <c r="CR333" s="619"/>
      <c r="CS333" s="619"/>
      <c r="CT333" s="619"/>
      <c r="CU333" s="619"/>
      <c r="CV333" s="619"/>
      <c r="CW333" s="619"/>
      <c r="CX333" s="619"/>
      <c r="CY333" s="619"/>
      <c r="CZ333" s="619"/>
      <c r="DA333" s="619"/>
      <c r="DB333" s="619"/>
      <c r="DC333" s="619"/>
      <c r="DD333" s="619"/>
      <c r="DE333" s="619"/>
      <c r="DF333" s="619"/>
      <c r="DG333" s="619"/>
      <c r="DH333" s="619"/>
      <c r="DI333" s="619"/>
      <c r="DJ333" s="619"/>
      <c r="DK333" s="619"/>
      <c r="DL333" s="619"/>
      <c r="DM333" s="619"/>
      <c r="DN333" s="619"/>
      <c r="DO333" s="619"/>
      <c r="DP333" s="619"/>
      <c r="DQ333" s="620"/>
      <c r="DR333" s="233"/>
    </row>
    <row r="334" spans="1:122" ht="7.5" customHeight="1" x14ac:dyDescent="0.25">
      <c r="A334" s="594"/>
      <c r="B334" s="595"/>
      <c r="C334" s="595"/>
      <c r="D334" s="595"/>
      <c r="E334" s="596"/>
      <c r="F334" s="154"/>
      <c r="G334" s="599"/>
      <c r="H334" s="599"/>
      <c r="I334" s="599"/>
      <c r="J334" s="599"/>
      <c r="K334" s="599"/>
      <c r="L334" s="599"/>
      <c r="M334" s="599"/>
      <c r="N334" s="599"/>
      <c r="O334" s="599"/>
      <c r="P334" s="599"/>
      <c r="Q334" s="599"/>
      <c r="R334" s="599"/>
      <c r="S334" s="599"/>
      <c r="T334" s="599"/>
      <c r="U334" s="599"/>
      <c r="V334" s="599"/>
      <c r="W334" s="599"/>
      <c r="X334" s="599"/>
      <c r="Y334" s="599"/>
      <c r="Z334" s="602"/>
      <c r="AA334" s="602"/>
      <c r="AB334" s="602"/>
      <c r="AC334" s="602"/>
      <c r="AD334" s="602"/>
      <c r="AE334" s="602"/>
      <c r="AF334" s="602"/>
      <c r="AG334" s="603"/>
      <c r="AH334" s="609"/>
      <c r="AI334" s="610"/>
      <c r="AJ334" s="610"/>
      <c r="AK334" s="610"/>
      <c r="AL334" s="610"/>
      <c r="AM334" s="610"/>
      <c r="AN334" s="610"/>
      <c r="AO334" s="610"/>
      <c r="AP334" s="610"/>
      <c r="AQ334" s="610"/>
      <c r="AR334" s="610"/>
      <c r="AS334" s="610"/>
      <c r="AT334" s="610"/>
      <c r="AU334" s="610"/>
      <c r="AV334" s="610"/>
      <c r="AW334" s="611"/>
      <c r="AX334" s="618"/>
      <c r="AY334" s="619"/>
      <c r="AZ334" s="619"/>
      <c r="BA334" s="619"/>
      <c r="BB334" s="619"/>
      <c r="BC334" s="619"/>
      <c r="BD334" s="619"/>
      <c r="BE334" s="619"/>
      <c r="BF334" s="619"/>
      <c r="BG334" s="619"/>
      <c r="BH334" s="619"/>
      <c r="BI334" s="619"/>
      <c r="BJ334" s="619"/>
      <c r="BK334" s="619"/>
      <c r="BL334" s="619"/>
      <c r="BM334" s="619"/>
      <c r="BN334" s="619"/>
      <c r="BO334" s="619"/>
      <c r="BP334" s="619"/>
      <c r="BQ334" s="619"/>
      <c r="BR334" s="619"/>
      <c r="BS334" s="619"/>
      <c r="BT334" s="619"/>
      <c r="BU334" s="619"/>
      <c r="BV334" s="619"/>
      <c r="BW334" s="619"/>
      <c r="BX334" s="619"/>
      <c r="BY334" s="619"/>
      <c r="BZ334" s="619"/>
      <c r="CA334" s="619"/>
      <c r="CB334" s="619"/>
      <c r="CC334" s="619"/>
      <c r="CD334" s="619"/>
      <c r="CE334" s="619"/>
      <c r="CF334" s="619"/>
      <c r="CG334" s="619"/>
      <c r="CH334" s="619"/>
      <c r="CI334" s="619"/>
      <c r="CJ334" s="619"/>
      <c r="CK334" s="619"/>
      <c r="CL334" s="619"/>
      <c r="CM334" s="619"/>
      <c r="CN334" s="619"/>
      <c r="CO334" s="619"/>
      <c r="CP334" s="619"/>
      <c r="CQ334" s="619"/>
      <c r="CR334" s="619"/>
      <c r="CS334" s="619"/>
      <c r="CT334" s="619"/>
      <c r="CU334" s="619"/>
      <c r="CV334" s="619"/>
      <c r="CW334" s="619"/>
      <c r="CX334" s="619"/>
      <c r="CY334" s="619"/>
      <c r="CZ334" s="619"/>
      <c r="DA334" s="619"/>
      <c r="DB334" s="619"/>
      <c r="DC334" s="619"/>
      <c r="DD334" s="619"/>
      <c r="DE334" s="619"/>
      <c r="DF334" s="619"/>
      <c r="DG334" s="619"/>
      <c r="DH334" s="619"/>
      <c r="DI334" s="619"/>
      <c r="DJ334" s="619"/>
      <c r="DK334" s="619"/>
      <c r="DL334" s="619"/>
      <c r="DM334" s="619"/>
      <c r="DN334" s="619"/>
      <c r="DO334" s="619"/>
      <c r="DP334" s="619"/>
      <c r="DQ334" s="620"/>
      <c r="DR334" s="233"/>
    </row>
    <row r="335" spans="1:122" ht="7.5" customHeight="1" x14ac:dyDescent="0.25">
      <c r="A335" s="119"/>
      <c r="B335" s="119"/>
      <c r="C335" s="119"/>
      <c r="D335" s="119"/>
      <c r="E335" s="119"/>
      <c r="F335" s="624" t="str">
        <f>G332</f>
        <v>Mind and Body</v>
      </c>
      <c r="G335" s="624"/>
      <c r="H335" s="624"/>
      <c r="I335" s="624"/>
      <c r="J335" s="624"/>
      <c r="K335" s="625">
        <f>IF(A332&gt;0,Z332,0)</f>
        <v>0</v>
      </c>
      <c r="L335" s="625"/>
      <c r="M335" s="625"/>
      <c r="N335" s="626" t="b">
        <f>IF($G332&lt;&gt;"",VLOOKUP($G332,'Merit Data'!$A:$BW,MATCH('Merit Data'!$B$3,'Merit Data'!$3:$3,0),0),TRUE)</f>
        <v>0</v>
      </c>
      <c r="O335" s="626"/>
      <c r="P335" s="626"/>
      <c r="Q335" s="155"/>
      <c r="R335" s="140"/>
      <c r="S335" s="140"/>
      <c r="T335" s="140"/>
      <c r="U335" s="140"/>
      <c r="V335" s="238"/>
      <c r="W335" s="238"/>
      <c r="X335" s="627" t="str">
        <f>IF(F335&gt;0,HYPERLINK("http://wiki.project-saros.com/w/"&amp;F335,"Info"),"")</f>
        <v>Info</v>
      </c>
      <c r="Y335" s="628"/>
      <c r="Z335" s="604"/>
      <c r="AA335" s="604"/>
      <c r="AB335" s="604"/>
      <c r="AC335" s="604"/>
      <c r="AD335" s="604"/>
      <c r="AE335" s="604"/>
      <c r="AF335" s="604"/>
      <c r="AG335" s="605"/>
      <c r="AH335" s="612"/>
      <c r="AI335" s="613"/>
      <c r="AJ335" s="613"/>
      <c r="AK335" s="613"/>
      <c r="AL335" s="613"/>
      <c r="AM335" s="613"/>
      <c r="AN335" s="613"/>
      <c r="AO335" s="613"/>
      <c r="AP335" s="613"/>
      <c r="AQ335" s="613"/>
      <c r="AR335" s="613"/>
      <c r="AS335" s="613"/>
      <c r="AT335" s="613"/>
      <c r="AU335" s="613"/>
      <c r="AV335" s="613"/>
      <c r="AW335" s="614"/>
      <c r="AX335" s="621"/>
      <c r="AY335" s="622"/>
      <c r="AZ335" s="622"/>
      <c r="BA335" s="622"/>
      <c r="BB335" s="622"/>
      <c r="BC335" s="622"/>
      <c r="BD335" s="622"/>
      <c r="BE335" s="622"/>
      <c r="BF335" s="622"/>
      <c r="BG335" s="622"/>
      <c r="BH335" s="622"/>
      <c r="BI335" s="622"/>
      <c r="BJ335" s="622"/>
      <c r="BK335" s="622"/>
      <c r="BL335" s="622"/>
      <c r="BM335" s="622"/>
      <c r="BN335" s="622"/>
      <c r="BO335" s="622"/>
      <c r="BP335" s="622"/>
      <c r="BQ335" s="622"/>
      <c r="BR335" s="622"/>
      <c r="BS335" s="622"/>
      <c r="BT335" s="622"/>
      <c r="BU335" s="622"/>
      <c r="BV335" s="622"/>
      <c r="BW335" s="622"/>
      <c r="BX335" s="622"/>
      <c r="BY335" s="622"/>
      <c r="BZ335" s="622"/>
      <c r="CA335" s="622"/>
      <c r="CB335" s="622"/>
      <c r="CC335" s="622"/>
      <c r="CD335" s="622"/>
      <c r="CE335" s="622"/>
      <c r="CF335" s="622"/>
      <c r="CG335" s="622"/>
      <c r="CH335" s="622"/>
      <c r="CI335" s="622"/>
      <c r="CJ335" s="622"/>
      <c r="CK335" s="622"/>
      <c r="CL335" s="622"/>
      <c r="CM335" s="622"/>
      <c r="CN335" s="622"/>
      <c r="CO335" s="622"/>
      <c r="CP335" s="622"/>
      <c r="CQ335" s="622"/>
      <c r="CR335" s="622"/>
      <c r="CS335" s="622"/>
      <c r="CT335" s="622"/>
      <c r="CU335" s="622"/>
      <c r="CV335" s="622"/>
      <c r="CW335" s="622"/>
      <c r="CX335" s="622"/>
      <c r="CY335" s="622"/>
      <c r="CZ335" s="622"/>
      <c r="DA335" s="622"/>
      <c r="DB335" s="622"/>
      <c r="DC335" s="622"/>
      <c r="DD335" s="622"/>
      <c r="DE335" s="622"/>
      <c r="DF335" s="622"/>
      <c r="DG335" s="622"/>
      <c r="DH335" s="622"/>
      <c r="DI335" s="622"/>
      <c r="DJ335" s="622"/>
      <c r="DK335" s="622"/>
      <c r="DL335" s="622"/>
      <c r="DM335" s="622"/>
      <c r="DN335" s="622"/>
      <c r="DO335" s="622"/>
      <c r="DP335" s="622"/>
      <c r="DQ335" s="623"/>
      <c r="DR335" s="233"/>
    </row>
    <row r="336" spans="1:122" ht="7.5" customHeight="1" x14ac:dyDescent="0.25">
      <c r="A336" s="588"/>
      <c r="B336" s="589"/>
      <c r="C336" s="589"/>
      <c r="D336" s="589"/>
      <c r="E336" s="590"/>
      <c r="F336" s="152"/>
      <c r="G336" s="597" t="str">
        <f>INDEX('Merit Data'!A:A,ROW('Merit Data'!A70:A71)-COUNTA($G$272:G335)*2,COLUMN('Merit Data'!A70:A71))</f>
        <v>Parry</v>
      </c>
      <c r="H336" s="597"/>
      <c r="I336" s="597"/>
      <c r="J336" s="597"/>
      <c r="K336" s="597"/>
      <c r="L336" s="597"/>
      <c r="M336" s="597"/>
      <c r="N336" s="597"/>
      <c r="O336" s="597"/>
      <c r="P336" s="597"/>
      <c r="Q336" s="597"/>
      <c r="R336" s="597"/>
      <c r="S336" s="597"/>
      <c r="T336" s="597"/>
      <c r="U336" s="597"/>
      <c r="V336" s="597"/>
      <c r="W336" s="597"/>
      <c r="X336" s="597"/>
      <c r="Y336" s="597"/>
      <c r="Z336" s="600">
        <f>VLOOKUP($G336,'Merit Data'!$A:$BW,MATCH('Merit Data'!$E$3,'Merit Data'!$3:$3,0),0)</f>
        <v>200</v>
      </c>
      <c r="AA336" s="600"/>
      <c r="AB336" s="600"/>
      <c r="AC336" s="600"/>
      <c r="AD336" s="600"/>
      <c r="AE336" s="600"/>
      <c r="AF336" s="600"/>
      <c r="AG336" s="601"/>
      <c r="AH336" s="606" t="str">
        <f ca="1">IF(NOT(ISERROR(VLOOKUP($G336,'Merit Data'!$A:$CE,MATCH('Merit Data'!$BX$3,'Merit Data'!$3:$3,0),0))),VLOOKUP($G336,'Merit Data'!$A:$CE,MATCH('Merit Data'!$BX$3,'Merit Data'!$3:$3,0),0),"")</f>
        <v>18, 18, 0, 0, 0, 0, 0, 0, 0, 0</v>
      </c>
      <c r="AI336" s="607"/>
      <c r="AJ336" s="607"/>
      <c r="AK336" s="607"/>
      <c r="AL336" s="607"/>
      <c r="AM336" s="607"/>
      <c r="AN336" s="607"/>
      <c r="AO336" s="607"/>
      <c r="AP336" s="607"/>
      <c r="AQ336" s="607"/>
      <c r="AR336" s="607"/>
      <c r="AS336" s="607"/>
      <c r="AT336" s="607"/>
      <c r="AU336" s="607"/>
      <c r="AV336" s="607"/>
      <c r="AW336" s="608"/>
      <c r="AX336" s="615" t="str">
        <f>VLOOKUP($G336,'Merit Data'!$A:$BW,MATCH('Merit Data'!$F$3,'Merit Data'!$3:$3,0),0)</f>
        <v>While wielding a melee weapon and not wielding a shield, you gain a shield rating equal to one-half your expertise. When a melee attack hits within your shield range, make a basic attack. If you attack roll exceeds your opponents attack roll your weapon takes the damage of the attack rather than you. Otherwise it is considered a full hit.</v>
      </c>
      <c r="AY336" s="616"/>
      <c r="AZ336" s="616"/>
      <c r="BA336" s="616"/>
      <c r="BB336" s="616"/>
      <c r="BC336" s="616"/>
      <c r="BD336" s="616"/>
      <c r="BE336" s="616"/>
      <c r="BF336" s="616"/>
      <c r="BG336" s="616"/>
      <c r="BH336" s="616"/>
      <c r="BI336" s="616"/>
      <c r="BJ336" s="616"/>
      <c r="BK336" s="616"/>
      <c r="BL336" s="616"/>
      <c r="BM336" s="616"/>
      <c r="BN336" s="616"/>
      <c r="BO336" s="616"/>
      <c r="BP336" s="616"/>
      <c r="BQ336" s="616"/>
      <c r="BR336" s="616"/>
      <c r="BS336" s="616"/>
      <c r="BT336" s="616"/>
      <c r="BU336" s="616"/>
      <c r="BV336" s="616"/>
      <c r="BW336" s="616"/>
      <c r="BX336" s="616"/>
      <c r="BY336" s="616"/>
      <c r="BZ336" s="616"/>
      <c r="CA336" s="616"/>
      <c r="CB336" s="616"/>
      <c r="CC336" s="616"/>
      <c r="CD336" s="616"/>
      <c r="CE336" s="616"/>
      <c r="CF336" s="616"/>
      <c r="CG336" s="616"/>
      <c r="CH336" s="616"/>
      <c r="CI336" s="616"/>
      <c r="CJ336" s="616"/>
      <c r="CK336" s="616"/>
      <c r="CL336" s="616"/>
      <c r="CM336" s="616"/>
      <c r="CN336" s="616"/>
      <c r="CO336" s="616"/>
      <c r="CP336" s="616"/>
      <c r="CQ336" s="616"/>
      <c r="CR336" s="616"/>
      <c r="CS336" s="616"/>
      <c r="CT336" s="616"/>
      <c r="CU336" s="616"/>
      <c r="CV336" s="616"/>
      <c r="CW336" s="616"/>
      <c r="CX336" s="616"/>
      <c r="CY336" s="616"/>
      <c r="CZ336" s="616"/>
      <c r="DA336" s="616"/>
      <c r="DB336" s="616"/>
      <c r="DC336" s="616"/>
      <c r="DD336" s="616"/>
      <c r="DE336" s="616"/>
      <c r="DF336" s="616"/>
      <c r="DG336" s="616"/>
      <c r="DH336" s="616"/>
      <c r="DI336" s="616"/>
      <c r="DJ336" s="616"/>
      <c r="DK336" s="616"/>
      <c r="DL336" s="616"/>
      <c r="DM336" s="616"/>
      <c r="DN336" s="616"/>
      <c r="DO336" s="616"/>
      <c r="DP336" s="616"/>
      <c r="DQ336" s="617"/>
      <c r="DR336" s="233"/>
    </row>
    <row r="337" spans="1:122" ht="7.5" customHeight="1" x14ac:dyDescent="0.25">
      <c r="A337" s="591"/>
      <c r="B337" s="592"/>
      <c r="C337" s="592"/>
      <c r="D337" s="592"/>
      <c r="E337" s="593"/>
      <c r="F337" s="153"/>
      <c r="G337" s="598"/>
      <c r="H337" s="598"/>
      <c r="I337" s="598"/>
      <c r="J337" s="598"/>
      <c r="K337" s="598"/>
      <c r="L337" s="598"/>
      <c r="M337" s="598"/>
      <c r="N337" s="598"/>
      <c r="O337" s="598"/>
      <c r="P337" s="598"/>
      <c r="Q337" s="598"/>
      <c r="R337" s="598"/>
      <c r="S337" s="598"/>
      <c r="T337" s="598"/>
      <c r="U337" s="598"/>
      <c r="V337" s="598"/>
      <c r="W337" s="598"/>
      <c r="X337" s="598"/>
      <c r="Y337" s="598"/>
      <c r="Z337" s="602"/>
      <c r="AA337" s="602"/>
      <c r="AB337" s="602"/>
      <c r="AC337" s="602"/>
      <c r="AD337" s="602"/>
      <c r="AE337" s="602"/>
      <c r="AF337" s="602"/>
      <c r="AG337" s="603"/>
      <c r="AH337" s="609"/>
      <c r="AI337" s="610"/>
      <c r="AJ337" s="610"/>
      <c r="AK337" s="610"/>
      <c r="AL337" s="610"/>
      <c r="AM337" s="610"/>
      <c r="AN337" s="610"/>
      <c r="AO337" s="610"/>
      <c r="AP337" s="610"/>
      <c r="AQ337" s="610"/>
      <c r="AR337" s="610"/>
      <c r="AS337" s="610"/>
      <c r="AT337" s="610"/>
      <c r="AU337" s="610"/>
      <c r="AV337" s="610"/>
      <c r="AW337" s="611"/>
      <c r="AX337" s="618"/>
      <c r="AY337" s="619"/>
      <c r="AZ337" s="619"/>
      <c r="BA337" s="619"/>
      <c r="BB337" s="619"/>
      <c r="BC337" s="619"/>
      <c r="BD337" s="619"/>
      <c r="BE337" s="619"/>
      <c r="BF337" s="619"/>
      <c r="BG337" s="619"/>
      <c r="BH337" s="619"/>
      <c r="BI337" s="619"/>
      <c r="BJ337" s="619"/>
      <c r="BK337" s="619"/>
      <c r="BL337" s="619"/>
      <c r="BM337" s="619"/>
      <c r="BN337" s="619"/>
      <c r="BO337" s="619"/>
      <c r="BP337" s="619"/>
      <c r="BQ337" s="619"/>
      <c r="BR337" s="619"/>
      <c r="BS337" s="619"/>
      <c r="BT337" s="619"/>
      <c r="BU337" s="619"/>
      <c r="BV337" s="619"/>
      <c r="BW337" s="619"/>
      <c r="BX337" s="619"/>
      <c r="BY337" s="619"/>
      <c r="BZ337" s="619"/>
      <c r="CA337" s="619"/>
      <c r="CB337" s="619"/>
      <c r="CC337" s="619"/>
      <c r="CD337" s="619"/>
      <c r="CE337" s="619"/>
      <c r="CF337" s="619"/>
      <c r="CG337" s="619"/>
      <c r="CH337" s="619"/>
      <c r="CI337" s="619"/>
      <c r="CJ337" s="619"/>
      <c r="CK337" s="619"/>
      <c r="CL337" s="619"/>
      <c r="CM337" s="619"/>
      <c r="CN337" s="619"/>
      <c r="CO337" s="619"/>
      <c r="CP337" s="619"/>
      <c r="CQ337" s="619"/>
      <c r="CR337" s="619"/>
      <c r="CS337" s="619"/>
      <c r="CT337" s="619"/>
      <c r="CU337" s="619"/>
      <c r="CV337" s="619"/>
      <c r="CW337" s="619"/>
      <c r="CX337" s="619"/>
      <c r="CY337" s="619"/>
      <c r="CZ337" s="619"/>
      <c r="DA337" s="619"/>
      <c r="DB337" s="619"/>
      <c r="DC337" s="619"/>
      <c r="DD337" s="619"/>
      <c r="DE337" s="619"/>
      <c r="DF337" s="619"/>
      <c r="DG337" s="619"/>
      <c r="DH337" s="619"/>
      <c r="DI337" s="619"/>
      <c r="DJ337" s="619"/>
      <c r="DK337" s="619"/>
      <c r="DL337" s="619"/>
      <c r="DM337" s="619"/>
      <c r="DN337" s="619"/>
      <c r="DO337" s="619"/>
      <c r="DP337" s="619"/>
      <c r="DQ337" s="620"/>
      <c r="DR337" s="233"/>
    </row>
    <row r="338" spans="1:122" ht="7.5" customHeight="1" x14ac:dyDescent="0.25">
      <c r="A338" s="594"/>
      <c r="B338" s="595"/>
      <c r="C338" s="595"/>
      <c r="D338" s="595"/>
      <c r="E338" s="596"/>
      <c r="F338" s="154"/>
      <c r="G338" s="599"/>
      <c r="H338" s="599"/>
      <c r="I338" s="599"/>
      <c r="J338" s="599"/>
      <c r="K338" s="599"/>
      <c r="L338" s="599"/>
      <c r="M338" s="599"/>
      <c r="N338" s="599"/>
      <c r="O338" s="599"/>
      <c r="P338" s="599"/>
      <c r="Q338" s="599"/>
      <c r="R338" s="599"/>
      <c r="S338" s="599"/>
      <c r="T338" s="599"/>
      <c r="U338" s="599"/>
      <c r="V338" s="599"/>
      <c r="W338" s="599"/>
      <c r="X338" s="599"/>
      <c r="Y338" s="599"/>
      <c r="Z338" s="602"/>
      <c r="AA338" s="602"/>
      <c r="AB338" s="602"/>
      <c r="AC338" s="602"/>
      <c r="AD338" s="602"/>
      <c r="AE338" s="602"/>
      <c r="AF338" s="602"/>
      <c r="AG338" s="603"/>
      <c r="AH338" s="609"/>
      <c r="AI338" s="610"/>
      <c r="AJ338" s="610"/>
      <c r="AK338" s="610"/>
      <c r="AL338" s="610"/>
      <c r="AM338" s="610"/>
      <c r="AN338" s="610"/>
      <c r="AO338" s="610"/>
      <c r="AP338" s="610"/>
      <c r="AQ338" s="610"/>
      <c r="AR338" s="610"/>
      <c r="AS338" s="610"/>
      <c r="AT338" s="610"/>
      <c r="AU338" s="610"/>
      <c r="AV338" s="610"/>
      <c r="AW338" s="611"/>
      <c r="AX338" s="618"/>
      <c r="AY338" s="619"/>
      <c r="AZ338" s="619"/>
      <c r="BA338" s="619"/>
      <c r="BB338" s="619"/>
      <c r="BC338" s="619"/>
      <c r="BD338" s="619"/>
      <c r="BE338" s="619"/>
      <c r="BF338" s="619"/>
      <c r="BG338" s="619"/>
      <c r="BH338" s="619"/>
      <c r="BI338" s="619"/>
      <c r="BJ338" s="619"/>
      <c r="BK338" s="619"/>
      <c r="BL338" s="619"/>
      <c r="BM338" s="619"/>
      <c r="BN338" s="619"/>
      <c r="BO338" s="619"/>
      <c r="BP338" s="619"/>
      <c r="BQ338" s="619"/>
      <c r="BR338" s="619"/>
      <c r="BS338" s="619"/>
      <c r="BT338" s="619"/>
      <c r="BU338" s="619"/>
      <c r="BV338" s="619"/>
      <c r="BW338" s="619"/>
      <c r="BX338" s="619"/>
      <c r="BY338" s="619"/>
      <c r="BZ338" s="619"/>
      <c r="CA338" s="619"/>
      <c r="CB338" s="619"/>
      <c r="CC338" s="619"/>
      <c r="CD338" s="619"/>
      <c r="CE338" s="619"/>
      <c r="CF338" s="619"/>
      <c r="CG338" s="619"/>
      <c r="CH338" s="619"/>
      <c r="CI338" s="619"/>
      <c r="CJ338" s="619"/>
      <c r="CK338" s="619"/>
      <c r="CL338" s="619"/>
      <c r="CM338" s="619"/>
      <c r="CN338" s="619"/>
      <c r="CO338" s="619"/>
      <c r="CP338" s="619"/>
      <c r="CQ338" s="619"/>
      <c r="CR338" s="619"/>
      <c r="CS338" s="619"/>
      <c r="CT338" s="619"/>
      <c r="CU338" s="619"/>
      <c r="CV338" s="619"/>
      <c r="CW338" s="619"/>
      <c r="CX338" s="619"/>
      <c r="CY338" s="619"/>
      <c r="CZ338" s="619"/>
      <c r="DA338" s="619"/>
      <c r="DB338" s="619"/>
      <c r="DC338" s="619"/>
      <c r="DD338" s="619"/>
      <c r="DE338" s="619"/>
      <c r="DF338" s="619"/>
      <c r="DG338" s="619"/>
      <c r="DH338" s="619"/>
      <c r="DI338" s="619"/>
      <c r="DJ338" s="619"/>
      <c r="DK338" s="619"/>
      <c r="DL338" s="619"/>
      <c r="DM338" s="619"/>
      <c r="DN338" s="619"/>
      <c r="DO338" s="619"/>
      <c r="DP338" s="619"/>
      <c r="DQ338" s="620"/>
      <c r="DR338" s="233"/>
    </row>
    <row r="339" spans="1:122" ht="7.5" customHeight="1" x14ac:dyDescent="0.25">
      <c r="A339" s="119"/>
      <c r="B339" s="119"/>
      <c r="C339" s="119"/>
      <c r="D339" s="119"/>
      <c r="E339" s="119"/>
      <c r="F339" s="624" t="str">
        <f>G336</f>
        <v>Parry</v>
      </c>
      <c r="G339" s="624"/>
      <c r="H339" s="624"/>
      <c r="I339" s="624"/>
      <c r="J339" s="624"/>
      <c r="K339" s="625">
        <f>IF(A336&gt;0,Z336,0)</f>
        <v>0</v>
      </c>
      <c r="L339" s="625"/>
      <c r="M339" s="625"/>
      <c r="N339" s="626" t="b">
        <f>IF($G336&lt;&gt;"",VLOOKUP($G336,'Merit Data'!$A:$BW,MATCH('Merit Data'!$B$3,'Merit Data'!$3:$3,0),0),TRUE)</f>
        <v>1</v>
      </c>
      <c r="O339" s="626"/>
      <c r="P339" s="626"/>
      <c r="Q339" s="155"/>
      <c r="R339" s="140"/>
      <c r="S339" s="140"/>
      <c r="T339" s="140"/>
      <c r="U339" s="140"/>
      <c r="V339" s="238"/>
      <c r="W339" s="238"/>
      <c r="X339" s="627" t="str">
        <f>IF(F339&gt;0,HYPERLINK("http://wiki.project-saros.com/w/"&amp;F339,"Info"),"")</f>
        <v>Info</v>
      </c>
      <c r="Y339" s="628"/>
      <c r="Z339" s="604"/>
      <c r="AA339" s="604"/>
      <c r="AB339" s="604"/>
      <c r="AC339" s="604"/>
      <c r="AD339" s="604"/>
      <c r="AE339" s="604"/>
      <c r="AF339" s="604"/>
      <c r="AG339" s="605"/>
      <c r="AH339" s="612"/>
      <c r="AI339" s="613"/>
      <c r="AJ339" s="613"/>
      <c r="AK339" s="613"/>
      <c r="AL339" s="613"/>
      <c r="AM339" s="613"/>
      <c r="AN339" s="613"/>
      <c r="AO339" s="613"/>
      <c r="AP339" s="613"/>
      <c r="AQ339" s="613"/>
      <c r="AR339" s="613"/>
      <c r="AS339" s="613"/>
      <c r="AT339" s="613"/>
      <c r="AU339" s="613"/>
      <c r="AV339" s="613"/>
      <c r="AW339" s="614"/>
      <c r="AX339" s="621"/>
      <c r="AY339" s="622"/>
      <c r="AZ339" s="622"/>
      <c r="BA339" s="622"/>
      <c r="BB339" s="622"/>
      <c r="BC339" s="622"/>
      <c r="BD339" s="622"/>
      <c r="BE339" s="622"/>
      <c r="BF339" s="622"/>
      <c r="BG339" s="622"/>
      <c r="BH339" s="622"/>
      <c r="BI339" s="622"/>
      <c r="BJ339" s="622"/>
      <c r="BK339" s="622"/>
      <c r="BL339" s="622"/>
      <c r="BM339" s="622"/>
      <c r="BN339" s="622"/>
      <c r="BO339" s="622"/>
      <c r="BP339" s="622"/>
      <c r="BQ339" s="622"/>
      <c r="BR339" s="622"/>
      <c r="BS339" s="622"/>
      <c r="BT339" s="622"/>
      <c r="BU339" s="622"/>
      <c r="BV339" s="622"/>
      <c r="BW339" s="622"/>
      <c r="BX339" s="622"/>
      <c r="BY339" s="622"/>
      <c r="BZ339" s="622"/>
      <c r="CA339" s="622"/>
      <c r="CB339" s="622"/>
      <c r="CC339" s="622"/>
      <c r="CD339" s="622"/>
      <c r="CE339" s="622"/>
      <c r="CF339" s="622"/>
      <c r="CG339" s="622"/>
      <c r="CH339" s="622"/>
      <c r="CI339" s="622"/>
      <c r="CJ339" s="622"/>
      <c r="CK339" s="622"/>
      <c r="CL339" s="622"/>
      <c r="CM339" s="622"/>
      <c r="CN339" s="622"/>
      <c r="CO339" s="622"/>
      <c r="CP339" s="622"/>
      <c r="CQ339" s="622"/>
      <c r="CR339" s="622"/>
      <c r="CS339" s="622"/>
      <c r="CT339" s="622"/>
      <c r="CU339" s="622"/>
      <c r="CV339" s="622"/>
      <c r="CW339" s="622"/>
      <c r="CX339" s="622"/>
      <c r="CY339" s="622"/>
      <c r="CZ339" s="622"/>
      <c r="DA339" s="622"/>
      <c r="DB339" s="622"/>
      <c r="DC339" s="622"/>
      <c r="DD339" s="622"/>
      <c r="DE339" s="622"/>
      <c r="DF339" s="622"/>
      <c r="DG339" s="622"/>
      <c r="DH339" s="622"/>
      <c r="DI339" s="622"/>
      <c r="DJ339" s="622"/>
      <c r="DK339" s="622"/>
      <c r="DL339" s="622"/>
      <c r="DM339" s="622"/>
      <c r="DN339" s="622"/>
      <c r="DO339" s="622"/>
      <c r="DP339" s="622"/>
      <c r="DQ339" s="623"/>
      <c r="DR339" s="233"/>
    </row>
    <row r="340" spans="1:122" ht="7.5" customHeight="1" x14ac:dyDescent="0.25">
      <c r="A340" s="588"/>
      <c r="B340" s="589"/>
      <c r="C340" s="589"/>
      <c r="D340" s="589"/>
      <c r="E340" s="590"/>
      <c r="F340" s="152"/>
      <c r="G340" s="597" t="str">
        <f>INDEX('Merit Data'!A:A,ROW('Merit Data'!A74:A75)-COUNTA($G$272:G339)*2,COLUMN('Merit Data'!A74:A75))</f>
        <v>Riposte</v>
      </c>
      <c r="H340" s="597"/>
      <c r="I340" s="597"/>
      <c r="J340" s="597"/>
      <c r="K340" s="597"/>
      <c r="L340" s="597"/>
      <c r="M340" s="597"/>
      <c r="N340" s="597"/>
      <c r="O340" s="597"/>
      <c r="P340" s="597"/>
      <c r="Q340" s="597"/>
      <c r="R340" s="597"/>
      <c r="S340" s="597"/>
      <c r="T340" s="597"/>
      <c r="U340" s="597"/>
      <c r="V340" s="597"/>
      <c r="W340" s="597"/>
      <c r="X340" s="597"/>
      <c r="Y340" s="597"/>
      <c r="Z340" s="600">
        <f>VLOOKUP($G340,'Merit Data'!$A:$BW,MATCH('Merit Data'!$E$3,'Merit Data'!$3:$3,0),0)</f>
        <v>200</v>
      </c>
      <c r="AA340" s="600"/>
      <c r="AB340" s="600"/>
      <c r="AC340" s="600"/>
      <c r="AD340" s="600"/>
      <c r="AE340" s="600"/>
      <c r="AF340" s="600"/>
      <c r="AG340" s="601"/>
      <c r="AH340" s="606" t="str">
        <f ca="1">IF(NOT(ISERROR(VLOOKUP($G340,'Merit Data'!$A:$CE,MATCH('Merit Data'!$BX$3,'Merit Data'!$3:$3,0),0))),VLOOKUP($G340,'Merit Data'!$A:$CE,MATCH('Merit Data'!$BX$3,'Merit Data'!$3:$3,0),0),"")</f>
        <v>Parry</v>
      </c>
      <c r="AI340" s="607"/>
      <c r="AJ340" s="607"/>
      <c r="AK340" s="607"/>
      <c r="AL340" s="607"/>
      <c r="AM340" s="607"/>
      <c r="AN340" s="607"/>
      <c r="AO340" s="607"/>
      <c r="AP340" s="607"/>
      <c r="AQ340" s="607"/>
      <c r="AR340" s="607"/>
      <c r="AS340" s="607"/>
      <c r="AT340" s="607"/>
      <c r="AU340" s="607"/>
      <c r="AV340" s="607"/>
      <c r="AW340" s="608"/>
      <c r="AX340" s="615" t="str">
        <f>VLOOKUP($G340,'Merit Data'!$A:$BW,MATCH('Merit Data'!$F$3,'Merit Data'!$3:$3,0),0)</f>
        <v xml:space="preserve">Whenever you successfully parry an attack by 10 or more with a balanced or light weapon, you may immediately make a melee basic attack with the same weapon at no cost. </v>
      </c>
      <c r="AY340" s="616"/>
      <c r="AZ340" s="616"/>
      <c r="BA340" s="616"/>
      <c r="BB340" s="616"/>
      <c r="BC340" s="616"/>
      <c r="BD340" s="616"/>
      <c r="BE340" s="616"/>
      <c r="BF340" s="616"/>
      <c r="BG340" s="616"/>
      <c r="BH340" s="616"/>
      <c r="BI340" s="616"/>
      <c r="BJ340" s="616"/>
      <c r="BK340" s="616"/>
      <c r="BL340" s="616"/>
      <c r="BM340" s="616"/>
      <c r="BN340" s="616"/>
      <c r="BO340" s="616"/>
      <c r="BP340" s="616"/>
      <c r="BQ340" s="616"/>
      <c r="BR340" s="616"/>
      <c r="BS340" s="616"/>
      <c r="BT340" s="616"/>
      <c r="BU340" s="616"/>
      <c r="BV340" s="616"/>
      <c r="BW340" s="616"/>
      <c r="BX340" s="616"/>
      <c r="BY340" s="616"/>
      <c r="BZ340" s="616"/>
      <c r="CA340" s="616"/>
      <c r="CB340" s="616"/>
      <c r="CC340" s="616"/>
      <c r="CD340" s="616"/>
      <c r="CE340" s="616"/>
      <c r="CF340" s="616"/>
      <c r="CG340" s="616"/>
      <c r="CH340" s="616"/>
      <c r="CI340" s="616"/>
      <c r="CJ340" s="616"/>
      <c r="CK340" s="616"/>
      <c r="CL340" s="616"/>
      <c r="CM340" s="616"/>
      <c r="CN340" s="616"/>
      <c r="CO340" s="616"/>
      <c r="CP340" s="616"/>
      <c r="CQ340" s="616"/>
      <c r="CR340" s="616"/>
      <c r="CS340" s="616"/>
      <c r="CT340" s="616"/>
      <c r="CU340" s="616"/>
      <c r="CV340" s="616"/>
      <c r="CW340" s="616"/>
      <c r="CX340" s="616"/>
      <c r="CY340" s="616"/>
      <c r="CZ340" s="616"/>
      <c r="DA340" s="616"/>
      <c r="DB340" s="616"/>
      <c r="DC340" s="616"/>
      <c r="DD340" s="616"/>
      <c r="DE340" s="616"/>
      <c r="DF340" s="616"/>
      <c r="DG340" s="616"/>
      <c r="DH340" s="616"/>
      <c r="DI340" s="616"/>
      <c r="DJ340" s="616"/>
      <c r="DK340" s="616"/>
      <c r="DL340" s="616"/>
      <c r="DM340" s="616"/>
      <c r="DN340" s="616"/>
      <c r="DO340" s="616"/>
      <c r="DP340" s="616"/>
      <c r="DQ340" s="617"/>
      <c r="DR340" s="233"/>
    </row>
    <row r="341" spans="1:122" ht="7.5" customHeight="1" x14ac:dyDescent="0.25">
      <c r="A341" s="591"/>
      <c r="B341" s="592"/>
      <c r="C341" s="592"/>
      <c r="D341" s="592"/>
      <c r="E341" s="593"/>
      <c r="F341" s="153"/>
      <c r="G341" s="598"/>
      <c r="H341" s="598"/>
      <c r="I341" s="598"/>
      <c r="J341" s="598"/>
      <c r="K341" s="598"/>
      <c r="L341" s="598"/>
      <c r="M341" s="598"/>
      <c r="N341" s="598"/>
      <c r="O341" s="598"/>
      <c r="P341" s="598"/>
      <c r="Q341" s="598"/>
      <c r="R341" s="598"/>
      <c r="S341" s="598"/>
      <c r="T341" s="598"/>
      <c r="U341" s="598"/>
      <c r="V341" s="598"/>
      <c r="W341" s="598"/>
      <c r="X341" s="598"/>
      <c r="Y341" s="598"/>
      <c r="Z341" s="602"/>
      <c r="AA341" s="602"/>
      <c r="AB341" s="602"/>
      <c r="AC341" s="602"/>
      <c r="AD341" s="602"/>
      <c r="AE341" s="602"/>
      <c r="AF341" s="602"/>
      <c r="AG341" s="603"/>
      <c r="AH341" s="609"/>
      <c r="AI341" s="610"/>
      <c r="AJ341" s="610"/>
      <c r="AK341" s="610"/>
      <c r="AL341" s="610"/>
      <c r="AM341" s="610"/>
      <c r="AN341" s="610"/>
      <c r="AO341" s="610"/>
      <c r="AP341" s="610"/>
      <c r="AQ341" s="610"/>
      <c r="AR341" s="610"/>
      <c r="AS341" s="610"/>
      <c r="AT341" s="610"/>
      <c r="AU341" s="610"/>
      <c r="AV341" s="610"/>
      <c r="AW341" s="611"/>
      <c r="AX341" s="618"/>
      <c r="AY341" s="619"/>
      <c r="AZ341" s="619"/>
      <c r="BA341" s="619"/>
      <c r="BB341" s="619"/>
      <c r="BC341" s="619"/>
      <c r="BD341" s="619"/>
      <c r="BE341" s="619"/>
      <c r="BF341" s="619"/>
      <c r="BG341" s="619"/>
      <c r="BH341" s="619"/>
      <c r="BI341" s="619"/>
      <c r="BJ341" s="619"/>
      <c r="BK341" s="619"/>
      <c r="BL341" s="619"/>
      <c r="BM341" s="619"/>
      <c r="BN341" s="619"/>
      <c r="BO341" s="619"/>
      <c r="BP341" s="619"/>
      <c r="BQ341" s="619"/>
      <c r="BR341" s="619"/>
      <c r="BS341" s="619"/>
      <c r="BT341" s="619"/>
      <c r="BU341" s="619"/>
      <c r="BV341" s="619"/>
      <c r="BW341" s="619"/>
      <c r="BX341" s="619"/>
      <c r="BY341" s="619"/>
      <c r="BZ341" s="619"/>
      <c r="CA341" s="619"/>
      <c r="CB341" s="619"/>
      <c r="CC341" s="619"/>
      <c r="CD341" s="619"/>
      <c r="CE341" s="619"/>
      <c r="CF341" s="619"/>
      <c r="CG341" s="619"/>
      <c r="CH341" s="619"/>
      <c r="CI341" s="619"/>
      <c r="CJ341" s="619"/>
      <c r="CK341" s="619"/>
      <c r="CL341" s="619"/>
      <c r="CM341" s="619"/>
      <c r="CN341" s="619"/>
      <c r="CO341" s="619"/>
      <c r="CP341" s="619"/>
      <c r="CQ341" s="619"/>
      <c r="CR341" s="619"/>
      <c r="CS341" s="619"/>
      <c r="CT341" s="619"/>
      <c r="CU341" s="619"/>
      <c r="CV341" s="619"/>
      <c r="CW341" s="619"/>
      <c r="CX341" s="619"/>
      <c r="CY341" s="619"/>
      <c r="CZ341" s="619"/>
      <c r="DA341" s="619"/>
      <c r="DB341" s="619"/>
      <c r="DC341" s="619"/>
      <c r="DD341" s="619"/>
      <c r="DE341" s="619"/>
      <c r="DF341" s="619"/>
      <c r="DG341" s="619"/>
      <c r="DH341" s="619"/>
      <c r="DI341" s="619"/>
      <c r="DJ341" s="619"/>
      <c r="DK341" s="619"/>
      <c r="DL341" s="619"/>
      <c r="DM341" s="619"/>
      <c r="DN341" s="619"/>
      <c r="DO341" s="619"/>
      <c r="DP341" s="619"/>
      <c r="DQ341" s="620"/>
      <c r="DR341" s="233"/>
    </row>
    <row r="342" spans="1:122" ht="7.5" customHeight="1" x14ac:dyDescent="0.25">
      <c r="A342" s="594"/>
      <c r="B342" s="595"/>
      <c r="C342" s="595"/>
      <c r="D342" s="595"/>
      <c r="E342" s="596"/>
      <c r="F342" s="154"/>
      <c r="G342" s="599"/>
      <c r="H342" s="599"/>
      <c r="I342" s="599"/>
      <c r="J342" s="599"/>
      <c r="K342" s="599"/>
      <c r="L342" s="599"/>
      <c r="M342" s="599"/>
      <c r="N342" s="599"/>
      <c r="O342" s="599"/>
      <c r="P342" s="599"/>
      <c r="Q342" s="599"/>
      <c r="R342" s="599"/>
      <c r="S342" s="599"/>
      <c r="T342" s="599"/>
      <c r="U342" s="599"/>
      <c r="V342" s="599"/>
      <c r="W342" s="599"/>
      <c r="X342" s="599"/>
      <c r="Y342" s="599"/>
      <c r="Z342" s="602"/>
      <c r="AA342" s="602"/>
      <c r="AB342" s="602"/>
      <c r="AC342" s="602"/>
      <c r="AD342" s="602"/>
      <c r="AE342" s="602"/>
      <c r="AF342" s="602"/>
      <c r="AG342" s="603"/>
      <c r="AH342" s="609"/>
      <c r="AI342" s="610"/>
      <c r="AJ342" s="610"/>
      <c r="AK342" s="610"/>
      <c r="AL342" s="610"/>
      <c r="AM342" s="610"/>
      <c r="AN342" s="610"/>
      <c r="AO342" s="610"/>
      <c r="AP342" s="610"/>
      <c r="AQ342" s="610"/>
      <c r="AR342" s="610"/>
      <c r="AS342" s="610"/>
      <c r="AT342" s="610"/>
      <c r="AU342" s="610"/>
      <c r="AV342" s="610"/>
      <c r="AW342" s="611"/>
      <c r="AX342" s="618"/>
      <c r="AY342" s="619"/>
      <c r="AZ342" s="619"/>
      <c r="BA342" s="619"/>
      <c r="BB342" s="619"/>
      <c r="BC342" s="619"/>
      <c r="BD342" s="619"/>
      <c r="BE342" s="619"/>
      <c r="BF342" s="619"/>
      <c r="BG342" s="619"/>
      <c r="BH342" s="619"/>
      <c r="BI342" s="619"/>
      <c r="BJ342" s="619"/>
      <c r="BK342" s="619"/>
      <c r="BL342" s="619"/>
      <c r="BM342" s="619"/>
      <c r="BN342" s="619"/>
      <c r="BO342" s="619"/>
      <c r="BP342" s="619"/>
      <c r="BQ342" s="619"/>
      <c r="BR342" s="619"/>
      <c r="BS342" s="619"/>
      <c r="BT342" s="619"/>
      <c r="BU342" s="619"/>
      <c r="BV342" s="619"/>
      <c r="BW342" s="619"/>
      <c r="BX342" s="619"/>
      <c r="BY342" s="619"/>
      <c r="BZ342" s="619"/>
      <c r="CA342" s="619"/>
      <c r="CB342" s="619"/>
      <c r="CC342" s="619"/>
      <c r="CD342" s="619"/>
      <c r="CE342" s="619"/>
      <c r="CF342" s="619"/>
      <c r="CG342" s="619"/>
      <c r="CH342" s="619"/>
      <c r="CI342" s="619"/>
      <c r="CJ342" s="619"/>
      <c r="CK342" s="619"/>
      <c r="CL342" s="619"/>
      <c r="CM342" s="619"/>
      <c r="CN342" s="619"/>
      <c r="CO342" s="619"/>
      <c r="CP342" s="619"/>
      <c r="CQ342" s="619"/>
      <c r="CR342" s="619"/>
      <c r="CS342" s="619"/>
      <c r="CT342" s="619"/>
      <c r="CU342" s="619"/>
      <c r="CV342" s="619"/>
      <c r="CW342" s="619"/>
      <c r="CX342" s="619"/>
      <c r="CY342" s="619"/>
      <c r="CZ342" s="619"/>
      <c r="DA342" s="619"/>
      <c r="DB342" s="619"/>
      <c r="DC342" s="619"/>
      <c r="DD342" s="619"/>
      <c r="DE342" s="619"/>
      <c r="DF342" s="619"/>
      <c r="DG342" s="619"/>
      <c r="DH342" s="619"/>
      <c r="DI342" s="619"/>
      <c r="DJ342" s="619"/>
      <c r="DK342" s="619"/>
      <c r="DL342" s="619"/>
      <c r="DM342" s="619"/>
      <c r="DN342" s="619"/>
      <c r="DO342" s="619"/>
      <c r="DP342" s="619"/>
      <c r="DQ342" s="620"/>
      <c r="DR342" s="233"/>
    </row>
    <row r="343" spans="1:122" ht="7.5" customHeight="1" x14ac:dyDescent="0.25">
      <c r="A343" s="119"/>
      <c r="B343" s="119"/>
      <c r="C343" s="119"/>
      <c r="D343" s="119"/>
      <c r="E343" s="119"/>
      <c r="F343" s="624" t="str">
        <f>G340</f>
        <v>Riposte</v>
      </c>
      <c r="G343" s="624"/>
      <c r="H343" s="624"/>
      <c r="I343" s="624"/>
      <c r="J343" s="624"/>
      <c r="K343" s="625">
        <f>IF(A340&gt;0,Z340,0)</f>
        <v>0</v>
      </c>
      <c r="L343" s="625"/>
      <c r="M343" s="625"/>
      <c r="N343" s="626" t="b">
        <f>IF($G340&lt;&gt;"",VLOOKUP($G340,'Merit Data'!$A:$BW,MATCH('Merit Data'!$B$3,'Merit Data'!$3:$3,0),0),TRUE)</f>
        <v>0</v>
      </c>
      <c r="O343" s="626"/>
      <c r="P343" s="626"/>
      <c r="Q343" s="155"/>
      <c r="R343" s="140"/>
      <c r="S343" s="140"/>
      <c r="T343" s="140"/>
      <c r="U343" s="140"/>
      <c r="V343" s="238"/>
      <c r="W343" s="238"/>
      <c r="X343" s="627" t="str">
        <f>IF(F343&gt;0,HYPERLINK("http://wiki.project-saros.com/w/"&amp;F343,"Info"),"")</f>
        <v>Info</v>
      </c>
      <c r="Y343" s="628"/>
      <c r="Z343" s="604"/>
      <c r="AA343" s="604"/>
      <c r="AB343" s="604"/>
      <c r="AC343" s="604"/>
      <c r="AD343" s="604"/>
      <c r="AE343" s="604"/>
      <c r="AF343" s="604"/>
      <c r="AG343" s="605"/>
      <c r="AH343" s="612"/>
      <c r="AI343" s="613"/>
      <c r="AJ343" s="613"/>
      <c r="AK343" s="613"/>
      <c r="AL343" s="613"/>
      <c r="AM343" s="613"/>
      <c r="AN343" s="613"/>
      <c r="AO343" s="613"/>
      <c r="AP343" s="613"/>
      <c r="AQ343" s="613"/>
      <c r="AR343" s="613"/>
      <c r="AS343" s="613"/>
      <c r="AT343" s="613"/>
      <c r="AU343" s="613"/>
      <c r="AV343" s="613"/>
      <c r="AW343" s="614"/>
      <c r="AX343" s="621"/>
      <c r="AY343" s="622"/>
      <c r="AZ343" s="622"/>
      <c r="BA343" s="622"/>
      <c r="BB343" s="622"/>
      <c r="BC343" s="622"/>
      <c r="BD343" s="622"/>
      <c r="BE343" s="622"/>
      <c r="BF343" s="622"/>
      <c r="BG343" s="622"/>
      <c r="BH343" s="622"/>
      <c r="BI343" s="622"/>
      <c r="BJ343" s="622"/>
      <c r="BK343" s="622"/>
      <c r="BL343" s="622"/>
      <c r="BM343" s="622"/>
      <c r="BN343" s="622"/>
      <c r="BO343" s="622"/>
      <c r="BP343" s="622"/>
      <c r="BQ343" s="622"/>
      <c r="BR343" s="622"/>
      <c r="BS343" s="622"/>
      <c r="BT343" s="622"/>
      <c r="BU343" s="622"/>
      <c r="BV343" s="622"/>
      <c r="BW343" s="622"/>
      <c r="BX343" s="622"/>
      <c r="BY343" s="622"/>
      <c r="BZ343" s="622"/>
      <c r="CA343" s="622"/>
      <c r="CB343" s="622"/>
      <c r="CC343" s="622"/>
      <c r="CD343" s="622"/>
      <c r="CE343" s="622"/>
      <c r="CF343" s="622"/>
      <c r="CG343" s="622"/>
      <c r="CH343" s="622"/>
      <c r="CI343" s="622"/>
      <c r="CJ343" s="622"/>
      <c r="CK343" s="622"/>
      <c r="CL343" s="622"/>
      <c r="CM343" s="622"/>
      <c r="CN343" s="622"/>
      <c r="CO343" s="622"/>
      <c r="CP343" s="622"/>
      <c r="CQ343" s="622"/>
      <c r="CR343" s="622"/>
      <c r="CS343" s="622"/>
      <c r="CT343" s="622"/>
      <c r="CU343" s="622"/>
      <c r="CV343" s="622"/>
      <c r="CW343" s="622"/>
      <c r="CX343" s="622"/>
      <c r="CY343" s="622"/>
      <c r="CZ343" s="622"/>
      <c r="DA343" s="622"/>
      <c r="DB343" s="622"/>
      <c r="DC343" s="622"/>
      <c r="DD343" s="622"/>
      <c r="DE343" s="622"/>
      <c r="DF343" s="622"/>
      <c r="DG343" s="622"/>
      <c r="DH343" s="622"/>
      <c r="DI343" s="622"/>
      <c r="DJ343" s="622"/>
      <c r="DK343" s="622"/>
      <c r="DL343" s="622"/>
      <c r="DM343" s="622"/>
      <c r="DN343" s="622"/>
      <c r="DO343" s="622"/>
      <c r="DP343" s="622"/>
      <c r="DQ343" s="623"/>
      <c r="DR343" s="233"/>
    </row>
    <row r="344" spans="1:122" ht="7.5" customHeight="1" x14ac:dyDescent="0.25">
      <c r="A344" s="588"/>
      <c r="B344" s="589"/>
      <c r="C344" s="589"/>
      <c r="D344" s="589"/>
      <c r="E344" s="590"/>
      <c r="F344" s="152"/>
      <c r="G344" s="597" t="str">
        <f>INDEX('Merit Data'!A:A,ROW('Merit Data'!A78:A79)-COUNTA($G$272:G343)*2,COLUMN('Merit Data'!A78:A79))</f>
        <v>Deflection</v>
      </c>
      <c r="H344" s="597"/>
      <c r="I344" s="597"/>
      <c r="J344" s="597"/>
      <c r="K344" s="597"/>
      <c r="L344" s="597"/>
      <c r="M344" s="597"/>
      <c r="N344" s="597"/>
      <c r="O344" s="597"/>
      <c r="P344" s="597"/>
      <c r="Q344" s="597"/>
      <c r="R344" s="597"/>
      <c r="S344" s="597"/>
      <c r="T344" s="597"/>
      <c r="U344" s="597"/>
      <c r="V344" s="597"/>
      <c r="W344" s="597"/>
      <c r="X344" s="597"/>
      <c r="Y344" s="597"/>
      <c r="Z344" s="600">
        <f>VLOOKUP($G344,'Merit Data'!$A:$BW,MATCH('Merit Data'!$E$3,'Merit Data'!$3:$3,0),0)</f>
        <v>100</v>
      </c>
      <c r="AA344" s="600"/>
      <c r="AB344" s="600"/>
      <c r="AC344" s="600"/>
      <c r="AD344" s="600"/>
      <c r="AE344" s="600"/>
      <c r="AF344" s="600"/>
      <c r="AG344" s="601"/>
      <c r="AH344" s="606" t="str">
        <f ca="1">IF(NOT(ISERROR(VLOOKUP($G344,'Merit Data'!$A:$CE,MATCH('Merit Data'!$BX$3,'Merit Data'!$3:$3,0),0))),VLOOKUP($G344,'Merit Data'!$A:$CE,MATCH('Merit Data'!$BX$3,'Merit Data'!$3:$3,0),0),"")</f>
        <v/>
      </c>
      <c r="AI344" s="607"/>
      <c r="AJ344" s="607"/>
      <c r="AK344" s="607"/>
      <c r="AL344" s="607"/>
      <c r="AM344" s="607"/>
      <c r="AN344" s="607"/>
      <c r="AO344" s="607"/>
      <c r="AP344" s="607"/>
      <c r="AQ344" s="607"/>
      <c r="AR344" s="607"/>
      <c r="AS344" s="607"/>
      <c r="AT344" s="607"/>
      <c r="AU344" s="607"/>
      <c r="AV344" s="607"/>
      <c r="AW344" s="608"/>
      <c r="AX344" s="615" t="str">
        <f>VLOOKUP($G344,'Merit Data'!$A:$BW,MATCH('Merit Data'!$F$3,'Merit Data'!$3:$3,0),0)</f>
        <v xml:space="preserve">Increases your weapon's durability by 50% </v>
      </c>
      <c r="AY344" s="616"/>
      <c r="AZ344" s="616"/>
      <c r="BA344" s="616"/>
      <c r="BB344" s="616"/>
      <c r="BC344" s="616"/>
      <c r="BD344" s="616"/>
      <c r="BE344" s="616"/>
      <c r="BF344" s="616"/>
      <c r="BG344" s="616"/>
      <c r="BH344" s="616"/>
      <c r="BI344" s="616"/>
      <c r="BJ344" s="616"/>
      <c r="BK344" s="616"/>
      <c r="BL344" s="616"/>
      <c r="BM344" s="616"/>
      <c r="BN344" s="616"/>
      <c r="BO344" s="616"/>
      <c r="BP344" s="616"/>
      <c r="BQ344" s="616"/>
      <c r="BR344" s="616"/>
      <c r="BS344" s="616"/>
      <c r="BT344" s="616"/>
      <c r="BU344" s="616"/>
      <c r="BV344" s="616"/>
      <c r="BW344" s="616"/>
      <c r="BX344" s="616"/>
      <c r="BY344" s="616"/>
      <c r="BZ344" s="616"/>
      <c r="CA344" s="616"/>
      <c r="CB344" s="616"/>
      <c r="CC344" s="616"/>
      <c r="CD344" s="616"/>
      <c r="CE344" s="616"/>
      <c r="CF344" s="616"/>
      <c r="CG344" s="616"/>
      <c r="CH344" s="616"/>
      <c r="CI344" s="616"/>
      <c r="CJ344" s="616"/>
      <c r="CK344" s="616"/>
      <c r="CL344" s="616"/>
      <c r="CM344" s="616"/>
      <c r="CN344" s="616"/>
      <c r="CO344" s="616"/>
      <c r="CP344" s="616"/>
      <c r="CQ344" s="616"/>
      <c r="CR344" s="616"/>
      <c r="CS344" s="616"/>
      <c r="CT344" s="616"/>
      <c r="CU344" s="616"/>
      <c r="CV344" s="616"/>
      <c r="CW344" s="616"/>
      <c r="CX344" s="616"/>
      <c r="CY344" s="616"/>
      <c r="CZ344" s="616"/>
      <c r="DA344" s="616"/>
      <c r="DB344" s="616"/>
      <c r="DC344" s="616"/>
      <c r="DD344" s="616"/>
      <c r="DE344" s="616"/>
      <c r="DF344" s="616"/>
      <c r="DG344" s="616"/>
      <c r="DH344" s="616"/>
      <c r="DI344" s="616"/>
      <c r="DJ344" s="616"/>
      <c r="DK344" s="616"/>
      <c r="DL344" s="616"/>
      <c r="DM344" s="616"/>
      <c r="DN344" s="616"/>
      <c r="DO344" s="616"/>
      <c r="DP344" s="616"/>
      <c r="DQ344" s="617"/>
      <c r="DR344" s="233"/>
    </row>
    <row r="345" spans="1:122" ht="7.5" customHeight="1" x14ac:dyDescent="0.25">
      <c r="A345" s="591"/>
      <c r="B345" s="592"/>
      <c r="C345" s="592"/>
      <c r="D345" s="592"/>
      <c r="E345" s="593"/>
      <c r="F345" s="153"/>
      <c r="G345" s="598"/>
      <c r="H345" s="598"/>
      <c r="I345" s="598"/>
      <c r="J345" s="598"/>
      <c r="K345" s="598"/>
      <c r="L345" s="598"/>
      <c r="M345" s="598"/>
      <c r="N345" s="598"/>
      <c r="O345" s="598"/>
      <c r="P345" s="598"/>
      <c r="Q345" s="598"/>
      <c r="R345" s="598"/>
      <c r="S345" s="598"/>
      <c r="T345" s="598"/>
      <c r="U345" s="598"/>
      <c r="V345" s="598"/>
      <c r="W345" s="598"/>
      <c r="X345" s="598"/>
      <c r="Y345" s="598"/>
      <c r="Z345" s="602"/>
      <c r="AA345" s="602"/>
      <c r="AB345" s="602"/>
      <c r="AC345" s="602"/>
      <c r="AD345" s="602"/>
      <c r="AE345" s="602"/>
      <c r="AF345" s="602"/>
      <c r="AG345" s="603"/>
      <c r="AH345" s="609"/>
      <c r="AI345" s="610"/>
      <c r="AJ345" s="610"/>
      <c r="AK345" s="610"/>
      <c r="AL345" s="610"/>
      <c r="AM345" s="610"/>
      <c r="AN345" s="610"/>
      <c r="AO345" s="610"/>
      <c r="AP345" s="610"/>
      <c r="AQ345" s="610"/>
      <c r="AR345" s="610"/>
      <c r="AS345" s="610"/>
      <c r="AT345" s="610"/>
      <c r="AU345" s="610"/>
      <c r="AV345" s="610"/>
      <c r="AW345" s="611"/>
      <c r="AX345" s="618"/>
      <c r="AY345" s="619"/>
      <c r="AZ345" s="619"/>
      <c r="BA345" s="619"/>
      <c r="BB345" s="619"/>
      <c r="BC345" s="619"/>
      <c r="BD345" s="619"/>
      <c r="BE345" s="619"/>
      <c r="BF345" s="619"/>
      <c r="BG345" s="619"/>
      <c r="BH345" s="619"/>
      <c r="BI345" s="619"/>
      <c r="BJ345" s="619"/>
      <c r="BK345" s="619"/>
      <c r="BL345" s="619"/>
      <c r="BM345" s="619"/>
      <c r="BN345" s="619"/>
      <c r="BO345" s="619"/>
      <c r="BP345" s="619"/>
      <c r="BQ345" s="619"/>
      <c r="BR345" s="619"/>
      <c r="BS345" s="619"/>
      <c r="BT345" s="619"/>
      <c r="BU345" s="619"/>
      <c r="BV345" s="619"/>
      <c r="BW345" s="619"/>
      <c r="BX345" s="619"/>
      <c r="BY345" s="619"/>
      <c r="BZ345" s="619"/>
      <c r="CA345" s="619"/>
      <c r="CB345" s="619"/>
      <c r="CC345" s="619"/>
      <c r="CD345" s="619"/>
      <c r="CE345" s="619"/>
      <c r="CF345" s="619"/>
      <c r="CG345" s="619"/>
      <c r="CH345" s="619"/>
      <c r="CI345" s="619"/>
      <c r="CJ345" s="619"/>
      <c r="CK345" s="619"/>
      <c r="CL345" s="619"/>
      <c r="CM345" s="619"/>
      <c r="CN345" s="619"/>
      <c r="CO345" s="619"/>
      <c r="CP345" s="619"/>
      <c r="CQ345" s="619"/>
      <c r="CR345" s="619"/>
      <c r="CS345" s="619"/>
      <c r="CT345" s="619"/>
      <c r="CU345" s="619"/>
      <c r="CV345" s="619"/>
      <c r="CW345" s="619"/>
      <c r="CX345" s="619"/>
      <c r="CY345" s="619"/>
      <c r="CZ345" s="619"/>
      <c r="DA345" s="619"/>
      <c r="DB345" s="619"/>
      <c r="DC345" s="619"/>
      <c r="DD345" s="619"/>
      <c r="DE345" s="619"/>
      <c r="DF345" s="619"/>
      <c r="DG345" s="619"/>
      <c r="DH345" s="619"/>
      <c r="DI345" s="619"/>
      <c r="DJ345" s="619"/>
      <c r="DK345" s="619"/>
      <c r="DL345" s="619"/>
      <c r="DM345" s="619"/>
      <c r="DN345" s="619"/>
      <c r="DO345" s="619"/>
      <c r="DP345" s="619"/>
      <c r="DQ345" s="620"/>
      <c r="DR345" s="233"/>
    </row>
    <row r="346" spans="1:122" ht="7.5" customHeight="1" x14ac:dyDescent="0.25">
      <c r="A346" s="594"/>
      <c r="B346" s="595"/>
      <c r="C346" s="595"/>
      <c r="D346" s="595"/>
      <c r="E346" s="596"/>
      <c r="F346" s="154"/>
      <c r="G346" s="599"/>
      <c r="H346" s="599"/>
      <c r="I346" s="599"/>
      <c r="J346" s="599"/>
      <c r="K346" s="599"/>
      <c r="L346" s="599"/>
      <c r="M346" s="599"/>
      <c r="N346" s="599"/>
      <c r="O346" s="599"/>
      <c r="P346" s="599"/>
      <c r="Q346" s="599"/>
      <c r="R346" s="599"/>
      <c r="S346" s="599"/>
      <c r="T346" s="599"/>
      <c r="U346" s="599"/>
      <c r="V346" s="599"/>
      <c r="W346" s="599"/>
      <c r="X346" s="599"/>
      <c r="Y346" s="599"/>
      <c r="Z346" s="602"/>
      <c r="AA346" s="602"/>
      <c r="AB346" s="602"/>
      <c r="AC346" s="602"/>
      <c r="AD346" s="602"/>
      <c r="AE346" s="602"/>
      <c r="AF346" s="602"/>
      <c r="AG346" s="603"/>
      <c r="AH346" s="609"/>
      <c r="AI346" s="610"/>
      <c r="AJ346" s="610"/>
      <c r="AK346" s="610"/>
      <c r="AL346" s="610"/>
      <c r="AM346" s="610"/>
      <c r="AN346" s="610"/>
      <c r="AO346" s="610"/>
      <c r="AP346" s="610"/>
      <c r="AQ346" s="610"/>
      <c r="AR346" s="610"/>
      <c r="AS346" s="610"/>
      <c r="AT346" s="610"/>
      <c r="AU346" s="610"/>
      <c r="AV346" s="610"/>
      <c r="AW346" s="611"/>
      <c r="AX346" s="618"/>
      <c r="AY346" s="619"/>
      <c r="AZ346" s="619"/>
      <c r="BA346" s="619"/>
      <c r="BB346" s="619"/>
      <c r="BC346" s="619"/>
      <c r="BD346" s="619"/>
      <c r="BE346" s="619"/>
      <c r="BF346" s="619"/>
      <c r="BG346" s="619"/>
      <c r="BH346" s="619"/>
      <c r="BI346" s="619"/>
      <c r="BJ346" s="619"/>
      <c r="BK346" s="619"/>
      <c r="BL346" s="619"/>
      <c r="BM346" s="619"/>
      <c r="BN346" s="619"/>
      <c r="BO346" s="619"/>
      <c r="BP346" s="619"/>
      <c r="BQ346" s="619"/>
      <c r="BR346" s="619"/>
      <c r="BS346" s="619"/>
      <c r="BT346" s="619"/>
      <c r="BU346" s="619"/>
      <c r="BV346" s="619"/>
      <c r="BW346" s="619"/>
      <c r="BX346" s="619"/>
      <c r="BY346" s="619"/>
      <c r="BZ346" s="619"/>
      <c r="CA346" s="619"/>
      <c r="CB346" s="619"/>
      <c r="CC346" s="619"/>
      <c r="CD346" s="619"/>
      <c r="CE346" s="619"/>
      <c r="CF346" s="619"/>
      <c r="CG346" s="619"/>
      <c r="CH346" s="619"/>
      <c r="CI346" s="619"/>
      <c r="CJ346" s="619"/>
      <c r="CK346" s="619"/>
      <c r="CL346" s="619"/>
      <c r="CM346" s="619"/>
      <c r="CN346" s="619"/>
      <c r="CO346" s="619"/>
      <c r="CP346" s="619"/>
      <c r="CQ346" s="619"/>
      <c r="CR346" s="619"/>
      <c r="CS346" s="619"/>
      <c r="CT346" s="619"/>
      <c r="CU346" s="619"/>
      <c r="CV346" s="619"/>
      <c r="CW346" s="619"/>
      <c r="CX346" s="619"/>
      <c r="CY346" s="619"/>
      <c r="CZ346" s="619"/>
      <c r="DA346" s="619"/>
      <c r="DB346" s="619"/>
      <c r="DC346" s="619"/>
      <c r="DD346" s="619"/>
      <c r="DE346" s="619"/>
      <c r="DF346" s="619"/>
      <c r="DG346" s="619"/>
      <c r="DH346" s="619"/>
      <c r="DI346" s="619"/>
      <c r="DJ346" s="619"/>
      <c r="DK346" s="619"/>
      <c r="DL346" s="619"/>
      <c r="DM346" s="619"/>
      <c r="DN346" s="619"/>
      <c r="DO346" s="619"/>
      <c r="DP346" s="619"/>
      <c r="DQ346" s="620"/>
      <c r="DR346" s="233"/>
    </row>
    <row r="347" spans="1:122" ht="7.5" customHeight="1" x14ac:dyDescent="0.25">
      <c r="A347" s="119"/>
      <c r="B347" s="119"/>
      <c r="C347" s="119"/>
      <c r="D347" s="119"/>
      <c r="E347" s="119"/>
      <c r="F347" s="624" t="str">
        <f>G344</f>
        <v>Deflection</v>
      </c>
      <c r="G347" s="624"/>
      <c r="H347" s="624"/>
      <c r="I347" s="624"/>
      <c r="J347" s="624"/>
      <c r="K347" s="625">
        <f>IF(A344&gt;0,Z344,0)</f>
        <v>0</v>
      </c>
      <c r="L347" s="625"/>
      <c r="M347" s="625"/>
      <c r="N347" s="626" t="b">
        <f>IF($G344&lt;&gt;"",VLOOKUP($G344,'Merit Data'!$A:$BW,MATCH('Merit Data'!$B$3,'Merit Data'!$3:$3,0),0),TRUE)</f>
        <v>1</v>
      </c>
      <c r="O347" s="626"/>
      <c r="P347" s="626"/>
      <c r="Q347" s="155"/>
      <c r="R347" s="140"/>
      <c r="S347" s="140"/>
      <c r="T347" s="140"/>
      <c r="U347" s="140"/>
      <c r="V347" s="238"/>
      <c r="W347" s="238"/>
      <c r="X347" s="627" t="str">
        <f>IF(F347&gt;0,HYPERLINK("http://wiki.project-saros.com/w/"&amp;F347,"Info"),"")</f>
        <v>Info</v>
      </c>
      <c r="Y347" s="628"/>
      <c r="Z347" s="604"/>
      <c r="AA347" s="604"/>
      <c r="AB347" s="604"/>
      <c r="AC347" s="604"/>
      <c r="AD347" s="604"/>
      <c r="AE347" s="604"/>
      <c r="AF347" s="604"/>
      <c r="AG347" s="605"/>
      <c r="AH347" s="612"/>
      <c r="AI347" s="613"/>
      <c r="AJ347" s="613"/>
      <c r="AK347" s="613"/>
      <c r="AL347" s="613"/>
      <c r="AM347" s="613"/>
      <c r="AN347" s="613"/>
      <c r="AO347" s="613"/>
      <c r="AP347" s="613"/>
      <c r="AQ347" s="613"/>
      <c r="AR347" s="613"/>
      <c r="AS347" s="613"/>
      <c r="AT347" s="613"/>
      <c r="AU347" s="613"/>
      <c r="AV347" s="613"/>
      <c r="AW347" s="614"/>
      <c r="AX347" s="621"/>
      <c r="AY347" s="622"/>
      <c r="AZ347" s="622"/>
      <c r="BA347" s="622"/>
      <c r="BB347" s="622"/>
      <c r="BC347" s="622"/>
      <c r="BD347" s="622"/>
      <c r="BE347" s="622"/>
      <c r="BF347" s="622"/>
      <c r="BG347" s="622"/>
      <c r="BH347" s="622"/>
      <c r="BI347" s="622"/>
      <c r="BJ347" s="622"/>
      <c r="BK347" s="622"/>
      <c r="BL347" s="622"/>
      <c r="BM347" s="622"/>
      <c r="BN347" s="622"/>
      <c r="BO347" s="622"/>
      <c r="BP347" s="622"/>
      <c r="BQ347" s="622"/>
      <c r="BR347" s="622"/>
      <c r="BS347" s="622"/>
      <c r="BT347" s="622"/>
      <c r="BU347" s="622"/>
      <c r="BV347" s="622"/>
      <c r="BW347" s="622"/>
      <c r="BX347" s="622"/>
      <c r="BY347" s="622"/>
      <c r="BZ347" s="622"/>
      <c r="CA347" s="622"/>
      <c r="CB347" s="622"/>
      <c r="CC347" s="622"/>
      <c r="CD347" s="622"/>
      <c r="CE347" s="622"/>
      <c r="CF347" s="622"/>
      <c r="CG347" s="622"/>
      <c r="CH347" s="622"/>
      <c r="CI347" s="622"/>
      <c r="CJ347" s="622"/>
      <c r="CK347" s="622"/>
      <c r="CL347" s="622"/>
      <c r="CM347" s="622"/>
      <c r="CN347" s="622"/>
      <c r="CO347" s="622"/>
      <c r="CP347" s="622"/>
      <c r="CQ347" s="622"/>
      <c r="CR347" s="622"/>
      <c r="CS347" s="622"/>
      <c r="CT347" s="622"/>
      <c r="CU347" s="622"/>
      <c r="CV347" s="622"/>
      <c r="CW347" s="622"/>
      <c r="CX347" s="622"/>
      <c r="CY347" s="622"/>
      <c r="CZ347" s="622"/>
      <c r="DA347" s="622"/>
      <c r="DB347" s="622"/>
      <c r="DC347" s="622"/>
      <c r="DD347" s="622"/>
      <c r="DE347" s="622"/>
      <c r="DF347" s="622"/>
      <c r="DG347" s="622"/>
      <c r="DH347" s="622"/>
      <c r="DI347" s="622"/>
      <c r="DJ347" s="622"/>
      <c r="DK347" s="622"/>
      <c r="DL347" s="622"/>
      <c r="DM347" s="622"/>
      <c r="DN347" s="622"/>
      <c r="DO347" s="622"/>
      <c r="DP347" s="622"/>
      <c r="DQ347" s="623"/>
      <c r="DR347" s="233"/>
    </row>
    <row r="348" spans="1:122" ht="7.5" customHeight="1" x14ac:dyDescent="0.25">
      <c r="A348" s="588"/>
      <c r="B348" s="589"/>
      <c r="C348" s="589"/>
      <c r="D348" s="589"/>
      <c r="E348" s="590"/>
      <c r="F348" s="152"/>
      <c r="G348" s="597" t="str">
        <f>INDEX('Merit Data'!A:A,ROW('Merit Data'!A82:A83)-COUNTA($G$272:G347)*2,COLUMN('Merit Data'!A82:A83))</f>
        <v>Dual Wield</v>
      </c>
      <c r="H348" s="597"/>
      <c r="I348" s="597"/>
      <c r="J348" s="597"/>
      <c r="K348" s="597"/>
      <c r="L348" s="597"/>
      <c r="M348" s="597"/>
      <c r="N348" s="597"/>
      <c r="O348" s="597"/>
      <c r="P348" s="597"/>
      <c r="Q348" s="597"/>
      <c r="R348" s="597"/>
      <c r="S348" s="597"/>
      <c r="T348" s="597"/>
      <c r="U348" s="597"/>
      <c r="V348" s="597"/>
      <c r="W348" s="597"/>
      <c r="X348" s="597"/>
      <c r="Y348" s="597"/>
      <c r="Z348" s="600">
        <f>VLOOKUP($G348,'Merit Data'!$A:$BW,MATCH('Merit Data'!$E$3,'Merit Data'!$3:$3,0),0)</f>
        <v>100</v>
      </c>
      <c r="AA348" s="600"/>
      <c r="AB348" s="600"/>
      <c r="AC348" s="600"/>
      <c r="AD348" s="600"/>
      <c r="AE348" s="600"/>
      <c r="AF348" s="600"/>
      <c r="AG348" s="601"/>
      <c r="AH348" s="606" t="str">
        <f ca="1">IF(NOT(ISERROR(VLOOKUP($G348,'Merit Data'!$A:$CE,MATCH('Merit Data'!$BX$3,'Merit Data'!$3:$3,0),0))),VLOOKUP($G348,'Merit Data'!$A:$CE,MATCH('Merit Data'!$BX$3,'Merit Data'!$3:$3,0),0),"")</f>
        <v>Agility (18)</v>
      </c>
      <c r="AI348" s="607"/>
      <c r="AJ348" s="607"/>
      <c r="AK348" s="607"/>
      <c r="AL348" s="607"/>
      <c r="AM348" s="607"/>
      <c r="AN348" s="607"/>
      <c r="AO348" s="607"/>
      <c r="AP348" s="607"/>
      <c r="AQ348" s="607"/>
      <c r="AR348" s="607"/>
      <c r="AS348" s="607"/>
      <c r="AT348" s="607"/>
      <c r="AU348" s="607"/>
      <c r="AV348" s="607"/>
      <c r="AW348" s="608"/>
      <c r="AX348" s="615" t="str">
        <f>VLOOKUP($G348,'Merit Data'!$A:$BW,MATCH('Merit Data'!$F$3,'Merit Data'!$3:$3,0),0)</f>
        <v xml:space="preserve">You do not suffer the normal accuracy penalty to your main weapon with Two Weapon Attack. </v>
      </c>
      <c r="AY348" s="616"/>
      <c r="AZ348" s="616"/>
      <c r="BA348" s="616"/>
      <c r="BB348" s="616"/>
      <c r="BC348" s="616"/>
      <c r="BD348" s="616"/>
      <c r="BE348" s="616"/>
      <c r="BF348" s="616"/>
      <c r="BG348" s="616"/>
      <c r="BH348" s="616"/>
      <c r="BI348" s="616"/>
      <c r="BJ348" s="616"/>
      <c r="BK348" s="616"/>
      <c r="BL348" s="616"/>
      <c r="BM348" s="616"/>
      <c r="BN348" s="616"/>
      <c r="BO348" s="616"/>
      <c r="BP348" s="616"/>
      <c r="BQ348" s="616"/>
      <c r="BR348" s="616"/>
      <c r="BS348" s="616"/>
      <c r="BT348" s="616"/>
      <c r="BU348" s="616"/>
      <c r="BV348" s="616"/>
      <c r="BW348" s="616"/>
      <c r="BX348" s="616"/>
      <c r="BY348" s="616"/>
      <c r="BZ348" s="616"/>
      <c r="CA348" s="616"/>
      <c r="CB348" s="616"/>
      <c r="CC348" s="616"/>
      <c r="CD348" s="616"/>
      <c r="CE348" s="616"/>
      <c r="CF348" s="616"/>
      <c r="CG348" s="616"/>
      <c r="CH348" s="616"/>
      <c r="CI348" s="616"/>
      <c r="CJ348" s="616"/>
      <c r="CK348" s="616"/>
      <c r="CL348" s="616"/>
      <c r="CM348" s="616"/>
      <c r="CN348" s="616"/>
      <c r="CO348" s="616"/>
      <c r="CP348" s="616"/>
      <c r="CQ348" s="616"/>
      <c r="CR348" s="616"/>
      <c r="CS348" s="616"/>
      <c r="CT348" s="616"/>
      <c r="CU348" s="616"/>
      <c r="CV348" s="616"/>
      <c r="CW348" s="616"/>
      <c r="CX348" s="616"/>
      <c r="CY348" s="616"/>
      <c r="CZ348" s="616"/>
      <c r="DA348" s="616"/>
      <c r="DB348" s="616"/>
      <c r="DC348" s="616"/>
      <c r="DD348" s="616"/>
      <c r="DE348" s="616"/>
      <c r="DF348" s="616"/>
      <c r="DG348" s="616"/>
      <c r="DH348" s="616"/>
      <c r="DI348" s="616"/>
      <c r="DJ348" s="616"/>
      <c r="DK348" s="616"/>
      <c r="DL348" s="616"/>
      <c r="DM348" s="616"/>
      <c r="DN348" s="616"/>
      <c r="DO348" s="616"/>
      <c r="DP348" s="616"/>
      <c r="DQ348" s="617"/>
      <c r="DR348" s="233"/>
    </row>
    <row r="349" spans="1:122" ht="7.5" customHeight="1" x14ac:dyDescent="0.25">
      <c r="A349" s="591"/>
      <c r="B349" s="592"/>
      <c r="C349" s="592"/>
      <c r="D349" s="592"/>
      <c r="E349" s="593"/>
      <c r="F349" s="153"/>
      <c r="G349" s="598"/>
      <c r="H349" s="598"/>
      <c r="I349" s="598"/>
      <c r="J349" s="598"/>
      <c r="K349" s="598"/>
      <c r="L349" s="598"/>
      <c r="M349" s="598"/>
      <c r="N349" s="598"/>
      <c r="O349" s="598"/>
      <c r="P349" s="598"/>
      <c r="Q349" s="598"/>
      <c r="R349" s="598"/>
      <c r="S349" s="598"/>
      <c r="T349" s="598"/>
      <c r="U349" s="598"/>
      <c r="V349" s="598"/>
      <c r="W349" s="598"/>
      <c r="X349" s="598"/>
      <c r="Y349" s="598"/>
      <c r="Z349" s="602"/>
      <c r="AA349" s="602"/>
      <c r="AB349" s="602"/>
      <c r="AC349" s="602"/>
      <c r="AD349" s="602"/>
      <c r="AE349" s="602"/>
      <c r="AF349" s="602"/>
      <c r="AG349" s="603"/>
      <c r="AH349" s="609"/>
      <c r="AI349" s="610"/>
      <c r="AJ349" s="610"/>
      <c r="AK349" s="610"/>
      <c r="AL349" s="610"/>
      <c r="AM349" s="610"/>
      <c r="AN349" s="610"/>
      <c r="AO349" s="610"/>
      <c r="AP349" s="610"/>
      <c r="AQ349" s="610"/>
      <c r="AR349" s="610"/>
      <c r="AS349" s="610"/>
      <c r="AT349" s="610"/>
      <c r="AU349" s="610"/>
      <c r="AV349" s="610"/>
      <c r="AW349" s="611"/>
      <c r="AX349" s="618"/>
      <c r="AY349" s="619"/>
      <c r="AZ349" s="619"/>
      <c r="BA349" s="619"/>
      <c r="BB349" s="619"/>
      <c r="BC349" s="619"/>
      <c r="BD349" s="619"/>
      <c r="BE349" s="619"/>
      <c r="BF349" s="619"/>
      <c r="BG349" s="619"/>
      <c r="BH349" s="619"/>
      <c r="BI349" s="619"/>
      <c r="BJ349" s="619"/>
      <c r="BK349" s="619"/>
      <c r="BL349" s="619"/>
      <c r="BM349" s="619"/>
      <c r="BN349" s="619"/>
      <c r="BO349" s="619"/>
      <c r="BP349" s="619"/>
      <c r="BQ349" s="619"/>
      <c r="BR349" s="619"/>
      <c r="BS349" s="619"/>
      <c r="BT349" s="619"/>
      <c r="BU349" s="619"/>
      <c r="BV349" s="619"/>
      <c r="BW349" s="619"/>
      <c r="BX349" s="619"/>
      <c r="BY349" s="619"/>
      <c r="BZ349" s="619"/>
      <c r="CA349" s="619"/>
      <c r="CB349" s="619"/>
      <c r="CC349" s="619"/>
      <c r="CD349" s="619"/>
      <c r="CE349" s="619"/>
      <c r="CF349" s="619"/>
      <c r="CG349" s="619"/>
      <c r="CH349" s="619"/>
      <c r="CI349" s="619"/>
      <c r="CJ349" s="619"/>
      <c r="CK349" s="619"/>
      <c r="CL349" s="619"/>
      <c r="CM349" s="619"/>
      <c r="CN349" s="619"/>
      <c r="CO349" s="619"/>
      <c r="CP349" s="619"/>
      <c r="CQ349" s="619"/>
      <c r="CR349" s="619"/>
      <c r="CS349" s="619"/>
      <c r="CT349" s="619"/>
      <c r="CU349" s="619"/>
      <c r="CV349" s="619"/>
      <c r="CW349" s="619"/>
      <c r="CX349" s="619"/>
      <c r="CY349" s="619"/>
      <c r="CZ349" s="619"/>
      <c r="DA349" s="619"/>
      <c r="DB349" s="619"/>
      <c r="DC349" s="619"/>
      <c r="DD349" s="619"/>
      <c r="DE349" s="619"/>
      <c r="DF349" s="619"/>
      <c r="DG349" s="619"/>
      <c r="DH349" s="619"/>
      <c r="DI349" s="619"/>
      <c r="DJ349" s="619"/>
      <c r="DK349" s="619"/>
      <c r="DL349" s="619"/>
      <c r="DM349" s="619"/>
      <c r="DN349" s="619"/>
      <c r="DO349" s="619"/>
      <c r="DP349" s="619"/>
      <c r="DQ349" s="620"/>
      <c r="DR349" s="233"/>
    </row>
    <row r="350" spans="1:122" ht="7.5" customHeight="1" x14ac:dyDescent="0.25">
      <c r="A350" s="594"/>
      <c r="B350" s="595"/>
      <c r="C350" s="595"/>
      <c r="D350" s="595"/>
      <c r="E350" s="596"/>
      <c r="F350" s="154"/>
      <c r="G350" s="599"/>
      <c r="H350" s="599"/>
      <c r="I350" s="599"/>
      <c r="J350" s="599"/>
      <c r="K350" s="599"/>
      <c r="L350" s="599"/>
      <c r="M350" s="599"/>
      <c r="N350" s="599"/>
      <c r="O350" s="599"/>
      <c r="P350" s="599"/>
      <c r="Q350" s="599"/>
      <c r="R350" s="599"/>
      <c r="S350" s="599"/>
      <c r="T350" s="599"/>
      <c r="U350" s="599"/>
      <c r="V350" s="599"/>
      <c r="W350" s="599"/>
      <c r="X350" s="599"/>
      <c r="Y350" s="599"/>
      <c r="Z350" s="602"/>
      <c r="AA350" s="602"/>
      <c r="AB350" s="602"/>
      <c r="AC350" s="602"/>
      <c r="AD350" s="602"/>
      <c r="AE350" s="602"/>
      <c r="AF350" s="602"/>
      <c r="AG350" s="603"/>
      <c r="AH350" s="609"/>
      <c r="AI350" s="610"/>
      <c r="AJ350" s="610"/>
      <c r="AK350" s="610"/>
      <c r="AL350" s="610"/>
      <c r="AM350" s="610"/>
      <c r="AN350" s="610"/>
      <c r="AO350" s="610"/>
      <c r="AP350" s="610"/>
      <c r="AQ350" s="610"/>
      <c r="AR350" s="610"/>
      <c r="AS350" s="610"/>
      <c r="AT350" s="610"/>
      <c r="AU350" s="610"/>
      <c r="AV350" s="610"/>
      <c r="AW350" s="611"/>
      <c r="AX350" s="618"/>
      <c r="AY350" s="619"/>
      <c r="AZ350" s="619"/>
      <c r="BA350" s="619"/>
      <c r="BB350" s="619"/>
      <c r="BC350" s="619"/>
      <c r="BD350" s="619"/>
      <c r="BE350" s="619"/>
      <c r="BF350" s="619"/>
      <c r="BG350" s="619"/>
      <c r="BH350" s="619"/>
      <c r="BI350" s="619"/>
      <c r="BJ350" s="619"/>
      <c r="BK350" s="619"/>
      <c r="BL350" s="619"/>
      <c r="BM350" s="619"/>
      <c r="BN350" s="619"/>
      <c r="BO350" s="619"/>
      <c r="BP350" s="619"/>
      <c r="BQ350" s="619"/>
      <c r="BR350" s="619"/>
      <c r="BS350" s="619"/>
      <c r="BT350" s="619"/>
      <c r="BU350" s="619"/>
      <c r="BV350" s="619"/>
      <c r="BW350" s="619"/>
      <c r="BX350" s="619"/>
      <c r="BY350" s="619"/>
      <c r="BZ350" s="619"/>
      <c r="CA350" s="619"/>
      <c r="CB350" s="619"/>
      <c r="CC350" s="619"/>
      <c r="CD350" s="619"/>
      <c r="CE350" s="619"/>
      <c r="CF350" s="619"/>
      <c r="CG350" s="619"/>
      <c r="CH350" s="619"/>
      <c r="CI350" s="619"/>
      <c r="CJ350" s="619"/>
      <c r="CK350" s="619"/>
      <c r="CL350" s="619"/>
      <c r="CM350" s="619"/>
      <c r="CN350" s="619"/>
      <c r="CO350" s="619"/>
      <c r="CP350" s="619"/>
      <c r="CQ350" s="619"/>
      <c r="CR350" s="619"/>
      <c r="CS350" s="619"/>
      <c r="CT350" s="619"/>
      <c r="CU350" s="619"/>
      <c r="CV350" s="619"/>
      <c r="CW350" s="619"/>
      <c r="CX350" s="619"/>
      <c r="CY350" s="619"/>
      <c r="CZ350" s="619"/>
      <c r="DA350" s="619"/>
      <c r="DB350" s="619"/>
      <c r="DC350" s="619"/>
      <c r="DD350" s="619"/>
      <c r="DE350" s="619"/>
      <c r="DF350" s="619"/>
      <c r="DG350" s="619"/>
      <c r="DH350" s="619"/>
      <c r="DI350" s="619"/>
      <c r="DJ350" s="619"/>
      <c r="DK350" s="619"/>
      <c r="DL350" s="619"/>
      <c r="DM350" s="619"/>
      <c r="DN350" s="619"/>
      <c r="DO350" s="619"/>
      <c r="DP350" s="619"/>
      <c r="DQ350" s="620"/>
      <c r="DR350" s="233"/>
    </row>
    <row r="351" spans="1:122" ht="7.5" customHeight="1" x14ac:dyDescent="0.25">
      <c r="A351" s="119"/>
      <c r="B351" s="119"/>
      <c r="C351" s="119"/>
      <c r="D351" s="119"/>
      <c r="E351" s="119"/>
      <c r="F351" s="624" t="str">
        <f>G348</f>
        <v>Dual Wield</v>
      </c>
      <c r="G351" s="624"/>
      <c r="H351" s="624"/>
      <c r="I351" s="624"/>
      <c r="J351" s="624"/>
      <c r="K351" s="625">
        <f>IF(A348&gt;0,Z348,0)</f>
        <v>0</v>
      </c>
      <c r="L351" s="625"/>
      <c r="M351" s="625"/>
      <c r="N351" s="626" t="b">
        <f>IF($G348&lt;&gt;"",VLOOKUP($G348,'Merit Data'!$A:$BW,MATCH('Merit Data'!$B$3,'Merit Data'!$3:$3,0),0),TRUE)</f>
        <v>1</v>
      </c>
      <c r="O351" s="626"/>
      <c r="P351" s="626"/>
      <c r="Q351" s="155"/>
      <c r="R351" s="140"/>
      <c r="S351" s="140"/>
      <c r="T351" s="140"/>
      <c r="U351" s="140"/>
      <c r="V351" s="238"/>
      <c r="W351" s="238"/>
      <c r="X351" s="627" t="str">
        <f>IF(F351&gt;0,HYPERLINK("http://wiki.project-saros.com/w/"&amp;F351,"Info"),"")</f>
        <v>Info</v>
      </c>
      <c r="Y351" s="628"/>
      <c r="Z351" s="604"/>
      <c r="AA351" s="604"/>
      <c r="AB351" s="604"/>
      <c r="AC351" s="604"/>
      <c r="AD351" s="604"/>
      <c r="AE351" s="604"/>
      <c r="AF351" s="604"/>
      <c r="AG351" s="605"/>
      <c r="AH351" s="612"/>
      <c r="AI351" s="613"/>
      <c r="AJ351" s="613"/>
      <c r="AK351" s="613"/>
      <c r="AL351" s="613"/>
      <c r="AM351" s="613"/>
      <c r="AN351" s="613"/>
      <c r="AO351" s="613"/>
      <c r="AP351" s="613"/>
      <c r="AQ351" s="613"/>
      <c r="AR351" s="613"/>
      <c r="AS351" s="613"/>
      <c r="AT351" s="613"/>
      <c r="AU351" s="613"/>
      <c r="AV351" s="613"/>
      <c r="AW351" s="614"/>
      <c r="AX351" s="621"/>
      <c r="AY351" s="622"/>
      <c r="AZ351" s="622"/>
      <c r="BA351" s="622"/>
      <c r="BB351" s="622"/>
      <c r="BC351" s="622"/>
      <c r="BD351" s="622"/>
      <c r="BE351" s="622"/>
      <c r="BF351" s="622"/>
      <c r="BG351" s="622"/>
      <c r="BH351" s="622"/>
      <c r="BI351" s="622"/>
      <c r="BJ351" s="622"/>
      <c r="BK351" s="622"/>
      <c r="BL351" s="622"/>
      <c r="BM351" s="622"/>
      <c r="BN351" s="622"/>
      <c r="BO351" s="622"/>
      <c r="BP351" s="622"/>
      <c r="BQ351" s="622"/>
      <c r="BR351" s="622"/>
      <c r="BS351" s="622"/>
      <c r="BT351" s="622"/>
      <c r="BU351" s="622"/>
      <c r="BV351" s="622"/>
      <c r="BW351" s="622"/>
      <c r="BX351" s="622"/>
      <c r="BY351" s="622"/>
      <c r="BZ351" s="622"/>
      <c r="CA351" s="622"/>
      <c r="CB351" s="622"/>
      <c r="CC351" s="622"/>
      <c r="CD351" s="622"/>
      <c r="CE351" s="622"/>
      <c r="CF351" s="622"/>
      <c r="CG351" s="622"/>
      <c r="CH351" s="622"/>
      <c r="CI351" s="622"/>
      <c r="CJ351" s="622"/>
      <c r="CK351" s="622"/>
      <c r="CL351" s="622"/>
      <c r="CM351" s="622"/>
      <c r="CN351" s="622"/>
      <c r="CO351" s="622"/>
      <c r="CP351" s="622"/>
      <c r="CQ351" s="622"/>
      <c r="CR351" s="622"/>
      <c r="CS351" s="622"/>
      <c r="CT351" s="622"/>
      <c r="CU351" s="622"/>
      <c r="CV351" s="622"/>
      <c r="CW351" s="622"/>
      <c r="CX351" s="622"/>
      <c r="CY351" s="622"/>
      <c r="CZ351" s="622"/>
      <c r="DA351" s="622"/>
      <c r="DB351" s="622"/>
      <c r="DC351" s="622"/>
      <c r="DD351" s="622"/>
      <c r="DE351" s="622"/>
      <c r="DF351" s="622"/>
      <c r="DG351" s="622"/>
      <c r="DH351" s="622"/>
      <c r="DI351" s="622"/>
      <c r="DJ351" s="622"/>
      <c r="DK351" s="622"/>
      <c r="DL351" s="622"/>
      <c r="DM351" s="622"/>
      <c r="DN351" s="622"/>
      <c r="DO351" s="622"/>
      <c r="DP351" s="622"/>
      <c r="DQ351" s="623"/>
      <c r="DR351" s="233"/>
    </row>
    <row r="352" spans="1:122" ht="7.5" customHeight="1" x14ac:dyDescent="0.25">
      <c r="A352" s="588"/>
      <c r="B352" s="589"/>
      <c r="C352" s="589"/>
      <c r="D352" s="589"/>
      <c r="E352" s="590"/>
      <c r="F352" s="152"/>
      <c r="G352" s="597" t="str">
        <f>INDEX('Merit Data'!A:A,ROW('Merit Data'!A86:A87)-COUNTA($G$272:G351)*2,COLUMN('Merit Data'!A86:A87))</f>
        <v>Off-Hand Accuracy</v>
      </c>
      <c r="H352" s="597"/>
      <c r="I352" s="597"/>
      <c r="J352" s="597"/>
      <c r="K352" s="597"/>
      <c r="L352" s="597"/>
      <c r="M352" s="597"/>
      <c r="N352" s="597"/>
      <c r="O352" s="597"/>
      <c r="P352" s="597"/>
      <c r="Q352" s="597"/>
      <c r="R352" s="597"/>
      <c r="S352" s="597"/>
      <c r="T352" s="597"/>
      <c r="U352" s="597"/>
      <c r="V352" s="597"/>
      <c r="W352" s="597"/>
      <c r="X352" s="597"/>
      <c r="Y352" s="597"/>
      <c r="Z352" s="600">
        <f>VLOOKUP($G352,'Merit Data'!$A:$BW,MATCH('Merit Data'!$E$3,'Merit Data'!$3:$3,0),0)</f>
        <v>100</v>
      </c>
      <c r="AA352" s="600"/>
      <c r="AB352" s="600"/>
      <c r="AC352" s="600"/>
      <c r="AD352" s="600"/>
      <c r="AE352" s="600"/>
      <c r="AF352" s="600"/>
      <c r="AG352" s="601"/>
      <c r="AH352" s="606" t="str">
        <f ca="1">IF(NOT(ISERROR(VLOOKUP($G352,'Merit Data'!$A:$CE,MATCH('Merit Data'!$BX$3,'Merit Data'!$3:$3,0),0))),VLOOKUP($G352,'Merit Data'!$A:$CE,MATCH('Merit Data'!$BX$3,'Merit Data'!$3:$3,0),0),"")</f>
        <v>Agility (18)</v>
      </c>
      <c r="AI352" s="607"/>
      <c r="AJ352" s="607"/>
      <c r="AK352" s="607"/>
      <c r="AL352" s="607"/>
      <c r="AM352" s="607"/>
      <c r="AN352" s="607"/>
      <c r="AO352" s="607"/>
      <c r="AP352" s="607"/>
      <c r="AQ352" s="607"/>
      <c r="AR352" s="607"/>
      <c r="AS352" s="607"/>
      <c r="AT352" s="607"/>
      <c r="AU352" s="607"/>
      <c r="AV352" s="607"/>
      <c r="AW352" s="608"/>
      <c r="AX352" s="615" t="str">
        <f>VLOOKUP($G352,'Merit Data'!$A:$BW,MATCH('Merit Data'!$F$3,'Merit Data'!$3:$3,0),0)</f>
        <v xml:space="preserve">When you are wielding a light weapon in your offhand, You do not suffer the normal accuracy penalty to your offhand weapon with Two Weapon Attack. </v>
      </c>
      <c r="AY352" s="616"/>
      <c r="AZ352" s="616"/>
      <c r="BA352" s="616"/>
      <c r="BB352" s="616"/>
      <c r="BC352" s="616"/>
      <c r="BD352" s="616"/>
      <c r="BE352" s="616"/>
      <c r="BF352" s="616"/>
      <c r="BG352" s="616"/>
      <c r="BH352" s="616"/>
      <c r="BI352" s="616"/>
      <c r="BJ352" s="616"/>
      <c r="BK352" s="616"/>
      <c r="BL352" s="616"/>
      <c r="BM352" s="616"/>
      <c r="BN352" s="616"/>
      <c r="BO352" s="616"/>
      <c r="BP352" s="616"/>
      <c r="BQ352" s="616"/>
      <c r="BR352" s="616"/>
      <c r="BS352" s="616"/>
      <c r="BT352" s="616"/>
      <c r="BU352" s="616"/>
      <c r="BV352" s="616"/>
      <c r="BW352" s="616"/>
      <c r="BX352" s="616"/>
      <c r="BY352" s="616"/>
      <c r="BZ352" s="616"/>
      <c r="CA352" s="616"/>
      <c r="CB352" s="616"/>
      <c r="CC352" s="616"/>
      <c r="CD352" s="616"/>
      <c r="CE352" s="616"/>
      <c r="CF352" s="616"/>
      <c r="CG352" s="616"/>
      <c r="CH352" s="616"/>
      <c r="CI352" s="616"/>
      <c r="CJ352" s="616"/>
      <c r="CK352" s="616"/>
      <c r="CL352" s="616"/>
      <c r="CM352" s="616"/>
      <c r="CN352" s="616"/>
      <c r="CO352" s="616"/>
      <c r="CP352" s="616"/>
      <c r="CQ352" s="616"/>
      <c r="CR352" s="616"/>
      <c r="CS352" s="616"/>
      <c r="CT352" s="616"/>
      <c r="CU352" s="616"/>
      <c r="CV352" s="616"/>
      <c r="CW352" s="616"/>
      <c r="CX352" s="616"/>
      <c r="CY352" s="616"/>
      <c r="CZ352" s="616"/>
      <c r="DA352" s="616"/>
      <c r="DB352" s="616"/>
      <c r="DC352" s="616"/>
      <c r="DD352" s="616"/>
      <c r="DE352" s="616"/>
      <c r="DF352" s="616"/>
      <c r="DG352" s="616"/>
      <c r="DH352" s="616"/>
      <c r="DI352" s="616"/>
      <c r="DJ352" s="616"/>
      <c r="DK352" s="616"/>
      <c r="DL352" s="616"/>
      <c r="DM352" s="616"/>
      <c r="DN352" s="616"/>
      <c r="DO352" s="616"/>
      <c r="DP352" s="616"/>
      <c r="DQ352" s="617"/>
      <c r="DR352" s="233"/>
    </row>
    <row r="353" spans="1:122" ht="7.5" customHeight="1" x14ac:dyDescent="0.25">
      <c r="A353" s="591"/>
      <c r="B353" s="592"/>
      <c r="C353" s="592"/>
      <c r="D353" s="592"/>
      <c r="E353" s="593"/>
      <c r="F353" s="153"/>
      <c r="G353" s="598"/>
      <c r="H353" s="598"/>
      <c r="I353" s="598"/>
      <c r="J353" s="598"/>
      <c r="K353" s="598"/>
      <c r="L353" s="598"/>
      <c r="M353" s="598"/>
      <c r="N353" s="598"/>
      <c r="O353" s="598"/>
      <c r="P353" s="598"/>
      <c r="Q353" s="598"/>
      <c r="R353" s="598"/>
      <c r="S353" s="598"/>
      <c r="T353" s="598"/>
      <c r="U353" s="598"/>
      <c r="V353" s="598"/>
      <c r="W353" s="598"/>
      <c r="X353" s="598"/>
      <c r="Y353" s="598"/>
      <c r="Z353" s="602"/>
      <c r="AA353" s="602"/>
      <c r="AB353" s="602"/>
      <c r="AC353" s="602"/>
      <c r="AD353" s="602"/>
      <c r="AE353" s="602"/>
      <c r="AF353" s="602"/>
      <c r="AG353" s="603"/>
      <c r="AH353" s="609"/>
      <c r="AI353" s="610"/>
      <c r="AJ353" s="610"/>
      <c r="AK353" s="610"/>
      <c r="AL353" s="610"/>
      <c r="AM353" s="610"/>
      <c r="AN353" s="610"/>
      <c r="AO353" s="610"/>
      <c r="AP353" s="610"/>
      <c r="AQ353" s="610"/>
      <c r="AR353" s="610"/>
      <c r="AS353" s="610"/>
      <c r="AT353" s="610"/>
      <c r="AU353" s="610"/>
      <c r="AV353" s="610"/>
      <c r="AW353" s="611"/>
      <c r="AX353" s="618"/>
      <c r="AY353" s="619"/>
      <c r="AZ353" s="619"/>
      <c r="BA353" s="619"/>
      <c r="BB353" s="619"/>
      <c r="BC353" s="619"/>
      <c r="BD353" s="619"/>
      <c r="BE353" s="619"/>
      <c r="BF353" s="619"/>
      <c r="BG353" s="619"/>
      <c r="BH353" s="619"/>
      <c r="BI353" s="619"/>
      <c r="BJ353" s="619"/>
      <c r="BK353" s="619"/>
      <c r="BL353" s="619"/>
      <c r="BM353" s="619"/>
      <c r="BN353" s="619"/>
      <c r="BO353" s="619"/>
      <c r="BP353" s="619"/>
      <c r="BQ353" s="619"/>
      <c r="BR353" s="619"/>
      <c r="BS353" s="619"/>
      <c r="BT353" s="619"/>
      <c r="BU353" s="619"/>
      <c r="BV353" s="619"/>
      <c r="BW353" s="619"/>
      <c r="BX353" s="619"/>
      <c r="BY353" s="619"/>
      <c r="BZ353" s="619"/>
      <c r="CA353" s="619"/>
      <c r="CB353" s="619"/>
      <c r="CC353" s="619"/>
      <c r="CD353" s="619"/>
      <c r="CE353" s="619"/>
      <c r="CF353" s="619"/>
      <c r="CG353" s="619"/>
      <c r="CH353" s="619"/>
      <c r="CI353" s="619"/>
      <c r="CJ353" s="619"/>
      <c r="CK353" s="619"/>
      <c r="CL353" s="619"/>
      <c r="CM353" s="619"/>
      <c r="CN353" s="619"/>
      <c r="CO353" s="619"/>
      <c r="CP353" s="619"/>
      <c r="CQ353" s="619"/>
      <c r="CR353" s="619"/>
      <c r="CS353" s="619"/>
      <c r="CT353" s="619"/>
      <c r="CU353" s="619"/>
      <c r="CV353" s="619"/>
      <c r="CW353" s="619"/>
      <c r="CX353" s="619"/>
      <c r="CY353" s="619"/>
      <c r="CZ353" s="619"/>
      <c r="DA353" s="619"/>
      <c r="DB353" s="619"/>
      <c r="DC353" s="619"/>
      <c r="DD353" s="619"/>
      <c r="DE353" s="619"/>
      <c r="DF353" s="619"/>
      <c r="DG353" s="619"/>
      <c r="DH353" s="619"/>
      <c r="DI353" s="619"/>
      <c r="DJ353" s="619"/>
      <c r="DK353" s="619"/>
      <c r="DL353" s="619"/>
      <c r="DM353" s="619"/>
      <c r="DN353" s="619"/>
      <c r="DO353" s="619"/>
      <c r="DP353" s="619"/>
      <c r="DQ353" s="620"/>
      <c r="DR353" s="233"/>
    </row>
    <row r="354" spans="1:122" ht="7.5" customHeight="1" x14ac:dyDescent="0.25">
      <c r="A354" s="594"/>
      <c r="B354" s="595"/>
      <c r="C354" s="595"/>
      <c r="D354" s="595"/>
      <c r="E354" s="596"/>
      <c r="F354" s="154"/>
      <c r="G354" s="599"/>
      <c r="H354" s="599"/>
      <c r="I354" s="599"/>
      <c r="J354" s="599"/>
      <c r="K354" s="599"/>
      <c r="L354" s="599"/>
      <c r="M354" s="599"/>
      <c r="N354" s="599"/>
      <c r="O354" s="599"/>
      <c r="P354" s="599"/>
      <c r="Q354" s="599"/>
      <c r="R354" s="599"/>
      <c r="S354" s="599"/>
      <c r="T354" s="599"/>
      <c r="U354" s="599"/>
      <c r="V354" s="599"/>
      <c r="W354" s="599"/>
      <c r="X354" s="599"/>
      <c r="Y354" s="599"/>
      <c r="Z354" s="602"/>
      <c r="AA354" s="602"/>
      <c r="AB354" s="602"/>
      <c r="AC354" s="602"/>
      <c r="AD354" s="602"/>
      <c r="AE354" s="602"/>
      <c r="AF354" s="602"/>
      <c r="AG354" s="603"/>
      <c r="AH354" s="609"/>
      <c r="AI354" s="610"/>
      <c r="AJ354" s="610"/>
      <c r="AK354" s="610"/>
      <c r="AL354" s="610"/>
      <c r="AM354" s="610"/>
      <c r="AN354" s="610"/>
      <c r="AO354" s="610"/>
      <c r="AP354" s="610"/>
      <c r="AQ354" s="610"/>
      <c r="AR354" s="610"/>
      <c r="AS354" s="610"/>
      <c r="AT354" s="610"/>
      <c r="AU354" s="610"/>
      <c r="AV354" s="610"/>
      <c r="AW354" s="611"/>
      <c r="AX354" s="618"/>
      <c r="AY354" s="619"/>
      <c r="AZ354" s="619"/>
      <c r="BA354" s="619"/>
      <c r="BB354" s="619"/>
      <c r="BC354" s="619"/>
      <c r="BD354" s="619"/>
      <c r="BE354" s="619"/>
      <c r="BF354" s="619"/>
      <c r="BG354" s="619"/>
      <c r="BH354" s="619"/>
      <c r="BI354" s="619"/>
      <c r="BJ354" s="619"/>
      <c r="BK354" s="619"/>
      <c r="BL354" s="619"/>
      <c r="BM354" s="619"/>
      <c r="BN354" s="619"/>
      <c r="BO354" s="619"/>
      <c r="BP354" s="619"/>
      <c r="BQ354" s="619"/>
      <c r="BR354" s="619"/>
      <c r="BS354" s="619"/>
      <c r="BT354" s="619"/>
      <c r="BU354" s="619"/>
      <c r="BV354" s="619"/>
      <c r="BW354" s="619"/>
      <c r="BX354" s="619"/>
      <c r="BY354" s="619"/>
      <c r="BZ354" s="619"/>
      <c r="CA354" s="619"/>
      <c r="CB354" s="619"/>
      <c r="CC354" s="619"/>
      <c r="CD354" s="619"/>
      <c r="CE354" s="619"/>
      <c r="CF354" s="619"/>
      <c r="CG354" s="619"/>
      <c r="CH354" s="619"/>
      <c r="CI354" s="619"/>
      <c r="CJ354" s="619"/>
      <c r="CK354" s="619"/>
      <c r="CL354" s="619"/>
      <c r="CM354" s="619"/>
      <c r="CN354" s="619"/>
      <c r="CO354" s="619"/>
      <c r="CP354" s="619"/>
      <c r="CQ354" s="619"/>
      <c r="CR354" s="619"/>
      <c r="CS354" s="619"/>
      <c r="CT354" s="619"/>
      <c r="CU354" s="619"/>
      <c r="CV354" s="619"/>
      <c r="CW354" s="619"/>
      <c r="CX354" s="619"/>
      <c r="CY354" s="619"/>
      <c r="CZ354" s="619"/>
      <c r="DA354" s="619"/>
      <c r="DB354" s="619"/>
      <c r="DC354" s="619"/>
      <c r="DD354" s="619"/>
      <c r="DE354" s="619"/>
      <c r="DF354" s="619"/>
      <c r="DG354" s="619"/>
      <c r="DH354" s="619"/>
      <c r="DI354" s="619"/>
      <c r="DJ354" s="619"/>
      <c r="DK354" s="619"/>
      <c r="DL354" s="619"/>
      <c r="DM354" s="619"/>
      <c r="DN354" s="619"/>
      <c r="DO354" s="619"/>
      <c r="DP354" s="619"/>
      <c r="DQ354" s="620"/>
      <c r="DR354" s="233"/>
    </row>
    <row r="355" spans="1:122" ht="7.5" customHeight="1" x14ac:dyDescent="0.25">
      <c r="A355" s="119"/>
      <c r="B355" s="119"/>
      <c r="C355" s="119"/>
      <c r="D355" s="119"/>
      <c r="E355" s="119"/>
      <c r="F355" s="624" t="str">
        <f>G352</f>
        <v>Off-Hand Accuracy</v>
      </c>
      <c r="G355" s="624"/>
      <c r="H355" s="624"/>
      <c r="I355" s="624"/>
      <c r="J355" s="624"/>
      <c r="K355" s="625">
        <f>IF(A352&gt;0,Z352,0)</f>
        <v>0</v>
      </c>
      <c r="L355" s="625"/>
      <c r="M355" s="625"/>
      <c r="N355" s="626" t="b">
        <f>IF($G352&lt;&gt;"",VLOOKUP($G352,'Merit Data'!$A:$BW,MATCH('Merit Data'!$B$3,'Merit Data'!$3:$3,0),0),TRUE)</f>
        <v>1</v>
      </c>
      <c r="O355" s="626"/>
      <c r="P355" s="626"/>
      <c r="Q355" s="155"/>
      <c r="R355" s="140"/>
      <c r="S355" s="140"/>
      <c r="T355" s="140"/>
      <c r="U355" s="140"/>
      <c r="V355" s="238"/>
      <c r="W355" s="238"/>
      <c r="X355" s="627" t="str">
        <f>IF(F355&gt;0,HYPERLINK("http://wiki.project-saros.com/w/"&amp;F355,"Info"),"")</f>
        <v>Info</v>
      </c>
      <c r="Y355" s="628"/>
      <c r="Z355" s="604"/>
      <c r="AA355" s="604"/>
      <c r="AB355" s="604"/>
      <c r="AC355" s="604"/>
      <c r="AD355" s="604"/>
      <c r="AE355" s="604"/>
      <c r="AF355" s="604"/>
      <c r="AG355" s="605"/>
      <c r="AH355" s="612"/>
      <c r="AI355" s="613"/>
      <c r="AJ355" s="613"/>
      <c r="AK355" s="613"/>
      <c r="AL355" s="613"/>
      <c r="AM355" s="613"/>
      <c r="AN355" s="613"/>
      <c r="AO355" s="613"/>
      <c r="AP355" s="613"/>
      <c r="AQ355" s="613"/>
      <c r="AR355" s="613"/>
      <c r="AS355" s="613"/>
      <c r="AT355" s="613"/>
      <c r="AU355" s="613"/>
      <c r="AV355" s="613"/>
      <c r="AW355" s="614"/>
      <c r="AX355" s="621"/>
      <c r="AY355" s="622"/>
      <c r="AZ355" s="622"/>
      <c r="BA355" s="622"/>
      <c r="BB355" s="622"/>
      <c r="BC355" s="622"/>
      <c r="BD355" s="622"/>
      <c r="BE355" s="622"/>
      <c r="BF355" s="622"/>
      <c r="BG355" s="622"/>
      <c r="BH355" s="622"/>
      <c r="BI355" s="622"/>
      <c r="BJ355" s="622"/>
      <c r="BK355" s="622"/>
      <c r="BL355" s="622"/>
      <c r="BM355" s="622"/>
      <c r="BN355" s="622"/>
      <c r="BO355" s="622"/>
      <c r="BP355" s="622"/>
      <c r="BQ355" s="622"/>
      <c r="BR355" s="622"/>
      <c r="BS355" s="622"/>
      <c r="BT355" s="622"/>
      <c r="BU355" s="622"/>
      <c r="BV355" s="622"/>
      <c r="BW355" s="622"/>
      <c r="BX355" s="622"/>
      <c r="BY355" s="622"/>
      <c r="BZ355" s="622"/>
      <c r="CA355" s="622"/>
      <c r="CB355" s="622"/>
      <c r="CC355" s="622"/>
      <c r="CD355" s="622"/>
      <c r="CE355" s="622"/>
      <c r="CF355" s="622"/>
      <c r="CG355" s="622"/>
      <c r="CH355" s="622"/>
      <c r="CI355" s="622"/>
      <c r="CJ355" s="622"/>
      <c r="CK355" s="622"/>
      <c r="CL355" s="622"/>
      <c r="CM355" s="622"/>
      <c r="CN355" s="622"/>
      <c r="CO355" s="622"/>
      <c r="CP355" s="622"/>
      <c r="CQ355" s="622"/>
      <c r="CR355" s="622"/>
      <c r="CS355" s="622"/>
      <c r="CT355" s="622"/>
      <c r="CU355" s="622"/>
      <c r="CV355" s="622"/>
      <c r="CW355" s="622"/>
      <c r="CX355" s="622"/>
      <c r="CY355" s="622"/>
      <c r="CZ355" s="622"/>
      <c r="DA355" s="622"/>
      <c r="DB355" s="622"/>
      <c r="DC355" s="622"/>
      <c r="DD355" s="622"/>
      <c r="DE355" s="622"/>
      <c r="DF355" s="622"/>
      <c r="DG355" s="622"/>
      <c r="DH355" s="622"/>
      <c r="DI355" s="622"/>
      <c r="DJ355" s="622"/>
      <c r="DK355" s="622"/>
      <c r="DL355" s="622"/>
      <c r="DM355" s="622"/>
      <c r="DN355" s="622"/>
      <c r="DO355" s="622"/>
      <c r="DP355" s="622"/>
      <c r="DQ355" s="623"/>
      <c r="DR355" s="233"/>
    </row>
    <row r="356" spans="1:122" ht="7.5" customHeight="1" x14ac:dyDescent="0.25">
      <c r="A356" s="588"/>
      <c r="B356" s="589"/>
      <c r="C356" s="589"/>
      <c r="D356" s="589"/>
      <c r="E356" s="590"/>
      <c r="F356" s="152"/>
      <c r="G356" s="597" t="str">
        <f>INDEX('Merit Data'!A:A,ROW('Merit Data'!A90:A91)-COUNTA($G$272:G355)*2,COLUMN('Merit Data'!A90:A91))</f>
        <v>Dual Strike</v>
      </c>
      <c r="H356" s="597"/>
      <c r="I356" s="597"/>
      <c r="J356" s="597"/>
      <c r="K356" s="597"/>
      <c r="L356" s="597"/>
      <c r="M356" s="597"/>
      <c r="N356" s="597"/>
      <c r="O356" s="597"/>
      <c r="P356" s="597"/>
      <c r="Q356" s="597"/>
      <c r="R356" s="597"/>
      <c r="S356" s="597"/>
      <c r="T356" s="597"/>
      <c r="U356" s="597"/>
      <c r="V356" s="597"/>
      <c r="W356" s="597"/>
      <c r="X356" s="597"/>
      <c r="Y356" s="597"/>
      <c r="Z356" s="600">
        <f>VLOOKUP($G356,'Merit Data'!$A:$BW,MATCH('Merit Data'!$E$3,'Merit Data'!$3:$3,0),0)</f>
        <v>200</v>
      </c>
      <c r="AA356" s="600"/>
      <c r="AB356" s="600"/>
      <c r="AC356" s="600"/>
      <c r="AD356" s="600"/>
      <c r="AE356" s="600"/>
      <c r="AF356" s="600"/>
      <c r="AG356" s="601"/>
      <c r="AH356" s="606" t="str">
        <f ca="1">IF(NOT(ISERROR(VLOOKUP($G356,'Merit Data'!$A:$CE,MATCH('Merit Data'!$BX$3,'Merit Data'!$3:$3,0),0))),VLOOKUP($G356,'Merit Data'!$A:$CE,MATCH('Merit Data'!$BX$3,'Merit Data'!$3:$3,0),0),"")</f>
        <v>Dual Wield, Off-Hand Accuracy</v>
      </c>
      <c r="AI356" s="607"/>
      <c r="AJ356" s="607"/>
      <c r="AK356" s="607"/>
      <c r="AL356" s="607"/>
      <c r="AM356" s="607"/>
      <c r="AN356" s="607"/>
      <c r="AO356" s="607"/>
      <c r="AP356" s="607"/>
      <c r="AQ356" s="607"/>
      <c r="AR356" s="607"/>
      <c r="AS356" s="607"/>
      <c r="AT356" s="607"/>
      <c r="AU356" s="607"/>
      <c r="AV356" s="607"/>
      <c r="AW356" s="608"/>
      <c r="AX356" s="615" t="str">
        <f>VLOOKUP($G356,'Merit Data'!$A:$BW,MATCH('Merit Data'!$F$3,'Merit Data'!$3:$3,0),0)</f>
        <v xml:space="preserve">10 MP: Make a single melee basic attack using the lowest accuracy modifier. Damage is applied from both weapons as if this attack were a single weapon, but it cannot score a critical strike. </v>
      </c>
      <c r="AY356" s="616"/>
      <c r="AZ356" s="616"/>
      <c r="BA356" s="616"/>
      <c r="BB356" s="616"/>
      <c r="BC356" s="616"/>
      <c r="BD356" s="616"/>
      <c r="BE356" s="616"/>
      <c r="BF356" s="616"/>
      <c r="BG356" s="616"/>
      <c r="BH356" s="616"/>
      <c r="BI356" s="616"/>
      <c r="BJ356" s="616"/>
      <c r="BK356" s="616"/>
      <c r="BL356" s="616"/>
      <c r="BM356" s="616"/>
      <c r="BN356" s="616"/>
      <c r="BO356" s="616"/>
      <c r="BP356" s="616"/>
      <c r="BQ356" s="616"/>
      <c r="BR356" s="616"/>
      <c r="BS356" s="616"/>
      <c r="BT356" s="616"/>
      <c r="BU356" s="616"/>
      <c r="BV356" s="616"/>
      <c r="BW356" s="616"/>
      <c r="BX356" s="616"/>
      <c r="BY356" s="616"/>
      <c r="BZ356" s="616"/>
      <c r="CA356" s="616"/>
      <c r="CB356" s="616"/>
      <c r="CC356" s="616"/>
      <c r="CD356" s="616"/>
      <c r="CE356" s="616"/>
      <c r="CF356" s="616"/>
      <c r="CG356" s="616"/>
      <c r="CH356" s="616"/>
      <c r="CI356" s="616"/>
      <c r="CJ356" s="616"/>
      <c r="CK356" s="616"/>
      <c r="CL356" s="616"/>
      <c r="CM356" s="616"/>
      <c r="CN356" s="616"/>
      <c r="CO356" s="616"/>
      <c r="CP356" s="616"/>
      <c r="CQ356" s="616"/>
      <c r="CR356" s="616"/>
      <c r="CS356" s="616"/>
      <c r="CT356" s="616"/>
      <c r="CU356" s="616"/>
      <c r="CV356" s="616"/>
      <c r="CW356" s="616"/>
      <c r="CX356" s="616"/>
      <c r="CY356" s="616"/>
      <c r="CZ356" s="616"/>
      <c r="DA356" s="616"/>
      <c r="DB356" s="616"/>
      <c r="DC356" s="616"/>
      <c r="DD356" s="616"/>
      <c r="DE356" s="616"/>
      <c r="DF356" s="616"/>
      <c r="DG356" s="616"/>
      <c r="DH356" s="616"/>
      <c r="DI356" s="616"/>
      <c r="DJ356" s="616"/>
      <c r="DK356" s="616"/>
      <c r="DL356" s="616"/>
      <c r="DM356" s="616"/>
      <c r="DN356" s="616"/>
      <c r="DO356" s="616"/>
      <c r="DP356" s="616"/>
      <c r="DQ356" s="617"/>
      <c r="DR356" s="233"/>
    </row>
    <row r="357" spans="1:122" ht="7.5" customHeight="1" x14ac:dyDescent="0.25">
      <c r="A357" s="591"/>
      <c r="B357" s="592"/>
      <c r="C357" s="592"/>
      <c r="D357" s="592"/>
      <c r="E357" s="593"/>
      <c r="F357" s="153"/>
      <c r="G357" s="598"/>
      <c r="H357" s="598"/>
      <c r="I357" s="598"/>
      <c r="J357" s="598"/>
      <c r="K357" s="598"/>
      <c r="L357" s="598"/>
      <c r="M357" s="598"/>
      <c r="N357" s="598"/>
      <c r="O357" s="598"/>
      <c r="P357" s="598"/>
      <c r="Q357" s="598"/>
      <c r="R357" s="598"/>
      <c r="S357" s="598"/>
      <c r="T357" s="598"/>
      <c r="U357" s="598"/>
      <c r="V357" s="598"/>
      <c r="W357" s="598"/>
      <c r="X357" s="598"/>
      <c r="Y357" s="598"/>
      <c r="Z357" s="602"/>
      <c r="AA357" s="602"/>
      <c r="AB357" s="602"/>
      <c r="AC357" s="602"/>
      <c r="AD357" s="602"/>
      <c r="AE357" s="602"/>
      <c r="AF357" s="602"/>
      <c r="AG357" s="603"/>
      <c r="AH357" s="609"/>
      <c r="AI357" s="610"/>
      <c r="AJ357" s="610"/>
      <c r="AK357" s="610"/>
      <c r="AL357" s="610"/>
      <c r="AM357" s="610"/>
      <c r="AN357" s="610"/>
      <c r="AO357" s="610"/>
      <c r="AP357" s="610"/>
      <c r="AQ357" s="610"/>
      <c r="AR357" s="610"/>
      <c r="AS357" s="610"/>
      <c r="AT357" s="610"/>
      <c r="AU357" s="610"/>
      <c r="AV357" s="610"/>
      <c r="AW357" s="611"/>
      <c r="AX357" s="618"/>
      <c r="AY357" s="619"/>
      <c r="AZ357" s="619"/>
      <c r="BA357" s="619"/>
      <c r="BB357" s="619"/>
      <c r="BC357" s="619"/>
      <c r="BD357" s="619"/>
      <c r="BE357" s="619"/>
      <c r="BF357" s="619"/>
      <c r="BG357" s="619"/>
      <c r="BH357" s="619"/>
      <c r="BI357" s="619"/>
      <c r="BJ357" s="619"/>
      <c r="BK357" s="619"/>
      <c r="BL357" s="619"/>
      <c r="BM357" s="619"/>
      <c r="BN357" s="619"/>
      <c r="BO357" s="619"/>
      <c r="BP357" s="619"/>
      <c r="BQ357" s="619"/>
      <c r="BR357" s="619"/>
      <c r="BS357" s="619"/>
      <c r="BT357" s="619"/>
      <c r="BU357" s="619"/>
      <c r="BV357" s="619"/>
      <c r="BW357" s="619"/>
      <c r="BX357" s="619"/>
      <c r="BY357" s="619"/>
      <c r="BZ357" s="619"/>
      <c r="CA357" s="619"/>
      <c r="CB357" s="619"/>
      <c r="CC357" s="619"/>
      <c r="CD357" s="619"/>
      <c r="CE357" s="619"/>
      <c r="CF357" s="619"/>
      <c r="CG357" s="619"/>
      <c r="CH357" s="619"/>
      <c r="CI357" s="619"/>
      <c r="CJ357" s="619"/>
      <c r="CK357" s="619"/>
      <c r="CL357" s="619"/>
      <c r="CM357" s="619"/>
      <c r="CN357" s="619"/>
      <c r="CO357" s="619"/>
      <c r="CP357" s="619"/>
      <c r="CQ357" s="619"/>
      <c r="CR357" s="619"/>
      <c r="CS357" s="619"/>
      <c r="CT357" s="619"/>
      <c r="CU357" s="619"/>
      <c r="CV357" s="619"/>
      <c r="CW357" s="619"/>
      <c r="CX357" s="619"/>
      <c r="CY357" s="619"/>
      <c r="CZ357" s="619"/>
      <c r="DA357" s="619"/>
      <c r="DB357" s="619"/>
      <c r="DC357" s="619"/>
      <c r="DD357" s="619"/>
      <c r="DE357" s="619"/>
      <c r="DF357" s="619"/>
      <c r="DG357" s="619"/>
      <c r="DH357" s="619"/>
      <c r="DI357" s="619"/>
      <c r="DJ357" s="619"/>
      <c r="DK357" s="619"/>
      <c r="DL357" s="619"/>
      <c r="DM357" s="619"/>
      <c r="DN357" s="619"/>
      <c r="DO357" s="619"/>
      <c r="DP357" s="619"/>
      <c r="DQ357" s="620"/>
      <c r="DR357" s="233"/>
    </row>
    <row r="358" spans="1:122" ht="7.5" customHeight="1" x14ac:dyDescent="0.25">
      <c r="A358" s="594"/>
      <c r="B358" s="595"/>
      <c r="C358" s="595"/>
      <c r="D358" s="595"/>
      <c r="E358" s="596"/>
      <c r="F358" s="154"/>
      <c r="G358" s="599"/>
      <c r="H358" s="599"/>
      <c r="I358" s="599"/>
      <c r="J358" s="599"/>
      <c r="K358" s="599"/>
      <c r="L358" s="599"/>
      <c r="M358" s="599"/>
      <c r="N358" s="599"/>
      <c r="O358" s="599"/>
      <c r="P358" s="599"/>
      <c r="Q358" s="599"/>
      <c r="R358" s="599"/>
      <c r="S358" s="599"/>
      <c r="T358" s="599"/>
      <c r="U358" s="599"/>
      <c r="V358" s="599"/>
      <c r="W358" s="599"/>
      <c r="X358" s="599"/>
      <c r="Y358" s="599"/>
      <c r="Z358" s="602"/>
      <c r="AA358" s="602"/>
      <c r="AB358" s="602"/>
      <c r="AC358" s="602"/>
      <c r="AD358" s="602"/>
      <c r="AE358" s="602"/>
      <c r="AF358" s="602"/>
      <c r="AG358" s="603"/>
      <c r="AH358" s="609"/>
      <c r="AI358" s="610"/>
      <c r="AJ358" s="610"/>
      <c r="AK358" s="610"/>
      <c r="AL358" s="610"/>
      <c r="AM358" s="610"/>
      <c r="AN358" s="610"/>
      <c r="AO358" s="610"/>
      <c r="AP358" s="610"/>
      <c r="AQ358" s="610"/>
      <c r="AR358" s="610"/>
      <c r="AS358" s="610"/>
      <c r="AT358" s="610"/>
      <c r="AU358" s="610"/>
      <c r="AV358" s="610"/>
      <c r="AW358" s="611"/>
      <c r="AX358" s="618"/>
      <c r="AY358" s="619"/>
      <c r="AZ358" s="619"/>
      <c r="BA358" s="619"/>
      <c r="BB358" s="619"/>
      <c r="BC358" s="619"/>
      <c r="BD358" s="619"/>
      <c r="BE358" s="619"/>
      <c r="BF358" s="619"/>
      <c r="BG358" s="619"/>
      <c r="BH358" s="619"/>
      <c r="BI358" s="619"/>
      <c r="BJ358" s="619"/>
      <c r="BK358" s="619"/>
      <c r="BL358" s="619"/>
      <c r="BM358" s="619"/>
      <c r="BN358" s="619"/>
      <c r="BO358" s="619"/>
      <c r="BP358" s="619"/>
      <c r="BQ358" s="619"/>
      <c r="BR358" s="619"/>
      <c r="BS358" s="619"/>
      <c r="BT358" s="619"/>
      <c r="BU358" s="619"/>
      <c r="BV358" s="619"/>
      <c r="BW358" s="619"/>
      <c r="BX358" s="619"/>
      <c r="BY358" s="619"/>
      <c r="BZ358" s="619"/>
      <c r="CA358" s="619"/>
      <c r="CB358" s="619"/>
      <c r="CC358" s="619"/>
      <c r="CD358" s="619"/>
      <c r="CE358" s="619"/>
      <c r="CF358" s="619"/>
      <c r="CG358" s="619"/>
      <c r="CH358" s="619"/>
      <c r="CI358" s="619"/>
      <c r="CJ358" s="619"/>
      <c r="CK358" s="619"/>
      <c r="CL358" s="619"/>
      <c r="CM358" s="619"/>
      <c r="CN358" s="619"/>
      <c r="CO358" s="619"/>
      <c r="CP358" s="619"/>
      <c r="CQ358" s="619"/>
      <c r="CR358" s="619"/>
      <c r="CS358" s="619"/>
      <c r="CT358" s="619"/>
      <c r="CU358" s="619"/>
      <c r="CV358" s="619"/>
      <c r="CW358" s="619"/>
      <c r="CX358" s="619"/>
      <c r="CY358" s="619"/>
      <c r="CZ358" s="619"/>
      <c r="DA358" s="619"/>
      <c r="DB358" s="619"/>
      <c r="DC358" s="619"/>
      <c r="DD358" s="619"/>
      <c r="DE358" s="619"/>
      <c r="DF358" s="619"/>
      <c r="DG358" s="619"/>
      <c r="DH358" s="619"/>
      <c r="DI358" s="619"/>
      <c r="DJ358" s="619"/>
      <c r="DK358" s="619"/>
      <c r="DL358" s="619"/>
      <c r="DM358" s="619"/>
      <c r="DN358" s="619"/>
      <c r="DO358" s="619"/>
      <c r="DP358" s="619"/>
      <c r="DQ358" s="620"/>
      <c r="DR358" s="233"/>
    </row>
    <row r="359" spans="1:122" ht="7.5" customHeight="1" x14ac:dyDescent="0.25">
      <c r="A359" s="119"/>
      <c r="B359" s="119"/>
      <c r="C359" s="119"/>
      <c r="D359" s="119"/>
      <c r="E359" s="119"/>
      <c r="F359" s="624" t="str">
        <f>G356</f>
        <v>Dual Strike</v>
      </c>
      <c r="G359" s="624"/>
      <c r="H359" s="624"/>
      <c r="I359" s="624"/>
      <c r="J359" s="624"/>
      <c r="K359" s="625">
        <f>IF(A356&gt;0,Z356,0)</f>
        <v>0</v>
      </c>
      <c r="L359" s="625"/>
      <c r="M359" s="625"/>
      <c r="N359" s="626" t="b">
        <f>IF($G356&lt;&gt;"",VLOOKUP($G356,'Merit Data'!$A:$BW,MATCH('Merit Data'!$B$3,'Merit Data'!$3:$3,0),0),TRUE)</f>
        <v>0</v>
      </c>
      <c r="O359" s="626"/>
      <c r="P359" s="626"/>
      <c r="Q359" s="155"/>
      <c r="R359" s="140"/>
      <c r="S359" s="140"/>
      <c r="T359" s="140"/>
      <c r="U359" s="140"/>
      <c r="V359" s="238"/>
      <c r="W359" s="238"/>
      <c r="X359" s="627" t="str">
        <f>IF(F359&gt;0,HYPERLINK("http://wiki.project-saros.com/w/"&amp;F359,"Info"),"")</f>
        <v>Info</v>
      </c>
      <c r="Y359" s="628"/>
      <c r="Z359" s="604"/>
      <c r="AA359" s="604"/>
      <c r="AB359" s="604"/>
      <c r="AC359" s="604"/>
      <c r="AD359" s="604"/>
      <c r="AE359" s="604"/>
      <c r="AF359" s="604"/>
      <c r="AG359" s="605"/>
      <c r="AH359" s="612"/>
      <c r="AI359" s="613"/>
      <c r="AJ359" s="613"/>
      <c r="AK359" s="613"/>
      <c r="AL359" s="613"/>
      <c r="AM359" s="613"/>
      <c r="AN359" s="613"/>
      <c r="AO359" s="613"/>
      <c r="AP359" s="613"/>
      <c r="AQ359" s="613"/>
      <c r="AR359" s="613"/>
      <c r="AS359" s="613"/>
      <c r="AT359" s="613"/>
      <c r="AU359" s="613"/>
      <c r="AV359" s="613"/>
      <c r="AW359" s="614"/>
      <c r="AX359" s="621"/>
      <c r="AY359" s="622"/>
      <c r="AZ359" s="622"/>
      <c r="BA359" s="622"/>
      <c r="BB359" s="622"/>
      <c r="BC359" s="622"/>
      <c r="BD359" s="622"/>
      <c r="BE359" s="622"/>
      <c r="BF359" s="622"/>
      <c r="BG359" s="622"/>
      <c r="BH359" s="622"/>
      <c r="BI359" s="622"/>
      <c r="BJ359" s="622"/>
      <c r="BK359" s="622"/>
      <c r="BL359" s="622"/>
      <c r="BM359" s="622"/>
      <c r="BN359" s="622"/>
      <c r="BO359" s="622"/>
      <c r="BP359" s="622"/>
      <c r="BQ359" s="622"/>
      <c r="BR359" s="622"/>
      <c r="BS359" s="622"/>
      <c r="BT359" s="622"/>
      <c r="BU359" s="622"/>
      <c r="BV359" s="622"/>
      <c r="BW359" s="622"/>
      <c r="BX359" s="622"/>
      <c r="BY359" s="622"/>
      <c r="BZ359" s="622"/>
      <c r="CA359" s="622"/>
      <c r="CB359" s="622"/>
      <c r="CC359" s="622"/>
      <c r="CD359" s="622"/>
      <c r="CE359" s="622"/>
      <c r="CF359" s="622"/>
      <c r="CG359" s="622"/>
      <c r="CH359" s="622"/>
      <c r="CI359" s="622"/>
      <c r="CJ359" s="622"/>
      <c r="CK359" s="622"/>
      <c r="CL359" s="622"/>
      <c r="CM359" s="622"/>
      <c r="CN359" s="622"/>
      <c r="CO359" s="622"/>
      <c r="CP359" s="622"/>
      <c r="CQ359" s="622"/>
      <c r="CR359" s="622"/>
      <c r="CS359" s="622"/>
      <c r="CT359" s="622"/>
      <c r="CU359" s="622"/>
      <c r="CV359" s="622"/>
      <c r="CW359" s="622"/>
      <c r="CX359" s="622"/>
      <c r="CY359" s="622"/>
      <c r="CZ359" s="622"/>
      <c r="DA359" s="622"/>
      <c r="DB359" s="622"/>
      <c r="DC359" s="622"/>
      <c r="DD359" s="622"/>
      <c r="DE359" s="622"/>
      <c r="DF359" s="622"/>
      <c r="DG359" s="622"/>
      <c r="DH359" s="622"/>
      <c r="DI359" s="622"/>
      <c r="DJ359" s="622"/>
      <c r="DK359" s="622"/>
      <c r="DL359" s="622"/>
      <c r="DM359" s="622"/>
      <c r="DN359" s="622"/>
      <c r="DO359" s="622"/>
      <c r="DP359" s="622"/>
      <c r="DQ359" s="623"/>
      <c r="DR359" s="233"/>
    </row>
    <row r="360" spans="1:122" ht="7.5" customHeight="1" x14ac:dyDescent="0.25">
      <c r="A360" s="588"/>
      <c r="B360" s="589"/>
      <c r="C360" s="589"/>
      <c r="D360" s="589"/>
      <c r="E360" s="590"/>
      <c r="F360" s="152"/>
      <c r="G360" s="597" t="str">
        <f>INDEX('Merit Data'!A:A,ROW('Merit Data'!A94:A95)-COUNTA($G$272:G359)*2,COLUMN('Merit Data'!A94:A95))</f>
        <v>Momentum</v>
      </c>
      <c r="H360" s="597"/>
      <c r="I360" s="597"/>
      <c r="J360" s="597"/>
      <c r="K360" s="597"/>
      <c r="L360" s="597"/>
      <c r="M360" s="597"/>
      <c r="N360" s="597"/>
      <c r="O360" s="597"/>
      <c r="P360" s="597"/>
      <c r="Q360" s="597"/>
      <c r="R360" s="597"/>
      <c r="S360" s="597"/>
      <c r="T360" s="597"/>
      <c r="U360" s="597"/>
      <c r="V360" s="597"/>
      <c r="W360" s="597"/>
      <c r="X360" s="597"/>
      <c r="Y360" s="597"/>
      <c r="Z360" s="600">
        <f>VLOOKUP($G360,'Merit Data'!$A:$BW,MATCH('Merit Data'!$E$3,'Merit Data'!$3:$3,0),0)</f>
        <v>300</v>
      </c>
      <c r="AA360" s="600"/>
      <c r="AB360" s="600"/>
      <c r="AC360" s="600"/>
      <c r="AD360" s="600"/>
      <c r="AE360" s="600"/>
      <c r="AF360" s="600"/>
      <c r="AG360" s="601"/>
      <c r="AH360" s="606" t="str">
        <f ca="1">IF(NOT(ISERROR(VLOOKUP($G360,'Merit Data'!$A:$CE,MATCH('Merit Data'!$BX$3,'Merit Data'!$3:$3,0),0))),VLOOKUP($G360,'Merit Data'!$A:$CE,MATCH('Merit Data'!$BX$3,'Merit Data'!$3:$3,0),0),"")</f>
        <v/>
      </c>
      <c r="AI360" s="607"/>
      <c r="AJ360" s="607"/>
      <c r="AK360" s="607"/>
      <c r="AL360" s="607"/>
      <c r="AM360" s="607"/>
      <c r="AN360" s="607"/>
      <c r="AO360" s="607"/>
      <c r="AP360" s="607"/>
      <c r="AQ360" s="607"/>
      <c r="AR360" s="607"/>
      <c r="AS360" s="607"/>
      <c r="AT360" s="607"/>
      <c r="AU360" s="607"/>
      <c r="AV360" s="607"/>
      <c r="AW360" s="608"/>
      <c r="AX360" s="615" t="str">
        <f>VLOOKUP($G360,'Merit Data'!$A:$BW,MATCH('Merit Data'!$F$3,'Merit Data'!$3:$3,0),0)</f>
        <v xml:space="preserve">When you miss a melee basic attack with your mainhand weapon you may pay 15 MP to  immediately make a melee basic attack with your offhand. </v>
      </c>
      <c r="AY360" s="616"/>
      <c r="AZ360" s="616"/>
      <c r="BA360" s="616"/>
      <c r="BB360" s="616"/>
      <c r="BC360" s="616"/>
      <c r="BD360" s="616"/>
      <c r="BE360" s="616"/>
      <c r="BF360" s="616"/>
      <c r="BG360" s="616"/>
      <c r="BH360" s="616"/>
      <c r="BI360" s="616"/>
      <c r="BJ360" s="616"/>
      <c r="BK360" s="616"/>
      <c r="BL360" s="616"/>
      <c r="BM360" s="616"/>
      <c r="BN360" s="616"/>
      <c r="BO360" s="616"/>
      <c r="BP360" s="616"/>
      <c r="BQ360" s="616"/>
      <c r="BR360" s="616"/>
      <c r="BS360" s="616"/>
      <c r="BT360" s="616"/>
      <c r="BU360" s="616"/>
      <c r="BV360" s="616"/>
      <c r="BW360" s="616"/>
      <c r="BX360" s="616"/>
      <c r="BY360" s="616"/>
      <c r="BZ360" s="616"/>
      <c r="CA360" s="616"/>
      <c r="CB360" s="616"/>
      <c r="CC360" s="616"/>
      <c r="CD360" s="616"/>
      <c r="CE360" s="616"/>
      <c r="CF360" s="616"/>
      <c r="CG360" s="616"/>
      <c r="CH360" s="616"/>
      <c r="CI360" s="616"/>
      <c r="CJ360" s="616"/>
      <c r="CK360" s="616"/>
      <c r="CL360" s="616"/>
      <c r="CM360" s="616"/>
      <c r="CN360" s="616"/>
      <c r="CO360" s="616"/>
      <c r="CP360" s="616"/>
      <c r="CQ360" s="616"/>
      <c r="CR360" s="616"/>
      <c r="CS360" s="616"/>
      <c r="CT360" s="616"/>
      <c r="CU360" s="616"/>
      <c r="CV360" s="616"/>
      <c r="CW360" s="616"/>
      <c r="CX360" s="616"/>
      <c r="CY360" s="616"/>
      <c r="CZ360" s="616"/>
      <c r="DA360" s="616"/>
      <c r="DB360" s="616"/>
      <c r="DC360" s="616"/>
      <c r="DD360" s="616"/>
      <c r="DE360" s="616"/>
      <c r="DF360" s="616"/>
      <c r="DG360" s="616"/>
      <c r="DH360" s="616"/>
      <c r="DI360" s="616"/>
      <c r="DJ360" s="616"/>
      <c r="DK360" s="616"/>
      <c r="DL360" s="616"/>
      <c r="DM360" s="616"/>
      <c r="DN360" s="616"/>
      <c r="DO360" s="616"/>
      <c r="DP360" s="616"/>
      <c r="DQ360" s="617"/>
      <c r="DR360" s="233"/>
    </row>
    <row r="361" spans="1:122" ht="7.5" customHeight="1" x14ac:dyDescent="0.25">
      <c r="A361" s="591"/>
      <c r="B361" s="592"/>
      <c r="C361" s="592"/>
      <c r="D361" s="592"/>
      <c r="E361" s="593"/>
      <c r="F361" s="153"/>
      <c r="G361" s="598"/>
      <c r="H361" s="598"/>
      <c r="I361" s="598"/>
      <c r="J361" s="598"/>
      <c r="K361" s="598"/>
      <c r="L361" s="598"/>
      <c r="M361" s="598"/>
      <c r="N361" s="598"/>
      <c r="O361" s="598"/>
      <c r="P361" s="598"/>
      <c r="Q361" s="598"/>
      <c r="R361" s="598"/>
      <c r="S361" s="598"/>
      <c r="T361" s="598"/>
      <c r="U361" s="598"/>
      <c r="V361" s="598"/>
      <c r="W361" s="598"/>
      <c r="X361" s="598"/>
      <c r="Y361" s="598"/>
      <c r="Z361" s="602"/>
      <c r="AA361" s="602"/>
      <c r="AB361" s="602"/>
      <c r="AC361" s="602"/>
      <c r="AD361" s="602"/>
      <c r="AE361" s="602"/>
      <c r="AF361" s="602"/>
      <c r="AG361" s="603"/>
      <c r="AH361" s="609"/>
      <c r="AI361" s="610"/>
      <c r="AJ361" s="610"/>
      <c r="AK361" s="610"/>
      <c r="AL361" s="610"/>
      <c r="AM361" s="610"/>
      <c r="AN361" s="610"/>
      <c r="AO361" s="610"/>
      <c r="AP361" s="610"/>
      <c r="AQ361" s="610"/>
      <c r="AR361" s="610"/>
      <c r="AS361" s="610"/>
      <c r="AT361" s="610"/>
      <c r="AU361" s="610"/>
      <c r="AV361" s="610"/>
      <c r="AW361" s="611"/>
      <c r="AX361" s="618"/>
      <c r="AY361" s="619"/>
      <c r="AZ361" s="619"/>
      <c r="BA361" s="619"/>
      <c r="BB361" s="619"/>
      <c r="BC361" s="619"/>
      <c r="BD361" s="619"/>
      <c r="BE361" s="619"/>
      <c r="BF361" s="619"/>
      <c r="BG361" s="619"/>
      <c r="BH361" s="619"/>
      <c r="BI361" s="619"/>
      <c r="BJ361" s="619"/>
      <c r="BK361" s="619"/>
      <c r="BL361" s="619"/>
      <c r="BM361" s="619"/>
      <c r="BN361" s="619"/>
      <c r="BO361" s="619"/>
      <c r="BP361" s="619"/>
      <c r="BQ361" s="619"/>
      <c r="BR361" s="619"/>
      <c r="BS361" s="619"/>
      <c r="BT361" s="619"/>
      <c r="BU361" s="619"/>
      <c r="BV361" s="619"/>
      <c r="BW361" s="619"/>
      <c r="BX361" s="619"/>
      <c r="BY361" s="619"/>
      <c r="BZ361" s="619"/>
      <c r="CA361" s="619"/>
      <c r="CB361" s="619"/>
      <c r="CC361" s="619"/>
      <c r="CD361" s="619"/>
      <c r="CE361" s="619"/>
      <c r="CF361" s="619"/>
      <c r="CG361" s="619"/>
      <c r="CH361" s="619"/>
      <c r="CI361" s="619"/>
      <c r="CJ361" s="619"/>
      <c r="CK361" s="619"/>
      <c r="CL361" s="619"/>
      <c r="CM361" s="619"/>
      <c r="CN361" s="619"/>
      <c r="CO361" s="619"/>
      <c r="CP361" s="619"/>
      <c r="CQ361" s="619"/>
      <c r="CR361" s="619"/>
      <c r="CS361" s="619"/>
      <c r="CT361" s="619"/>
      <c r="CU361" s="619"/>
      <c r="CV361" s="619"/>
      <c r="CW361" s="619"/>
      <c r="CX361" s="619"/>
      <c r="CY361" s="619"/>
      <c r="CZ361" s="619"/>
      <c r="DA361" s="619"/>
      <c r="DB361" s="619"/>
      <c r="DC361" s="619"/>
      <c r="DD361" s="619"/>
      <c r="DE361" s="619"/>
      <c r="DF361" s="619"/>
      <c r="DG361" s="619"/>
      <c r="DH361" s="619"/>
      <c r="DI361" s="619"/>
      <c r="DJ361" s="619"/>
      <c r="DK361" s="619"/>
      <c r="DL361" s="619"/>
      <c r="DM361" s="619"/>
      <c r="DN361" s="619"/>
      <c r="DO361" s="619"/>
      <c r="DP361" s="619"/>
      <c r="DQ361" s="620"/>
      <c r="DR361" s="233"/>
    </row>
    <row r="362" spans="1:122" ht="7.5" customHeight="1" x14ac:dyDescent="0.25">
      <c r="A362" s="594"/>
      <c r="B362" s="595"/>
      <c r="C362" s="595"/>
      <c r="D362" s="595"/>
      <c r="E362" s="596"/>
      <c r="F362" s="154"/>
      <c r="G362" s="599"/>
      <c r="H362" s="599"/>
      <c r="I362" s="599"/>
      <c r="J362" s="599"/>
      <c r="K362" s="599"/>
      <c r="L362" s="599"/>
      <c r="M362" s="599"/>
      <c r="N362" s="599"/>
      <c r="O362" s="599"/>
      <c r="P362" s="599"/>
      <c r="Q362" s="599"/>
      <c r="R362" s="599"/>
      <c r="S362" s="599"/>
      <c r="T362" s="599"/>
      <c r="U362" s="599"/>
      <c r="V362" s="599"/>
      <c r="W362" s="599"/>
      <c r="X362" s="599"/>
      <c r="Y362" s="599"/>
      <c r="Z362" s="602"/>
      <c r="AA362" s="602"/>
      <c r="AB362" s="602"/>
      <c r="AC362" s="602"/>
      <c r="AD362" s="602"/>
      <c r="AE362" s="602"/>
      <c r="AF362" s="602"/>
      <c r="AG362" s="603"/>
      <c r="AH362" s="609"/>
      <c r="AI362" s="610"/>
      <c r="AJ362" s="610"/>
      <c r="AK362" s="610"/>
      <c r="AL362" s="610"/>
      <c r="AM362" s="610"/>
      <c r="AN362" s="610"/>
      <c r="AO362" s="610"/>
      <c r="AP362" s="610"/>
      <c r="AQ362" s="610"/>
      <c r="AR362" s="610"/>
      <c r="AS362" s="610"/>
      <c r="AT362" s="610"/>
      <c r="AU362" s="610"/>
      <c r="AV362" s="610"/>
      <c r="AW362" s="611"/>
      <c r="AX362" s="618"/>
      <c r="AY362" s="619"/>
      <c r="AZ362" s="619"/>
      <c r="BA362" s="619"/>
      <c r="BB362" s="619"/>
      <c r="BC362" s="619"/>
      <c r="BD362" s="619"/>
      <c r="BE362" s="619"/>
      <c r="BF362" s="619"/>
      <c r="BG362" s="619"/>
      <c r="BH362" s="619"/>
      <c r="BI362" s="619"/>
      <c r="BJ362" s="619"/>
      <c r="BK362" s="619"/>
      <c r="BL362" s="619"/>
      <c r="BM362" s="619"/>
      <c r="BN362" s="619"/>
      <c r="BO362" s="619"/>
      <c r="BP362" s="619"/>
      <c r="BQ362" s="619"/>
      <c r="BR362" s="619"/>
      <c r="BS362" s="619"/>
      <c r="BT362" s="619"/>
      <c r="BU362" s="619"/>
      <c r="BV362" s="619"/>
      <c r="BW362" s="619"/>
      <c r="BX362" s="619"/>
      <c r="BY362" s="619"/>
      <c r="BZ362" s="619"/>
      <c r="CA362" s="619"/>
      <c r="CB362" s="619"/>
      <c r="CC362" s="619"/>
      <c r="CD362" s="619"/>
      <c r="CE362" s="619"/>
      <c r="CF362" s="619"/>
      <c r="CG362" s="619"/>
      <c r="CH362" s="619"/>
      <c r="CI362" s="619"/>
      <c r="CJ362" s="619"/>
      <c r="CK362" s="619"/>
      <c r="CL362" s="619"/>
      <c r="CM362" s="619"/>
      <c r="CN362" s="619"/>
      <c r="CO362" s="619"/>
      <c r="CP362" s="619"/>
      <c r="CQ362" s="619"/>
      <c r="CR362" s="619"/>
      <c r="CS362" s="619"/>
      <c r="CT362" s="619"/>
      <c r="CU362" s="619"/>
      <c r="CV362" s="619"/>
      <c r="CW362" s="619"/>
      <c r="CX362" s="619"/>
      <c r="CY362" s="619"/>
      <c r="CZ362" s="619"/>
      <c r="DA362" s="619"/>
      <c r="DB362" s="619"/>
      <c r="DC362" s="619"/>
      <c r="DD362" s="619"/>
      <c r="DE362" s="619"/>
      <c r="DF362" s="619"/>
      <c r="DG362" s="619"/>
      <c r="DH362" s="619"/>
      <c r="DI362" s="619"/>
      <c r="DJ362" s="619"/>
      <c r="DK362" s="619"/>
      <c r="DL362" s="619"/>
      <c r="DM362" s="619"/>
      <c r="DN362" s="619"/>
      <c r="DO362" s="619"/>
      <c r="DP362" s="619"/>
      <c r="DQ362" s="620"/>
      <c r="DR362" s="233"/>
    </row>
    <row r="363" spans="1:122" ht="7.5" customHeight="1" x14ac:dyDescent="0.25">
      <c r="A363" s="119"/>
      <c r="B363" s="119"/>
      <c r="C363" s="119"/>
      <c r="D363" s="119"/>
      <c r="E363" s="119"/>
      <c r="F363" s="624" t="str">
        <f>G360</f>
        <v>Momentum</v>
      </c>
      <c r="G363" s="624"/>
      <c r="H363" s="624"/>
      <c r="I363" s="624"/>
      <c r="J363" s="624"/>
      <c r="K363" s="625">
        <f>IF(A360&gt;0,Z360,0)</f>
        <v>0</v>
      </c>
      <c r="L363" s="625"/>
      <c r="M363" s="625"/>
      <c r="N363" s="626" t="b">
        <f>IF($G360&lt;&gt;"",VLOOKUP($G360,'Merit Data'!$A:$BW,MATCH('Merit Data'!$B$3,'Merit Data'!$3:$3,0),0),TRUE)</f>
        <v>1</v>
      </c>
      <c r="O363" s="626"/>
      <c r="P363" s="626"/>
      <c r="Q363" s="155"/>
      <c r="R363" s="140"/>
      <c r="S363" s="140"/>
      <c r="T363" s="140"/>
      <c r="U363" s="140"/>
      <c r="V363" s="238"/>
      <c r="W363" s="238"/>
      <c r="X363" s="627" t="str">
        <f>IF(F363&gt;0,HYPERLINK("http://wiki.project-saros.com/w/"&amp;F363,"Info"),"")</f>
        <v>Info</v>
      </c>
      <c r="Y363" s="628"/>
      <c r="Z363" s="604"/>
      <c r="AA363" s="604"/>
      <c r="AB363" s="604"/>
      <c r="AC363" s="604"/>
      <c r="AD363" s="604"/>
      <c r="AE363" s="604"/>
      <c r="AF363" s="604"/>
      <c r="AG363" s="605"/>
      <c r="AH363" s="612"/>
      <c r="AI363" s="613"/>
      <c r="AJ363" s="613"/>
      <c r="AK363" s="613"/>
      <c r="AL363" s="613"/>
      <c r="AM363" s="613"/>
      <c r="AN363" s="613"/>
      <c r="AO363" s="613"/>
      <c r="AP363" s="613"/>
      <c r="AQ363" s="613"/>
      <c r="AR363" s="613"/>
      <c r="AS363" s="613"/>
      <c r="AT363" s="613"/>
      <c r="AU363" s="613"/>
      <c r="AV363" s="613"/>
      <c r="AW363" s="614"/>
      <c r="AX363" s="621"/>
      <c r="AY363" s="622"/>
      <c r="AZ363" s="622"/>
      <c r="BA363" s="622"/>
      <c r="BB363" s="622"/>
      <c r="BC363" s="622"/>
      <c r="BD363" s="622"/>
      <c r="BE363" s="622"/>
      <c r="BF363" s="622"/>
      <c r="BG363" s="622"/>
      <c r="BH363" s="622"/>
      <c r="BI363" s="622"/>
      <c r="BJ363" s="622"/>
      <c r="BK363" s="622"/>
      <c r="BL363" s="622"/>
      <c r="BM363" s="622"/>
      <c r="BN363" s="622"/>
      <c r="BO363" s="622"/>
      <c r="BP363" s="622"/>
      <c r="BQ363" s="622"/>
      <c r="BR363" s="622"/>
      <c r="BS363" s="622"/>
      <c r="BT363" s="622"/>
      <c r="BU363" s="622"/>
      <c r="BV363" s="622"/>
      <c r="BW363" s="622"/>
      <c r="BX363" s="622"/>
      <c r="BY363" s="622"/>
      <c r="BZ363" s="622"/>
      <c r="CA363" s="622"/>
      <c r="CB363" s="622"/>
      <c r="CC363" s="622"/>
      <c r="CD363" s="622"/>
      <c r="CE363" s="622"/>
      <c r="CF363" s="622"/>
      <c r="CG363" s="622"/>
      <c r="CH363" s="622"/>
      <c r="CI363" s="622"/>
      <c r="CJ363" s="622"/>
      <c r="CK363" s="622"/>
      <c r="CL363" s="622"/>
      <c r="CM363" s="622"/>
      <c r="CN363" s="622"/>
      <c r="CO363" s="622"/>
      <c r="CP363" s="622"/>
      <c r="CQ363" s="622"/>
      <c r="CR363" s="622"/>
      <c r="CS363" s="622"/>
      <c r="CT363" s="622"/>
      <c r="CU363" s="622"/>
      <c r="CV363" s="622"/>
      <c r="CW363" s="622"/>
      <c r="CX363" s="622"/>
      <c r="CY363" s="622"/>
      <c r="CZ363" s="622"/>
      <c r="DA363" s="622"/>
      <c r="DB363" s="622"/>
      <c r="DC363" s="622"/>
      <c r="DD363" s="622"/>
      <c r="DE363" s="622"/>
      <c r="DF363" s="622"/>
      <c r="DG363" s="622"/>
      <c r="DH363" s="622"/>
      <c r="DI363" s="622"/>
      <c r="DJ363" s="622"/>
      <c r="DK363" s="622"/>
      <c r="DL363" s="622"/>
      <c r="DM363" s="622"/>
      <c r="DN363" s="622"/>
      <c r="DO363" s="622"/>
      <c r="DP363" s="622"/>
      <c r="DQ363" s="623"/>
      <c r="DR363" s="233"/>
    </row>
    <row r="364" spans="1:122" ht="7.5" customHeight="1" x14ac:dyDescent="0.25">
      <c r="A364" s="588"/>
      <c r="B364" s="589"/>
      <c r="C364" s="589"/>
      <c r="D364" s="589"/>
      <c r="E364" s="590"/>
      <c r="F364" s="152"/>
      <c r="G364" s="597" t="str">
        <f>INDEX('Merit Data'!A:A,ROW('Merit Data'!A98:A99)-COUNTA($G$272:G363)*2,COLUMN('Merit Data'!A98:A99))</f>
        <v>Tactical Withdraw</v>
      </c>
      <c r="H364" s="597"/>
      <c r="I364" s="597"/>
      <c r="J364" s="597"/>
      <c r="K364" s="597"/>
      <c r="L364" s="597"/>
      <c r="M364" s="597"/>
      <c r="N364" s="597"/>
      <c r="O364" s="597"/>
      <c r="P364" s="597"/>
      <c r="Q364" s="597"/>
      <c r="R364" s="597"/>
      <c r="S364" s="597"/>
      <c r="T364" s="597"/>
      <c r="U364" s="597"/>
      <c r="V364" s="597"/>
      <c r="W364" s="597"/>
      <c r="X364" s="597"/>
      <c r="Y364" s="597"/>
      <c r="Z364" s="600">
        <f>VLOOKUP($G364,'Merit Data'!$A:$BW,MATCH('Merit Data'!$E$3,'Merit Data'!$3:$3,0),0)</f>
        <v>300</v>
      </c>
      <c r="AA364" s="600"/>
      <c r="AB364" s="600"/>
      <c r="AC364" s="600"/>
      <c r="AD364" s="600"/>
      <c r="AE364" s="600"/>
      <c r="AF364" s="600"/>
      <c r="AG364" s="601"/>
      <c r="AH364" s="606" t="str">
        <f ca="1">IF(NOT(ISERROR(VLOOKUP($G364,'Merit Data'!$A:$CE,MATCH('Merit Data'!$BX$3,'Merit Data'!$3:$3,0),0))),VLOOKUP($G364,'Merit Data'!$A:$CE,MATCH('Merit Data'!$BX$3,'Merit Data'!$3:$3,0),0),"")</f>
        <v/>
      </c>
      <c r="AI364" s="607"/>
      <c r="AJ364" s="607"/>
      <c r="AK364" s="607"/>
      <c r="AL364" s="607"/>
      <c r="AM364" s="607"/>
      <c r="AN364" s="607"/>
      <c r="AO364" s="607"/>
      <c r="AP364" s="607"/>
      <c r="AQ364" s="607"/>
      <c r="AR364" s="607"/>
      <c r="AS364" s="607"/>
      <c r="AT364" s="607"/>
      <c r="AU364" s="607"/>
      <c r="AV364" s="607"/>
      <c r="AW364" s="608"/>
      <c r="AX364" s="615" t="str">
        <f>VLOOKUP($G364,'Merit Data'!$A:$BW,MATCH('Merit Data'!$F$3,'Merit Data'!$3:$3,0),0)</f>
        <v>1 TP: Move 3 spaces</v>
      </c>
      <c r="AY364" s="616"/>
      <c r="AZ364" s="616"/>
      <c r="BA364" s="616"/>
      <c r="BB364" s="616"/>
      <c r="BC364" s="616"/>
      <c r="BD364" s="616"/>
      <c r="BE364" s="616"/>
      <c r="BF364" s="616"/>
      <c r="BG364" s="616"/>
      <c r="BH364" s="616"/>
      <c r="BI364" s="616"/>
      <c r="BJ364" s="616"/>
      <c r="BK364" s="616"/>
      <c r="BL364" s="616"/>
      <c r="BM364" s="616"/>
      <c r="BN364" s="616"/>
      <c r="BO364" s="616"/>
      <c r="BP364" s="616"/>
      <c r="BQ364" s="616"/>
      <c r="BR364" s="616"/>
      <c r="BS364" s="616"/>
      <c r="BT364" s="616"/>
      <c r="BU364" s="616"/>
      <c r="BV364" s="616"/>
      <c r="BW364" s="616"/>
      <c r="BX364" s="616"/>
      <c r="BY364" s="616"/>
      <c r="BZ364" s="616"/>
      <c r="CA364" s="616"/>
      <c r="CB364" s="616"/>
      <c r="CC364" s="616"/>
      <c r="CD364" s="616"/>
      <c r="CE364" s="616"/>
      <c r="CF364" s="616"/>
      <c r="CG364" s="616"/>
      <c r="CH364" s="616"/>
      <c r="CI364" s="616"/>
      <c r="CJ364" s="616"/>
      <c r="CK364" s="616"/>
      <c r="CL364" s="616"/>
      <c r="CM364" s="616"/>
      <c r="CN364" s="616"/>
      <c r="CO364" s="616"/>
      <c r="CP364" s="616"/>
      <c r="CQ364" s="616"/>
      <c r="CR364" s="616"/>
      <c r="CS364" s="616"/>
      <c r="CT364" s="616"/>
      <c r="CU364" s="616"/>
      <c r="CV364" s="616"/>
      <c r="CW364" s="616"/>
      <c r="CX364" s="616"/>
      <c r="CY364" s="616"/>
      <c r="CZ364" s="616"/>
      <c r="DA364" s="616"/>
      <c r="DB364" s="616"/>
      <c r="DC364" s="616"/>
      <c r="DD364" s="616"/>
      <c r="DE364" s="616"/>
      <c r="DF364" s="616"/>
      <c r="DG364" s="616"/>
      <c r="DH364" s="616"/>
      <c r="DI364" s="616"/>
      <c r="DJ364" s="616"/>
      <c r="DK364" s="616"/>
      <c r="DL364" s="616"/>
      <c r="DM364" s="616"/>
      <c r="DN364" s="616"/>
      <c r="DO364" s="616"/>
      <c r="DP364" s="616"/>
      <c r="DQ364" s="617"/>
      <c r="DR364" s="233"/>
    </row>
    <row r="365" spans="1:122" ht="7.5" customHeight="1" x14ac:dyDescent="0.25">
      <c r="A365" s="591"/>
      <c r="B365" s="592"/>
      <c r="C365" s="592"/>
      <c r="D365" s="592"/>
      <c r="E365" s="593"/>
      <c r="F365" s="153"/>
      <c r="G365" s="598"/>
      <c r="H365" s="598"/>
      <c r="I365" s="598"/>
      <c r="J365" s="598"/>
      <c r="K365" s="598"/>
      <c r="L365" s="598"/>
      <c r="M365" s="598"/>
      <c r="N365" s="598"/>
      <c r="O365" s="598"/>
      <c r="P365" s="598"/>
      <c r="Q365" s="598"/>
      <c r="R365" s="598"/>
      <c r="S365" s="598"/>
      <c r="T365" s="598"/>
      <c r="U365" s="598"/>
      <c r="V365" s="598"/>
      <c r="W365" s="598"/>
      <c r="X365" s="598"/>
      <c r="Y365" s="598"/>
      <c r="Z365" s="602"/>
      <c r="AA365" s="602"/>
      <c r="AB365" s="602"/>
      <c r="AC365" s="602"/>
      <c r="AD365" s="602"/>
      <c r="AE365" s="602"/>
      <c r="AF365" s="602"/>
      <c r="AG365" s="603"/>
      <c r="AH365" s="609"/>
      <c r="AI365" s="610"/>
      <c r="AJ365" s="610"/>
      <c r="AK365" s="610"/>
      <c r="AL365" s="610"/>
      <c r="AM365" s="610"/>
      <c r="AN365" s="610"/>
      <c r="AO365" s="610"/>
      <c r="AP365" s="610"/>
      <c r="AQ365" s="610"/>
      <c r="AR365" s="610"/>
      <c r="AS365" s="610"/>
      <c r="AT365" s="610"/>
      <c r="AU365" s="610"/>
      <c r="AV365" s="610"/>
      <c r="AW365" s="611"/>
      <c r="AX365" s="618"/>
      <c r="AY365" s="619"/>
      <c r="AZ365" s="619"/>
      <c r="BA365" s="619"/>
      <c r="BB365" s="619"/>
      <c r="BC365" s="619"/>
      <c r="BD365" s="619"/>
      <c r="BE365" s="619"/>
      <c r="BF365" s="619"/>
      <c r="BG365" s="619"/>
      <c r="BH365" s="619"/>
      <c r="BI365" s="619"/>
      <c r="BJ365" s="619"/>
      <c r="BK365" s="619"/>
      <c r="BL365" s="619"/>
      <c r="BM365" s="619"/>
      <c r="BN365" s="619"/>
      <c r="BO365" s="619"/>
      <c r="BP365" s="619"/>
      <c r="BQ365" s="619"/>
      <c r="BR365" s="619"/>
      <c r="BS365" s="619"/>
      <c r="BT365" s="619"/>
      <c r="BU365" s="619"/>
      <c r="BV365" s="619"/>
      <c r="BW365" s="619"/>
      <c r="BX365" s="619"/>
      <c r="BY365" s="619"/>
      <c r="BZ365" s="619"/>
      <c r="CA365" s="619"/>
      <c r="CB365" s="619"/>
      <c r="CC365" s="619"/>
      <c r="CD365" s="619"/>
      <c r="CE365" s="619"/>
      <c r="CF365" s="619"/>
      <c r="CG365" s="619"/>
      <c r="CH365" s="619"/>
      <c r="CI365" s="619"/>
      <c r="CJ365" s="619"/>
      <c r="CK365" s="619"/>
      <c r="CL365" s="619"/>
      <c r="CM365" s="619"/>
      <c r="CN365" s="619"/>
      <c r="CO365" s="619"/>
      <c r="CP365" s="619"/>
      <c r="CQ365" s="619"/>
      <c r="CR365" s="619"/>
      <c r="CS365" s="619"/>
      <c r="CT365" s="619"/>
      <c r="CU365" s="619"/>
      <c r="CV365" s="619"/>
      <c r="CW365" s="619"/>
      <c r="CX365" s="619"/>
      <c r="CY365" s="619"/>
      <c r="CZ365" s="619"/>
      <c r="DA365" s="619"/>
      <c r="DB365" s="619"/>
      <c r="DC365" s="619"/>
      <c r="DD365" s="619"/>
      <c r="DE365" s="619"/>
      <c r="DF365" s="619"/>
      <c r="DG365" s="619"/>
      <c r="DH365" s="619"/>
      <c r="DI365" s="619"/>
      <c r="DJ365" s="619"/>
      <c r="DK365" s="619"/>
      <c r="DL365" s="619"/>
      <c r="DM365" s="619"/>
      <c r="DN365" s="619"/>
      <c r="DO365" s="619"/>
      <c r="DP365" s="619"/>
      <c r="DQ365" s="620"/>
      <c r="DR365" s="233"/>
    </row>
    <row r="366" spans="1:122" ht="7.5" customHeight="1" x14ac:dyDescent="0.25">
      <c r="A366" s="594"/>
      <c r="B366" s="595"/>
      <c r="C366" s="595"/>
      <c r="D366" s="595"/>
      <c r="E366" s="596"/>
      <c r="F366" s="154"/>
      <c r="G366" s="599"/>
      <c r="H366" s="599"/>
      <c r="I366" s="599"/>
      <c r="J366" s="599"/>
      <c r="K366" s="599"/>
      <c r="L366" s="599"/>
      <c r="M366" s="599"/>
      <c r="N366" s="599"/>
      <c r="O366" s="599"/>
      <c r="P366" s="599"/>
      <c r="Q366" s="599"/>
      <c r="R366" s="599"/>
      <c r="S366" s="599"/>
      <c r="T366" s="599"/>
      <c r="U366" s="599"/>
      <c r="V366" s="599"/>
      <c r="W366" s="599"/>
      <c r="X366" s="599"/>
      <c r="Y366" s="599"/>
      <c r="Z366" s="602"/>
      <c r="AA366" s="602"/>
      <c r="AB366" s="602"/>
      <c r="AC366" s="602"/>
      <c r="AD366" s="602"/>
      <c r="AE366" s="602"/>
      <c r="AF366" s="602"/>
      <c r="AG366" s="603"/>
      <c r="AH366" s="609"/>
      <c r="AI366" s="610"/>
      <c r="AJ366" s="610"/>
      <c r="AK366" s="610"/>
      <c r="AL366" s="610"/>
      <c r="AM366" s="610"/>
      <c r="AN366" s="610"/>
      <c r="AO366" s="610"/>
      <c r="AP366" s="610"/>
      <c r="AQ366" s="610"/>
      <c r="AR366" s="610"/>
      <c r="AS366" s="610"/>
      <c r="AT366" s="610"/>
      <c r="AU366" s="610"/>
      <c r="AV366" s="610"/>
      <c r="AW366" s="611"/>
      <c r="AX366" s="618"/>
      <c r="AY366" s="619"/>
      <c r="AZ366" s="619"/>
      <c r="BA366" s="619"/>
      <c r="BB366" s="619"/>
      <c r="BC366" s="619"/>
      <c r="BD366" s="619"/>
      <c r="BE366" s="619"/>
      <c r="BF366" s="619"/>
      <c r="BG366" s="619"/>
      <c r="BH366" s="619"/>
      <c r="BI366" s="619"/>
      <c r="BJ366" s="619"/>
      <c r="BK366" s="619"/>
      <c r="BL366" s="619"/>
      <c r="BM366" s="619"/>
      <c r="BN366" s="619"/>
      <c r="BO366" s="619"/>
      <c r="BP366" s="619"/>
      <c r="BQ366" s="619"/>
      <c r="BR366" s="619"/>
      <c r="BS366" s="619"/>
      <c r="BT366" s="619"/>
      <c r="BU366" s="619"/>
      <c r="BV366" s="619"/>
      <c r="BW366" s="619"/>
      <c r="BX366" s="619"/>
      <c r="BY366" s="619"/>
      <c r="BZ366" s="619"/>
      <c r="CA366" s="619"/>
      <c r="CB366" s="619"/>
      <c r="CC366" s="619"/>
      <c r="CD366" s="619"/>
      <c r="CE366" s="619"/>
      <c r="CF366" s="619"/>
      <c r="CG366" s="619"/>
      <c r="CH366" s="619"/>
      <c r="CI366" s="619"/>
      <c r="CJ366" s="619"/>
      <c r="CK366" s="619"/>
      <c r="CL366" s="619"/>
      <c r="CM366" s="619"/>
      <c r="CN366" s="619"/>
      <c r="CO366" s="619"/>
      <c r="CP366" s="619"/>
      <c r="CQ366" s="619"/>
      <c r="CR366" s="619"/>
      <c r="CS366" s="619"/>
      <c r="CT366" s="619"/>
      <c r="CU366" s="619"/>
      <c r="CV366" s="619"/>
      <c r="CW366" s="619"/>
      <c r="CX366" s="619"/>
      <c r="CY366" s="619"/>
      <c r="CZ366" s="619"/>
      <c r="DA366" s="619"/>
      <c r="DB366" s="619"/>
      <c r="DC366" s="619"/>
      <c r="DD366" s="619"/>
      <c r="DE366" s="619"/>
      <c r="DF366" s="619"/>
      <c r="DG366" s="619"/>
      <c r="DH366" s="619"/>
      <c r="DI366" s="619"/>
      <c r="DJ366" s="619"/>
      <c r="DK366" s="619"/>
      <c r="DL366" s="619"/>
      <c r="DM366" s="619"/>
      <c r="DN366" s="619"/>
      <c r="DO366" s="619"/>
      <c r="DP366" s="619"/>
      <c r="DQ366" s="620"/>
      <c r="DR366" s="233"/>
    </row>
    <row r="367" spans="1:122" ht="7.5" customHeight="1" x14ac:dyDescent="0.25">
      <c r="A367" s="119"/>
      <c r="B367" s="119"/>
      <c r="C367" s="119"/>
      <c r="D367" s="119"/>
      <c r="E367" s="119"/>
      <c r="F367" s="624" t="str">
        <f>G364</f>
        <v>Tactical Withdraw</v>
      </c>
      <c r="G367" s="624"/>
      <c r="H367" s="624"/>
      <c r="I367" s="624"/>
      <c r="J367" s="624"/>
      <c r="K367" s="625">
        <f>IF(A364&gt;0,Z364,0)</f>
        <v>0</v>
      </c>
      <c r="L367" s="625"/>
      <c r="M367" s="625"/>
      <c r="N367" s="626" t="b">
        <f>IF($G364&lt;&gt;"",VLOOKUP($G364,'Merit Data'!$A:$BW,MATCH('Merit Data'!$B$3,'Merit Data'!$3:$3,0),0),TRUE)</f>
        <v>1</v>
      </c>
      <c r="O367" s="626"/>
      <c r="P367" s="626"/>
      <c r="Q367" s="155"/>
      <c r="R367" s="140"/>
      <c r="S367" s="140"/>
      <c r="T367" s="140"/>
      <c r="U367" s="140"/>
      <c r="V367" s="238"/>
      <c r="W367" s="238"/>
      <c r="X367" s="627" t="str">
        <f>IF(F367&gt;0,HYPERLINK("http://wiki.project-saros.com/w/"&amp;F367,"Info"),"")</f>
        <v>Info</v>
      </c>
      <c r="Y367" s="628"/>
      <c r="Z367" s="604"/>
      <c r="AA367" s="604"/>
      <c r="AB367" s="604"/>
      <c r="AC367" s="604"/>
      <c r="AD367" s="604"/>
      <c r="AE367" s="604"/>
      <c r="AF367" s="604"/>
      <c r="AG367" s="605"/>
      <c r="AH367" s="612"/>
      <c r="AI367" s="613"/>
      <c r="AJ367" s="613"/>
      <c r="AK367" s="613"/>
      <c r="AL367" s="613"/>
      <c r="AM367" s="613"/>
      <c r="AN367" s="613"/>
      <c r="AO367" s="613"/>
      <c r="AP367" s="613"/>
      <c r="AQ367" s="613"/>
      <c r="AR367" s="613"/>
      <c r="AS367" s="613"/>
      <c r="AT367" s="613"/>
      <c r="AU367" s="613"/>
      <c r="AV367" s="613"/>
      <c r="AW367" s="614"/>
      <c r="AX367" s="621"/>
      <c r="AY367" s="622"/>
      <c r="AZ367" s="622"/>
      <c r="BA367" s="622"/>
      <c r="BB367" s="622"/>
      <c r="BC367" s="622"/>
      <c r="BD367" s="622"/>
      <c r="BE367" s="622"/>
      <c r="BF367" s="622"/>
      <c r="BG367" s="622"/>
      <c r="BH367" s="622"/>
      <c r="BI367" s="622"/>
      <c r="BJ367" s="622"/>
      <c r="BK367" s="622"/>
      <c r="BL367" s="622"/>
      <c r="BM367" s="622"/>
      <c r="BN367" s="622"/>
      <c r="BO367" s="622"/>
      <c r="BP367" s="622"/>
      <c r="BQ367" s="622"/>
      <c r="BR367" s="622"/>
      <c r="BS367" s="622"/>
      <c r="BT367" s="622"/>
      <c r="BU367" s="622"/>
      <c r="BV367" s="622"/>
      <c r="BW367" s="622"/>
      <c r="BX367" s="622"/>
      <c r="BY367" s="622"/>
      <c r="BZ367" s="622"/>
      <c r="CA367" s="622"/>
      <c r="CB367" s="622"/>
      <c r="CC367" s="622"/>
      <c r="CD367" s="622"/>
      <c r="CE367" s="622"/>
      <c r="CF367" s="622"/>
      <c r="CG367" s="622"/>
      <c r="CH367" s="622"/>
      <c r="CI367" s="622"/>
      <c r="CJ367" s="622"/>
      <c r="CK367" s="622"/>
      <c r="CL367" s="622"/>
      <c r="CM367" s="622"/>
      <c r="CN367" s="622"/>
      <c r="CO367" s="622"/>
      <c r="CP367" s="622"/>
      <c r="CQ367" s="622"/>
      <c r="CR367" s="622"/>
      <c r="CS367" s="622"/>
      <c r="CT367" s="622"/>
      <c r="CU367" s="622"/>
      <c r="CV367" s="622"/>
      <c r="CW367" s="622"/>
      <c r="CX367" s="622"/>
      <c r="CY367" s="622"/>
      <c r="CZ367" s="622"/>
      <c r="DA367" s="622"/>
      <c r="DB367" s="622"/>
      <c r="DC367" s="622"/>
      <c r="DD367" s="622"/>
      <c r="DE367" s="622"/>
      <c r="DF367" s="622"/>
      <c r="DG367" s="622"/>
      <c r="DH367" s="622"/>
      <c r="DI367" s="622"/>
      <c r="DJ367" s="622"/>
      <c r="DK367" s="622"/>
      <c r="DL367" s="622"/>
      <c r="DM367" s="622"/>
      <c r="DN367" s="622"/>
      <c r="DO367" s="622"/>
      <c r="DP367" s="622"/>
      <c r="DQ367" s="623"/>
      <c r="DR367" s="233"/>
    </row>
    <row r="368" spans="1:122" ht="7.5" customHeight="1" x14ac:dyDescent="0.25">
      <c r="A368" s="588"/>
      <c r="B368" s="589"/>
      <c r="C368" s="589"/>
      <c r="D368" s="589"/>
      <c r="E368" s="590"/>
      <c r="F368" s="152"/>
      <c r="G368" s="597" t="str">
        <f>INDEX('Merit Data'!A:A,ROW('Merit Data'!A102:A103)-COUNTA($G$272:G367)*2,COLUMN('Merit Data'!A102:A103))</f>
        <v>Endurance</v>
      </c>
      <c r="H368" s="597"/>
      <c r="I368" s="597"/>
      <c r="J368" s="597"/>
      <c r="K368" s="597"/>
      <c r="L368" s="597"/>
      <c r="M368" s="597"/>
      <c r="N368" s="597"/>
      <c r="O368" s="597"/>
      <c r="P368" s="597"/>
      <c r="Q368" s="597"/>
      <c r="R368" s="597"/>
      <c r="S368" s="597"/>
      <c r="T368" s="597"/>
      <c r="U368" s="597"/>
      <c r="V368" s="597"/>
      <c r="W368" s="597"/>
      <c r="X368" s="597"/>
      <c r="Y368" s="597"/>
      <c r="Z368" s="600">
        <f>VLOOKUP($G368,'Merit Data'!$A:$BW,MATCH('Merit Data'!$E$3,'Merit Data'!$3:$3,0),0)</f>
        <v>200</v>
      </c>
      <c r="AA368" s="600"/>
      <c r="AB368" s="600"/>
      <c r="AC368" s="600"/>
      <c r="AD368" s="600"/>
      <c r="AE368" s="600"/>
      <c r="AF368" s="600"/>
      <c r="AG368" s="601"/>
      <c r="AH368" s="606" t="str">
        <f ca="1">IF(NOT(ISERROR(VLOOKUP($G368,'Merit Data'!$A:$CE,MATCH('Merit Data'!$BX$3,'Merit Data'!$3:$3,0),0))),VLOOKUP($G368,'Merit Data'!$A:$CE,MATCH('Merit Data'!$BX$3,'Merit Data'!$3:$3,0),0),"")</f>
        <v>Constitution (18)</v>
      </c>
      <c r="AI368" s="607"/>
      <c r="AJ368" s="607"/>
      <c r="AK368" s="607"/>
      <c r="AL368" s="607"/>
      <c r="AM368" s="607"/>
      <c r="AN368" s="607"/>
      <c r="AO368" s="607"/>
      <c r="AP368" s="607"/>
      <c r="AQ368" s="607"/>
      <c r="AR368" s="607"/>
      <c r="AS368" s="607"/>
      <c r="AT368" s="607"/>
      <c r="AU368" s="607"/>
      <c r="AV368" s="607"/>
      <c r="AW368" s="608"/>
      <c r="AX368" s="615" t="str">
        <f>VLOOKUP($G368,'Merit Data'!$A:$BW,MATCH('Merit Data'!$F$3,'Merit Data'!$3:$3,0),0)</f>
        <v>You do not die until -35% HP.</v>
      </c>
      <c r="AY368" s="616"/>
      <c r="AZ368" s="616"/>
      <c r="BA368" s="616"/>
      <c r="BB368" s="616"/>
      <c r="BC368" s="616"/>
      <c r="BD368" s="616"/>
      <c r="BE368" s="616"/>
      <c r="BF368" s="616"/>
      <c r="BG368" s="616"/>
      <c r="BH368" s="616"/>
      <c r="BI368" s="616"/>
      <c r="BJ368" s="616"/>
      <c r="BK368" s="616"/>
      <c r="BL368" s="616"/>
      <c r="BM368" s="616"/>
      <c r="BN368" s="616"/>
      <c r="BO368" s="616"/>
      <c r="BP368" s="616"/>
      <c r="BQ368" s="616"/>
      <c r="BR368" s="616"/>
      <c r="BS368" s="616"/>
      <c r="BT368" s="616"/>
      <c r="BU368" s="616"/>
      <c r="BV368" s="616"/>
      <c r="BW368" s="616"/>
      <c r="BX368" s="616"/>
      <c r="BY368" s="616"/>
      <c r="BZ368" s="616"/>
      <c r="CA368" s="616"/>
      <c r="CB368" s="616"/>
      <c r="CC368" s="616"/>
      <c r="CD368" s="616"/>
      <c r="CE368" s="616"/>
      <c r="CF368" s="616"/>
      <c r="CG368" s="616"/>
      <c r="CH368" s="616"/>
      <c r="CI368" s="616"/>
      <c r="CJ368" s="616"/>
      <c r="CK368" s="616"/>
      <c r="CL368" s="616"/>
      <c r="CM368" s="616"/>
      <c r="CN368" s="616"/>
      <c r="CO368" s="616"/>
      <c r="CP368" s="616"/>
      <c r="CQ368" s="616"/>
      <c r="CR368" s="616"/>
      <c r="CS368" s="616"/>
      <c r="CT368" s="616"/>
      <c r="CU368" s="616"/>
      <c r="CV368" s="616"/>
      <c r="CW368" s="616"/>
      <c r="CX368" s="616"/>
      <c r="CY368" s="616"/>
      <c r="CZ368" s="616"/>
      <c r="DA368" s="616"/>
      <c r="DB368" s="616"/>
      <c r="DC368" s="616"/>
      <c r="DD368" s="616"/>
      <c r="DE368" s="616"/>
      <c r="DF368" s="616"/>
      <c r="DG368" s="616"/>
      <c r="DH368" s="616"/>
      <c r="DI368" s="616"/>
      <c r="DJ368" s="616"/>
      <c r="DK368" s="616"/>
      <c r="DL368" s="616"/>
      <c r="DM368" s="616"/>
      <c r="DN368" s="616"/>
      <c r="DO368" s="616"/>
      <c r="DP368" s="616"/>
      <c r="DQ368" s="617"/>
      <c r="DR368" s="233"/>
    </row>
    <row r="369" spans="1:122" ht="7.5" customHeight="1" x14ac:dyDescent="0.25">
      <c r="A369" s="591"/>
      <c r="B369" s="592"/>
      <c r="C369" s="592"/>
      <c r="D369" s="592"/>
      <c r="E369" s="593"/>
      <c r="F369" s="153"/>
      <c r="G369" s="598"/>
      <c r="H369" s="598"/>
      <c r="I369" s="598"/>
      <c r="J369" s="598"/>
      <c r="K369" s="598"/>
      <c r="L369" s="598"/>
      <c r="M369" s="598"/>
      <c r="N369" s="598"/>
      <c r="O369" s="598"/>
      <c r="P369" s="598"/>
      <c r="Q369" s="598"/>
      <c r="R369" s="598"/>
      <c r="S369" s="598"/>
      <c r="T369" s="598"/>
      <c r="U369" s="598"/>
      <c r="V369" s="598"/>
      <c r="W369" s="598"/>
      <c r="X369" s="598"/>
      <c r="Y369" s="598"/>
      <c r="Z369" s="602"/>
      <c r="AA369" s="602"/>
      <c r="AB369" s="602"/>
      <c r="AC369" s="602"/>
      <c r="AD369" s="602"/>
      <c r="AE369" s="602"/>
      <c r="AF369" s="602"/>
      <c r="AG369" s="603"/>
      <c r="AH369" s="609"/>
      <c r="AI369" s="610"/>
      <c r="AJ369" s="610"/>
      <c r="AK369" s="610"/>
      <c r="AL369" s="610"/>
      <c r="AM369" s="610"/>
      <c r="AN369" s="610"/>
      <c r="AO369" s="610"/>
      <c r="AP369" s="610"/>
      <c r="AQ369" s="610"/>
      <c r="AR369" s="610"/>
      <c r="AS369" s="610"/>
      <c r="AT369" s="610"/>
      <c r="AU369" s="610"/>
      <c r="AV369" s="610"/>
      <c r="AW369" s="611"/>
      <c r="AX369" s="618"/>
      <c r="AY369" s="619"/>
      <c r="AZ369" s="619"/>
      <c r="BA369" s="619"/>
      <c r="BB369" s="619"/>
      <c r="BC369" s="619"/>
      <c r="BD369" s="619"/>
      <c r="BE369" s="619"/>
      <c r="BF369" s="619"/>
      <c r="BG369" s="619"/>
      <c r="BH369" s="619"/>
      <c r="BI369" s="619"/>
      <c r="BJ369" s="619"/>
      <c r="BK369" s="619"/>
      <c r="BL369" s="619"/>
      <c r="BM369" s="619"/>
      <c r="BN369" s="619"/>
      <c r="BO369" s="619"/>
      <c r="BP369" s="619"/>
      <c r="BQ369" s="619"/>
      <c r="BR369" s="619"/>
      <c r="BS369" s="619"/>
      <c r="BT369" s="619"/>
      <c r="BU369" s="619"/>
      <c r="BV369" s="619"/>
      <c r="BW369" s="619"/>
      <c r="BX369" s="619"/>
      <c r="BY369" s="619"/>
      <c r="BZ369" s="619"/>
      <c r="CA369" s="619"/>
      <c r="CB369" s="619"/>
      <c r="CC369" s="619"/>
      <c r="CD369" s="619"/>
      <c r="CE369" s="619"/>
      <c r="CF369" s="619"/>
      <c r="CG369" s="619"/>
      <c r="CH369" s="619"/>
      <c r="CI369" s="619"/>
      <c r="CJ369" s="619"/>
      <c r="CK369" s="619"/>
      <c r="CL369" s="619"/>
      <c r="CM369" s="619"/>
      <c r="CN369" s="619"/>
      <c r="CO369" s="619"/>
      <c r="CP369" s="619"/>
      <c r="CQ369" s="619"/>
      <c r="CR369" s="619"/>
      <c r="CS369" s="619"/>
      <c r="CT369" s="619"/>
      <c r="CU369" s="619"/>
      <c r="CV369" s="619"/>
      <c r="CW369" s="619"/>
      <c r="CX369" s="619"/>
      <c r="CY369" s="619"/>
      <c r="CZ369" s="619"/>
      <c r="DA369" s="619"/>
      <c r="DB369" s="619"/>
      <c r="DC369" s="619"/>
      <c r="DD369" s="619"/>
      <c r="DE369" s="619"/>
      <c r="DF369" s="619"/>
      <c r="DG369" s="619"/>
      <c r="DH369" s="619"/>
      <c r="DI369" s="619"/>
      <c r="DJ369" s="619"/>
      <c r="DK369" s="619"/>
      <c r="DL369" s="619"/>
      <c r="DM369" s="619"/>
      <c r="DN369" s="619"/>
      <c r="DO369" s="619"/>
      <c r="DP369" s="619"/>
      <c r="DQ369" s="620"/>
      <c r="DR369" s="233"/>
    </row>
    <row r="370" spans="1:122" ht="7.5" customHeight="1" x14ac:dyDescent="0.25">
      <c r="A370" s="594"/>
      <c r="B370" s="595"/>
      <c r="C370" s="595"/>
      <c r="D370" s="595"/>
      <c r="E370" s="596"/>
      <c r="F370" s="154"/>
      <c r="G370" s="599"/>
      <c r="H370" s="599"/>
      <c r="I370" s="599"/>
      <c r="J370" s="599"/>
      <c r="K370" s="599"/>
      <c r="L370" s="599"/>
      <c r="M370" s="599"/>
      <c r="N370" s="599"/>
      <c r="O370" s="599"/>
      <c r="P370" s="599"/>
      <c r="Q370" s="599"/>
      <c r="R370" s="599"/>
      <c r="S370" s="599"/>
      <c r="T370" s="599"/>
      <c r="U370" s="599"/>
      <c r="V370" s="599"/>
      <c r="W370" s="599"/>
      <c r="X370" s="599"/>
      <c r="Y370" s="599"/>
      <c r="Z370" s="602"/>
      <c r="AA370" s="602"/>
      <c r="AB370" s="602"/>
      <c r="AC370" s="602"/>
      <c r="AD370" s="602"/>
      <c r="AE370" s="602"/>
      <c r="AF370" s="602"/>
      <c r="AG370" s="603"/>
      <c r="AH370" s="609"/>
      <c r="AI370" s="610"/>
      <c r="AJ370" s="610"/>
      <c r="AK370" s="610"/>
      <c r="AL370" s="610"/>
      <c r="AM370" s="610"/>
      <c r="AN370" s="610"/>
      <c r="AO370" s="610"/>
      <c r="AP370" s="610"/>
      <c r="AQ370" s="610"/>
      <c r="AR370" s="610"/>
      <c r="AS370" s="610"/>
      <c r="AT370" s="610"/>
      <c r="AU370" s="610"/>
      <c r="AV370" s="610"/>
      <c r="AW370" s="611"/>
      <c r="AX370" s="618"/>
      <c r="AY370" s="619"/>
      <c r="AZ370" s="619"/>
      <c r="BA370" s="619"/>
      <c r="BB370" s="619"/>
      <c r="BC370" s="619"/>
      <c r="BD370" s="619"/>
      <c r="BE370" s="619"/>
      <c r="BF370" s="619"/>
      <c r="BG370" s="619"/>
      <c r="BH370" s="619"/>
      <c r="BI370" s="619"/>
      <c r="BJ370" s="619"/>
      <c r="BK370" s="619"/>
      <c r="BL370" s="619"/>
      <c r="BM370" s="619"/>
      <c r="BN370" s="619"/>
      <c r="BO370" s="619"/>
      <c r="BP370" s="619"/>
      <c r="BQ370" s="619"/>
      <c r="BR370" s="619"/>
      <c r="BS370" s="619"/>
      <c r="BT370" s="619"/>
      <c r="BU370" s="619"/>
      <c r="BV370" s="619"/>
      <c r="BW370" s="619"/>
      <c r="BX370" s="619"/>
      <c r="BY370" s="619"/>
      <c r="BZ370" s="619"/>
      <c r="CA370" s="619"/>
      <c r="CB370" s="619"/>
      <c r="CC370" s="619"/>
      <c r="CD370" s="619"/>
      <c r="CE370" s="619"/>
      <c r="CF370" s="619"/>
      <c r="CG370" s="619"/>
      <c r="CH370" s="619"/>
      <c r="CI370" s="619"/>
      <c r="CJ370" s="619"/>
      <c r="CK370" s="619"/>
      <c r="CL370" s="619"/>
      <c r="CM370" s="619"/>
      <c r="CN370" s="619"/>
      <c r="CO370" s="619"/>
      <c r="CP370" s="619"/>
      <c r="CQ370" s="619"/>
      <c r="CR370" s="619"/>
      <c r="CS370" s="619"/>
      <c r="CT370" s="619"/>
      <c r="CU370" s="619"/>
      <c r="CV370" s="619"/>
      <c r="CW370" s="619"/>
      <c r="CX370" s="619"/>
      <c r="CY370" s="619"/>
      <c r="CZ370" s="619"/>
      <c r="DA370" s="619"/>
      <c r="DB370" s="619"/>
      <c r="DC370" s="619"/>
      <c r="DD370" s="619"/>
      <c r="DE370" s="619"/>
      <c r="DF370" s="619"/>
      <c r="DG370" s="619"/>
      <c r="DH370" s="619"/>
      <c r="DI370" s="619"/>
      <c r="DJ370" s="619"/>
      <c r="DK370" s="619"/>
      <c r="DL370" s="619"/>
      <c r="DM370" s="619"/>
      <c r="DN370" s="619"/>
      <c r="DO370" s="619"/>
      <c r="DP370" s="619"/>
      <c r="DQ370" s="620"/>
      <c r="DR370" s="233"/>
    </row>
    <row r="371" spans="1:122" ht="7.5" customHeight="1" x14ac:dyDescent="0.25">
      <c r="A371" s="119"/>
      <c r="B371" s="119"/>
      <c r="C371" s="119"/>
      <c r="D371" s="119"/>
      <c r="E371" s="119"/>
      <c r="F371" s="624" t="str">
        <f>G368</f>
        <v>Endurance</v>
      </c>
      <c r="G371" s="624"/>
      <c r="H371" s="624"/>
      <c r="I371" s="624"/>
      <c r="J371" s="624"/>
      <c r="K371" s="625">
        <f>IF(A368&gt;0,Z368,0)</f>
        <v>0</v>
      </c>
      <c r="L371" s="625"/>
      <c r="M371" s="625"/>
      <c r="N371" s="626" t="b">
        <f>IF($G368&lt;&gt;"",VLOOKUP($G368,'Merit Data'!$A:$BW,MATCH('Merit Data'!$B$3,'Merit Data'!$3:$3,0),0),TRUE)</f>
        <v>1</v>
      </c>
      <c r="O371" s="626"/>
      <c r="P371" s="626"/>
      <c r="Q371" s="155"/>
      <c r="R371" s="140"/>
      <c r="S371" s="140"/>
      <c r="T371" s="140"/>
      <c r="U371" s="140"/>
      <c r="V371" s="238"/>
      <c r="W371" s="238"/>
      <c r="X371" s="627" t="str">
        <f>IF(F371&gt;0,HYPERLINK("http://wiki.project-saros.com/w/"&amp;F371,"Info"),"")</f>
        <v>Info</v>
      </c>
      <c r="Y371" s="628"/>
      <c r="Z371" s="604"/>
      <c r="AA371" s="604"/>
      <c r="AB371" s="604"/>
      <c r="AC371" s="604"/>
      <c r="AD371" s="604"/>
      <c r="AE371" s="604"/>
      <c r="AF371" s="604"/>
      <c r="AG371" s="605"/>
      <c r="AH371" s="612"/>
      <c r="AI371" s="613"/>
      <c r="AJ371" s="613"/>
      <c r="AK371" s="613"/>
      <c r="AL371" s="613"/>
      <c r="AM371" s="613"/>
      <c r="AN371" s="613"/>
      <c r="AO371" s="613"/>
      <c r="AP371" s="613"/>
      <c r="AQ371" s="613"/>
      <c r="AR371" s="613"/>
      <c r="AS371" s="613"/>
      <c r="AT371" s="613"/>
      <c r="AU371" s="613"/>
      <c r="AV371" s="613"/>
      <c r="AW371" s="614"/>
      <c r="AX371" s="621"/>
      <c r="AY371" s="622"/>
      <c r="AZ371" s="622"/>
      <c r="BA371" s="622"/>
      <c r="BB371" s="622"/>
      <c r="BC371" s="622"/>
      <c r="BD371" s="622"/>
      <c r="BE371" s="622"/>
      <c r="BF371" s="622"/>
      <c r="BG371" s="622"/>
      <c r="BH371" s="622"/>
      <c r="BI371" s="622"/>
      <c r="BJ371" s="622"/>
      <c r="BK371" s="622"/>
      <c r="BL371" s="622"/>
      <c r="BM371" s="622"/>
      <c r="BN371" s="622"/>
      <c r="BO371" s="622"/>
      <c r="BP371" s="622"/>
      <c r="BQ371" s="622"/>
      <c r="BR371" s="622"/>
      <c r="BS371" s="622"/>
      <c r="BT371" s="622"/>
      <c r="BU371" s="622"/>
      <c r="BV371" s="622"/>
      <c r="BW371" s="622"/>
      <c r="BX371" s="622"/>
      <c r="BY371" s="622"/>
      <c r="BZ371" s="622"/>
      <c r="CA371" s="622"/>
      <c r="CB371" s="622"/>
      <c r="CC371" s="622"/>
      <c r="CD371" s="622"/>
      <c r="CE371" s="622"/>
      <c r="CF371" s="622"/>
      <c r="CG371" s="622"/>
      <c r="CH371" s="622"/>
      <c r="CI371" s="622"/>
      <c r="CJ371" s="622"/>
      <c r="CK371" s="622"/>
      <c r="CL371" s="622"/>
      <c r="CM371" s="622"/>
      <c r="CN371" s="622"/>
      <c r="CO371" s="622"/>
      <c r="CP371" s="622"/>
      <c r="CQ371" s="622"/>
      <c r="CR371" s="622"/>
      <c r="CS371" s="622"/>
      <c r="CT371" s="622"/>
      <c r="CU371" s="622"/>
      <c r="CV371" s="622"/>
      <c r="CW371" s="622"/>
      <c r="CX371" s="622"/>
      <c r="CY371" s="622"/>
      <c r="CZ371" s="622"/>
      <c r="DA371" s="622"/>
      <c r="DB371" s="622"/>
      <c r="DC371" s="622"/>
      <c r="DD371" s="622"/>
      <c r="DE371" s="622"/>
      <c r="DF371" s="622"/>
      <c r="DG371" s="622"/>
      <c r="DH371" s="622"/>
      <c r="DI371" s="622"/>
      <c r="DJ371" s="622"/>
      <c r="DK371" s="622"/>
      <c r="DL371" s="622"/>
      <c r="DM371" s="622"/>
      <c r="DN371" s="622"/>
      <c r="DO371" s="622"/>
      <c r="DP371" s="622"/>
      <c r="DQ371" s="623"/>
      <c r="DR371" s="233"/>
    </row>
    <row r="372" spans="1:122" ht="7.5" customHeight="1" x14ac:dyDescent="0.25">
      <c r="A372" s="588"/>
      <c r="B372" s="589"/>
      <c r="C372" s="589"/>
      <c r="D372" s="589"/>
      <c r="E372" s="590"/>
      <c r="F372" s="152"/>
      <c r="G372" s="597" t="str">
        <f>INDEX('Merit Data'!A:A,ROW('Merit Data'!A106:A107)-COUNTA($G$272:G371)*2,COLUMN('Merit Data'!A106:A107))</f>
        <v>Diehard</v>
      </c>
      <c r="H372" s="597"/>
      <c r="I372" s="597"/>
      <c r="J372" s="597"/>
      <c r="K372" s="597"/>
      <c r="L372" s="597"/>
      <c r="M372" s="597"/>
      <c r="N372" s="597"/>
      <c r="O372" s="597"/>
      <c r="P372" s="597"/>
      <c r="Q372" s="597"/>
      <c r="R372" s="597"/>
      <c r="S372" s="597"/>
      <c r="T372" s="597"/>
      <c r="U372" s="597"/>
      <c r="V372" s="597"/>
      <c r="W372" s="597"/>
      <c r="X372" s="597"/>
      <c r="Y372" s="597"/>
      <c r="Z372" s="600">
        <f>VLOOKUP($G372,'Merit Data'!$A:$BW,MATCH('Merit Data'!$E$3,'Merit Data'!$3:$3,0),0)</f>
        <v>200</v>
      </c>
      <c r="AA372" s="600"/>
      <c r="AB372" s="600"/>
      <c r="AC372" s="600"/>
      <c r="AD372" s="600"/>
      <c r="AE372" s="600"/>
      <c r="AF372" s="600"/>
      <c r="AG372" s="601"/>
      <c r="AH372" s="606" t="str">
        <f ca="1">IF(NOT(ISERROR(VLOOKUP($G372,'Merit Data'!$A:$CE,MATCH('Merit Data'!$BX$3,'Merit Data'!$3:$3,0),0))),VLOOKUP($G372,'Merit Data'!$A:$CE,MATCH('Merit Data'!$BX$3,'Merit Data'!$3:$3,0),0),"")</f>
        <v>Constitution (23)</v>
      </c>
      <c r="AI372" s="607"/>
      <c r="AJ372" s="607"/>
      <c r="AK372" s="607"/>
      <c r="AL372" s="607"/>
      <c r="AM372" s="607"/>
      <c r="AN372" s="607"/>
      <c r="AO372" s="607"/>
      <c r="AP372" s="607"/>
      <c r="AQ372" s="607"/>
      <c r="AR372" s="607"/>
      <c r="AS372" s="607"/>
      <c r="AT372" s="607"/>
      <c r="AU372" s="607"/>
      <c r="AV372" s="607"/>
      <c r="AW372" s="608"/>
      <c r="AX372" s="606" t="str">
        <f>VLOOKUP($G372,'Merit Data'!$A:$BW,MATCH('Merit Data'!$F$3,'Merit Data'!$3:$3,0),0)</f>
        <v>When you are reduced to 0 or fewer hit points, you may choose to remain conscious.  If you do, you are immediately drained 1 MP for each HP you are below 0 and whenever you spend AP, you lose an equal amount of MP.  When you run out of MP, you fall unconscious</v>
      </c>
      <c r="AY372" s="607"/>
      <c r="AZ372" s="607"/>
      <c r="BA372" s="607"/>
      <c r="BB372" s="607"/>
      <c r="BC372" s="607"/>
      <c r="BD372" s="607"/>
      <c r="BE372" s="607"/>
      <c r="BF372" s="607"/>
      <c r="BG372" s="607"/>
      <c r="BH372" s="607"/>
      <c r="BI372" s="607"/>
      <c r="BJ372" s="607"/>
      <c r="BK372" s="607"/>
      <c r="BL372" s="607"/>
      <c r="BM372" s="607"/>
      <c r="BN372" s="607"/>
      <c r="BO372" s="607"/>
      <c r="BP372" s="607"/>
      <c r="BQ372" s="607"/>
      <c r="BR372" s="607"/>
      <c r="BS372" s="607"/>
      <c r="BT372" s="607"/>
      <c r="BU372" s="607"/>
      <c r="BV372" s="607"/>
      <c r="BW372" s="607"/>
      <c r="BX372" s="607"/>
      <c r="BY372" s="607"/>
      <c r="BZ372" s="607"/>
      <c r="CA372" s="607"/>
      <c r="CB372" s="607"/>
      <c r="CC372" s="607"/>
      <c r="CD372" s="607"/>
      <c r="CE372" s="607"/>
      <c r="CF372" s="607"/>
      <c r="CG372" s="607"/>
      <c r="CH372" s="607"/>
      <c r="CI372" s="607"/>
      <c r="CJ372" s="607"/>
      <c r="CK372" s="607"/>
      <c r="CL372" s="607"/>
      <c r="CM372" s="607"/>
      <c r="CN372" s="607"/>
      <c r="CO372" s="607"/>
      <c r="CP372" s="607"/>
      <c r="CQ372" s="607"/>
      <c r="CR372" s="607"/>
      <c r="CS372" s="607"/>
      <c r="CT372" s="607"/>
      <c r="CU372" s="607"/>
      <c r="CV372" s="607"/>
      <c r="CW372" s="607"/>
      <c r="CX372" s="607"/>
      <c r="CY372" s="607"/>
      <c r="CZ372" s="607"/>
      <c r="DA372" s="607"/>
      <c r="DB372" s="607"/>
      <c r="DC372" s="607"/>
      <c r="DD372" s="607"/>
      <c r="DE372" s="607"/>
      <c r="DF372" s="607"/>
      <c r="DG372" s="607"/>
      <c r="DH372" s="607"/>
      <c r="DI372" s="607"/>
      <c r="DJ372" s="607"/>
      <c r="DK372" s="607"/>
      <c r="DL372" s="607"/>
      <c r="DM372" s="607"/>
      <c r="DN372" s="607"/>
      <c r="DO372" s="607"/>
      <c r="DP372" s="607"/>
      <c r="DQ372" s="608"/>
      <c r="DR372" s="233"/>
    </row>
    <row r="373" spans="1:122" ht="7.5" customHeight="1" x14ac:dyDescent="0.25">
      <c r="A373" s="591"/>
      <c r="B373" s="592"/>
      <c r="C373" s="592"/>
      <c r="D373" s="592"/>
      <c r="E373" s="593"/>
      <c r="F373" s="153"/>
      <c r="G373" s="598"/>
      <c r="H373" s="598"/>
      <c r="I373" s="598"/>
      <c r="J373" s="598"/>
      <c r="K373" s="598"/>
      <c r="L373" s="598"/>
      <c r="M373" s="598"/>
      <c r="N373" s="598"/>
      <c r="O373" s="598"/>
      <c r="P373" s="598"/>
      <c r="Q373" s="598"/>
      <c r="R373" s="598"/>
      <c r="S373" s="598"/>
      <c r="T373" s="598"/>
      <c r="U373" s="598"/>
      <c r="V373" s="598"/>
      <c r="W373" s="598"/>
      <c r="X373" s="598"/>
      <c r="Y373" s="598"/>
      <c r="Z373" s="602"/>
      <c r="AA373" s="602"/>
      <c r="AB373" s="602"/>
      <c r="AC373" s="602"/>
      <c r="AD373" s="602"/>
      <c r="AE373" s="602"/>
      <c r="AF373" s="602"/>
      <c r="AG373" s="603"/>
      <c r="AH373" s="609"/>
      <c r="AI373" s="610"/>
      <c r="AJ373" s="610"/>
      <c r="AK373" s="610"/>
      <c r="AL373" s="610"/>
      <c r="AM373" s="610"/>
      <c r="AN373" s="610"/>
      <c r="AO373" s="610"/>
      <c r="AP373" s="610"/>
      <c r="AQ373" s="610"/>
      <c r="AR373" s="610"/>
      <c r="AS373" s="610"/>
      <c r="AT373" s="610"/>
      <c r="AU373" s="610"/>
      <c r="AV373" s="610"/>
      <c r="AW373" s="611"/>
      <c r="AX373" s="609"/>
      <c r="AY373" s="610"/>
      <c r="AZ373" s="610"/>
      <c r="BA373" s="610"/>
      <c r="BB373" s="610"/>
      <c r="BC373" s="610"/>
      <c r="BD373" s="610"/>
      <c r="BE373" s="610"/>
      <c r="BF373" s="610"/>
      <c r="BG373" s="610"/>
      <c r="BH373" s="610"/>
      <c r="BI373" s="610"/>
      <c r="BJ373" s="610"/>
      <c r="BK373" s="610"/>
      <c r="BL373" s="610"/>
      <c r="BM373" s="610"/>
      <c r="BN373" s="610"/>
      <c r="BO373" s="610"/>
      <c r="BP373" s="610"/>
      <c r="BQ373" s="610"/>
      <c r="BR373" s="610"/>
      <c r="BS373" s="610"/>
      <c r="BT373" s="610"/>
      <c r="BU373" s="610"/>
      <c r="BV373" s="610"/>
      <c r="BW373" s="610"/>
      <c r="BX373" s="610"/>
      <c r="BY373" s="610"/>
      <c r="BZ373" s="610"/>
      <c r="CA373" s="610"/>
      <c r="CB373" s="610"/>
      <c r="CC373" s="610"/>
      <c r="CD373" s="610"/>
      <c r="CE373" s="610"/>
      <c r="CF373" s="610"/>
      <c r="CG373" s="610"/>
      <c r="CH373" s="610"/>
      <c r="CI373" s="610"/>
      <c r="CJ373" s="610"/>
      <c r="CK373" s="610"/>
      <c r="CL373" s="610"/>
      <c r="CM373" s="610"/>
      <c r="CN373" s="610"/>
      <c r="CO373" s="610"/>
      <c r="CP373" s="610"/>
      <c r="CQ373" s="610"/>
      <c r="CR373" s="610"/>
      <c r="CS373" s="610"/>
      <c r="CT373" s="610"/>
      <c r="CU373" s="610"/>
      <c r="CV373" s="610"/>
      <c r="CW373" s="610"/>
      <c r="CX373" s="610"/>
      <c r="CY373" s="610"/>
      <c r="CZ373" s="610"/>
      <c r="DA373" s="610"/>
      <c r="DB373" s="610"/>
      <c r="DC373" s="610"/>
      <c r="DD373" s="610"/>
      <c r="DE373" s="610"/>
      <c r="DF373" s="610"/>
      <c r="DG373" s="610"/>
      <c r="DH373" s="610"/>
      <c r="DI373" s="610"/>
      <c r="DJ373" s="610"/>
      <c r="DK373" s="610"/>
      <c r="DL373" s="610"/>
      <c r="DM373" s="610"/>
      <c r="DN373" s="610"/>
      <c r="DO373" s="610"/>
      <c r="DP373" s="610"/>
      <c r="DQ373" s="611"/>
      <c r="DR373" s="233"/>
    </row>
    <row r="374" spans="1:122" ht="7.5" customHeight="1" x14ac:dyDescent="0.25">
      <c r="A374" s="594"/>
      <c r="B374" s="595"/>
      <c r="C374" s="595"/>
      <c r="D374" s="595"/>
      <c r="E374" s="596"/>
      <c r="F374" s="154"/>
      <c r="G374" s="599"/>
      <c r="H374" s="599"/>
      <c r="I374" s="599"/>
      <c r="J374" s="599"/>
      <c r="K374" s="599"/>
      <c r="L374" s="599"/>
      <c r="M374" s="599"/>
      <c r="N374" s="599"/>
      <c r="O374" s="599"/>
      <c r="P374" s="599"/>
      <c r="Q374" s="599"/>
      <c r="R374" s="599"/>
      <c r="S374" s="599"/>
      <c r="T374" s="599"/>
      <c r="U374" s="599"/>
      <c r="V374" s="599"/>
      <c r="W374" s="599"/>
      <c r="X374" s="599"/>
      <c r="Y374" s="599"/>
      <c r="Z374" s="602"/>
      <c r="AA374" s="602"/>
      <c r="AB374" s="602"/>
      <c r="AC374" s="602"/>
      <c r="AD374" s="602"/>
      <c r="AE374" s="602"/>
      <c r="AF374" s="602"/>
      <c r="AG374" s="603"/>
      <c r="AH374" s="609"/>
      <c r="AI374" s="610"/>
      <c r="AJ374" s="610"/>
      <c r="AK374" s="610"/>
      <c r="AL374" s="610"/>
      <c r="AM374" s="610"/>
      <c r="AN374" s="610"/>
      <c r="AO374" s="610"/>
      <c r="AP374" s="610"/>
      <c r="AQ374" s="610"/>
      <c r="AR374" s="610"/>
      <c r="AS374" s="610"/>
      <c r="AT374" s="610"/>
      <c r="AU374" s="610"/>
      <c r="AV374" s="610"/>
      <c r="AW374" s="611"/>
      <c r="AX374" s="609"/>
      <c r="AY374" s="610"/>
      <c r="AZ374" s="610"/>
      <c r="BA374" s="610"/>
      <c r="BB374" s="610"/>
      <c r="BC374" s="610"/>
      <c r="BD374" s="610"/>
      <c r="BE374" s="610"/>
      <c r="BF374" s="610"/>
      <c r="BG374" s="610"/>
      <c r="BH374" s="610"/>
      <c r="BI374" s="610"/>
      <c r="BJ374" s="610"/>
      <c r="BK374" s="610"/>
      <c r="BL374" s="610"/>
      <c r="BM374" s="610"/>
      <c r="BN374" s="610"/>
      <c r="BO374" s="610"/>
      <c r="BP374" s="610"/>
      <c r="BQ374" s="610"/>
      <c r="BR374" s="610"/>
      <c r="BS374" s="610"/>
      <c r="BT374" s="610"/>
      <c r="BU374" s="610"/>
      <c r="BV374" s="610"/>
      <c r="BW374" s="610"/>
      <c r="BX374" s="610"/>
      <c r="BY374" s="610"/>
      <c r="BZ374" s="610"/>
      <c r="CA374" s="610"/>
      <c r="CB374" s="610"/>
      <c r="CC374" s="610"/>
      <c r="CD374" s="610"/>
      <c r="CE374" s="610"/>
      <c r="CF374" s="610"/>
      <c r="CG374" s="610"/>
      <c r="CH374" s="610"/>
      <c r="CI374" s="610"/>
      <c r="CJ374" s="610"/>
      <c r="CK374" s="610"/>
      <c r="CL374" s="610"/>
      <c r="CM374" s="610"/>
      <c r="CN374" s="610"/>
      <c r="CO374" s="610"/>
      <c r="CP374" s="610"/>
      <c r="CQ374" s="610"/>
      <c r="CR374" s="610"/>
      <c r="CS374" s="610"/>
      <c r="CT374" s="610"/>
      <c r="CU374" s="610"/>
      <c r="CV374" s="610"/>
      <c r="CW374" s="610"/>
      <c r="CX374" s="610"/>
      <c r="CY374" s="610"/>
      <c r="CZ374" s="610"/>
      <c r="DA374" s="610"/>
      <c r="DB374" s="610"/>
      <c r="DC374" s="610"/>
      <c r="DD374" s="610"/>
      <c r="DE374" s="610"/>
      <c r="DF374" s="610"/>
      <c r="DG374" s="610"/>
      <c r="DH374" s="610"/>
      <c r="DI374" s="610"/>
      <c r="DJ374" s="610"/>
      <c r="DK374" s="610"/>
      <c r="DL374" s="610"/>
      <c r="DM374" s="610"/>
      <c r="DN374" s="610"/>
      <c r="DO374" s="610"/>
      <c r="DP374" s="610"/>
      <c r="DQ374" s="611"/>
      <c r="DR374" s="233"/>
    </row>
    <row r="375" spans="1:122" ht="7.5" customHeight="1" x14ac:dyDescent="0.25">
      <c r="A375" s="119"/>
      <c r="B375" s="119"/>
      <c r="C375" s="119"/>
      <c r="D375" s="119"/>
      <c r="E375" s="119"/>
      <c r="F375" s="624" t="str">
        <f>G372</f>
        <v>Diehard</v>
      </c>
      <c r="G375" s="624"/>
      <c r="H375" s="624"/>
      <c r="I375" s="624"/>
      <c r="J375" s="624"/>
      <c r="K375" s="625">
        <f>IF(A372&gt;0,Z372,0)</f>
        <v>0</v>
      </c>
      <c r="L375" s="625"/>
      <c r="M375" s="625"/>
      <c r="N375" s="626" t="b">
        <f>IF($G372&lt;&gt;"",VLOOKUP($G372,'Merit Data'!$A:$BW,MATCH('Merit Data'!$B$3,'Merit Data'!$3:$3,0),0),TRUE)</f>
        <v>1</v>
      </c>
      <c r="O375" s="626"/>
      <c r="P375" s="626"/>
      <c r="Q375" s="155"/>
      <c r="R375" s="140"/>
      <c r="S375" s="140"/>
      <c r="T375" s="140"/>
      <c r="U375" s="140"/>
      <c r="V375" s="238"/>
      <c r="W375" s="238"/>
      <c r="X375" s="627" t="str">
        <f>IF(F375&gt;0,HYPERLINK("http://wiki.project-saros.com/w/"&amp;F375,"Info"),"")</f>
        <v>Info</v>
      </c>
      <c r="Y375" s="628"/>
      <c r="Z375" s="604"/>
      <c r="AA375" s="604"/>
      <c r="AB375" s="604"/>
      <c r="AC375" s="604"/>
      <c r="AD375" s="604"/>
      <c r="AE375" s="604"/>
      <c r="AF375" s="604"/>
      <c r="AG375" s="605"/>
      <c r="AH375" s="612"/>
      <c r="AI375" s="613"/>
      <c r="AJ375" s="613"/>
      <c r="AK375" s="613"/>
      <c r="AL375" s="613"/>
      <c r="AM375" s="613"/>
      <c r="AN375" s="613"/>
      <c r="AO375" s="613"/>
      <c r="AP375" s="613"/>
      <c r="AQ375" s="613"/>
      <c r="AR375" s="613"/>
      <c r="AS375" s="613"/>
      <c r="AT375" s="613"/>
      <c r="AU375" s="613"/>
      <c r="AV375" s="613"/>
      <c r="AW375" s="614"/>
      <c r="AX375" s="612"/>
      <c r="AY375" s="613"/>
      <c r="AZ375" s="613"/>
      <c r="BA375" s="613"/>
      <c r="BB375" s="613"/>
      <c r="BC375" s="613"/>
      <c r="BD375" s="613"/>
      <c r="BE375" s="613"/>
      <c r="BF375" s="613"/>
      <c r="BG375" s="613"/>
      <c r="BH375" s="613"/>
      <c r="BI375" s="613"/>
      <c r="BJ375" s="613"/>
      <c r="BK375" s="613"/>
      <c r="BL375" s="613"/>
      <c r="BM375" s="613"/>
      <c r="BN375" s="613"/>
      <c r="BO375" s="613"/>
      <c r="BP375" s="613"/>
      <c r="BQ375" s="613"/>
      <c r="BR375" s="613"/>
      <c r="BS375" s="613"/>
      <c r="BT375" s="613"/>
      <c r="BU375" s="613"/>
      <c r="BV375" s="613"/>
      <c r="BW375" s="613"/>
      <c r="BX375" s="613"/>
      <c r="BY375" s="613"/>
      <c r="BZ375" s="613"/>
      <c r="CA375" s="613"/>
      <c r="CB375" s="613"/>
      <c r="CC375" s="613"/>
      <c r="CD375" s="613"/>
      <c r="CE375" s="613"/>
      <c r="CF375" s="613"/>
      <c r="CG375" s="613"/>
      <c r="CH375" s="613"/>
      <c r="CI375" s="613"/>
      <c r="CJ375" s="613"/>
      <c r="CK375" s="613"/>
      <c r="CL375" s="613"/>
      <c r="CM375" s="613"/>
      <c r="CN375" s="613"/>
      <c r="CO375" s="613"/>
      <c r="CP375" s="613"/>
      <c r="CQ375" s="613"/>
      <c r="CR375" s="613"/>
      <c r="CS375" s="613"/>
      <c r="CT375" s="613"/>
      <c r="CU375" s="613"/>
      <c r="CV375" s="613"/>
      <c r="CW375" s="613"/>
      <c r="CX375" s="613"/>
      <c r="CY375" s="613"/>
      <c r="CZ375" s="613"/>
      <c r="DA375" s="613"/>
      <c r="DB375" s="613"/>
      <c r="DC375" s="613"/>
      <c r="DD375" s="613"/>
      <c r="DE375" s="613"/>
      <c r="DF375" s="613"/>
      <c r="DG375" s="613"/>
      <c r="DH375" s="613"/>
      <c r="DI375" s="613"/>
      <c r="DJ375" s="613"/>
      <c r="DK375" s="613"/>
      <c r="DL375" s="613"/>
      <c r="DM375" s="613"/>
      <c r="DN375" s="613"/>
      <c r="DO375" s="613"/>
      <c r="DP375" s="613"/>
      <c r="DQ375" s="614"/>
      <c r="DR375" s="233"/>
    </row>
    <row r="376" spans="1:122" ht="7.5" customHeight="1" x14ac:dyDescent="0.25">
      <c r="A376" s="588"/>
      <c r="B376" s="589"/>
      <c r="C376" s="589"/>
      <c r="D376" s="589"/>
      <c r="E376" s="590"/>
      <c r="F376" s="152"/>
      <c r="G376" s="597">
        <f>INDEX('Merit Data'!A:A,ROW('Merit Data'!A110:A111)-COUNTA($G$272:G375)*2,COLUMN('Merit Data'!A110:A111))</f>
        <v>0</v>
      </c>
      <c r="H376" s="597"/>
      <c r="I376" s="597"/>
      <c r="J376" s="597"/>
      <c r="K376" s="597"/>
      <c r="L376" s="597"/>
      <c r="M376" s="597"/>
      <c r="N376" s="597"/>
      <c r="O376" s="597"/>
      <c r="P376" s="597"/>
      <c r="Q376" s="597"/>
      <c r="R376" s="597"/>
      <c r="S376" s="597"/>
      <c r="T376" s="597"/>
      <c r="U376" s="597"/>
      <c r="V376" s="597"/>
      <c r="W376" s="597"/>
      <c r="X376" s="597"/>
      <c r="Y376" s="597"/>
      <c r="Z376" s="600" t="e">
        <f>VLOOKUP($G376,'Merit Data'!$A:$BW,MATCH('Merit Data'!$E$3,'Merit Data'!$3:$3,0),0)</f>
        <v>#N/A</v>
      </c>
      <c r="AA376" s="600"/>
      <c r="AB376" s="600"/>
      <c r="AC376" s="600"/>
      <c r="AD376" s="600"/>
      <c r="AE376" s="600"/>
      <c r="AF376" s="600"/>
      <c r="AG376" s="601"/>
      <c r="AH376" s="606" t="str">
        <f>IF(NOT(ISERROR(VLOOKUP($G376,'Merit Data'!$A:$CE,MATCH('Merit Data'!$BX$3,'Merit Data'!$3:$3,0),0))),VLOOKUP($G376,'Merit Data'!$A:$CE,MATCH('Merit Data'!$BX$3,'Merit Data'!$3:$3,0),0),"")</f>
        <v/>
      </c>
      <c r="AI376" s="607"/>
      <c r="AJ376" s="607"/>
      <c r="AK376" s="607"/>
      <c r="AL376" s="607"/>
      <c r="AM376" s="607"/>
      <c r="AN376" s="607"/>
      <c r="AO376" s="607"/>
      <c r="AP376" s="607"/>
      <c r="AQ376" s="607"/>
      <c r="AR376" s="607"/>
      <c r="AS376" s="607"/>
      <c r="AT376" s="607"/>
      <c r="AU376" s="607"/>
      <c r="AV376" s="607"/>
      <c r="AW376" s="608"/>
      <c r="AX376" s="615" t="e">
        <f>VLOOKUP($G376,'Merit Data'!$A:$BW,MATCH('Merit Data'!$F$3,'Merit Data'!$3:$3,0),0)</f>
        <v>#N/A</v>
      </c>
      <c r="AY376" s="616"/>
      <c r="AZ376" s="616"/>
      <c r="BA376" s="616"/>
      <c r="BB376" s="616"/>
      <c r="BC376" s="616"/>
      <c r="BD376" s="616"/>
      <c r="BE376" s="616"/>
      <c r="BF376" s="616"/>
      <c r="BG376" s="616"/>
      <c r="BH376" s="616"/>
      <c r="BI376" s="616"/>
      <c r="BJ376" s="616"/>
      <c r="BK376" s="616"/>
      <c r="BL376" s="616"/>
      <c r="BM376" s="616"/>
      <c r="BN376" s="616"/>
      <c r="BO376" s="616"/>
      <c r="BP376" s="616"/>
      <c r="BQ376" s="616"/>
      <c r="BR376" s="616"/>
      <c r="BS376" s="616"/>
      <c r="BT376" s="616"/>
      <c r="BU376" s="616"/>
      <c r="BV376" s="616"/>
      <c r="BW376" s="616"/>
      <c r="BX376" s="616"/>
      <c r="BY376" s="616"/>
      <c r="BZ376" s="616"/>
      <c r="CA376" s="616"/>
      <c r="CB376" s="616"/>
      <c r="CC376" s="616"/>
      <c r="CD376" s="616"/>
      <c r="CE376" s="616"/>
      <c r="CF376" s="616"/>
      <c r="CG376" s="616"/>
      <c r="CH376" s="616"/>
      <c r="CI376" s="616"/>
      <c r="CJ376" s="616"/>
      <c r="CK376" s="616"/>
      <c r="CL376" s="616"/>
      <c r="CM376" s="616"/>
      <c r="CN376" s="616"/>
      <c r="CO376" s="616"/>
      <c r="CP376" s="616"/>
      <c r="CQ376" s="616"/>
      <c r="CR376" s="616"/>
      <c r="CS376" s="616"/>
      <c r="CT376" s="616"/>
      <c r="CU376" s="616"/>
      <c r="CV376" s="616"/>
      <c r="CW376" s="616"/>
      <c r="CX376" s="616"/>
      <c r="CY376" s="616"/>
      <c r="CZ376" s="616"/>
      <c r="DA376" s="616"/>
      <c r="DB376" s="616"/>
      <c r="DC376" s="616"/>
      <c r="DD376" s="616"/>
      <c r="DE376" s="616"/>
      <c r="DF376" s="616"/>
      <c r="DG376" s="616"/>
      <c r="DH376" s="616"/>
      <c r="DI376" s="616"/>
      <c r="DJ376" s="616"/>
      <c r="DK376" s="616"/>
      <c r="DL376" s="616"/>
      <c r="DM376" s="616"/>
      <c r="DN376" s="616"/>
      <c r="DO376" s="616"/>
      <c r="DP376" s="616"/>
      <c r="DQ376" s="617"/>
      <c r="DR376" s="233"/>
    </row>
    <row r="377" spans="1:122" ht="7.5" customHeight="1" x14ac:dyDescent="0.25">
      <c r="A377" s="591"/>
      <c r="B377" s="592"/>
      <c r="C377" s="592"/>
      <c r="D377" s="592"/>
      <c r="E377" s="593"/>
      <c r="F377" s="153"/>
      <c r="G377" s="598"/>
      <c r="H377" s="598"/>
      <c r="I377" s="598"/>
      <c r="J377" s="598"/>
      <c r="K377" s="598"/>
      <c r="L377" s="598"/>
      <c r="M377" s="598"/>
      <c r="N377" s="598"/>
      <c r="O377" s="598"/>
      <c r="P377" s="598"/>
      <c r="Q377" s="598"/>
      <c r="R377" s="598"/>
      <c r="S377" s="598"/>
      <c r="T377" s="598"/>
      <c r="U377" s="598"/>
      <c r="V377" s="598"/>
      <c r="W377" s="598"/>
      <c r="X377" s="598"/>
      <c r="Y377" s="598"/>
      <c r="Z377" s="602"/>
      <c r="AA377" s="602"/>
      <c r="AB377" s="602"/>
      <c r="AC377" s="602"/>
      <c r="AD377" s="602"/>
      <c r="AE377" s="602"/>
      <c r="AF377" s="602"/>
      <c r="AG377" s="603"/>
      <c r="AH377" s="609"/>
      <c r="AI377" s="610"/>
      <c r="AJ377" s="610"/>
      <c r="AK377" s="610"/>
      <c r="AL377" s="610"/>
      <c r="AM377" s="610"/>
      <c r="AN377" s="610"/>
      <c r="AO377" s="610"/>
      <c r="AP377" s="610"/>
      <c r="AQ377" s="610"/>
      <c r="AR377" s="610"/>
      <c r="AS377" s="610"/>
      <c r="AT377" s="610"/>
      <c r="AU377" s="610"/>
      <c r="AV377" s="610"/>
      <c r="AW377" s="611"/>
      <c r="AX377" s="618"/>
      <c r="AY377" s="619"/>
      <c r="AZ377" s="619"/>
      <c r="BA377" s="619"/>
      <c r="BB377" s="619"/>
      <c r="BC377" s="619"/>
      <c r="BD377" s="619"/>
      <c r="BE377" s="619"/>
      <c r="BF377" s="619"/>
      <c r="BG377" s="619"/>
      <c r="BH377" s="619"/>
      <c r="BI377" s="619"/>
      <c r="BJ377" s="619"/>
      <c r="BK377" s="619"/>
      <c r="BL377" s="619"/>
      <c r="BM377" s="619"/>
      <c r="BN377" s="619"/>
      <c r="BO377" s="619"/>
      <c r="BP377" s="619"/>
      <c r="BQ377" s="619"/>
      <c r="BR377" s="619"/>
      <c r="BS377" s="619"/>
      <c r="BT377" s="619"/>
      <c r="BU377" s="619"/>
      <c r="BV377" s="619"/>
      <c r="BW377" s="619"/>
      <c r="BX377" s="619"/>
      <c r="BY377" s="619"/>
      <c r="BZ377" s="619"/>
      <c r="CA377" s="619"/>
      <c r="CB377" s="619"/>
      <c r="CC377" s="619"/>
      <c r="CD377" s="619"/>
      <c r="CE377" s="619"/>
      <c r="CF377" s="619"/>
      <c r="CG377" s="619"/>
      <c r="CH377" s="619"/>
      <c r="CI377" s="619"/>
      <c r="CJ377" s="619"/>
      <c r="CK377" s="619"/>
      <c r="CL377" s="619"/>
      <c r="CM377" s="619"/>
      <c r="CN377" s="619"/>
      <c r="CO377" s="619"/>
      <c r="CP377" s="619"/>
      <c r="CQ377" s="619"/>
      <c r="CR377" s="619"/>
      <c r="CS377" s="619"/>
      <c r="CT377" s="619"/>
      <c r="CU377" s="619"/>
      <c r="CV377" s="619"/>
      <c r="CW377" s="619"/>
      <c r="CX377" s="619"/>
      <c r="CY377" s="619"/>
      <c r="CZ377" s="619"/>
      <c r="DA377" s="619"/>
      <c r="DB377" s="619"/>
      <c r="DC377" s="619"/>
      <c r="DD377" s="619"/>
      <c r="DE377" s="619"/>
      <c r="DF377" s="619"/>
      <c r="DG377" s="619"/>
      <c r="DH377" s="619"/>
      <c r="DI377" s="619"/>
      <c r="DJ377" s="619"/>
      <c r="DK377" s="619"/>
      <c r="DL377" s="619"/>
      <c r="DM377" s="619"/>
      <c r="DN377" s="619"/>
      <c r="DO377" s="619"/>
      <c r="DP377" s="619"/>
      <c r="DQ377" s="620"/>
      <c r="DR377" s="233"/>
    </row>
    <row r="378" spans="1:122" ht="7.5" customHeight="1" x14ac:dyDescent="0.25">
      <c r="A378" s="594"/>
      <c r="B378" s="595"/>
      <c r="C378" s="595"/>
      <c r="D378" s="595"/>
      <c r="E378" s="596"/>
      <c r="F378" s="154"/>
      <c r="G378" s="599"/>
      <c r="H378" s="599"/>
      <c r="I378" s="599"/>
      <c r="J378" s="599"/>
      <c r="K378" s="599"/>
      <c r="L378" s="599"/>
      <c r="M378" s="599"/>
      <c r="N378" s="599"/>
      <c r="O378" s="599"/>
      <c r="P378" s="599"/>
      <c r="Q378" s="599"/>
      <c r="R378" s="599"/>
      <c r="S378" s="599"/>
      <c r="T378" s="599"/>
      <c r="U378" s="599"/>
      <c r="V378" s="599"/>
      <c r="W378" s="599"/>
      <c r="X378" s="599"/>
      <c r="Y378" s="599"/>
      <c r="Z378" s="602"/>
      <c r="AA378" s="602"/>
      <c r="AB378" s="602"/>
      <c r="AC378" s="602"/>
      <c r="AD378" s="602"/>
      <c r="AE378" s="602"/>
      <c r="AF378" s="602"/>
      <c r="AG378" s="603"/>
      <c r="AH378" s="609"/>
      <c r="AI378" s="610"/>
      <c r="AJ378" s="610"/>
      <c r="AK378" s="610"/>
      <c r="AL378" s="610"/>
      <c r="AM378" s="610"/>
      <c r="AN378" s="610"/>
      <c r="AO378" s="610"/>
      <c r="AP378" s="610"/>
      <c r="AQ378" s="610"/>
      <c r="AR378" s="610"/>
      <c r="AS378" s="610"/>
      <c r="AT378" s="610"/>
      <c r="AU378" s="610"/>
      <c r="AV378" s="610"/>
      <c r="AW378" s="611"/>
      <c r="AX378" s="618"/>
      <c r="AY378" s="619"/>
      <c r="AZ378" s="619"/>
      <c r="BA378" s="619"/>
      <c r="BB378" s="619"/>
      <c r="BC378" s="619"/>
      <c r="BD378" s="619"/>
      <c r="BE378" s="619"/>
      <c r="BF378" s="619"/>
      <c r="BG378" s="619"/>
      <c r="BH378" s="619"/>
      <c r="BI378" s="619"/>
      <c r="BJ378" s="619"/>
      <c r="BK378" s="619"/>
      <c r="BL378" s="619"/>
      <c r="BM378" s="619"/>
      <c r="BN378" s="619"/>
      <c r="BO378" s="619"/>
      <c r="BP378" s="619"/>
      <c r="BQ378" s="619"/>
      <c r="BR378" s="619"/>
      <c r="BS378" s="619"/>
      <c r="BT378" s="619"/>
      <c r="BU378" s="619"/>
      <c r="BV378" s="619"/>
      <c r="BW378" s="619"/>
      <c r="BX378" s="619"/>
      <c r="BY378" s="619"/>
      <c r="BZ378" s="619"/>
      <c r="CA378" s="619"/>
      <c r="CB378" s="619"/>
      <c r="CC378" s="619"/>
      <c r="CD378" s="619"/>
      <c r="CE378" s="619"/>
      <c r="CF378" s="619"/>
      <c r="CG378" s="619"/>
      <c r="CH378" s="619"/>
      <c r="CI378" s="619"/>
      <c r="CJ378" s="619"/>
      <c r="CK378" s="619"/>
      <c r="CL378" s="619"/>
      <c r="CM378" s="619"/>
      <c r="CN378" s="619"/>
      <c r="CO378" s="619"/>
      <c r="CP378" s="619"/>
      <c r="CQ378" s="619"/>
      <c r="CR378" s="619"/>
      <c r="CS378" s="619"/>
      <c r="CT378" s="619"/>
      <c r="CU378" s="619"/>
      <c r="CV378" s="619"/>
      <c r="CW378" s="619"/>
      <c r="CX378" s="619"/>
      <c r="CY378" s="619"/>
      <c r="CZ378" s="619"/>
      <c r="DA378" s="619"/>
      <c r="DB378" s="619"/>
      <c r="DC378" s="619"/>
      <c r="DD378" s="619"/>
      <c r="DE378" s="619"/>
      <c r="DF378" s="619"/>
      <c r="DG378" s="619"/>
      <c r="DH378" s="619"/>
      <c r="DI378" s="619"/>
      <c r="DJ378" s="619"/>
      <c r="DK378" s="619"/>
      <c r="DL378" s="619"/>
      <c r="DM378" s="619"/>
      <c r="DN378" s="619"/>
      <c r="DO378" s="619"/>
      <c r="DP378" s="619"/>
      <c r="DQ378" s="620"/>
      <c r="DR378" s="233"/>
    </row>
    <row r="379" spans="1:122" ht="7.5" customHeight="1" x14ac:dyDescent="0.25">
      <c r="A379" s="119"/>
      <c r="B379" s="119"/>
      <c r="C379" s="119"/>
      <c r="D379" s="119"/>
      <c r="E379" s="119"/>
      <c r="F379" s="624">
        <f>G376</f>
        <v>0</v>
      </c>
      <c r="G379" s="624"/>
      <c r="H379" s="624"/>
      <c r="I379" s="624"/>
      <c r="J379" s="624"/>
      <c r="K379" s="625">
        <f>IF(A376&gt;0,Z376,0)</f>
        <v>0</v>
      </c>
      <c r="L379" s="625"/>
      <c r="M379" s="625"/>
      <c r="N379" s="626" t="e">
        <f>IF($G376&lt;&gt;"",VLOOKUP($G376,'Merit Data'!$A:$BW,MATCH('Merit Data'!$B$3,'Merit Data'!$3:$3,0),0),TRUE)</f>
        <v>#N/A</v>
      </c>
      <c r="O379" s="626"/>
      <c r="P379" s="626"/>
      <c r="Q379" s="155"/>
      <c r="R379" s="140"/>
      <c r="S379" s="140"/>
      <c r="T379" s="140"/>
      <c r="U379" s="140"/>
      <c r="V379" s="238"/>
      <c r="W379" s="238"/>
      <c r="X379" s="627" t="str">
        <f>IF(F379&gt;0,HYPERLINK("http://wiki.project-saros.com/w/"&amp;F379,"Info"),"")</f>
        <v/>
      </c>
      <c r="Y379" s="628"/>
      <c r="Z379" s="604"/>
      <c r="AA379" s="604"/>
      <c r="AB379" s="604"/>
      <c r="AC379" s="604"/>
      <c r="AD379" s="604"/>
      <c r="AE379" s="604"/>
      <c r="AF379" s="604"/>
      <c r="AG379" s="605"/>
      <c r="AH379" s="612"/>
      <c r="AI379" s="613"/>
      <c r="AJ379" s="613"/>
      <c r="AK379" s="613"/>
      <c r="AL379" s="613"/>
      <c r="AM379" s="613"/>
      <c r="AN379" s="613"/>
      <c r="AO379" s="613"/>
      <c r="AP379" s="613"/>
      <c r="AQ379" s="613"/>
      <c r="AR379" s="613"/>
      <c r="AS379" s="613"/>
      <c r="AT379" s="613"/>
      <c r="AU379" s="613"/>
      <c r="AV379" s="613"/>
      <c r="AW379" s="614"/>
      <c r="AX379" s="621"/>
      <c r="AY379" s="622"/>
      <c r="AZ379" s="622"/>
      <c r="BA379" s="622"/>
      <c r="BB379" s="622"/>
      <c r="BC379" s="622"/>
      <c r="BD379" s="622"/>
      <c r="BE379" s="622"/>
      <c r="BF379" s="622"/>
      <c r="BG379" s="622"/>
      <c r="BH379" s="622"/>
      <c r="BI379" s="622"/>
      <c r="BJ379" s="622"/>
      <c r="BK379" s="622"/>
      <c r="BL379" s="622"/>
      <c r="BM379" s="622"/>
      <c r="BN379" s="622"/>
      <c r="BO379" s="622"/>
      <c r="BP379" s="622"/>
      <c r="BQ379" s="622"/>
      <c r="BR379" s="622"/>
      <c r="BS379" s="622"/>
      <c r="BT379" s="622"/>
      <c r="BU379" s="622"/>
      <c r="BV379" s="622"/>
      <c r="BW379" s="622"/>
      <c r="BX379" s="622"/>
      <c r="BY379" s="622"/>
      <c r="BZ379" s="622"/>
      <c r="CA379" s="622"/>
      <c r="CB379" s="622"/>
      <c r="CC379" s="622"/>
      <c r="CD379" s="622"/>
      <c r="CE379" s="622"/>
      <c r="CF379" s="622"/>
      <c r="CG379" s="622"/>
      <c r="CH379" s="622"/>
      <c r="CI379" s="622"/>
      <c r="CJ379" s="622"/>
      <c r="CK379" s="622"/>
      <c r="CL379" s="622"/>
      <c r="CM379" s="622"/>
      <c r="CN379" s="622"/>
      <c r="CO379" s="622"/>
      <c r="CP379" s="622"/>
      <c r="CQ379" s="622"/>
      <c r="CR379" s="622"/>
      <c r="CS379" s="622"/>
      <c r="CT379" s="622"/>
      <c r="CU379" s="622"/>
      <c r="CV379" s="622"/>
      <c r="CW379" s="622"/>
      <c r="CX379" s="622"/>
      <c r="CY379" s="622"/>
      <c r="CZ379" s="622"/>
      <c r="DA379" s="622"/>
      <c r="DB379" s="622"/>
      <c r="DC379" s="622"/>
      <c r="DD379" s="622"/>
      <c r="DE379" s="622"/>
      <c r="DF379" s="622"/>
      <c r="DG379" s="622"/>
      <c r="DH379" s="622"/>
      <c r="DI379" s="622"/>
      <c r="DJ379" s="622"/>
      <c r="DK379" s="622"/>
      <c r="DL379" s="622"/>
      <c r="DM379" s="622"/>
      <c r="DN379" s="622"/>
      <c r="DO379" s="622"/>
      <c r="DP379" s="622"/>
      <c r="DQ379" s="623"/>
      <c r="DR379" s="233"/>
    </row>
    <row r="380" spans="1:122" ht="7.5" customHeight="1" x14ac:dyDescent="0.25">
      <c r="A380" s="588"/>
      <c r="B380" s="589"/>
      <c r="C380" s="589"/>
      <c r="D380" s="589"/>
      <c r="E380" s="590"/>
      <c r="F380" s="152"/>
      <c r="G380" s="597">
        <f>INDEX('Merit Data'!A:A,ROW('Merit Data'!A114:A115)-COUNTA($G$272:G379)*2,COLUMN('Merit Data'!A114:A115))</f>
        <v>0</v>
      </c>
      <c r="H380" s="597"/>
      <c r="I380" s="597"/>
      <c r="J380" s="597"/>
      <c r="K380" s="597"/>
      <c r="L380" s="597"/>
      <c r="M380" s="597"/>
      <c r="N380" s="597"/>
      <c r="O380" s="597"/>
      <c r="P380" s="597"/>
      <c r="Q380" s="597"/>
      <c r="R380" s="597"/>
      <c r="S380" s="597"/>
      <c r="T380" s="597"/>
      <c r="U380" s="597"/>
      <c r="V380" s="597"/>
      <c r="W380" s="597"/>
      <c r="X380" s="597"/>
      <c r="Y380" s="597"/>
      <c r="Z380" s="600" t="e">
        <f>VLOOKUP($G380,'Merit Data'!$A:$BW,MATCH('Merit Data'!$E$3,'Merit Data'!$3:$3,0),0)</f>
        <v>#N/A</v>
      </c>
      <c r="AA380" s="600"/>
      <c r="AB380" s="600"/>
      <c r="AC380" s="600"/>
      <c r="AD380" s="600"/>
      <c r="AE380" s="600"/>
      <c r="AF380" s="600"/>
      <c r="AG380" s="601"/>
      <c r="AH380" s="606" t="str">
        <f>IF(NOT(ISERROR(VLOOKUP($G380,'Merit Data'!$A:$CE,MATCH('Merit Data'!$BX$3,'Merit Data'!$3:$3,0),0))),VLOOKUP($G380,'Merit Data'!$A:$CE,MATCH('Merit Data'!$BX$3,'Merit Data'!$3:$3,0),0),"")</f>
        <v/>
      </c>
      <c r="AI380" s="607"/>
      <c r="AJ380" s="607"/>
      <c r="AK380" s="607"/>
      <c r="AL380" s="607"/>
      <c r="AM380" s="607"/>
      <c r="AN380" s="607"/>
      <c r="AO380" s="607"/>
      <c r="AP380" s="607"/>
      <c r="AQ380" s="607"/>
      <c r="AR380" s="607"/>
      <c r="AS380" s="607"/>
      <c r="AT380" s="607"/>
      <c r="AU380" s="607"/>
      <c r="AV380" s="607"/>
      <c r="AW380" s="608"/>
      <c r="AX380" s="615" t="e">
        <f>VLOOKUP($G380,'Merit Data'!$A:$BW,MATCH('Merit Data'!$F$3,'Merit Data'!$3:$3,0),0)</f>
        <v>#N/A</v>
      </c>
      <c r="AY380" s="616"/>
      <c r="AZ380" s="616"/>
      <c r="BA380" s="616"/>
      <c r="BB380" s="616"/>
      <c r="BC380" s="616"/>
      <c r="BD380" s="616"/>
      <c r="BE380" s="616"/>
      <c r="BF380" s="616"/>
      <c r="BG380" s="616"/>
      <c r="BH380" s="616"/>
      <c r="BI380" s="616"/>
      <c r="BJ380" s="616"/>
      <c r="BK380" s="616"/>
      <c r="BL380" s="616"/>
      <c r="BM380" s="616"/>
      <c r="BN380" s="616"/>
      <c r="BO380" s="616"/>
      <c r="BP380" s="616"/>
      <c r="BQ380" s="616"/>
      <c r="BR380" s="616"/>
      <c r="BS380" s="616"/>
      <c r="BT380" s="616"/>
      <c r="BU380" s="616"/>
      <c r="BV380" s="616"/>
      <c r="BW380" s="616"/>
      <c r="BX380" s="616"/>
      <c r="BY380" s="616"/>
      <c r="BZ380" s="616"/>
      <c r="CA380" s="616"/>
      <c r="CB380" s="616"/>
      <c r="CC380" s="616"/>
      <c r="CD380" s="616"/>
      <c r="CE380" s="616"/>
      <c r="CF380" s="616"/>
      <c r="CG380" s="616"/>
      <c r="CH380" s="616"/>
      <c r="CI380" s="616"/>
      <c r="CJ380" s="616"/>
      <c r="CK380" s="616"/>
      <c r="CL380" s="616"/>
      <c r="CM380" s="616"/>
      <c r="CN380" s="616"/>
      <c r="CO380" s="616"/>
      <c r="CP380" s="616"/>
      <c r="CQ380" s="616"/>
      <c r="CR380" s="616"/>
      <c r="CS380" s="616"/>
      <c r="CT380" s="616"/>
      <c r="CU380" s="616"/>
      <c r="CV380" s="616"/>
      <c r="CW380" s="616"/>
      <c r="CX380" s="616"/>
      <c r="CY380" s="616"/>
      <c r="CZ380" s="616"/>
      <c r="DA380" s="616"/>
      <c r="DB380" s="616"/>
      <c r="DC380" s="616"/>
      <c r="DD380" s="616"/>
      <c r="DE380" s="616"/>
      <c r="DF380" s="616"/>
      <c r="DG380" s="616"/>
      <c r="DH380" s="616"/>
      <c r="DI380" s="616"/>
      <c r="DJ380" s="616"/>
      <c r="DK380" s="616"/>
      <c r="DL380" s="616"/>
      <c r="DM380" s="616"/>
      <c r="DN380" s="616"/>
      <c r="DO380" s="616"/>
      <c r="DP380" s="616"/>
      <c r="DQ380" s="617"/>
      <c r="DR380" s="233"/>
    </row>
    <row r="381" spans="1:122" ht="7.5" customHeight="1" x14ac:dyDescent="0.25">
      <c r="A381" s="591"/>
      <c r="B381" s="592"/>
      <c r="C381" s="592"/>
      <c r="D381" s="592"/>
      <c r="E381" s="593"/>
      <c r="F381" s="153"/>
      <c r="G381" s="598"/>
      <c r="H381" s="598"/>
      <c r="I381" s="598"/>
      <c r="J381" s="598"/>
      <c r="K381" s="598"/>
      <c r="L381" s="598"/>
      <c r="M381" s="598"/>
      <c r="N381" s="598"/>
      <c r="O381" s="598"/>
      <c r="P381" s="598"/>
      <c r="Q381" s="598"/>
      <c r="R381" s="598"/>
      <c r="S381" s="598"/>
      <c r="T381" s="598"/>
      <c r="U381" s="598"/>
      <c r="V381" s="598"/>
      <c r="W381" s="598"/>
      <c r="X381" s="598"/>
      <c r="Y381" s="598"/>
      <c r="Z381" s="602"/>
      <c r="AA381" s="602"/>
      <c r="AB381" s="602"/>
      <c r="AC381" s="602"/>
      <c r="AD381" s="602"/>
      <c r="AE381" s="602"/>
      <c r="AF381" s="602"/>
      <c r="AG381" s="603"/>
      <c r="AH381" s="609"/>
      <c r="AI381" s="610"/>
      <c r="AJ381" s="610"/>
      <c r="AK381" s="610"/>
      <c r="AL381" s="610"/>
      <c r="AM381" s="610"/>
      <c r="AN381" s="610"/>
      <c r="AO381" s="610"/>
      <c r="AP381" s="610"/>
      <c r="AQ381" s="610"/>
      <c r="AR381" s="610"/>
      <c r="AS381" s="610"/>
      <c r="AT381" s="610"/>
      <c r="AU381" s="610"/>
      <c r="AV381" s="610"/>
      <c r="AW381" s="611"/>
      <c r="AX381" s="618"/>
      <c r="AY381" s="619"/>
      <c r="AZ381" s="619"/>
      <c r="BA381" s="619"/>
      <c r="BB381" s="619"/>
      <c r="BC381" s="619"/>
      <c r="BD381" s="619"/>
      <c r="BE381" s="619"/>
      <c r="BF381" s="619"/>
      <c r="BG381" s="619"/>
      <c r="BH381" s="619"/>
      <c r="BI381" s="619"/>
      <c r="BJ381" s="619"/>
      <c r="BK381" s="619"/>
      <c r="BL381" s="619"/>
      <c r="BM381" s="619"/>
      <c r="BN381" s="619"/>
      <c r="BO381" s="619"/>
      <c r="BP381" s="619"/>
      <c r="BQ381" s="619"/>
      <c r="BR381" s="619"/>
      <c r="BS381" s="619"/>
      <c r="BT381" s="619"/>
      <c r="BU381" s="619"/>
      <c r="BV381" s="619"/>
      <c r="BW381" s="619"/>
      <c r="BX381" s="619"/>
      <c r="BY381" s="619"/>
      <c r="BZ381" s="619"/>
      <c r="CA381" s="619"/>
      <c r="CB381" s="619"/>
      <c r="CC381" s="619"/>
      <c r="CD381" s="619"/>
      <c r="CE381" s="619"/>
      <c r="CF381" s="619"/>
      <c r="CG381" s="619"/>
      <c r="CH381" s="619"/>
      <c r="CI381" s="619"/>
      <c r="CJ381" s="619"/>
      <c r="CK381" s="619"/>
      <c r="CL381" s="619"/>
      <c r="CM381" s="619"/>
      <c r="CN381" s="619"/>
      <c r="CO381" s="619"/>
      <c r="CP381" s="619"/>
      <c r="CQ381" s="619"/>
      <c r="CR381" s="619"/>
      <c r="CS381" s="619"/>
      <c r="CT381" s="619"/>
      <c r="CU381" s="619"/>
      <c r="CV381" s="619"/>
      <c r="CW381" s="619"/>
      <c r="CX381" s="619"/>
      <c r="CY381" s="619"/>
      <c r="CZ381" s="619"/>
      <c r="DA381" s="619"/>
      <c r="DB381" s="619"/>
      <c r="DC381" s="619"/>
      <c r="DD381" s="619"/>
      <c r="DE381" s="619"/>
      <c r="DF381" s="619"/>
      <c r="DG381" s="619"/>
      <c r="DH381" s="619"/>
      <c r="DI381" s="619"/>
      <c r="DJ381" s="619"/>
      <c r="DK381" s="619"/>
      <c r="DL381" s="619"/>
      <c r="DM381" s="619"/>
      <c r="DN381" s="619"/>
      <c r="DO381" s="619"/>
      <c r="DP381" s="619"/>
      <c r="DQ381" s="620"/>
      <c r="DR381" s="233"/>
    </row>
    <row r="382" spans="1:122" ht="7.5" customHeight="1" x14ac:dyDescent="0.25">
      <c r="A382" s="594"/>
      <c r="B382" s="595"/>
      <c r="C382" s="595"/>
      <c r="D382" s="595"/>
      <c r="E382" s="596"/>
      <c r="F382" s="154"/>
      <c r="G382" s="599"/>
      <c r="H382" s="599"/>
      <c r="I382" s="599"/>
      <c r="J382" s="599"/>
      <c r="K382" s="599"/>
      <c r="L382" s="599"/>
      <c r="M382" s="599"/>
      <c r="N382" s="599"/>
      <c r="O382" s="599"/>
      <c r="P382" s="599"/>
      <c r="Q382" s="599"/>
      <c r="R382" s="599"/>
      <c r="S382" s="599"/>
      <c r="T382" s="599"/>
      <c r="U382" s="599"/>
      <c r="V382" s="599"/>
      <c r="W382" s="599"/>
      <c r="X382" s="599"/>
      <c r="Y382" s="599"/>
      <c r="Z382" s="602"/>
      <c r="AA382" s="602"/>
      <c r="AB382" s="602"/>
      <c r="AC382" s="602"/>
      <c r="AD382" s="602"/>
      <c r="AE382" s="602"/>
      <c r="AF382" s="602"/>
      <c r="AG382" s="603"/>
      <c r="AH382" s="609"/>
      <c r="AI382" s="610"/>
      <c r="AJ382" s="610"/>
      <c r="AK382" s="610"/>
      <c r="AL382" s="610"/>
      <c r="AM382" s="610"/>
      <c r="AN382" s="610"/>
      <c r="AO382" s="610"/>
      <c r="AP382" s="610"/>
      <c r="AQ382" s="610"/>
      <c r="AR382" s="610"/>
      <c r="AS382" s="610"/>
      <c r="AT382" s="610"/>
      <c r="AU382" s="610"/>
      <c r="AV382" s="610"/>
      <c r="AW382" s="611"/>
      <c r="AX382" s="618"/>
      <c r="AY382" s="619"/>
      <c r="AZ382" s="619"/>
      <c r="BA382" s="619"/>
      <c r="BB382" s="619"/>
      <c r="BC382" s="619"/>
      <c r="BD382" s="619"/>
      <c r="BE382" s="619"/>
      <c r="BF382" s="619"/>
      <c r="BG382" s="619"/>
      <c r="BH382" s="619"/>
      <c r="BI382" s="619"/>
      <c r="BJ382" s="619"/>
      <c r="BK382" s="619"/>
      <c r="BL382" s="619"/>
      <c r="BM382" s="619"/>
      <c r="BN382" s="619"/>
      <c r="BO382" s="619"/>
      <c r="BP382" s="619"/>
      <c r="BQ382" s="619"/>
      <c r="BR382" s="619"/>
      <c r="BS382" s="619"/>
      <c r="BT382" s="619"/>
      <c r="BU382" s="619"/>
      <c r="BV382" s="619"/>
      <c r="BW382" s="619"/>
      <c r="BX382" s="619"/>
      <c r="BY382" s="619"/>
      <c r="BZ382" s="619"/>
      <c r="CA382" s="619"/>
      <c r="CB382" s="619"/>
      <c r="CC382" s="619"/>
      <c r="CD382" s="619"/>
      <c r="CE382" s="619"/>
      <c r="CF382" s="619"/>
      <c r="CG382" s="619"/>
      <c r="CH382" s="619"/>
      <c r="CI382" s="619"/>
      <c r="CJ382" s="619"/>
      <c r="CK382" s="619"/>
      <c r="CL382" s="619"/>
      <c r="CM382" s="619"/>
      <c r="CN382" s="619"/>
      <c r="CO382" s="619"/>
      <c r="CP382" s="619"/>
      <c r="CQ382" s="619"/>
      <c r="CR382" s="619"/>
      <c r="CS382" s="619"/>
      <c r="CT382" s="619"/>
      <c r="CU382" s="619"/>
      <c r="CV382" s="619"/>
      <c r="CW382" s="619"/>
      <c r="CX382" s="619"/>
      <c r="CY382" s="619"/>
      <c r="CZ382" s="619"/>
      <c r="DA382" s="619"/>
      <c r="DB382" s="619"/>
      <c r="DC382" s="619"/>
      <c r="DD382" s="619"/>
      <c r="DE382" s="619"/>
      <c r="DF382" s="619"/>
      <c r="DG382" s="619"/>
      <c r="DH382" s="619"/>
      <c r="DI382" s="619"/>
      <c r="DJ382" s="619"/>
      <c r="DK382" s="619"/>
      <c r="DL382" s="619"/>
      <c r="DM382" s="619"/>
      <c r="DN382" s="619"/>
      <c r="DO382" s="619"/>
      <c r="DP382" s="619"/>
      <c r="DQ382" s="620"/>
      <c r="DR382" s="233"/>
    </row>
    <row r="383" spans="1:122" ht="7.5" customHeight="1" x14ac:dyDescent="0.25">
      <c r="A383" s="119"/>
      <c r="B383" s="119"/>
      <c r="C383" s="119"/>
      <c r="D383" s="119"/>
      <c r="E383" s="119"/>
      <c r="F383" s="624">
        <f>G380</f>
        <v>0</v>
      </c>
      <c r="G383" s="624"/>
      <c r="H383" s="624"/>
      <c r="I383" s="624"/>
      <c r="J383" s="624"/>
      <c r="K383" s="625">
        <f>IF(A380&gt;0,Z380,0)</f>
        <v>0</v>
      </c>
      <c r="L383" s="625"/>
      <c r="M383" s="625"/>
      <c r="N383" s="626" t="e">
        <f>IF($G380&lt;&gt;"",VLOOKUP($G380,'Merit Data'!$A:$BW,MATCH('Merit Data'!$B$3,'Merit Data'!$3:$3,0),0),TRUE)</f>
        <v>#N/A</v>
      </c>
      <c r="O383" s="626"/>
      <c r="P383" s="626"/>
      <c r="Q383" s="155"/>
      <c r="R383" s="140"/>
      <c r="S383" s="140"/>
      <c r="T383" s="140"/>
      <c r="U383" s="140"/>
      <c r="V383" s="238"/>
      <c r="W383" s="238"/>
      <c r="X383" s="627" t="str">
        <f>IF(F383&gt;0,HYPERLINK("http://wiki.project-saros.com/w/"&amp;F383,"Info"),"")</f>
        <v/>
      </c>
      <c r="Y383" s="628"/>
      <c r="Z383" s="604"/>
      <c r="AA383" s="604"/>
      <c r="AB383" s="604"/>
      <c r="AC383" s="604"/>
      <c r="AD383" s="604"/>
      <c r="AE383" s="604"/>
      <c r="AF383" s="604"/>
      <c r="AG383" s="605"/>
      <c r="AH383" s="612"/>
      <c r="AI383" s="613"/>
      <c r="AJ383" s="613"/>
      <c r="AK383" s="613"/>
      <c r="AL383" s="613"/>
      <c r="AM383" s="613"/>
      <c r="AN383" s="613"/>
      <c r="AO383" s="613"/>
      <c r="AP383" s="613"/>
      <c r="AQ383" s="613"/>
      <c r="AR383" s="613"/>
      <c r="AS383" s="613"/>
      <c r="AT383" s="613"/>
      <c r="AU383" s="613"/>
      <c r="AV383" s="613"/>
      <c r="AW383" s="614"/>
      <c r="AX383" s="621"/>
      <c r="AY383" s="622"/>
      <c r="AZ383" s="622"/>
      <c r="BA383" s="622"/>
      <c r="BB383" s="622"/>
      <c r="BC383" s="622"/>
      <c r="BD383" s="622"/>
      <c r="BE383" s="622"/>
      <c r="BF383" s="622"/>
      <c r="BG383" s="622"/>
      <c r="BH383" s="622"/>
      <c r="BI383" s="622"/>
      <c r="BJ383" s="622"/>
      <c r="BK383" s="622"/>
      <c r="BL383" s="622"/>
      <c r="BM383" s="622"/>
      <c r="BN383" s="622"/>
      <c r="BO383" s="622"/>
      <c r="BP383" s="622"/>
      <c r="BQ383" s="622"/>
      <c r="BR383" s="622"/>
      <c r="BS383" s="622"/>
      <c r="BT383" s="622"/>
      <c r="BU383" s="622"/>
      <c r="BV383" s="622"/>
      <c r="BW383" s="622"/>
      <c r="BX383" s="622"/>
      <c r="BY383" s="622"/>
      <c r="BZ383" s="622"/>
      <c r="CA383" s="622"/>
      <c r="CB383" s="622"/>
      <c r="CC383" s="622"/>
      <c r="CD383" s="622"/>
      <c r="CE383" s="622"/>
      <c r="CF383" s="622"/>
      <c r="CG383" s="622"/>
      <c r="CH383" s="622"/>
      <c r="CI383" s="622"/>
      <c r="CJ383" s="622"/>
      <c r="CK383" s="622"/>
      <c r="CL383" s="622"/>
      <c r="CM383" s="622"/>
      <c r="CN383" s="622"/>
      <c r="CO383" s="622"/>
      <c r="CP383" s="622"/>
      <c r="CQ383" s="622"/>
      <c r="CR383" s="622"/>
      <c r="CS383" s="622"/>
      <c r="CT383" s="622"/>
      <c r="CU383" s="622"/>
      <c r="CV383" s="622"/>
      <c r="CW383" s="622"/>
      <c r="CX383" s="622"/>
      <c r="CY383" s="622"/>
      <c r="CZ383" s="622"/>
      <c r="DA383" s="622"/>
      <c r="DB383" s="622"/>
      <c r="DC383" s="622"/>
      <c r="DD383" s="622"/>
      <c r="DE383" s="622"/>
      <c r="DF383" s="622"/>
      <c r="DG383" s="622"/>
      <c r="DH383" s="622"/>
      <c r="DI383" s="622"/>
      <c r="DJ383" s="622"/>
      <c r="DK383" s="622"/>
      <c r="DL383" s="622"/>
      <c r="DM383" s="622"/>
      <c r="DN383" s="622"/>
      <c r="DO383" s="622"/>
      <c r="DP383" s="622"/>
      <c r="DQ383" s="623"/>
      <c r="DR383" s="233"/>
    </row>
    <row r="384" spans="1:122" ht="7.5" customHeight="1" x14ac:dyDescent="0.25">
      <c r="A384" s="588"/>
      <c r="B384" s="589"/>
      <c r="C384" s="589"/>
      <c r="D384" s="589"/>
      <c r="E384" s="590"/>
      <c r="F384" s="152"/>
      <c r="G384" s="597">
        <f>INDEX('Merit Data'!A:A,ROW('Merit Data'!A118:A119)-COUNTA($G$272:G383)*2,COLUMN('Merit Data'!A118:A119))</f>
        <v>0</v>
      </c>
      <c r="H384" s="597"/>
      <c r="I384" s="597"/>
      <c r="J384" s="597"/>
      <c r="K384" s="597"/>
      <c r="L384" s="597"/>
      <c r="M384" s="597"/>
      <c r="N384" s="597"/>
      <c r="O384" s="597"/>
      <c r="P384" s="597"/>
      <c r="Q384" s="597"/>
      <c r="R384" s="597"/>
      <c r="S384" s="597"/>
      <c r="T384" s="597"/>
      <c r="U384" s="597"/>
      <c r="V384" s="597"/>
      <c r="W384" s="597"/>
      <c r="X384" s="597"/>
      <c r="Y384" s="597"/>
      <c r="Z384" s="600" t="e">
        <f>VLOOKUP($G384,'Merit Data'!$A:$BW,MATCH('Merit Data'!$E$3,'Merit Data'!$3:$3,0),0)</f>
        <v>#N/A</v>
      </c>
      <c r="AA384" s="600"/>
      <c r="AB384" s="600"/>
      <c r="AC384" s="600"/>
      <c r="AD384" s="600"/>
      <c r="AE384" s="600"/>
      <c r="AF384" s="600"/>
      <c r="AG384" s="601"/>
      <c r="AH384" s="606" t="str">
        <f>IF(NOT(ISERROR(VLOOKUP($G384,'Merit Data'!$A:$CE,MATCH('Merit Data'!$BX$3,'Merit Data'!$3:$3,0),0))),VLOOKUP($G384,'Merit Data'!$A:$CE,MATCH('Merit Data'!$BX$3,'Merit Data'!$3:$3,0),0),"")</f>
        <v/>
      </c>
      <c r="AI384" s="607"/>
      <c r="AJ384" s="607"/>
      <c r="AK384" s="607"/>
      <c r="AL384" s="607"/>
      <c r="AM384" s="607"/>
      <c r="AN384" s="607"/>
      <c r="AO384" s="607"/>
      <c r="AP384" s="607"/>
      <c r="AQ384" s="607"/>
      <c r="AR384" s="607"/>
      <c r="AS384" s="607"/>
      <c r="AT384" s="607"/>
      <c r="AU384" s="607"/>
      <c r="AV384" s="607"/>
      <c r="AW384" s="608"/>
      <c r="AX384" s="615" t="e">
        <f>VLOOKUP($G384,'Merit Data'!$A:$BW,MATCH('Merit Data'!$F$3,'Merit Data'!$3:$3,0),0)</f>
        <v>#N/A</v>
      </c>
      <c r="AY384" s="616"/>
      <c r="AZ384" s="616"/>
      <c r="BA384" s="616"/>
      <c r="BB384" s="616"/>
      <c r="BC384" s="616"/>
      <c r="BD384" s="616"/>
      <c r="BE384" s="616"/>
      <c r="BF384" s="616"/>
      <c r="BG384" s="616"/>
      <c r="BH384" s="616"/>
      <c r="BI384" s="616"/>
      <c r="BJ384" s="616"/>
      <c r="BK384" s="616"/>
      <c r="BL384" s="616"/>
      <c r="BM384" s="616"/>
      <c r="BN384" s="616"/>
      <c r="BO384" s="616"/>
      <c r="BP384" s="616"/>
      <c r="BQ384" s="616"/>
      <c r="BR384" s="616"/>
      <c r="BS384" s="616"/>
      <c r="BT384" s="616"/>
      <c r="BU384" s="616"/>
      <c r="BV384" s="616"/>
      <c r="BW384" s="616"/>
      <c r="BX384" s="616"/>
      <c r="BY384" s="616"/>
      <c r="BZ384" s="616"/>
      <c r="CA384" s="616"/>
      <c r="CB384" s="616"/>
      <c r="CC384" s="616"/>
      <c r="CD384" s="616"/>
      <c r="CE384" s="616"/>
      <c r="CF384" s="616"/>
      <c r="CG384" s="616"/>
      <c r="CH384" s="616"/>
      <c r="CI384" s="616"/>
      <c r="CJ384" s="616"/>
      <c r="CK384" s="616"/>
      <c r="CL384" s="616"/>
      <c r="CM384" s="616"/>
      <c r="CN384" s="616"/>
      <c r="CO384" s="616"/>
      <c r="CP384" s="616"/>
      <c r="CQ384" s="616"/>
      <c r="CR384" s="616"/>
      <c r="CS384" s="616"/>
      <c r="CT384" s="616"/>
      <c r="CU384" s="616"/>
      <c r="CV384" s="616"/>
      <c r="CW384" s="616"/>
      <c r="CX384" s="616"/>
      <c r="CY384" s="616"/>
      <c r="CZ384" s="616"/>
      <c r="DA384" s="616"/>
      <c r="DB384" s="616"/>
      <c r="DC384" s="616"/>
      <c r="DD384" s="616"/>
      <c r="DE384" s="616"/>
      <c r="DF384" s="616"/>
      <c r="DG384" s="616"/>
      <c r="DH384" s="616"/>
      <c r="DI384" s="616"/>
      <c r="DJ384" s="616"/>
      <c r="DK384" s="616"/>
      <c r="DL384" s="616"/>
      <c r="DM384" s="616"/>
      <c r="DN384" s="616"/>
      <c r="DO384" s="616"/>
      <c r="DP384" s="616"/>
      <c r="DQ384" s="617"/>
      <c r="DR384" s="233"/>
    </row>
    <row r="385" spans="1:122" ht="7.5" customHeight="1" x14ac:dyDescent="0.25">
      <c r="A385" s="591"/>
      <c r="B385" s="592"/>
      <c r="C385" s="592"/>
      <c r="D385" s="592"/>
      <c r="E385" s="593"/>
      <c r="F385" s="153"/>
      <c r="G385" s="598"/>
      <c r="H385" s="598"/>
      <c r="I385" s="598"/>
      <c r="J385" s="598"/>
      <c r="K385" s="598"/>
      <c r="L385" s="598"/>
      <c r="M385" s="598"/>
      <c r="N385" s="598"/>
      <c r="O385" s="598"/>
      <c r="P385" s="598"/>
      <c r="Q385" s="598"/>
      <c r="R385" s="598"/>
      <c r="S385" s="598"/>
      <c r="T385" s="598"/>
      <c r="U385" s="598"/>
      <c r="V385" s="598"/>
      <c r="W385" s="598"/>
      <c r="X385" s="598"/>
      <c r="Y385" s="598"/>
      <c r="Z385" s="602"/>
      <c r="AA385" s="602"/>
      <c r="AB385" s="602"/>
      <c r="AC385" s="602"/>
      <c r="AD385" s="602"/>
      <c r="AE385" s="602"/>
      <c r="AF385" s="602"/>
      <c r="AG385" s="603"/>
      <c r="AH385" s="609"/>
      <c r="AI385" s="610"/>
      <c r="AJ385" s="610"/>
      <c r="AK385" s="610"/>
      <c r="AL385" s="610"/>
      <c r="AM385" s="610"/>
      <c r="AN385" s="610"/>
      <c r="AO385" s="610"/>
      <c r="AP385" s="610"/>
      <c r="AQ385" s="610"/>
      <c r="AR385" s="610"/>
      <c r="AS385" s="610"/>
      <c r="AT385" s="610"/>
      <c r="AU385" s="610"/>
      <c r="AV385" s="610"/>
      <c r="AW385" s="611"/>
      <c r="AX385" s="618"/>
      <c r="AY385" s="619"/>
      <c r="AZ385" s="619"/>
      <c r="BA385" s="619"/>
      <c r="BB385" s="619"/>
      <c r="BC385" s="619"/>
      <c r="BD385" s="619"/>
      <c r="BE385" s="619"/>
      <c r="BF385" s="619"/>
      <c r="BG385" s="619"/>
      <c r="BH385" s="619"/>
      <c r="BI385" s="619"/>
      <c r="BJ385" s="619"/>
      <c r="BK385" s="619"/>
      <c r="BL385" s="619"/>
      <c r="BM385" s="619"/>
      <c r="BN385" s="619"/>
      <c r="BO385" s="619"/>
      <c r="BP385" s="619"/>
      <c r="BQ385" s="619"/>
      <c r="BR385" s="619"/>
      <c r="BS385" s="619"/>
      <c r="BT385" s="619"/>
      <c r="BU385" s="619"/>
      <c r="BV385" s="619"/>
      <c r="BW385" s="619"/>
      <c r="BX385" s="619"/>
      <c r="BY385" s="619"/>
      <c r="BZ385" s="619"/>
      <c r="CA385" s="619"/>
      <c r="CB385" s="619"/>
      <c r="CC385" s="619"/>
      <c r="CD385" s="619"/>
      <c r="CE385" s="619"/>
      <c r="CF385" s="619"/>
      <c r="CG385" s="619"/>
      <c r="CH385" s="619"/>
      <c r="CI385" s="619"/>
      <c r="CJ385" s="619"/>
      <c r="CK385" s="619"/>
      <c r="CL385" s="619"/>
      <c r="CM385" s="619"/>
      <c r="CN385" s="619"/>
      <c r="CO385" s="619"/>
      <c r="CP385" s="619"/>
      <c r="CQ385" s="619"/>
      <c r="CR385" s="619"/>
      <c r="CS385" s="619"/>
      <c r="CT385" s="619"/>
      <c r="CU385" s="619"/>
      <c r="CV385" s="619"/>
      <c r="CW385" s="619"/>
      <c r="CX385" s="619"/>
      <c r="CY385" s="619"/>
      <c r="CZ385" s="619"/>
      <c r="DA385" s="619"/>
      <c r="DB385" s="619"/>
      <c r="DC385" s="619"/>
      <c r="DD385" s="619"/>
      <c r="DE385" s="619"/>
      <c r="DF385" s="619"/>
      <c r="DG385" s="619"/>
      <c r="DH385" s="619"/>
      <c r="DI385" s="619"/>
      <c r="DJ385" s="619"/>
      <c r="DK385" s="619"/>
      <c r="DL385" s="619"/>
      <c r="DM385" s="619"/>
      <c r="DN385" s="619"/>
      <c r="DO385" s="619"/>
      <c r="DP385" s="619"/>
      <c r="DQ385" s="620"/>
      <c r="DR385" s="233"/>
    </row>
    <row r="386" spans="1:122" ht="7.5" customHeight="1" x14ac:dyDescent="0.25">
      <c r="A386" s="594"/>
      <c r="B386" s="595"/>
      <c r="C386" s="595"/>
      <c r="D386" s="595"/>
      <c r="E386" s="596"/>
      <c r="F386" s="154"/>
      <c r="G386" s="599"/>
      <c r="H386" s="599"/>
      <c r="I386" s="599"/>
      <c r="J386" s="599"/>
      <c r="K386" s="599"/>
      <c r="L386" s="599"/>
      <c r="M386" s="599"/>
      <c r="N386" s="599"/>
      <c r="O386" s="599"/>
      <c r="P386" s="599"/>
      <c r="Q386" s="599"/>
      <c r="R386" s="599"/>
      <c r="S386" s="599"/>
      <c r="T386" s="599"/>
      <c r="U386" s="599"/>
      <c r="V386" s="599"/>
      <c r="W386" s="599"/>
      <c r="X386" s="599"/>
      <c r="Y386" s="599"/>
      <c r="Z386" s="602"/>
      <c r="AA386" s="602"/>
      <c r="AB386" s="602"/>
      <c r="AC386" s="602"/>
      <c r="AD386" s="602"/>
      <c r="AE386" s="602"/>
      <c r="AF386" s="602"/>
      <c r="AG386" s="603"/>
      <c r="AH386" s="609"/>
      <c r="AI386" s="610"/>
      <c r="AJ386" s="610"/>
      <c r="AK386" s="610"/>
      <c r="AL386" s="610"/>
      <c r="AM386" s="610"/>
      <c r="AN386" s="610"/>
      <c r="AO386" s="610"/>
      <c r="AP386" s="610"/>
      <c r="AQ386" s="610"/>
      <c r="AR386" s="610"/>
      <c r="AS386" s="610"/>
      <c r="AT386" s="610"/>
      <c r="AU386" s="610"/>
      <c r="AV386" s="610"/>
      <c r="AW386" s="611"/>
      <c r="AX386" s="618"/>
      <c r="AY386" s="619"/>
      <c r="AZ386" s="619"/>
      <c r="BA386" s="619"/>
      <c r="BB386" s="619"/>
      <c r="BC386" s="619"/>
      <c r="BD386" s="619"/>
      <c r="BE386" s="619"/>
      <c r="BF386" s="619"/>
      <c r="BG386" s="619"/>
      <c r="BH386" s="619"/>
      <c r="BI386" s="619"/>
      <c r="BJ386" s="619"/>
      <c r="BK386" s="619"/>
      <c r="BL386" s="619"/>
      <c r="BM386" s="619"/>
      <c r="BN386" s="619"/>
      <c r="BO386" s="619"/>
      <c r="BP386" s="619"/>
      <c r="BQ386" s="619"/>
      <c r="BR386" s="619"/>
      <c r="BS386" s="619"/>
      <c r="BT386" s="619"/>
      <c r="BU386" s="619"/>
      <c r="BV386" s="619"/>
      <c r="BW386" s="619"/>
      <c r="BX386" s="619"/>
      <c r="BY386" s="619"/>
      <c r="BZ386" s="619"/>
      <c r="CA386" s="619"/>
      <c r="CB386" s="619"/>
      <c r="CC386" s="619"/>
      <c r="CD386" s="619"/>
      <c r="CE386" s="619"/>
      <c r="CF386" s="619"/>
      <c r="CG386" s="619"/>
      <c r="CH386" s="619"/>
      <c r="CI386" s="619"/>
      <c r="CJ386" s="619"/>
      <c r="CK386" s="619"/>
      <c r="CL386" s="619"/>
      <c r="CM386" s="619"/>
      <c r="CN386" s="619"/>
      <c r="CO386" s="619"/>
      <c r="CP386" s="619"/>
      <c r="CQ386" s="619"/>
      <c r="CR386" s="619"/>
      <c r="CS386" s="619"/>
      <c r="CT386" s="619"/>
      <c r="CU386" s="619"/>
      <c r="CV386" s="619"/>
      <c r="CW386" s="619"/>
      <c r="CX386" s="619"/>
      <c r="CY386" s="619"/>
      <c r="CZ386" s="619"/>
      <c r="DA386" s="619"/>
      <c r="DB386" s="619"/>
      <c r="DC386" s="619"/>
      <c r="DD386" s="619"/>
      <c r="DE386" s="619"/>
      <c r="DF386" s="619"/>
      <c r="DG386" s="619"/>
      <c r="DH386" s="619"/>
      <c r="DI386" s="619"/>
      <c r="DJ386" s="619"/>
      <c r="DK386" s="619"/>
      <c r="DL386" s="619"/>
      <c r="DM386" s="619"/>
      <c r="DN386" s="619"/>
      <c r="DO386" s="619"/>
      <c r="DP386" s="619"/>
      <c r="DQ386" s="620"/>
      <c r="DR386" s="233"/>
    </row>
    <row r="387" spans="1:122" ht="7.5" customHeight="1" x14ac:dyDescent="0.25">
      <c r="A387" s="119"/>
      <c r="B387" s="119"/>
      <c r="C387" s="119"/>
      <c r="D387" s="119"/>
      <c r="E387" s="119"/>
      <c r="F387" s="624">
        <f>G384</f>
        <v>0</v>
      </c>
      <c r="G387" s="624"/>
      <c r="H387" s="624"/>
      <c r="I387" s="624"/>
      <c r="J387" s="624"/>
      <c r="K387" s="625">
        <f>IF(A384&gt;0,Z384,0)</f>
        <v>0</v>
      </c>
      <c r="L387" s="625"/>
      <c r="M387" s="625"/>
      <c r="N387" s="626" t="e">
        <f>IF($G384&lt;&gt;"",VLOOKUP($G384,'Merit Data'!$A:$BW,MATCH('Merit Data'!$B$3,'Merit Data'!$3:$3,0),0),TRUE)</f>
        <v>#N/A</v>
      </c>
      <c r="O387" s="626"/>
      <c r="P387" s="626"/>
      <c r="Q387" s="155"/>
      <c r="R387" s="140"/>
      <c r="S387" s="140"/>
      <c r="T387" s="140"/>
      <c r="U387" s="140"/>
      <c r="V387" s="238"/>
      <c r="W387" s="238"/>
      <c r="X387" s="627" t="str">
        <f>IF(F387&gt;0,HYPERLINK("http://wiki.project-saros.com/w/"&amp;F387,"Info"),"")</f>
        <v/>
      </c>
      <c r="Y387" s="628"/>
      <c r="Z387" s="604"/>
      <c r="AA387" s="604"/>
      <c r="AB387" s="604"/>
      <c r="AC387" s="604"/>
      <c r="AD387" s="604"/>
      <c r="AE387" s="604"/>
      <c r="AF387" s="604"/>
      <c r="AG387" s="605"/>
      <c r="AH387" s="612"/>
      <c r="AI387" s="613"/>
      <c r="AJ387" s="613"/>
      <c r="AK387" s="613"/>
      <c r="AL387" s="613"/>
      <c r="AM387" s="613"/>
      <c r="AN387" s="613"/>
      <c r="AO387" s="613"/>
      <c r="AP387" s="613"/>
      <c r="AQ387" s="613"/>
      <c r="AR387" s="613"/>
      <c r="AS387" s="613"/>
      <c r="AT387" s="613"/>
      <c r="AU387" s="613"/>
      <c r="AV387" s="613"/>
      <c r="AW387" s="614"/>
      <c r="AX387" s="621"/>
      <c r="AY387" s="622"/>
      <c r="AZ387" s="622"/>
      <c r="BA387" s="622"/>
      <c r="BB387" s="622"/>
      <c r="BC387" s="622"/>
      <c r="BD387" s="622"/>
      <c r="BE387" s="622"/>
      <c r="BF387" s="622"/>
      <c r="BG387" s="622"/>
      <c r="BH387" s="622"/>
      <c r="BI387" s="622"/>
      <c r="BJ387" s="622"/>
      <c r="BK387" s="622"/>
      <c r="BL387" s="622"/>
      <c r="BM387" s="622"/>
      <c r="BN387" s="622"/>
      <c r="BO387" s="622"/>
      <c r="BP387" s="622"/>
      <c r="BQ387" s="622"/>
      <c r="BR387" s="622"/>
      <c r="BS387" s="622"/>
      <c r="BT387" s="622"/>
      <c r="BU387" s="622"/>
      <c r="BV387" s="622"/>
      <c r="BW387" s="622"/>
      <c r="BX387" s="622"/>
      <c r="BY387" s="622"/>
      <c r="BZ387" s="622"/>
      <c r="CA387" s="622"/>
      <c r="CB387" s="622"/>
      <c r="CC387" s="622"/>
      <c r="CD387" s="622"/>
      <c r="CE387" s="622"/>
      <c r="CF387" s="622"/>
      <c r="CG387" s="622"/>
      <c r="CH387" s="622"/>
      <c r="CI387" s="622"/>
      <c r="CJ387" s="622"/>
      <c r="CK387" s="622"/>
      <c r="CL387" s="622"/>
      <c r="CM387" s="622"/>
      <c r="CN387" s="622"/>
      <c r="CO387" s="622"/>
      <c r="CP387" s="622"/>
      <c r="CQ387" s="622"/>
      <c r="CR387" s="622"/>
      <c r="CS387" s="622"/>
      <c r="CT387" s="622"/>
      <c r="CU387" s="622"/>
      <c r="CV387" s="622"/>
      <c r="CW387" s="622"/>
      <c r="CX387" s="622"/>
      <c r="CY387" s="622"/>
      <c r="CZ387" s="622"/>
      <c r="DA387" s="622"/>
      <c r="DB387" s="622"/>
      <c r="DC387" s="622"/>
      <c r="DD387" s="622"/>
      <c r="DE387" s="622"/>
      <c r="DF387" s="622"/>
      <c r="DG387" s="622"/>
      <c r="DH387" s="622"/>
      <c r="DI387" s="622"/>
      <c r="DJ387" s="622"/>
      <c r="DK387" s="622"/>
      <c r="DL387" s="622"/>
      <c r="DM387" s="622"/>
      <c r="DN387" s="622"/>
      <c r="DO387" s="622"/>
      <c r="DP387" s="622"/>
      <c r="DQ387" s="623"/>
      <c r="DR387" s="233"/>
    </row>
    <row r="388" spans="1:122" ht="7.5" customHeight="1" x14ac:dyDescent="0.25">
      <c r="A388" s="588"/>
      <c r="B388" s="589"/>
      <c r="C388" s="589"/>
      <c r="D388" s="589"/>
      <c r="E388" s="590"/>
      <c r="F388" s="152"/>
      <c r="G388" s="597">
        <f>INDEX('Merit Data'!A:A,ROW('Merit Data'!A122:A123)-COUNTA($G$272:G387)*2,COLUMN('Merit Data'!A122:A123))</f>
        <v>0</v>
      </c>
      <c r="H388" s="597"/>
      <c r="I388" s="597"/>
      <c r="J388" s="597"/>
      <c r="K388" s="597"/>
      <c r="L388" s="597"/>
      <c r="M388" s="597"/>
      <c r="N388" s="597"/>
      <c r="O388" s="597"/>
      <c r="P388" s="597"/>
      <c r="Q388" s="597"/>
      <c r="R388" s="597"/>
      <c r="S388" s="597"/>
      <c r="T388" s="597"/>
      <c r="U388" s="597"/>
      <c r="V388" s="597"/>
      <c r="W388" s="597"/>
      <c r="X388" s="597"/>
      <c r="Y388" s="597"/>
      <c r="Z388" s="600" t="e">
        <f>VLOOKUP($G388,'Merit Data'!$A:$BW,MATCH('Merit Data'!$E$3,'Merit Data'!$3:$3,0),0)</f>
        <v>#N/A</v>
      </c>
      <c r="AA388" s="600"/>
      <c r="AB388" s="600"/>
      <c r="AC388" s="600"/>
      <c r="AD388" s="600"/>
      <c r="AE388" s="600"/>
      <c r="AF388" s="600"/>
      <c r="AG388" s="601"/>
      <c r="AH388" s="606" t="str">
        <f>IF(NOT(ISERROR(VLOOKUP($G388,'Merit Data'!$A:$CE,MATCH('Merit Data'!$BX$3,'Merit Data'!$3:$3,0),0))),VLOOKUP($G388,'Merit Data'!$A:$CE,MATCH('Merit Data'!$BX$3,'Merit Data'!$3:$3,0),0),"")</f>
        <v/>
      </c>
      <c r="AI388" s="607"/>
      <c r="AJ388" s="607"/>
      <c r="AK388" s="607"/>
      <c r="AL388" s="607"/>
      <c r="AM388" s="607"/>
      <c r="AN388" s="607"/>
      <c r="AO388" s="607"/>
      <c r="AP388" s="607"/>
      <c r="AQ388" s="607"/>
      <c r="AR388" s="607"/>
      <c r="AS388" s="607"/>
      <c r="AT388" s="607"/>
      <c r="AU388" s="607"/>
      <c r="AV388" s="607"/>
      <c r="AW388" s="608"/>
      <c r="AX388" s="615" t="e">
        <f>VLOOKUP($G388,'Merit Data'!$A:$BW,MATCH('Merit Data'!$F$3,'Merit Data'!$3:$3,0),0)</f>
        <v>#N/A</v>
      </c>
      <c r="AY388" s="616"/>
      <c r="AZ388" s="616"/>
      <c r="BA388" s="616"/>
      <c r="BB388" s="616"/>
      <c r="BC388" s="616"/>
      <c r="BD388" s="616"/>
      <c r="BE388" s="616"/>
      <c r="BF388" s="616"/>
      <c r="BG388" s="616"/>
      <c r="BH388" s="616"/>
      <c r="BI388" s="616"/>
      <c r="BJ388" s="616"/>
      <c r="BK388" s="616"/>
      <c r="BL388" s="616"/>
      <c r="BM388" s="616"/>
      <c r="BN388" s="616"/>
      <c r="BO388" s="616"/>
      <c r="BP388" s="616"/>
      <c r="BQ388" s="616"/>
      <c r="BR388" s="616"/>
      <c r="BS388" s="616"/>
      <c r="BT388" s="616"/>
      <c r="BU388" s="616"/>
      <c r="BV388" s="616"/>
      <c r="BW388" s="616"/>
      <c r="BX388" s="616"/>
      <c r="BY388" s="616"/>
      <c r="BZ388" s="616"/>
      <c r="CA388" s="616"/>
      <c r="CB388" s="616"/>
      <c r="CC388" s="616"/>
      <c r="CD388" s="616"/>
      <c r="CE388" s="616"/>
      <c r="CF388" s="616"/>
      <c r="CG388" s="616"/>
      <c r="CH388" s="616"/>
      <c r="CI388" s="616"/>
      <c r="CJ388" s="616"/>
      <c r="CK388" s="616"/>
      <c r="CL388" s="616"/>
      <c r="CM388" s="616"/>
      <c r="CN388" s="616"/>
      <c r="CO388" s="616"/>
      <c r="CP388" s="616"/>
      <c r="CQ388" s="616"/>
      <c r="CR388" s="616"/>
      <c r="CS388" s="616"/>
      <c r="CT388" s="616"/>
      <c r="CU388" s="616"/>
      <c r="CV388" s="616"/>
      <c r="CW388" s="616"/>
      <c r="CX388" s="616"/>
      <c r="CY388" s="616"/>
      <c r="CZ388" s="616"/>
      <c r="DA388" s="616"/>
      <c r="DB388" s="616"/>
      <c r="DC388" s="616"/>
      <c r="DD388" s="616"/>
      <c r="DE388" s="616"/>
      <c r="DF388" s="616"/>
      <c r="DG388" s="616"/>
      <c r="DH388" s="616"/>
      <c r="DI388" s="616"/>
      <c r="DJ388" s="616"/>
      <c r="DK388" s="616"/>
      <c r="DL388" s="616"/>
      <c r="DM388" s="616"/>
      <c r="DN388" s="616"/>
      <c r="DO388" s="616"/>
      <c r="DP388" s="616"/>
      <c r="DQ388" s="617"/>
      <c r="DR388" s="233"/>
    </row>
    <row r="389" spans="1:122" ht="7.5" customHeight="1" x14ac:dyDescent="0.25">
      <c r="A389" s="591"/>
      <c r="B389" s="592"/>
      <c r="C389" s="592"/>
      <c r="D389" s="592"/>
      <c r="E389" s="593"/>
      <c r="F389" s="153"/>
      <c r="G389" s="598"/>
      <c r="H389" s="598"/>
      <c r="I389" s="598"/>
      <c r="J389" s="598"/>
      <c r="K389" s="598"/>
      <c r="L389" s="598"/>
      <c r="M389" s="598"/>
      <c r="N389" s="598"/>
      <c r="O389" s="598"/>
      <c r="P389" s="598"/>
      <c r="Q389" s="598"/>
      <c r="R389" s="598"/>
      <c r="S389" s="598"/>
      <c r="T389" s="598"/>
      <c r="U389" s="598"/>
      <c r="V389" s="598"/>
      <c r="W389" s="598"/>
      <c r="X389" s="598"/>
      <c r="Y389" s="598"/>
      <c r="Z389" s="602"/>
      <c r="AA389" s="602"/>
      <c r="AB389" s="602"/>
      <c r="AC389" s="602"/>
      <c r="AD389" s="602"/>
      <c r="AE389" s="602"/>
      <c r="AF389" s="602"/>
      <c r="AG389" s="603"/>
      <c r="AH389" s="609"/>
      <c r="AI389" s="610"/>
      <c r="AJ389" s="610"/>
      <c r="AK389" s="610"/>
      <c r="AL389" s="610"/>
      <c r="AM389" s="610"/>
      <c r="AN389" s="610"/>
      <c r="AO389" s="610"/>
      <c r="AP389" s="610"/>
      <c r="AQ389" s="610"/>
      <c r="AR389" s="610"/>
      <c r="AS389" s="610"/>
      <c r="AT389" s="610"/>
      <c r="AU389" s="610"/>
      <c r="AV389" s="610"/>
      <c r="AW389" s="611"/>
      <c r="AX389" s="618"/>
      <c r="AY389" s="619"/>
      <c r="AZ389" s="619"/>
      <c r="BA389" s="619"/>
      <c r="BB389" s="619"/>
      <c r="BC389" s="619"/>
      <c r="BD389" s="619"/>
      <c r="BE389" s="619"/>
      <c r="BF389" s="619"/>
      <c r="BG389" s="619"/>
      <c r="BH389" s="619"/>
      <c r="BI389" s="619"/>
      <c r="BJ389" s="619"/>
      <c r="BK389" s="619"/>
      <c r="BL389" s="619"/>
      <c r="BM389" s="619"/>
      <c r="BN389" s="619"/>
      <c r="BO389" s="619"/>
      <c r="BP389" s="619"/>
      <c r="BQ389" s="619"/>
      <c r="BR389" s="619"/>
      <c r="BS389" s="619"/>
      <c r="BT389" s="619"/>
      <c r="BU389" s="619"/>
      <c r="BV389" s="619"/>
      <c r="BW389" s="619"/>
      <c r="BX389" s="619"/>
      <c r="BY389" s="619"/>
      <c r="BZ389" s="619"/>
      <c r="CA389" s="619"/>
      <c r="CB389" s="619"/>
      <c r="CC389" s="619"/>
      <c r="CD389" s="619"/>
      <c r="CE389" s="619"/>
      <c r="CF389" s="619"/>
      <c r="CG389" s="619"/>
      <c r="CH389" s="619"/>
      <c r="CI389" s="619"/>
      <c r="CJ389" s="619"/>
      <c r="CK389" s="619"/>
      <c r="CL389" s="619"/>
      <c r="CM389" s="619"/>
      <c r="CN389" s="619"/>
      <c r="CO389" s="619"/>
      <c r="CP389" s="619"/>
      <c r="CQ389" s="619"/>
      <c r="CR389" s="619"/>
      <c r="CS389" s="619"/>
      <c r="CT389" s="619"/>
      <c r="CU389" s="619"/>
      <c r="CV389" s="619"/>
      <c r="CW389" s="619"/>
      <c r="CX389" s="619"/>
      <c r="CY389" s="619"/>
      <c r="CZ389" s="619"/>
      <c r="DA389" s="619"/>
      <c r="DB389" s="619"/>
      <c r="DC389" s="619"/>
      <c r="DD389" s="619"/>
      <c r="DE389" s="619"/>
      <c r="DF389" s="619"/>
      <c r="DG389" s="619"/>
      <c r="DH389" s="619"/>
      <c r="DI389" s="619"/>
      <c r="DJ389" s="619"/>
      <c r="DK389" s="619"/>
      <c r="DL389" s="619"/>
      <c r="DM389" s="619"/>
      <c r="DN389" s="619"/>
      <c r="DO389" s="619"/>
      <c r="DP389" s="619"/>
      <c r="DQ389" s="620"/>
      <c r="DR389" s="233"/>
    </row>
    <row r="390" spans="1:122" ht="7.5" customHeight="1" x14ac:dyDescent="0.25">
      <c r="A390" s="594"/>
      <c r="B390" s="595"/>
      <c r="C390" s="595"/>
      <c r="D390" s="595"/>
      <c r="E390" s="596"/>
      <c r="F390" s="154"/>
      <c r="G390" s="599"/>
      <c r="H390" s="599"/>
      <c r="I390" s="599"/>
      <c r="J390" s="599"/>
      <c r="K390" s="599"/>
      <c r="L390" s="599"/>
      <c r="M390" s="599"/>
      <c r="N390" s="599"/>
      <c r="O390" s="599"/>
      <c r="P390" s="599"/>
      <c r="Q390" s="599"/>
      <c r="R390" s="599"/>
      <c r="S390" s="599"/>
      <c r="T390" s="599"/>
      <c r="U390" s="599"/>
      <c r="V390" s="599"/>
      <c r="W390" s="599"/>
      <c r="X390" s="599"/>
      <c r="Y390" s="599"/>
      <c r="Z390" s="602"/>
      <c r="AA390" s="602"/>
      <c r="AB390" s="602"/>
      <c r="AC390" s="602"/>
      <c r="AD390" s="602"/>
      <c r="AE390" s="602"/>
      <c r="AF390" s="602"/>
      <c r="AG390" s="603"/>
      <c r="AH390" s="609"/>
      <c r="AI390" s="610"/>
      <c r="AJ390" s="610"/>
      <c r="AK390" s="610"/>
      <c r="AL390" s="610"/>
      <c r="AM390" s="610"/>
      <c r="AN390" s="610"/>
      <c r="AO390" s="610"/>
      <c r="AP390" s="610"/>
      <c r="AQ390" s="610"/>
      <c r="AR390" s="610"/>
      <c r="AS390" s="610"/>
      <c r="AT390" s="610"/>
      <c r="AU390" s="610"/>
      <c r="AV390" s="610"/>
      <c r="AW390" s="611"/>
      <c r="AX390" s="618"/>
      <c r="AY390" s="619"/>
      <c r="AZ390" s="619"/>
      <c r="BA390" s="619"/>
      <c r="BB390" s="619"/>
      <c r="BC390" s="619"/>
      <c r="BD390" s="619"/>
      <c r="BE390" s="619"/>
      <c r="BF390" s="619"/>
      <c r="BG390" s="619"/>
      <c r="BH390" s="619"/>
      <c r="BI390" s="619"/>
      <c r="BJ390" s="619"/>
      <c r="BK390" s="619"/>
      <c r="BL390" s="619"/>
      <c r="BM390" s="619"/>
      <c r="BN390" s="619"/>
      <c r="BO390" s="619"/>
      <c r="BP390" s="619"/>
      <c r="BQ390" s="619"/>
      <c r="BR390" s="619"/>
      <c r="BS390" s="619"/>
      <c r="BT390" s="619"/>
      <c r="BU390" s="619"/>
      <c r="BV390" s="619"/>
      <c r="BW390" s="619"/>
      <c r="BX390" s="619"/>
      <c r="BY390" s="619"/>
      <c r="BZ390" s="619"/>
      <c r="CA390" s="619"/>
      <c r="CB390" s="619"/>
      <c r="CC390" s="619"/>
      <c r="CD390" s="619"/>
      <c r="CE390" s="619"/>
      <c r="CF390" s="619"/>
      <c r="CG390" s="619"/>
      <c r="CH390" s="619"/>
      <c r="CI390" s="619"/>
      <c r="CJ390" s="619"/>
      <c r="CK390" s="619"/>
      <c r="CL390" s="619"/>
      <c r="CM390" s="619"/>
      <c r="CN390" s="619"/>
      <c r="CO390" s="619"/>
      <c r="CP390" s="619"/>
      <c r="CQ390" s="619"/>
      <c r="CR390" s="619"/>
      <c r="CS390" s="619"/>
      <c r="CT390" s="619"/>
      <c r="CU390" s="619"/>
      <c r="CV390" s="619"/>
      <c r="CW390" s="619"/>
      <c r="CX390" s="619"/>
      <c r="CY390" s="619"/>
      <c r="CZ390" s="619"/>
      <c r="DA390" s="619"/>
      <c r="DB390" s="619"/>
      <c r="DC390" s="619"/>
      <c r="DD390" s="619"/>
      <c r="DE390" s="619"/>
      <c r="DF390" s="619"/>
      <c r="DG390" s="619"/>
      <c r="DH390" s="619"/>
      <c r="DI390" s="619"/>
      <c r="DJ390" s="619"/>
      <c r="DK390" s="619"/>
      <c r="DL390" s="619"/>
      <c r="DM390" s="619"/>
      <c r="DN390" s="619"/>
      <c r="DO390" s="619"/>
      <c r="DP390" s="619"/>
      <c r="DQ390" s="620"/>
      <c r="DR390" s="233"/>
    </row>
    <row r="391" spans="1:122" ht="7.5" customHeight="1" x14ac:dyDescent="0.25">
      <c r="A391" s="119"/>
      <c r="B391" s="119"/>
      <c r="C391" s="119"/>
      <c r="D391" s="119"/>
      <c r="E391" s="119"/>
      <c r="F391" s="624">
        <f>G388</f>
        <v>0</v>
      </c>
      <c r="G391" s="624"/>
      <c r="H391" s="624"/>
      <c r="I391" s="624"/>
      <c r="J391" s="624"/>
      <c r="K391" s="625">
        <f>IF(A388&gt;0,Z388,0)</f>
        <v>0</v>
      </c>
      <c r="L391" s="625"/>
      <c r="M391" s="625"/>
      <c r="N391" s="626" t="e">
        <f>IF($G388&lt;&gt;"",VLOOKUP($G388,'Merit Data'!$A:$BW,MATCH('Merit Data'!$B$3,'Merit Data'!$3:$3,0),0),TRUE)</f>
        <v>#N/A</v>
      </c>
      <c r="O391" s="626"/>
      <c r="P391" s="626"/>
      <c r="Q391" s="155"/>
      <c r="R391" s="140"/>
      <c r="S391" s="140"/>
      <c r="T391" s="140"/>
      <c r="U391" s="140"/>
      <c r="V391" s="238"/>
      <c r="W391" s="238"/>
      <c r="X391" s="627" t="str">
        <f>IF(F391&gt;0,HYPERLINK("http://wiki.project-saros.com/w/"&amp;F391,"Info"),"")</f>
        <v/>
      </c>
      <c r="Y391" s="628"/>
      <c r="Z391" s="604"/>
      <c r="AA391" s="604"/>
      <c r="AB391" s="604"/>
      <c r="AC391" s="604"/>
      <c r="AD391" s="604"/>
      <c r="AE391" s="604"/>
      <c r="AF391" s="604"/>
      <c r="AG391" s="605"/>
      <c r="AH391" s="612"/>
      <c r="AI391" s="613"/>
      <c r="AJ391" s="613"/>
      <c r="AK391" s="613"/>
      <c r="AL391" s="613"/>
      <c r="AM391" s="613"/>
      <c r="AN391" s="613"/>
      <c r="AO391" s="613"/>
      <c r="AP391" s="613"/>
      <c r="AQ391" s="613"/>
      <c r="AR391" s="613"/>
      <c r="AS391" s="613"/>
      <c r="AT391" s="613"/>
      <c r="AU391" s="613"/>
      <c r="AV391" s="613"/>
      <c r="AW391" s="614"/>
      <c r="AX391" s="621"/>
      <c r="AY391" s="622"/>
      <c r="AZ391" s="622"/>
      <c r="BA391" s="622"/>
      <c r="BB391" s="622"/>
      <c r="BC391" s="622"/>
      <c r="BD391" s="622"/>
      <c r="BE391" s="622"/>
      <c r="BF391" s="622"/>
      <c r="BG391" s="622"/>
      <c r="BH391" s="622"/>
      <c r="BI391" s="622"/>
      <c r="BJ391" s="622"/>
      <c r="BK391" s="622"/>
      <c r="BL391" s="622"/>
      <c r="BM391" s="622"/>
      <c r="BN391" s="622"/>
      <c r="BO391" s="622"/>
      <c r="BP391" s="622"/>
      <c r="BQ391" s="622"/>
      <c r="BR391" s="622"/>
      <c r="BS391" s="622"/>
      <c r="BT391" s="622"/>
      <c r="BU391" s="622"/>
      <c r="BV391" s="622"/>
      <c r="BW391" s="622"/>
      <c r="BX391" s="622"/>
      <c r="BY391" s="622"/>
      <c r="BZ391" s="622"/>
      <c r="CA391" s="622"/>
      <c r="CB391" s="622"/>
      <c r="CC391" s="622"/>
      <c r="CD391" s="622"/>
      <c r="CE391" s="622"/>
      <c r="CF391" s="622"/>
      <c r="CG391" s="622"/>
      <c r="CH391" s="622"/>
      <c r="CI391" s="622"/>
      <c r="CJ391" s="622"/>
      <c r="CK391" s="622"/>
      <c r="CL391" s="622"/>
      <c r="CM391" s="622"/>
      <c r="CN391" s="622"/>
      <c r="CO391" s="622"/>
      <c r="CP391" s="622"/>
      <c r="CQ391" s="622"/>
      <c r="CR391" s="622"/>
      <c r="CS391" s="622"/>
      <c r="CT391" s="622"/>
      <c r="CU391" s="622"/>
      <c r="CV391" s="622"/>
      <c r="CW391" s="622"/>
      <c r="CX391" s="622"/>
      <c r="CY391" s="622"/>
      <c r="CZ391" s="622"/>
      <c r="DA391" s="622"/>
      <c r="DB391" s="622"/>
      <c r="DC391" s="622"/>
      <c r="DD391" s="622"/>
      <c r="DE391" s="622"/>
      <c r="DF391" s="622"/>
      <c r="DG391" s="622"/>
      <c r="DH391" s="622"/>
      <c r="DI391" s="622"/>
      <c r="DJ391" s="622"/>
      <c r="DK391" s="622"/>
      <c r="DL391" s="622"/>
      <c r="DM391" s="622"/>
      <c r="DN391" s="622"/>
      <c r="DO391" s="622"/>
      <c r="DP391" s="622"/>
      <c r="DQ391" s="623"/>
      <c r="DR391" s="233"/>
    </row>
    <row r="392" spans="1:122" ht="7.5" customHeight="1" x14ac:dyDescent="0.25">
      <c r="A392" s="588"/>
      <c r="B392" s="589"/>
      <c r="C392" s="589"/>
      <c r="D392" s="589"/>
      <c r="E392" s="590"/>
      <c r="F392" s="152"/>
      <c r="G392" s="597">
        <f>INDEX('Merit Data'!A:A,ROW('Merit Data'!A126:A127)-COUNTA($G$272:G391)*2,COLUMN('Merit Data'!A126:A127))</f>
        <v>0</v>
      </c>
      <c r="H392" s="597"/>
      <c r="I392" s="597"/>
      <c r="J392" s="597"/>
      <c r="K392" s="597"/>
      <c r="L392" s="597"/>
      <c r="M392" s="597"/>
      <c r="N392" s="597"/>
      <c r="O392" s="597"/>
      <c r="P392" s="597"/>
      <c r="Q392" s="597"/>
      <c r="R392" s="597"/>
      <c r="S392" s="597"/>
      <c r="T392" s="597"/>
      <c r="U392" s="597"/>
      <c r="V392" s="597"/>
      <c r="W392" s="597"/>
      <c r="X392" s="597"/>
      <c r="Y392" s="597"/>
      <c r="Z392" s="600" t="e">
        <f>VLOOKUP($G392,'Merit Data'!$A:$BW,MATCH('Merit Data'!$E$3,'Merit Data'!$3:$3,0),0)</f>
        <v>#N/A</v>
      </c>
      <c r="AA392" s="600"/>
      <c r="AB392" s="600"/>
      <c r="AC392" s="600"/>
      <c r="AD392" s="600"/>
      <c r="AE392" s="600"/>
      <c r="AF392" s="600"/>
      <c r="AG392" s="601"/>
      <c r="AH392" s="606" t="str">
        <f>IF(NOT(ISERROR(VLOOKUP($G392,'Merit Data'!$A:$CE,MATCH('Merit Data'!$BX$3,'Merit Data'!$3:$3,0),0))),VLOOKUP($G392,'Merit Data'!$A:$CE,MATCH('Merit Data'!$BX$3,'Merit Data'!$3:$3,0),0),"")</f>
        <v/>
      </c>
      <c r="AI392" s="607"/>
      <c r="AJ392" s="607"/>
      <c r="AK392" s="607"/>
      <c r="AL392" s="607"/>
      <c r="AM392" s="607"/>
      <c r="AN392" s="607"/>
      <c r="AO392" s="607"/>
      <c r="AP392" s="607"/>
      <c r="AQ392" s="607"/>
      <c r="AR392" s="607"/>
      <c r="AS392" s="607"/>
      <c r="AT392" s="607"/>
      <c r="AU392" s="607"/>
      <c r="AV392" s="607"/>
      <c r="AW392" s="608"/>
      <c r="AX392" s="615" t="e">
        <f>VLOOKUP($G392,'Merit Data'!$A:$BW,MATCH('Merit Data'!$F$3,'Merit Data'!$3:$3,0),0)</f>
        <v>#N/A</v>
      </c>
      <c r="AY392" s="616"/>
      <c r="AZ392" s="616"/>
      <c r="BA392" s="616"/>
      <c r="BB392" s="616"/>
      <c r="BC392" s="616"/>
      <c r="BD392" s="616"/>
      <c r="BE392" s="616"/>
      <c r="BF392" s="616"/>
      <c r="BG392" s="616"/>
      <c r="BH392" s="616"/>
      <c r="BI392" s="616"/>
      <c r="BJ392" s="616"/>
      <c r="BK392" s="616"/>
      <c r="BL392" s="616"/>
      <c r="BM392" s="616"/>
      <c r="BN392" s="616"/>
      <c r="BO392" s="616"/>
      <c r="BP392" s="616"/>
      <c r="BQ392" s="616"/>
      <c r="BR392" s="616"/>
      <c r="BS392" s="616"/>
      <c r="BT392" s="616"/>
      <c r="BU392" s="616"/>
      <c r="BV392" s="616"/>
      <c r="BW392" s="616"/>
      <c r="BX392" s="616"/>
      <c r="BY392" s="616"/>
      <c r="BZ392" s="616"/>
      <c r="CA392" s="616"/>
      <c r="CB392" s="616"/>
      <c r="CC392" s="616"/>
      <c r="CD392" s="616"/>
      <c r="CE392" s="616"/>
      <c r="CF392" s="616"/>
      <c r="CG392" s="616"/>
      <c r="CH392" s="616"/>
      <c r="CI392" s="616"/>
      <c r="CJ392" s="616"/>
      <c r="CK392" s="616"/>
      <c r="CL392" s="616"/>
      <c r="CM392" s="616"/>
      <c r="CN392" s="616"/>
      <c r="CO392" s="616"/>
      <c r="CP392" s="616"/>
      <c r="CQ392" s="616"/>
      <c r="CR392" s="616"/>
      <c r="CS392" s="616"/>
      <c r="CT392" s="616"/>
      <c r="CU392" s="616"/>
      <c r="CV392" s="616"/>
      <c r="CW392" s="616"/>
      <c r="CX392" s="616"/>
      <c r="CY392" s="616"/>
      <c r="CZ392" s="616"/>
      <c r="DA392" s="616"/>
      <c r="DB392" s="616"/>
      <c r="DC392" s="616"/>
      <c r="DD392" s="616"/>
      <c r="DE392" s="616"/>
      <c r="DF392" s="616"/>
      <c r="DG392" s="616"/>
      <c r="DH392" s="616"/>
      <c r="DI392" s="616"/>
      <c r="DJ392" s="616"/>
      <c r="DK392" s="616"/>
      <c r="DL392" s="616"/>
      <c r="DM392" s="616"/>
      <c r="DN392" s="616"/>
      <c r="DO392" s="616"/>
      <c r="DP392" s="616"/>
      <c r="DQ392" s="617"/>
      <c r="DR392" s="233"/>
    </row>
    <row r="393" spans="1:122" ht="7.5" customHeight="1" x14ac:dyDescent="0.25">
      <c r="A393" s="591"/>
      <c r="B393" s="592"/>
      <c r="C393" s="592"/>
      <c r="D393" s="592"/>
      <c r="E393" s="593"/>
      <c r="F393" s="153"/>
      <c r="G393" s="598"/>
      <c r="H393" s="598"/>
      <c r="I393" s="598"/>
      <c r="J393" s="598"/>
      <c r="K393" s="598"/>
      <c r="L393" s="598"/>
      <c r="M393" s="598"/>
      <c r="N393" s="598"/>
      <c r="O393" s="598"/>
      <c r="P393" s="598"/>
      <c r="Q393" s="598"/>
      <c r="R393" s="598"/>
      <c r="S393" s="598"/>
      <c r="T393" s="598"/>
      <c r="U393" s="598"/>
      <c r="V393" s="598"/>
      <c r="W393" s="598"/>
      <c r="X393" s="598"/>
      <c r="Y393" s="598"/>
      <c r="Z393" s="602"/>
      <c r="AA393" s="602"/>
      <c r="AB393" s="602"/>
      <c r="AC393" s="602"/>
      <c r="AD393" s="602"/>
      <c r="AE393" s="602"/>
      <c r="AF393" s="602"/>
      <c r="AG393" s="603"/>
      <c r="AH393" s="609"/>
      <c r="AI393" s="610"/>
      <c r="AJ393" s="610"/>
      <c r="AK393" s="610"/>
      <c r="AL393" s="610"/>
      <c r="AM393" s="610"/>
      <c r="AN393" s="610"/>
      <c r="AO393" s="610"/>
      <c r="AP393" s="610"/>
      <c r="AQ393" s="610"/>
      <c r="AR393" s="610"/>
      <c r="AS393" s="610"/>
      <c r="AT393" s="610"/>
      <c r="AU393" s="610"/>
      <c r="AV393" s="610"/>
      <c r="AW393" s="611"/>
      <c r="AX393" s="618"/>
      <c r="AY393" s="619"/>
      <c r="AZ393" s="619"/>
      <c r="BA393" s="619"/>
      <c r="BB393" s="619"/>
      <c r="BC393" s="619"/>
      <c r="BD393" s="619"/>
      <c r="BE393" s="619"/>
      <c r="BF393" s="619"/>
      <c r="BG393" s="619"/>
      <c r="BH393" s="619"/>
      <c r="BI393" s="619"/>
      <c r="BJ393" s="619"/>
      <c r="BK393" s="619"/>
      <c r="BL393" s="619"/>
      <c r="BM393" s="619"/>
      <c r="BN393" s="619"/>
      <c r="BO393" s="619"/>
      <c r="BP393" s="619"/>
      <c r="BQ393" s="619"/>
      <c r="BR393" s="619"/>
      <c r="BS393" s="619"/>
      <c r="BT393" s="619"/>
      <c r="BU393" s="619"/>
      <c r="BV393" s="619"/>
      <c r="BW393" s="619"/>
      <c r="BX393" s="619"/>
      <c r="BY393" s="619"/>
      <c r="BZ393" s="619"/>
      <c r="CA393" s="619"/>
      <c r="CB393" s="619"/>
      <c r="CC393" s="619"/>
      <c r="CD393" s="619"/>
      <c r="CE393" s="619"/>
      <c r="CF393" s="619"/>
      <c r="CG393" s="619"/>
      <c r="CH393" s="619"/>
      <c r="CI393" s="619"/>
      <c r="CJ393" s="619"/>
      <c r="CK393" s="619"/>
      <c r="CL393" s="619"/>
      <c r="CM393" s="619"/>
      <c r="CN393" s="619"/>
      <c r="CO393" s="619"/>
      <c r="CP393" s="619"/>
      <c r="CQ393" s="619"/>
      <c r="CR393" s="619"/>
      <c r="CS393" s="619"/>
      <c r="CT393" s="619"/>
      <c r="CU393" s="619"/>
      <c r="CV393" s="619"/>
      <c r="CW393" s="619"/>
      <c r="CX393" s="619"/>
      <c r="CY393" s="619"/>
      <c r="CZ393" s="619"/>
      <c r="DA393" s="619"/>
      <c r="DB393" s="619"/>
      <c r="DC393" s="619"/>
      <c r="DD393" s="619"/>
      <c r="DE393" s="619"/>
      <c r="DF393" s="619"/>
      <c r="DG393" s="619"/>
      <c r="DH393" s="619"/>
      <c r="DI393" s="619"/>
      <c r="DJ393" s="619"/>
      <c r="DK393" s="619"/>
      <c r="DL393" s="619"/>
      <c r="DM393" s="619"/>
      <c r="DN393" s="619"/>
      <c r="DO393" s="619"/>
      <c r="DP393" s="619"/>
      <c r="DQ393" s="620"/>
      <c r="DR393" s="233"/>
    </row>
    <row r="394" spans="1:122" ht="7.5" customHeight="1" x14ac:dyDescent="0.25">
      <c r="A394" s="594"/>
      <c r="B394" s="595"/>
      <c r="C394" s="595"/>
      <c r="D394" s="595"/>
      <c r="E394" s="596"/>
      <c r="F394" s="154"/>
      <c r="G394" s="599"/>
      <c r="H394" s="599"/>
      <c r="I394" s="599"/>
      <c r="J394" s="599"/>
      <c r="K394" s="599"/>
      <c r="L394" s="599"/>
      <c r="M394" s="599"/>
      <c r="N394" s="599"/>
      <c r="O394" s="599"/>
      <c r="P394" s="599"/>
      <c r="Q394" s="599"/>
      <c r="R394" s="599"/>
      <c r="S394" s="599"/>
      <c r="T394" s="599"/>
      <c r="U394" s="599"/>
      <c r="V394" s="599"/>
      <c r="W394" s="599"/>
      <c r="X394" s="599"/>
      <c r="Y394" s="599"/>
      <c r="Z394" s="602"/>
      <c r="AA394" s="602"/>
      <c r="AB394" s="602"/>
      <c r="AC394" s="602"/>
      <c r="AD394" s="602"/>
      <c r="AE394" s="602"/>
      <c r="AF394" s="602"/>
      <c r="AG394" s="603"/>
      <c r="AH394" s="609"/>
      <c r="AI394" s="610"/>
      <c r="AJ394" s="610"/>
      <c r="AK394" s="610"/>
      <c r="AL394" s="610"/>
      <c r="AM394" s="610"/>
      <c r="AN394" s="610"/>
      <c r="AO394" s="610"/>
      <c r="AP394" s="610"/>
      <c r="AQ394" s="610"/>
      <c r="AR394" s="610"/>
      <c r="AS394" s="610"/>
      <c r="AT394" s="610"/>
      <c r="AU394" s="610"/>
      <c r="AV394" s="610"/>
      <c r="AW394" s="611"/>
      <c r="AX394" s="618"/>
      <c r="AY394" s="619"/>
      <c r="AZ394" s="619"/>
      <c r="BA394" s="619"/>
      <c r="BB394" s="619"/>
      <c r="BC394" s="619"/>
      <c r="BD394" s="619"/>
      <c r="BE394" s="619"/>
      <c r="BF394" s="619"/>
      <c r="BG394" s="619"/>
      <c r="BH394" s="619"/>
      <c r="BI394" s="619"/>
      <c r="BJ394" s="619"/>
      <c r="BK394" s="619"/>
      <c r="BL394" s="619"/>
      <c r="BM394" s="619"/>
      <c r="BN394" s="619"/>
      <c r="BO394" s="619"/>
      <c r="BP394" s="619"/>
      <c r="BQ394" s="619"/>
      <c r="BR394" s="619"/>
      <c r="BS394" s="619"/>
      <c r="BT394" s="619"/>
      <c r="BU394" s="619"/>
      <c r="BV394" s="619"/>
      <c r="BW394" s="619"/>
      <c r="BX394" s="619"/>
      <c r="BY394" s="619"/>
      <c r="BZ394" s="619"/>
      <c r="CA394" s="619"/>
      <c r="CB394" s="619"/>
      <c r="CC394" s="619"/>
      <c r="CD394" s="619"/>
      <c r="CE394" s="619"/>
      <c r="CF394" s="619"/>
      <c r="CG394" s="619"/>
      <c r="CH394" s="619"/>
      <c r="CI394" s="619"/>
      <c r="CJ394" s="619"/>
      <c r="CK394" s="619"/>
      <c r="CL394" s="619"/>
      <c r="CM394" s="619"/>
      <c r="CN394" s="619"/>
      <c r="CO394" s="619"/>
      <c r="CP394" s="619"/>
      <c r="CQ394" s="619"/>
      <c r="CR394" s="619"/>
      <c r="CS394" s="619"/>
      <c r="CT394" s="619"/>
      <c r="CU394" s="619"/>
      <c r="CV394" s="619"/>
      <c r="CW394" s="619"/>
      <c r="CX394" s="619"/>
      <c r="CY394" s="619"/>
      <c r="CZ394" s="619"/>
      <c r="DA394" s="619"/>
      <c r="DB394" s="619"/>
      <c r="DC394" s="619"/>
      <c r="DD394" s="619"/>
      <c r="DE394" s="619"/>
      <c r="DF394" s="619"/>
      <c r="DG394" s="619"/>
      <c r="DH394" s="619"/>
      <c r="DI394" s="619"/>
      <c r="DJ394" s="619"/>
      <c r="DK394" s="619"/>
      <c r="DL394" s="619"/>
      <c r="DM394" s="619"/>
      <c r="DN394" s="619"/>
      <c r="DO394" s="619"/>
      <c r="DP394" s="619"/>
      <c r="DQ394" s="620"/>
      <c r="DR394" s="233"/>
    </row>
    <row r="395" spans="1:122" ht="7.5" customHeight="1" x14ac:dyDescent="0.25">
      <c r="A395" s="119"/>
      <c r="B395" s="119"/>
      <c r="C395" s="119"/>
      <c r="D395" s="119"/>
      <c r="E395" s="119"/>
      <c r="F395" s="624">
        <f>G392</f>
        <v>0</v>
      </c>
      <c r="G395" s="624"/>
      <c r="H395" s="624"/>
      <c r="I395" s="624"/>
      <c r="J395" s="624"/>
      <c r="K395" s="625">
        <f>IF(A392&gt;0,Z392,0)</f>
        <v>0</v>
      </c>
      <c r="L395" s="625"/>
      <c r="M395" s="625"/>
      <c r="N395" s="626" t="e">
        <f>IF($G392&lt;&gt;"",VLOOKUP($G392,'Merit Data'!$A:$BW,MATCH('Merit Data'!$B$3,'Merit Data'!$3:$3,0),0),TRUE)</f>
        <v>#N/A</v>
      </c>
      <c r="O395" s="626"/>
      <c r="P395" s="626"/>
      <c r="Q395" s="155"/>
      <c r="R395" s="140"/>
      <c r="S395" s="140"/>
      <c r="T395" s="140"/>
      <c r="U395" s="140"/>
      <c r="V395" s="238"/>
      <c r="W395" s="238"/>
      <c r="X395" s="627" t="str">
        <f>IF(F395&gt;0,HYPERLINK("http://wiki.project-saros.com/w/"&amp;F395,"Info"),"")</f>
        <v/>
      </c>
      <c r="Y395" s="628"/>
      <c r="Z395" s="604"/>
      <c r="AA395" s="604"/>
      <c r="AB395" s="604"/>
      <c r="AC395" s="604"/>
      <c r="AD395" s="604"/>
      <c r="AE395" s="604"/>
      <c r="AF395" s="604"/>
      <c r="AG395" s="605"/>
      <c r="AH395" s="612"/>
      <c r="AI395" s="613"/>
      <c r="AJ395" s="613"/>
      <c r="AK395" s="613"/>
      <c r="AL395" s="613"/>
      <c r="AM395" s="613"/>
      <c r="AN395" s="613"/>
      <c r="AO395" s="613"/>
      <c r="AP395" s="613"/>
      <c r="AQ395" s="613"/>
      <c r="AR395" s="613"/>
      <c r="AS395" s="613"/>
      <c r="AT395" s="613"/>
      <c r="AU395" s="613"/>
      <c r="AV395" s="613"/>
      <c r="AW395" s="614"/>
      <c r="AX395" s="621"/>
      <c r="AY395" s="622"/>
      <c r="AZ395" s="622"/>
      <c r="BA395" s="622"/>
      <c r="BB395" s="622"/>
      <c r="BC395" s="622"/>
      <c r="BD395" s="622"/>
      <c r="BE395" s="622"/>
      <c r="BF395" s="622"/>
      <c r="BG395" s="622"/>
      <c r="BH395" s="622"/>
      <c r="BI395" s="622"/>
      <c r="BJ395" s="622"/>
      <c r="BK395" s="622"/>
      <c r="BL395" s="622"/>
      <c r="BM395" s="622"/>
      <c r="BN395" s="622"/>
      <c r="BO395" s="622"/>
      <c r="BP395" s="622"/>
      <c r="BQ395" s="622"/>
      <c r="BR395" s="622"/>
      <c r="BS395" s="622"/>
      <c r="BT395" s="622"/>
      <c r="BU395" s="622"/>
      <c r="BV395" s="622"/>
      <c r="BW395" s="622"/>
      <c r="BX395" s="622"/>
      <c r="BY395" s="622"/>
      <c r="BZ395" s="622"/>
      <c r="CA395" s="622"/>
      <c r="CB395" s="622"/>
      <c r="CC395" s="622"/>
      <c r="CD395" s="622"/>
      <c r="CE395" s="622"/>
      <c r="CF395" s="622"/>
      <c r="CG395" s="622"/>
      <c r="CH395" s="622"/>
      <c r="CI395" s="622"/>
      <c r="CJ395" s="622"/>
      <c r="CK395" s="622"/>
      <c r="CL395" s="622"/>
      <c r="CM395" s="622"/>
      <c r="CN395" s="622"/>
      <c r="CO395" s="622"/>
      <c r="CP395" s="622"/>
      <c r="CQ395" s="622"/>
      <c r="CR395" s="622"/>
      <c r="CS395" s="622"/>
      <c r="CT395" s="622"/>
      <c r="CU395" s="622"/>
      <c r="CV395" s="622"/>
      <c r="CW395" s="622"/>
      <c r="CX395" s="622"/>
      <c r="CY395" s="622"/>
      <c r="CZ395" s="622"/>
      <c r="DA395" s="622"/>
      <c r="DB395" s="622"/>
      <c r="DC395" s="622"/>
      <c r="DD395" s="622"/>
      <c r="DE395" s="622"/>
      <c r="DF395" s="622"/>
      <c r="DG395" s="622"/>
      <c r="DH395" s="622"/>
      <c r="DI395" s="622"/>
      <c r="DJ395" s="622"/>
      <c r="DK395" s="622"/>
      <c r="DL395" s="622"/>
      <c r="DM395" s="622"/>
      <c r="DN395" s="622"/>
      <c r="DO395" s="622"/>
      <c r="DP395" s="622"/>
      <c r="DQ395" s="623"/>
      <c r="DR395" s="233"/>
    </row>
    <row r="396" spans="1:122" ht="7.5" customHeight="1" x14ac:dyDescent="0.25">
      <c r="A396" s="588"/>
      <c r="B396" s="589"/>
      <c r="C396" s="589"/>
      <c r="D396" s="589"/>
      <c r="E396" s="590"/>
      <c r="F396" s="152"/>
      <c r="G396" s="597">
        <f>INDEX('Merit Data'!A:A,ROW('Merit Data'!A130:A131)-COUNTA($G$272:G395)*2,COLUMN('Merit Data'!A130:A131))</f>
        <v>0</v>
      </c>
      <c r="H396" s="597"/>
      <c r="I396" s="597"/>
      <c r="J396" s="597"/>
      <c r="K396" s="597"/>
      <c r="L396" s="597"/>
      <c r="M396" s="597"/>
      <c r="N396" s="597"/>
      <c r="O396" s="597"/>
      <c r="P396" s="597"/>
      <c r="Q396" s="597"/>
      <c r="R396" s="597"/>
      <c r="S396" s="597"/>
      <c r="T396" s="597"/>
      <c r="U396" s="597"/>
      <c r="V396" s="597"/>
      <c r="W396" s="597"/>
      <c r="X396" s="597"/>
      <c r="Y396" s="597"/>
      <c r="Z396" s="600" t="e">
        <f>VLOOKUP($G396,'Merit Data'!$A:$BW,MATCH('Merit Data'!$E$3,'Merit Data'!$3:$3,0),0)</f>
        <v>#N/A</v>
      </c>
      <c r="AA396" s="600"/>
      <c r="AB396" s="600"/>
      <c r="AC396" s="600"/>
      <c r="AD396" s="600"/>
      <c r="AE396" s="600"/>
      <c r="AF396" s="600"/>
      <c r="AG396" s="601"/>
      <c r="AH396" s="606" t="str">
        <f>IF(NOT(ISERROR(VLOOKUP($G396,'Merit Data'!$A:$CE,MATCH('Merit Data'!$BX$3,'Merit Data'!$3:$3,0),0))),VLOOKUP($G396,'Merit Data'!$A:$CE,MATCH('Merit Data'!$BX$3,'Merit Data'!$3:$3,0),0),"")</f>
        <v/>
      </c>
      <c r="AI396" s="607"/>
      <c r="AJ396" s="607"/>
      <c r="AK396" s="607"/>
      <c r="AL396" s="607"/>
      <c r="AM396" s="607"/>
      <c r="AN396" s="607"/>
      <c r="AO396" s="607"/>
      <c r="AP396" s="607"/>
      <c r="AQ396" s="607"/>
      <c r="AR396" s="607"/>
      <c r="AS396" s="607"/>
      <c r="AT396" s="607"/>
      <c r="AU396" s="607"/>
      <c r="AV396" s="607"/>
      <c r="AW396" s="608"/>
      <c r="AX396" s="615" t="e">
        <f>VLOOKUP($G396,'Merit Data'!$A:$BW,MATCH('Merit Data'!$F$3,'Merit Data'!$3:$3,0),0)</f>
        <v>#N/A</v>
      </c>
      <c r="AY396" s="616"/>
      <c r="AZ396" s="616"/>
      <c r="BA396" s="616"/>
      <c r="BB396" s="616"/>
      <c r="BC396" s="616"/>
      <c r="BD396" s="616"/>
      <c r="BE396" s="616"/>
      <c r="BF396" s="616"/>
      <c r="BG396" s="616"/>
      <c r="BH396" s="616"/>
      <c r="BI396" s="616"/>
      <c r="BJ396" s="616"/>
      <c r="BK396" s="616"/>
      <c r="BL396" s="616"/>
      <c r="BM396" s="616"/>
      <c r="BN396" s="616"/>
      <c r="BO396" s="616"/>
      <c r="BP396" s="616"/>
      <c r="BQ396" s="616"/>
      <c r="BR396" s="616"/>
      <c r="BS396" s="616"/>
      <c r="BT396" s="616"/>
      <c r="BU396" s="616"/>
      <c r="BV396" s="616"/>
      <c r="BW396" s="616"/>
      <c r="BX396" s="616"/>
      <c r="BY396" s="616"/>
      <c r="BZ396" s="616"/>
      <c r="CA396" s="616"/>
      <c r="CB396" s="616"/>
      <c r="CC396" s="616"/>
      <c r="CD396" s="616"/>
      <c r="CE396" s="616"/>
      <c r="CF396" s="616"/>
      <c r="CG396" s="616"/>
      <c r="CH396" s="616"/>
      <c r="CI396" s="616"/>
      <c r="CJ396" s="616"/>
      <c r="CK396" s="616"/>
      <c r="CL396" s="616"/>
      <c r="CM396" s="616"/>
      <c r="CN396" s="616"/>
      <c r="CO396" s="616"/>
      <c r="CP396" s="616"/>
      <c r="CQ396" s="616"/>
      <c r="CR396" s="616"/>
      <c r="CS396" s="616"/>
      <c r="CT396" s="616"/>
      <c r="CU396" s="616"/>
      <c r="CV396" s="616"/>
      <c r="CW396" s="616"/>
      <c r="CX396" s="616"/>
      <c r="CY396" s="616"/>
      <c r="CZ396" s="616"/>
      <c r="DA396" s="616"/>
      <c r="DB396" s="616"/>
      <c r="DC396" s="616"/>
      <c r="DD396" s="616"/>
      <c r="DE396" s="616"/>
      <c r="DF396" s="616"/>
      <c r="DG396" s="616"/>
      <c r="DH396" s="616"/>
      <c r="DI396" s="616"/>
      <c r="DJ396" s="616"/>
      <c r="DK396" s="616"/>
      <c r="DL396" s="616"/>
      <c r="DM396" s="616"/>
      <c r="DN396" s="616"/>
      <c r="DO396" s="616"/>
      <c r="DP396" s="616"/>
      <c r="DQ396" s="617"/>
      <c r="DR396" s="233"/>
    </row>
    <row r="397" spans="1:122" ht="7.5" customHeight="1" x14ac:dyDescent="0.25">
      <c r="A397" s="591"/>
      <c r="B397" s="592"/>
      <c r="C397" s="592"/>
      <c r="D397" s="592"/>
      <c r="E397" s="593"/>
      <c r="F397" s="153"/>
      <c r="G397" s="598"/>
      <c r="H397" s="598"/>
      <c r="I397" s="598"/>
      <c r="J397" s="598"/>
      <c r="K397" s="598"/>
      <c r="L397" s="598"/>
      <c r="M397" s="598"/>
      <c r="N397" s="598"/>
      <c r="O397" s="598"/>
      <c r="P397" s="598"/>
      <c r="Q397" s="598"/>
      <c r="R397" s="598"/>
      <c r="S397" s="598"/>
      <c r="T397" s="598"/>
      <c r="U397" s="598"/>
      <c r="V397" s="598"/>
      <c r="W397" s="598"/>
      <c r="X397" s="598"/>
      <c r="Y397" s="598"/>
      <c r="Z397" s="602"/>
      <c r="AA397" s="602"/>
      <c r="AB397" s="602"/>
      <c r="AC397" s="602"/>
      <c r="AD397" s="602"/>
      <c r="AE397" s="602"/>
      <c r="AF397" s="602"/>
      <c r="AG397" s="603"/>
      <c r="AH397" s="609"/>
      <c r="AI397" s="610"/>
      <c r="AJ397" s="610"/>
      <c r="AK397" s="610"/>
      <c r="AL397" s="610"/>
      <c r="AM397" s="610"/>
      <c r="AN397" s="610"/>
      <c r="AO397" s="610"/>
      <c r="AP397" s="610"/>
      <c r="AQ397" s="610"/>
      <c r="AR397" s="610"/>
      <c r="AS397" s="610"/>
      <c r="AT397" s="610"/>
      <c r="AU397" s="610"/>
      <c r="AV397" s="610"/>
      <c r="AW397" s="611"/>
      <c r="AX397" s="618"/>
      <c r="AY397" s="619"/>
      <c r="AZ397" s="619"/>
      <c r="BA397" s="619"/>
      <c r="BB397" s="619"/>
      <c r="BC397" s="619"/>
      <c r="BD397" s="619"/>
      <c r="BE397" s="619"/>
      <c r="BF397" s="619"/>
      <c r="BG397" s="619"/>
      <c r="BH397" s="619"/>
      <c r="BI397" s="619"/>
      <c r="BJ397" s="619"/>
      <c r="BK397" s="619"/>
      <c r="BL397" s="619"/>
      <c r="BM397" s="619"/>
      <c r="BN397" s="619"/>
      <c r="BO397" s="619"/>
      <c r="BP397" s="619"/>
      <c r="BQ397" s="619"/>
      <c r="BR397" s="619"/>
      <c r="BS397" s="619"/>
      <c r="BT397" s="619"/>
      <c r="BU397" s="619"/>
      <c r="BV397" s="619"/>
      <c r="BW397" s="619"/>
      <c r="BX397" s="619"/>
      <c r="BY397" s="619"/>
      <c r="BZ397" s="619"/>
      <c r="CA397" s="619"/>
      <c r="CB397" s="619"/>
      <c r="CC397" s="619"/>
      <c r="CD397" s="619"/>
      <c r="CE397" s="619"/>
      <c r="CF397" s="619"/>
      <c r="CG397" s="619"/>
      <c r="CH397" s="619"/>
      <c r="CI397" s="619"/>
      <c r="CJ397" s="619"/>
      <c r="CK397" s="619"/>
      <c r="CL397" s="619"/>
      <c r="CM397" s="619"/>
      <c r="CN397" s="619"/>
      <c r="CO397" s="619"/>
      <c r="CP397" s="619"/>
      <c r="CQ397" s="619"/>
      <c r="CR397" s="619"/>
      <c r="CS397" s="619"/>
      <c r="CT397" s="619"/>
      <c r="CU397" s="619"/>
      <c r="CV397" s="619"/>
      <c r="CW397" s="619"/>
      <c r="CX397" s="619"/>
      <c r="CY397" s="619"/>
      <c r="CZ397" s="619"/>
      <c r="DA397" s="619"/>
      <c r="DB397" s="619"/>
      <c r="DC397" s="619"/>
      <c r="DD397" s="619"/>
      <c r="DE397" s="619"/>
      <c r="DF397" s="619"/>
      <c r="DG397" s="619"/>
      <c r="DH397" s="619"/>
      <c r="DI397" s="619"/>
      <c r="DJ397" s="619"/>
      <c r="DK397" s="619"/>
      <c r="DL397" s="619"/>
      <c r="DM397" s="619"/>
      <c r="DN397" s="619"/>
      <c r="DO397" s="619"/>
      <c r="DP397" s="619"/>
      <c r="DQ397" s="620"/>
      <c r="DR397" s="233"/>
    </row>
    <row r="398" spans="1:122" ht="7.5" customHeight="1" x14ac:dyDescent="0.25">
      <c r="A398" s="594"/>
      <c r="B398" s="595"/>
      <c r="C398" s="595"/>
      <c r="D398" s="595"/>
      <c r="E398" s="596"/>
      <c r="F398" s="154"/>
      <c r="G398" s="599"/>
      <c r="H398" s="599"/>
      <c r="I398" s="599"/>
      <c r="J398" s="599"/>
      <c r="K398" s="599"/>
      <c r="L398" s="599"/>
      <c r="M398" s="599"/>
      <c r="N398" s="599"/>
      <c r="O398" s="599"/>
      <c r="P398" s="599"/>
      <c r="Q398" s="599"/>
      <c r="R398" s="599"/>
      <c r="S398" s="599"/>
      <c r="T398" s="599"/>
      <c r="U398" s="599"/>
      <c r="V398" s="599"/>
      <c r="W398" s="599"/>
      <c r="X398" s="599"/>
      <c r="Y398" s="599"/>
      <c r="Z398" s="602"/>
      <c r="AA398" s="602"/>
      <c r="AB398" s="602"/>
      <c r="AC398" s="602"/>
      <c r="AD398" s="602"/>
      <c r="AE398" s="602"/>
      <c r="AF398" s="602"/>
      <c r="AG398" s="603"/>
      <c r="AH398" s="609"/>
      <c r="AI398" s="610"/>
      <c r="AJ398" s="610"/>
      <c r="AK398" s="610"/>
      <c r="AL398" s="610"/>
      <c r="AM398" s="610"/>
      <c r="AN398" s="610"/>
      <c r="AO398" s="610"/>
      <c r="AP398" s="610"/>
      <c r="AQ398" s="610"/>
      <c r="AR398" s="610"/>
      <c r="AS398" s="610"/>
      <c r="AT398" s="610"/>
      <c r="AU398" s="610"/>
      <c r="AV398" s="610"/>
      <c r="AW398" s="611"/>
      <c r="AX398" s="618"/>
      <c r="AY398" s="619"/>
      <c r="AZ398" s="619"/>
      <c r="BA398" s="619"/>
      <c r="BB398" s="619"/>
      <c r="BC398" s="619"/>
      <c r="BD398" s="619"/>
      <c r="BE398" s="619"/>
      <c r="BF398" s="619"/>
      <c r="BG398" s="619"/>
      <c r="BH398" s="619"/>
      <c r="BI398" s="619"/>
      <c r="BJ398" s="619"/>
      <c r="BK398" s="619"/>
      <c r="BL398" s="619"/>
      <c r="BM398" s="619"/>
      <c r="BN398" s="619"/>
      <c r="BO398" s="619"/>
      <c r="BP398" s="619"/>
      <c r="BQ398" s="619"/>
      <c r="BR398" s="619"/>
      <c r="BS398" s="619"/>
      <c r="BT398" s="619"/>
      <c r="BU398" s="619"/>
      <c r="BV398" s="619"/>
      <c r="BW398" s="619"/>
      <c r="BX398" s="619"/>
      <c r="BY398" s="619"/>
      <c r="BZ398" s="619"/>
      <c r="CA398" s="619"/>
      <c r="CB398" s="619"/>
      <c r="CC398" s="619"/>
      <c r="CD398" s="619"/>
      <c r="CE398" s="619"/>
      <c r="CF398" s="619"/>
      <c r="CG398" s="619"/>
      <c r="CH398" s="619"/>
      <c r="CI398" s="619"/>
      <c r="CJ398" s="619"/>
      <c r="CK398" s="619"/>
      <c r="CL398" s="619"/>
      <c r="CM398" s="619"/>
      <c r="CN398" s="619"/>
      <c r="CO398" s="619"/>
      <c r="CP398" s="619"/>
      <c r="CQ398" s="619"/>
      <c r="CR398" s="619"/>
      <c r="CS398" s="619"/>
      <c r="CT398" s="619"/>
      <c r="CU398" s="619"/>
      <c r="CV398" s="619"/>
      <c r="CW398" s="619"/>
      <c r="CX398" s="619"/>
      <c r="CY398" s="619"/>
      <c r="CZ398" s="619"/>
      <c r="DA398" s="619"/>
      <c r="DB398" s="619"/>
      <c r="DC398" s="619"/>
      <c r="DD398" s="619"/>
      <c r="DE398" s="619"/>
      <c r="DF398" s="619"/>
      <c r="DG398" s="619"/>
      <c r="DH398" s="619"/>
      <c r="DI398" s="619"/>
      <c r="DJ398" s="619"/>
      <c r="DK398" s="619"/>
      <c r="DL398" s="619"/>
      <c r="DM398" s="619"/>
      <c r="DN398" s="619"/>
      <c r="DO398" s="619"/>
      <c r="DP398" s="619"/>
      <c r="DQ398" s="620"/>
      <c r="DR398" s="233"/>
    </row>
    <row r="399" spans="1:122" ht="7.5" customHeight="1" x14ac:dyDescent="0.25">
      <c r="A399" s="119"/>
      <c r="B399" s="119"/>
      <c r="C399" s="119"/>
      <c r="D399" s="119"/>
      <c r="E399" s="119"/>
      <c r="F399" s="624">
        <f>G396</f>
        <v>0</v>
      </c>
      <c r="G399" s="624"/>
      <c r="H399" s="624"/>
      <c r="I399" s="624"/>
      <c r="J399" s="624"/>
      <c r="K399" s="625">
        <f>IF(A396&gt;0,Z396,0)</f>
        <v>0</v>
      </c>
      <c r="L399" s="625"/>
      <c r="M399" s="625"/>
      <c r="N399" s="626" t="e">
        <f>IF($G396&lt;&gt;"",VLOOKUP($G396,'Merit Data'!$A:$BW,MATCH('Merit Data'!$B$3,'Merit Data'!$3:$3,0),0),TRUE)</f>
        <v>#N/A</v>
      </c>
      <c r="O399" s="626"/>
      <c r="P399" s="626"/>
      <c r="Q399" s="155"/>
      <c r="R399" s="140"/>
      <c r="S399" s="140"/>
      <c r="T399" s="140"/>
      <c r="U399" s="140"/>
      <c r="V399" s="238"/>
      <c r="W399" s="238"/>
      <c r="X399" s="627" t="str">
        <f>IF(F399&gt;0,HYPERLINK("http://wiki.project-saros.com/w/"&amp;F399,"Info"),"")</f>
        <v/>
      </c>
      <c r="Y399" s="628"/>
      <c r="Z399" s="604"/>
      <c r="AA399" s="604"/>
      <c r="AB399" s="604"/>
      <c r="AC399" s="604"/>
      <c r="AD399" s="604"/>
      <c r="AE399" s="604"/>
      <c r="AF399" s="604"/>
      <c r="AG399" s="605"/>
      <c r="AH399" s="612"/>
      <c r="AI399" s="613"/>
      <c r="AJ399" s="613"/>
      <c r="AK399" s="613"/>
      <c r="AL399" s="613"/>
      <c r="AM399" s="613"/>
      <c r="AN399" s="613"/>
      <c r="AO399" s="613"/>
      <c r="AP399" s="613"/>
      <c r="AQ399" s="613"/>
      <c r="AR399" s="613"/>
      <c r="AS399" s="613"/>
      <c r="AT399" s="613"/>
      <c r="AU399" s="613"/>
      <c r="AV399" s="613"/>
      <c r="AW399" s="614"/>
      <c r="AX399" s="621"/>
      <c r="AY399" s="622"/>
      <c r="AZ399" s="622"/>
      <c r="BA399" s="622"/>
      <c r="BB399" s="622"/>
      <c r="BC399" s="622"/>
      <c r="BD399" s="622"/>
      <c r="BE399" s="622"/>
      <c r="BF399" s="622"/>
      <c r="BG399" s="622"/>
      <c r="BH399" s="622"/>
      <c r="BI399" s="622"/>
      <c r="BJ399" s="622"/>
      <c r="BK399" s="622"/>
      <c r="BL399" s="622"/>
      <c r="BM399" s="622"/>
      <c r="BN399" s="622"/>
      <c r="BO399" s="622"/>
      <c r="BP399" s="622"/>
      <c r="BQ399" s="622"/>
      <c r="BR399" s="622"/>
      <c r="BS399" s="622"/>
      <c r="BT399" s="622"/>
      <c r="BU399" s="622"/>
      <c r="BV399" s="622"/>
      <c r="BW399" s="622"/>
      <c r="BX399" s="622"/>
      <c r="BY399" s="622"/>
      <c r="BZ399" s="622"/>
      <c r="CA399" s="622"/>
      <c r="CB399" s="622"/>
      <c r="CC399" s="622"/>
      <c r="CD399" s="622"/>
      <c r="CE399" s="622"/>
      <c r="CF399" s="622"/>
      <c r="CG399" s="622"/>
      <c r="CH399" s="622"/>
      <c r="CI399" s="622"/>
      <c r="CJ399" s="622"/>
      <c r="CK399" s="622"/>
      <c r="CL399" s="622"/>
      <c r="CM399" s="622"/>
      <c r="CN399" s="622"/>
      <c r="CO399" s="622"/>
      <c r="CP399" s="622"/>
      <c r="CQ399" s="622"/>
      <c r="CR399" s="622"/>
      <c r="CS399" s="622"/>
      <c r="CT399" s="622"/>
      <c r="CU399" s="622"/>
      <c r="CV399" s="622"/>
      <c r="CW399" s="622"/>
      <c r="CX399" s="622"/>
      <c r="CY399" s="622"/>
      <c r="CZ399" s="622"/>
      <c r="DA399" s="622"/>
      <c r="DB399" s="622"/>
      <c r="DC399" s="622"/>
      <c r="DD399" s="622"/>
      <c r="DE399" s="622"/>
      <c r="DF399" s="622"/>
      <c r="DG399" s="622"/>
      <c r="DH399" s="622"/>
      <c r="DI399" s="622"/>
      <c r="DJ399" s="622"/>
      <c r="DK399" s="622"/>
      <c r="DL399" s="622"/>
      <c r="DM399" s="622"/>
      <c r="DN399" s="622"/>
      <c r="DO399" s="622"/>
      <c r="DP399" s="622"/>
      <c r="DQ399" s="623"/>
      <c r="DR399" s="233"/>
    </row>
    <row r="400" spans="1:122" ht="7.5" customHeight="1" x14ac:dyDescent="0.25">
      <c r="A400" s="588"/>
      <c r="B400" s="589"/>
      <c r="C400" s="589"/>
      <c r="D400" s="589"/>
      <c r="E400" s="590"/>
      <c r="F400" s="152"/>
      <c r="G400" s="597">
        <f>INDEX('Merit Data'!A:A,ROW('Merit Data'!A134:A135)-COUNTA($G$272:G399)*2,COLUMN('Merit Data'!A134:A135))</f>
        <v>0</v>
      </c>
      <c r="H400" s="597"/>
      <c r="I400" s="597"/>
      <c r="J400" s="597"/>
      <c r="K400" s="597"/>
      <c r="L400" s="597"/>
      <c r="M400" s="597"/>
      <c r="N400" s="597"/>
      <c r="O400" s="597"/>
      <c r="P400" s="597"/>
      <c r="Q400" s="597"/>
      <c r="R400" s="597"/>
      <c r="S400" s="597"/>
      <c r="T400" s="597"/>
      <c r="U400" s="597"/>
      <c r="V400" s="597"/>
      <c r="W400" s="597"/>
      <c r="X400" s="597"/>
      <c r="Y400" s="597"/>
      <c r="Z400" s="600" t="e">
        <f>VLOOKUP($G400,'Merit Data'!$A:$BW,MATCH('Merit Data'!$E$3,'Merit Data'!$3:$3,0),0)</f>
        <v>#N/A</v>
      </c>
      <c r="AA400" s="600"/>
      <c r="AB400" s="600"/>
      <c r="AC400" s="600"/>
      <c r="AD400" s="600"/>
      <c r="AE400" s="600"/>
      <c r="AF400" s="600"/>
      <c r="AG400" s="601"/>
      <c r="AH400" s="606" t="str">
        <f>IF(NOT(ISERROR(VLOOKUP($G400,'Merit Data'!$A:$CE,MATCH('Merit Data'!$BX$3,'Merit Data'!$3:$3,0),0))),VLOOKUP($G400,'Merit Data'!$A:$CE,MATCH('Merit Data'!$BX$3,'Merit Data'!$3:$3,0),0),"")</f>
        <v/>
      </c>
      <c r="AI400" s="607"/>
      <c r="AJ400" s="607"/>
      <c r="AK400" s="607"/>
      <c r="AL400" s="607"/>
      <c r="AM400" s="607"/>
      <c r="AN400" s="607"/>
      <c r="AO400" s="607"/>
      <c r="AP400" s="607"/>
      <c r="AQ400" s="607"/>
      <c r="AR400" s="607"/>
      <c r="AS400" s="607"/>
      <c r="AT400" s="607"/>
      <c r="AU400" s="607"/>
      <c r="AV400" s="607"/>
      <c r="AW400" s="608"/>
      <c r="AX400" s="615" t="e">
        <f>VLOOKUP($G400,'Merit Data'!$A:$BW,MATCH('Merit Data'!$F$3,'Merit Data'!$3:$3,0),0)</f>
        <v>#N/A</v>
      </c>
      <c r="AY400" s="616"/>
      <c r="AZ400" s="616"/>
      <c r="BA400" s="616"/>
      <c r="BB400" s="616"/>
      <c r="BC400" s="616"/>
      <c r="BD400" s="616"/>
      <c r="BE400" s="616"/>
      <c r="BF400" s="616"/>
      <c r="BG400" s="616"/>
      <c r="BH400" s="616"/>
      <c r="BI400" s="616"/>
      <c r="BJ400" s="616"/>
      <c r="BK400" s="616"/>
      <c r="BL400" s="616"/>
      <c r="BM400" s="616"/>
      <c r="BN400" s="616"/>
      <c r="BO400" s="616"/>
      <c r="BP400" s="616"/>
      <c r="BQ400" s="616"/>
      <c r="BR400" s="616"/>
      <c r="BS400" s="616"/>
      <c r="BT400" s="616"/>
      <c r="BU400" s="616"/>
      <c r="BV400" s="616"/>
      <c r="BW400" s="616"/>
      <c r="BX400" s="616"/>
      <c r="BY400" s="616"/>
      <c r="BZ400" s="616"/>
      <c r="CA400" s="616"/>
      <c r="CB400" s="616"/>
      <c r="CC400" s="616"/>
      <c r="CD400" s="616"/>
      <c r="CE400" s="616"/>
      <c r="CF400" s="616"/>
      <c r="CG400" s="616"/>
      <c r="CH400" s="616"/>
      <c r="CI400" s="616"/>
      <c r="CJ400" s="616"/>
      <c r="CK400" s="616"/>
      <c r="CL400" s="616"/>
      <c r="CM400" s="616"/>
      <c r="CN400" s="616"/>
      <c r="CO400" s="616"/>
      <c r="CP400" s="616"/>
      <c r="CQ400" s="616"/>
      <c r="CR400" s="616"/>
      <c r="CS400" s="616"/>
      <c r="CT400" s="616"/>
      <c r="CU400" s="616"/>
      <c r="CV400" s="616"/>
      <c r="CW400" s="616"/>
      <c r="CX400" s="616"/>
      <c r="CY400" s="616"/>
      <c r="CZ400" s="616"/>
      <c r="DA400" s="616"/>
      <c r="DB400" s="616"/>
      <c r="DC400" s="616"/>
      <c r="DD400" s="616"/>
      <c r="DE400" s="616"/>
      <c r="DF400" s="616"/>
      <c r="DG400" s="616"/>
      <c r="DH400" s="616"/>
      <c r="DI400" s="616"/>
      <c r="DJ400" s="616"/>
      <c r="DK400" s="616"/>
      <c r="DL400" s="616"/>
      <c r="DM400" s="616"/>
      <c r="DN400" s="616"/>
      <c r="DO400" s="616"/>
      <c r="DP400" s="616"/>
      <c r="DQ400" s="617"/>
      <c r="DR400" s="233"/>
    </row>
    <row r="401" spans="1:122" ht="7.5" customHeight="1" x14ac:dyDescent="0.25">
      <c r="A401" s="591"/>
      <c r="B401" s="592"/>
      <c r="C401" s="592"/>
      <c r="D401" s="592"/>
      <c r="E401" s="593"/>
      <c r="F401" s="153"/>
      <c r="G401" s="598"/>
      <c r="H401" s="598"/>
      <c r="I401" s="598"/>
      <c r="J401" s="598"/>
      <c r="K401" s="598"/>
      <c r="L401" s="598"/>
      <c r="M401" s="598"/>
      <c r="N401" s="598"/>
      <c r="O401" s="598"/>
      <c r="P401" s="598"/>
      <c r="Q401" s="598"/>
      <c r="R401" s="598"/>
      <c r="S401" s="598"/>
      <c r="T401" s="598"/>
      <c r="U401" s="598"/>
      <c r="V401" s="598"/>
      <c r="W401" s="598"/>
      <c r="X401" s="598"/>
      <c r="Y401" s="598"/>
      <c r="Z401" s="602"/>
      <c r="AA401" s="602"/>
      <c r="AB401" s="602"/>
      <c r="AC401" s="602"/>
      <c r="AD401" s="602"/>
      <c r="AE401" s="602"/>
      <c r="AF401" s="602"/>
      <c r="AG401" s="603"/>
      <c r="AH401" s="609"/>
      <c r="AI401" s="610"/>
      <c r="AJ401" s="610"/>
      <c r="AK401" s="610"/>
      <c r="AL401" s="610"/>
      <c r="AM401" s="610"/>
      <c r="AN401" s="610"/>
      <c r="AO401" s="610"/>
      <c r="AP401" s="610"/>
      <c r="AQ401" s="610"/>
      <c r="AR401" s="610"/>
      <c r="AS401" s="610"/>
      <c r="AT401" s="610"/>
      <c r="AU401" s="610"/>
      <c r="AV401" s="610"/>
      <c r="AW401" s="611"/>
      <c r="AX401" s="618"/>
      <c r="AY401" s="619"/>
      <c r="AZ401" s="619"/>
      <c r="BA401" s="619"/>
      <c r="BB401" s="619"/>
      <c r="BC401" s="619"/>
      <c r="BD401" s="619"/>
      <c r="BE401" s="619"/>
      <c r="BF401" s="619"/>
      <c r="BG401" s="619"/>
      <c r="BH401" s="619"/>
      <c r="BI401" s="619"/>
      <c r="BJ401" s="619"/>
      <c r="BK401" s="619"/>
      <c r="BL401" s="619"/>
      <c r="BM401" s="619"/>
      <c r="BN401" s="619"/>
      <c r="BO401" s="619"/>
      <c r="BP401" s="619"/>
      <c r="BQ401" s="619"/>
      <c r="BR401" s="619"/>
      <c r="BS401" s="619"/>
      <c r="BT401" s="619"/>
      <c r="BU401" s="619"/>
      <c r="BV401" s="619"/>
      <c r="BW401" s="619"/>
      <c r="BX401" s="619"/>
      <c r="BY401" s="619"/>
      <c r="BZ401" s="619"/>
      <c r="CA401" s="619"/>
      <c r="CB401" s="619"/>
      <c r="CC401" s="619"/>
      <c r="CD401" s="619"/>
      <c r="CE401" s="619"/>
      <c r="CF401" s="619"/>
      <c r="CG401" s="619"/>
      <c r="CH401" s="619"/>
      <c r="CI401" s="619"/>
      <c r="CJ401" s="619"/>
      <c r="CK401" s="619"/>
      <c r="CL401" s="619"/>
      <c r="CM401" s="619"/>
      <c r="CN401" s="619"/>
      <c r="CO401" s="619"/>
      <c r="CP401" s="619"/>
      <c r="CQ401" s="619"/>
      <c r="CR401" s="619"/>
      <c r="CS401" s="619"/>
      <c r="CT401" s="619"/>
      <c r="CU401" s="619"/>
      <c r="CV401" s="619"/>
      <c r="CW401" s="619"/>
      <c r="CX401" s="619"/>
      <c r="CY401" s="619"/>
      <c r="CZ401" s="619"/>
      <c r="DA401" s="619"/>
      <c r="DB401" s="619"/>
      <c r="DC401" s="619"/>
      <c r="DD401" s="619"/>
      <c r="DE401" s="619"/>
      <c r="DF401" s="619"/>
      <c r="DG401" s="619"/>
      <c r="DH401" s="619"/>
      <c r="DI401" s="619"/>
      <c r="DJ401" s="619"/>
      <c r="DK401" s="619"/>
      <c r="DL401" s="619"/>
      <c r="DM401" s="619"/>
      <c r="DN401" s="619"/>
      <c r="DO401" s="619"/>
      <c r="DP401" s="619"/>
      <c r="DQ401" s="620"/>
      <c r="DR401" s="233"/>
    </row>
    <row r="402" spans="1:122" ht="7.5" customHeight="1" x14ac:dyDescent="0.25">
      <c r="A402" s="594"/>
      <c r="B402" s="595"/>
      <c r="C402" s="595"/>
      <c r="D402" s="595"/>
      <c r="E402" s="596"/>
      <c r="F402" s="154"/>
      <c r="G402" s="599"/>
      <c r="H402" s="599"/>
      <c r="I402" s="599"/>
      <c r="J402" s="599"/>
      <c r="K402" s="599"/>
      <c r="L402" s="599"/>
      <c r="M402" s="599"/>
      <c r="N402" s="599"/>
      <c r="O402" s="599"/>
      <c r="P402" s="599"/>
      <c r="Q402" s="599"/>
      <c r="R402" s="599"/>
      <c r="S402" s="599"/>
      <c r="T402" s="599"/>
      <c r="U402" s="599"/>
      <c r="V402" s="599"/>
      <c r="W402" s="599"/>
      <c r="X402" s="599"/>
      <c r="Y402" s="599"/>
      <c r="Z402" s="602"/>
      <c r="AA402" s="602"/>
      <c r="AB402" s="602"/>
      <c r="AC402" s="602"/>
      <c r="AD402" s="602"/>
      <c r="AE402" s="602"/>
      <c r="AF402" s="602"/>
      <c r="AG402" s="603"/>
      <c r="AH402" s="609"/>
      <c r="AI402" s="610"/>
      <c r="AJ402" s="610"/>
      <c r="AK402" s="610"/>
      <c r="AL402" s="610"/>
      <c r="AM402" s="610"/>
      <c r="AN402" s="610"/>
      <c r="AO402" s="610"/>
      <c r="AP402" s="610"/>
      <c r="AQ402" s="610"/>
      <c r="AR402" s="610"/>
      <c r="AS402" s="610"/>
      <c r="AT402" s="610"/>
      <c r="AU402" s="610"/>
      <c r="AV402" s="610"/>
      <c r="AW402" s="611"/>
      <c r="AX402" s="618"/>
      <c r="AY402" s="619"/>
      <c r="AZ402" s="619"/>
      <c r="BA402" s="619"/>
      <c r="BB402" s="619"/>
      <c r="BC402" s="619"/>
      <c r="BD402" s="619"/>
      <c r="BE402" s="619"/>
      <c r="BF402" s="619"/>
      <c r="BG402" s="619"/>
      <c r="BH402" s="619"/>
      <c r="BI402" s="619"/>
      <c r="BJ402" s="619"/>
      <c r="BK402" s="619"/>
      <c r="BL402" s="619"/>
      <c r="BM402" s="619"/>
      <c r="BN402" s="619"/>
      <c r="BO402" s="619"/>
      <c r="BP402" s="619"/>
      <c r="BQ402" s="619"/>
      <c r="BR402" s="619"/>
      <c r="BS402" s="619"/>
      <c r="BT402" s="619"/>
      <c r="BU402" s="619"/>
      <c r="BV402" s="619"/>
      <c r="BW402" s="619"/>
      <c r="BX402" s="619"/>
      <c r="BY402" s="619"/>
      <c r="BZ402" s="619"/>
      <c r="CA402" s="619"/>
      <c r="CB402" s="619"/>
      <c r="CC402" s="619"/>
      <c r="CD402" s="619"/>
      <c r="CE402" s="619"/>
      <c r="CF402" s="619"/>
      <c r="CG402" s="619"/>
      <c r="CH402" s="619"/>
      <c r="CI402" s="619"/>
      <c r="CJ402" s="619"/>
      <c r="CK402" s="619"/>
      <c r="CL402" s="619"/>
      <c r="CM402" s="619"/>
      <c r="CN402" s="619"/>
      <c r="CO402" s="619"/>
      <c r="CP402" s="619"/>
      <c r="CQ402" s="619"/>
      <c r="CR402" s="619"/>
      <c r="CS402" s="619"/>
      <c r="CT402" s="619"/>
      <c r="CU402" s="619"/>
      <c r="CV402" s="619"/>
      <c r="CW402" s="619"/>
      <c r="CX402" s="619"/>
      <c r="CY402" s="619"/>
      <c r="CZ402" s="619"/>
      <c r="DA402" s="619"/>
      <c r="DB402" s="619"/>
      <c r="DC402" s="619"/>
      <c r="DD402" s="619"/>
      <c r="DE402" s="619"/>
      <c r="DF402" s="619"/>
      <c r="DG402" s="619"/>
      <c r="DH402" s="619"/>
      <c r="DI402" s="619"/>
      <c r="DJ402" s="619"/>
      <c r="DK402" s="619"/>
      <c r="DL402" s="619"/>
      <c r="DM402" s="619"/>
      <c r="DN402" s="619"/>
      <c r="DO402" s="619"/>
      <c r="DP402" s="619"/>
      <c r="DQ402" s="620"/>
      <c r="DR402" s="233"/>
    </row>
    <row r="403" spans="1:122" ht="7.5" customHeight="1" x14ac:dyDescent="0.25">
      <c r="A403" s="119"/>
      <c r="B403" s="119"/>
      <c r="C403" s="119"/>
      <c r="D403" s="119"/>
      <c r="E403" s="119"/>
      <c r="F403" s="624">
        <f>G400</f>
        <v>0</v>
      </c>
      <c r="G403" s="624"/>
      <c r="H403" s="624"/>
      <c r="I403" s="624"/>
      <c r="J403" s="624"/>
      <c r="K403" s="625">
        <f>IF(A400&gt;0,Z400,0)</f>
        <v>0</v>
      </c>
      <c r="L403" s="625"/>
      <c r="M403" s="625"/>
      <c r="N403" s="626" t="e">
        <f>IF($G400&lt;&gt;"",VLOOKUP($G400,'Merit Data'!$A:$BW,MATCH('Merit Data'!$B$3,'Merit Data'!$3:$3,0),0),TRUE)</f>
        <v>#N/A</v>
      </c>
      <c r="O403" s="626"/>
      <c r="P403" s="626"/>
      <c r="Q403" s="155"/>
      <c r="R403" s="140"/>
      <c r="S403" s="140"/>
      <c r="T403" s="140"/>
      <c r="U403" s="140"/>
      <c r="V403" s="238"/>
      <c r="W403" s="238"/>
      <c r="X403" s="627" t="str">
        <f>IF(F403&gt;0,HYPERLINK("http://wiki.project-saros.com/w/"&amp;F403,"Info"),"")</f>
        <v/>
      </c>
      <c r="Y403" s="628"/>
      <c r="Z403" s="604"/>
      <c r="AA403" s="604"/>
      <c r="AB403" s="604"/>
      <c r="AC403" s="604"/>
      <c r="AD403" s="604"/>
      <c r="AE403" s="604"/>
      <c r="AF403" s="604"/>
      <c r="AG403" s="605"/>
      <c r="AH403" s="612"/>
      <c r="AI403" s="613"/>
      <c r="AJ403" s="613"/>
      <c r="AK403" s="613"/>
      <c r="AL403" s="613"/>
      <c r="AM403" s="613"/>
      <c r="AN403" s="613"/>
      <c r="AO403" s="613"/>
      <c r="AP403" s="613"/>
      <c r="AQ403" s="613"/>
      <c r="AR403" s="613"/>
      <c r="AS403" s="613"/>
      <c r="AT403" s="613"/>
      <c r="AU403" s="613"/>
      <c r="AV403" s="613"/>
      <c r="AW403" s="614"/>
      <c r="AX403" s="621"/>
      <c r="AY403" s="622"/>
      <c r="AZ403" s="622"/>
      <c r="BA403" s="622"/>
      <c r="BB403" s="622"/>
      <c r="BC403" s="622"/>
      <c r="BD403" s="622"/>
      <c r="BE403" s="622"/>
      <c r="BF403" s="622"/>
      <c r="BG403" s="622"/>
      <c r="BH403" s="622"/>
      <c r="BI403" s="622"/>
      <c r="BJ403" s="622"/>
      <c r="BK403" s="622"/>
      <c r="BL403" s="622"/>
      <c r="BM403" s="622"/>
      <c r="BN403" s="622"/>
      <c r="BO403" s="622"/>
      <c r="BP403" s="622"/>
      <c r="BQ403" s="622"/>
      <c r="BR403" s="622"/>
      <c r="BS403" s="622"/>
      <c r="BT403" s="622"/>
      <c r="BU403" s="622"/>
      <c r="BV403" s="622"/>
      <c r="BW403" s="622"/>
      <c r="BX403" s="622"/>
      <c r="BY403" s="622"/>
      <c r="BZ403" s="622"/>
      <c r="CA403" s="622"/>
      <c r="CB403" s="622"/>
      <c r="CC403" s="622"/>
      <c r="CD403" s="622"/>
      <c r="CE403" s="622"/>
      <c r="CF403" s="622"/>
      <c r="CG403" s="622"/>
      <c r="CH403" s="622"/>
      <c r="CI403" s="622"/>
      <c r="CJ403" s="622"/>
      <c r="CK403" s="622"/>
      <c r="CL403" s="622"/>
      <c r="CM403" s="622"/>
      <c r="CN403" s="622"/>
      <c r="CO403" s="622"/>
      <c r="CP403" s="622"/>
      <c r="CQ403" s="622"/>
      <c r="CR403" s="622"/>
      <c r="CS403" s="622"/>
      <c r="CT403" s="622"/>
      <c r="CU403" s="622"/>
      <c r="CV403" s="622"/>
      <c r="CW403" s="622"/>
      <c r="CX403" s="622"/>
      <c r="CY403" s="622"/>
      <c r="CZ403" s="622"/>
      <c r="DA403" s="622"/>
      <c r="DB403" s="622"/>
      <c r="DC403" s="622"/>
      <c r="DD403" s="622"/>
      <c r="DE403" s="622"/>
      <c r="DF403" s="622"/>
      <c r="DG403" s="622"/>
      <c r="DH403" s="622"/>
      <c r="DI403" s="622"/>
      <c r="DJ403" s="622"/>
      <c r="DK403" s="622"/>
      <c r="DL403" s="622"/>
      <c r="DM403" s="622"/>
      <c r="DN403" s="622"/>
      <c r="DO403" s="622"/>
      <c r="DP403" s="622"/>
      <c r="DQ403" s="623"/>
      <c r="DR403" s="233"/>
    </row>
  </sheetData>
  <mergeCells count="857">
    <mergeCell ref="X44:Y44"/>
    <mergeCell ref="X40:Y40"/>
    <mergeCell ref="X36:Y36"/>
    <mergeCell ref="X32:Y32"/>
    <mergeCell ref="X28:Y28"/>
    <mergeCell ref="X403:Y403"/>
    <mergeCell ref="X399:Y399"/>
    <mergeCell ref="X395:Y395"/>
    <mergeCell ref="X391:Y391"/>
    <mergeCell ref="X387:Y387"/>
    <mergeCell ref="X383:Y383"/>
    <mergeCell ref="X379:Y379"/>
    <mergeCell ref="X375:Y375"/>
    <mergeCell ref="X371:Y371"/>
    <mergeCell ref="A257:AG259"/>
    <mergeCell ref="A260:E262"/>
    <mergeCell ref="G260:Y262"/>
    <mergeCell ref="Z260:AG263"/>
    <mergeCell ref="A190:E192"/>
    <mergeCell ref="G190:Y192"/>
    <mergeCell ref="Z190:AG193"/>
    <mergeCell ref="A143:E145"/>
    <mergeCell ref="G143:Y145"/>
    <mergeCell ref="Z143:AG146"/>
    <mergeCell ref="F154:J154"/>
    <mergeCell ref="K154:M154"/>
    <mergeCell ref="N154:P154"/>
    <mergeCell ref="F150:J150"/>
    <mergeCell ref="K150:M150"/>
    <mergeCell ref="N150:P150"/>
    <mergeCell ref="F20:J20"/>
    <mergeCell ref="F16:J16"/>
    <mergeCell ref="F48:J48"/>
    <mergeCell ref="F32:J32"/>
    <mergeCell ref="F28:J28"/>
    <mergeCell ref="F24:J24"/>
    <mergeCell ref="F44:J44"/>
    <mergeCell ref="F40:J40"/>
    <mergeCell ref="F36:J36"/>
    <mergeCell ref="N48:P48"/>
    <mergeCell ref="N44:P44"/>
    <mergeCell ref="N40:P40"/>
    <mergeCell ref="N36:P36"/>
    <mergeCell ref="N32:P32"/>
    <mergeCell ref="N28:P28"/>
    <mergeCell ref="N24:P24"/>
    <mergeCell ref="N20:P20"/>
    <mergeCell ref="N16:P16"/>
    <mergeCell ref="A280:E282"/>
    <mergeCell ref="AH280:AW283"/>
    <mergeCell ref="K283:M283"/>
    <mergeCell ref="G280:Y282"/>
    <mergeCell ref="Z280:AG283"/>
    <mergeCell ref="AX280:DQ283"/>
    <mergeCell ref="N283:P283"/>
    <mergeCell ref="N279:P279"/>
    <mergeCell ref="F279:J279"/>
    <mergeCell ref="F283:J283"/>
    <mergeCell ref="X283:Y283"/>
    <mergeCell ref="X279:Y279"/>
    <mergeCell ref="A272:E274"/>
    <mergeCell ref="G272:Y274"/>
    <mergeCell ref="Z272:AG275"/>
    <mergeCell ref="AH272:AW275"/>
    <mergeCell ref="AX272:DQ275"/>
    <mergeCell ref="K275:M275"/>
    <mergeCell ref="A276:E278"/>
    <mergeCell ref="G276:Y278"/>
    <mergeCell ref="Z276:AG279"/>
    <mergeCell ref="AH276:AW279"/>
    <mergeCell ref="AX276:DQ279"/>
    <mergeCell ref="K279:M279"/>
    <mergeCell ref="F275:J275"/>
    <mergeCell ref="N275:P275"/>
    <mergeCell ref="X275:Y275"/>
    <mergeCell ref="A268:E270"/>
    <mergeCell ref="G268:Y270"/>
    <mergeCell ref="Z268:AG271"/>
    <mergeCell ref="AH268:AW271"/>
    <mergeCell ref="AX268:DQ271"/>
    <mergeCell ref="K271:M271"/>
    <mergeCell ref="F271:J271"/>
    <mergeCell ref="N271:P271"/>
    <mergeCell ref="X271:Y271"/>
    <mergeCell ref="AH260:AW263"/>
    <mergeCell ref="AX260:DQ263"/>
    <mergeCell ref="K263:M263"/>
    <mergeCell ref="A264:E266"/>
    <mergeCell ref="G264:Y266"/>
    <mergeCell ref="Z264:AG267"/>
    <mergeCell ref="AH264:AW267"/>
    <mergeCell ref="AX264:DQ267"/>
    <mergeCell ref="K267:M267"/>
    <mergeCell ref="F267:J267"/>
    <mergeCell ref="F263:J263"/>
    <mergeCell ref="N267:P267"/>
    <mergeCell ref="N263:P263"/>
    <mergeCell ref="X267:Y267"/>
    <mergeCell ref="X263:Y263"/>
    <mergeCell ref="AX190:DQ193"/>
    <mergeCell ref="A194:E196"/>
    <mergeCell ref="G194:Y196"/>
    <mergeCell ref="Z194:AG197"/>
    <mergeCell ref="AX194:DQ197"/>
    <mergeCell ref="F197:J197"/>
    <mergeCell ref="K197:M197"/>
    <mergeCell ref="N197:P197"/>
    <mergeCell ref="F193:J193"/>
    <mergeCell ref="K193:M193"/>
    <mergeCell ref="N193:P193"/>
    <mergeCell ref="X197:Y197"/>
    <mergeCell ref="X193:Y193"/>
    <mergeCell ref="AX143:DQ146"/>
    <mergeCell ref="A147:E149"/>
    <mergeCell ref="G147:Y149"/>
    <mergeCell ref="Z147:AG150"/>
    <mergeCell ref="AX147:DQ150"/>
    <mergeCell ref="F146:J146"/>
    <mergeCell ref="K146:M146"/>
    <mergeCell ref="N146:P146"/>
    <mergeCell ref="X150:Y150"/>
    <mergeCell ref="X146:Y146"/>
    <mergeCell ref="A135:E137"/>
    <mergeCell ref="G135:Y137"/>
    <mergeCell ref="Z135:AG138"/>
    <mergeCell ref="AX135:DQ138"/>
    <mergeCell ref="A139:E141"/>
    <mergeCell ref="G139:Y141"/>
    <mergeCell ref="Z139:AG142"/>
    <mergeCell ref="AX139:DQ142"/>
    <mergeCell ref="F142:J142"/>
    <mergeCell ref="K142:M142"/>
    <mergeCell ref="N142:P142"/>
    <mergeCell ref="F138:J138"/>
    <mergeCell ref="K138:M138"/>
    <mergeCell ref="N138:P138"/>
    <mergeCell ref="X142:Y142"/>
    <mergeCell ref="X138:Y138"/>
    <mergeCell ref="A127:E129"/>
    <mergeCell ref="G127:Y129"/>
    <mergeCell ref="Z127:AG130"/>
    <mergeCell ref="AX127:DQ130"/>
    <mergeCell ref="A131:E133"/>
    <mergeCell ref="G131:Y133"/>
    <mergeCell ref="Z131:AG134"/>
    <mergeCell ref="AX131:DQ134"/>
    <mergeCell ref="F134:J134"/>
    <mergeCell ref="K134:M134"/>
    <mergeCell ref="N134:P134"/>
    <mergeCell ref="F130:J130"/>
    <mergeCell ref="K130:M130"/>
    <mergeCell ref="N130:P130"/>
    <mergeCell ref="X134:Y134"/>
    <mergeCell ref="X130:Y130"/>
    <mergeCell ref="A112:AG114"/>
    <mergeCell ref="A115:E117"/>
    <mergeCell ref="G115:Y117"/>
    <mergeCell ref="Z115:AG118"/>
    <mergeCell ref="AH115:AW118"/>
    <mergeCell ref="AX115:DQ118"/>
    <mergeCell ref="F118:J118"/>
    <mergeCell ref="K118:M118"/>
    <mergeCell ref="N118:P118"/>
    <mergeCell ref="X118:Y118"/>
    <mergeCell ref="AX100:DQ103"/>
    <mergeCell ref="A108:E110"/>
    <mergeCell ref="Z108:AG111"/>
    <mergeCell ref="AX108:DQ111"/>
    <mergeCell ref="G100:Y102"/>
    <mergeCell ref="G108:Y110"/>
    <mergeCell ref="F111:J111"/>
    <mergeCell ref="K111:M111"/>
    <mergeCell ref="N111:P111"/>
    <mergeCell ref="F103:J103"/>
    <mergeCell ref="K103:M103"/>
    <mergeCell ref="N103:P103"/>
    <mergeCell ref="X111:Y111"/>
    <mergeCell ref="X103:Y103"/>
    <mergeCell ref="K99:M99"/>
    <mergeCell ref="N99:P99"/>
    <mergeCell ref="F95:J95"/>
    <mergeCell ref="K95:M95"/>
    <mergeCell ref="N95:P95"/>
    <mergeCell ref="X99:Y99"/>
    <mergeCell ref="X95:Y95"/>
    <mergeCell ref="A100:E102"/>
    <mergeCell ref="Z100:AG103"/>
    <mergeCell ref="AH84:AW87"/>
    <mergeCell ref="AX84:DQ87"/>
    <mergeCell ref="A104:E106"/>
    <mergeCell ref="Z104:AG107"/>
    <mergeCell ref="AX104:DQ107"/>
    <mergeCell ref="G84:Y86"/>
    <mergeCell ref="G104:Y106"/>
    <mergeCell ref="F107:J107"/>
    <mergeCell ref="K107:M107"/>
    <mergeCell ref="N107:P107"/>
    <mergeCell ref="F87:J87"/>
    <mergeCell ref="K87:M87"/>
    <mergeCell ref="N87:P87"/>
    <mergeCell ref="X107:Y107"/>
    <mergeCell ref="X87:Y87"/>
    <mergeCell ref="A92:E94"/>
    <mergeCell ref="Z92:AG95"/>
    <mergeCell ref="AX92:DQ95"/>
    <mergeCell ref="A96:E98"/>
    <mergeCell ref="Z96:AG99"/>
    <mergeCell ref="AX96:DQ99"/>
    <mergeCell ref="G92:Y94"/>
    <mergeCell ref="G96:Y98"/>
    <mergeCell ref="F99:J99"/>
    <mergeCell ref="Z56:AG59"/>
    <mergeCell ref="AX56:DQ59"/>
    <mergeCell ref="A88:E90"/>
    <mergeCell ref="G88:Y90"/>
    <mergeCell ref="Z88:AG91"/>
    <mergeCell ref="AX88:DQ91"/>
    <mergeCell ref="F59:J59"/>
    <mergeCell ref="K59:M59"/>
    <mergeCell ref="N59:P59"/>
    <mergeCell ref="F91:J91"/>
    <mergeCell ref="K91:M91"/>
    <mergeCell ref="N91:P91"/>
    <mergeCell ref="X59:Y59"/>
    <mergeCell ref="X91:Y91"/>
    <mergeCell ref="A80:E82"/>
    <mergeCell ref="G80:Y82"/>
    <mergeCell ref="Z80:AG83"/>
    <mergeCell ref="AX80:DQ83"/>
    <mergeCell ref="A76:E78"/>
    <mergeCell ref="G76:Y78"/>
    <mergeCell ref="Z76:AG79"/>
    <mergeCell ref="AX76:DQ79"/>
    <mergeCell ref="A84:E86"/>
    <mergeCell ref="Z84:AG87"/>
    <mergeCell ref="F83:J83"/>
    <mergeCell ref="K83:M83"/>
    <mergeCell ref="N83:P83"/>
    <mergeCell ref="F79:J79"/>
    <mergeCell ref="K79:M79"/>
    <mergeCell ref="N79:P79"/>
    <mergeCell ref="X83:Y83"/>
    <mergeCell ref="X79:Y79"/>
    <mergeCell ref="A72:E74"/>
    <mergeCell ref="G72:Y74"/>
    <mergeCell ref="Z72:AG75"/>
    <mergeCell ref="AX72:DQ75"/>
    <mergeCell ref="A68:E70"/>
    <mergeCell ref="G68:Y70"/>
    <mergeCell ref="Z68:AG71"/>
    <mergeCell ref="AX68:DQ71"/>
    <mergeCell ref="F75:J75"/>
    <mergeCell ref="K75:M75"/>
    <mergeCell ref="N75:P75"/>
    <mergeCell ref="F71:J71"/>
    <mergeCell ref="K71:M71"/>
    <mergeCell ref="N71:P71"/>
    <mergeCell ref="X75:Y75"/>
    <mergeCell ref="X71:Y71"/>
    <mergeCell ref="A64:E66"/>
    <mergeCell ref="G64:Y66"/>
    <mergeCell ref="Z64:AG67"/>
    <mergeCell ref="AX64:DQ67"/>
    <mergeCell ref="AX52:DQ55"/>
    <mergeCell ref="A60:E62"/>
    <mergeCell ref="G60:Y62"/>
    <mergeCell ref="Z60:AG63"/>
    <mergeCell ref="AX60:DQ63"/>
    <mergeCell ref="AH52:AW55"/>
    <mergeCell ref="F67:J67"/>
    <mergeCell ref="K67:M67"/>
    <mergeCell ref="N67:P67"/>
    <mergeCell ref="F63:J63"/>
    <mergeCell ref="K63:M63"/>
    <mergeCell ref="N63:P63"/>
    <mergeCell ref="F55:J55"/>
    <mergeCell ref="K55:M55"/>
    <mergeCell ref="N55:P55"/>
    <mergeCell ref="X67:Y67"/>
    <mergeCell ref="X63:Y63"/>
    <mergeCell ref="X55:Y55"/>
    <mergeCell ref="A56:E58"/>
    <mergeCell ref="G56:Y58"/>
    <mergeCell ref="G21:Y23"/>
    <mergeCell ref="A49:AG51"/>
    <mergeCell ref="A52:E54"/>
    <mergeCell ref="G52:Y54"/>
    <mergeCell ref="Z52:AG55"/>
    <mergeCell ref="K16:M16"/>
    <mergeCell ref="K20:M20"/>
    <mergeCell ref="K24:M24"/>
    <mergeCell ref="G13:Y15"/>
    <mergeCell ref="G17:Y19"/>
    <mergeCell ref="A17:E19"/>
    <mergeCell ref="A21:E23"/>
    <mergeCell ref="Z41:AG44"/>
    <mergeCell ref="Z45:AG48"/>
    <mergeCell ref="K44:M44"/>
    <mergeCell ref="K48:M48"/>
    <mergeCell ref="A45:E47"/>
    <mergeCell ref="G41:Y43"/>
    <mergeCell ref="G45:Y47"/>
    <mergeCell ref="A41:E43"/>
    <mergeCell ref="X24:Y24"/>
    <mergeCell ref="X20:Y20"/>
    <mergeCell ref="X16:Y16"/>
    <mergeCell ref="X48:Y48"/>
    <mergeCell ref="AX45:DQ48"/>
    <mergeCell ref="B3:I4"/>
    <mergeCell ref="K3:R4"/>
    <mergeCell ref="T3:AA4"/>
    <mergeCell ref="AC3:AJ4"/>
    <mergeCell ref="AX33:DQ36"/>
    <mergeCell ref="AX37:DQ40"/>
    <mergeCell ref="AX41:DQ44"/>
    <mergeCell ref="G33:Y35"/>
    <mergeCell ref="Z33:AG36"/>
    <mergeCell ref="K36:M36"/>
    <mergeCell ref="G37:Y39"/>
    <mergeCell ref="Z37:AG40"/>
    <mergeCell ref="K40:M40"/>
    <mergeCell ref="B5:I6"/>
    <mergeCell ref="K5:R6"/>
    <mergeCell ref="AH13:AW16"/>
    <mergeCell ref="Z13:AG16"/>
    <mergeCell ref="Z17:AG20"/>
    <mergeCell ref="Z21:AG24"/>
    <mergeCell ref="A25:E27"/>
    <mergeCell ref="A29:E31"/>
    <mergeCell ref="A33:E35"/>
    <mergeCell ref="A37:E39"/>
    <mergeCell ref="B1:AJ2"/>
    <mergeCell ref="AL3:AU5"/>
    <mergeCell ref="AW2:CW6"/>
    <mergeCell ref="AX13:DQ16"/>
    <mergeCell ref="AX8:DQ9"/>
    <mergeCell ref="AX17:DQ20"/>
    <mergeCell ref="AX21:DQ24"/>
    <mergeCell ref="AX25:DQ28"/>
    <mergeCell ref="AX29:DQ32"/>
    <mergeCell ref="Z8:AG9"/>
    <mergeCell ref="A8:F9"/>
    <mergeCell ref="G8:Y9"/>
    <mergeCell ref="AH8:AW9"/>
    <mergeCell ref="G25:Y27"/>
    <mergeCell ref="Z25:AG28"/>
    <mergeCell ref="K28:M28"/>
    <mergeCell ref="G29:Y31"/>
    <mergeCell ref="Z29:AG32"/>
    <mergeCell ref="K32:M32"/>
    <mergeCell ref="AN6:AR7"/>
    <mergeCell ref="T5:AA6"/>
    <mergeCell ref="AC5:AJ6"/>
    <mergeCell ref="B10:AG12"/>
    <mergeCell ref="A13:E15"/>
    <mergeCell ref="A119:E121"/>
    <mergeCell ref="G119:Y121"/>
    <mergeCell ref="Z119:AG122"/>
    <mergeCell ref="AX119:DQ122"/>
    <mergeCell ref="A123:E125"/>
    <mergeCell ref="G123:Y125"/>
    <mergeCell ref="Z123:AG126"/>
    <mergeCell ref="AX123:DQ126"/>
    <mergeCell ref="F126:J126"/>
    <mergeCell ref="K126:M126"/>
    <mergeCell ref="N126:P126"/>
    <mergeCell ref="F122:J122"/>
    <mergeCell ref="K122:M122"/>
    <mergeCell ref="N122:P122"/>
    <mergeCell ref="X126:Y126"/>
    <mergeCell ref="X122:Y122"/>
    <mergeCell ref="A159:AG161"/>
    <mergeCell ref="A162:E164"/>
    <mergeCell ref="G162:Y164"/>
    <mergeCell ref="Z162:AG165"/>
    <mergeCell ref="AH162:AW165"/>
    <mergeCell ref="AX162:DQ165"/>
    <mergeCell ref="Z151:AG154"/>
    <mergeCell ref="AH151:AW154"/>
    <mergeCell ref="AX151:DQ154"/>
    <mergeCell ref="A155:E157"/>
    <mergeCell ref="G155:Y157"/>
    <mergeCell ref="Z155:AG158"/>
    <mergeCell ref="AX155:DQ158"/>
    <mergeCell ref="A151:E153"/>
    <mergeCell ref="G151:Y153"/>
    <mergeCell ref="F165:J165"/>
    <mergeCell ref="K165:M165"/>
    <mergeCell ref="N165:P165"/>
    <mergeCell ref="X165:Y165"/>
    <mergeCell ref="X158:Y158"/>
    <mergeCell ref="X154:Y154"/>
    <mergeCell ref="F158:J158"/>
    <mergeCell ref="K158:M158"/>
    <mergeCell ref="N158:P158"/>
    <mergeCell ref="Z166:AG169"/>
    <mergeCell ref="AX166:DQ169"/>
    <mergeCell ref="A170:E172"/>
    <mergeCell ref="G170:Y172"/>
    <mergeCell ref="Z170:AG173"/>
    <mergeCell ref="AX170:DQ173"/>
    <mergeCell ref="F169:J169"/>
    <mergeCell ref="K169:M169"/>
    <mergeCell ref="N169:P169"/>
    <mergeCell ref="X169:Y169"/>
    <mergeCell ref="F173:J173"/>
    <mergeCell ref="K173:M173"/>
    <mergeCell ref="N173:P173"/>
    <mergeCell ref="X173:Y173"/>
    <mergeCell ref="F189:J189"/>
    <mergeCell ref="K189:M189"/>
    <mergeCell ref="N189:P189"/>
    <mergeCell ref="F185:J185"/>
    <mergeCell ref="K185:M185"/>
    <mergeCell ref="N185:P185"/>
    <mergeCell ref="X189:Y189"/>
    <mergeCell ref="A166:E168"/>
    <mergeCell ref="G166:Y168"/>
    <mergeCell ref="F181:J181"/>
    <mergeCell ref="K181:M181"/>
    <mergeCell ref="N181:P181"/>
    <mergeCell ref="G186:Y188"/>
    <mergeCell ref="F177:J177"/>
    <mergeCell ref="K177:M177"/>
    <mergeCell ref="N177:P177"/>
    <mergeCell ref="X185:Y185"/>
    <mergeCell ref="X181:Y181"/>
    <mergeCell ref="X177:Y177"/>
    <mergeCell ref="A209:E211"/>
    <mergeCell ref="G209:Y211"/>
    <mergeCell ref="Z209:AG212"/>
    <mergeCell ref="AH209:AW212"/>
    <mergeCell ref="AX209:DQ212"/>
    <mergeCell ref="A213:E215"/>
    <mergeCell ref="G213:Y215"/>
    <mergeCell ref="Z213:AG216"/>
    <mergeCell ref="AX213:DQ216"/>
    <mergeCell ref="AH213:AW216"/>
    <mergeCell ref="F216:J216"/>
    <mergeCell ref="K216:M216"/>
    <mergeCell ref="N216:P216"/>
    <mergeCell ref="F212:J212"/>
    <mergeCell ref="K212:M212"/>
    <mergeCell ref="N212:P212"/>
    <mergeCell ref="X216:Y216"/>
    <mergeCell ref="X212:Y212"/>
    <mergeCell ref="A217:E219"/>
    <mergeCell ref="G217:Y219"/>
    <mergeCell ref="Z217:AG220"/>
    <mergeCell ref="AX217:DQ220"/>
    <mergeCell ref="A221:E223"/>
    <mergeCell ref="G221:Y223"/>
    <mergeCell ref="Z221:AG224"/>
    <mergeCell ref="AX221:DQ224"/>
    <mergeCell ref="AH217:AW220"/>
    <mergeCell ref="AH221:AW224"/>
    <mergeCell ref="F224:J224"/>
    <mergeCell ref="K224:M224"/>
    <mergeCell ref="N224:P224"/>
    <mergeCell ref="F220:J220"/>
    <mergeCell ref="K220:M220"/>
    <mergeCell ref="N220:P220"/>
    <mergeCell ref="X224:Y224"/>
    <mergeCell ref="X220:Y220"/>
    <mergeCell ref="A225:E227"/>
    <mergeCell ref="G225:Y227"/>
    <mergeCell ref="Z225:AG228"/>
    <mergeCell ref="AX225:DQ228"/>
    <mergeCell ref="A229:E231"/>
    <mergeCell ref="G229:Y231"/>
    <mergeCell ref="Z229:AG232"/>
    <mergeCell ref="AX229:DQ232"/>
    <mergeCell ref="AH225:AW228"/>
    <mergeCell ref="AH229:AW232"/>
    <mergeCell ref="F232:J232"/>
    <mergeCell ref="K232:M232"/>
    <mergeCell ref="N232:P232"/>
    <mergeCell ref="F228:J228"/>
    <mergeCell ref="K228:M228"/>
    <mergeCell ref="N228:P228"/>
    <mergeCell ref="X232:Y232"/>
    <mergeCell ref="X228:Y228"/>
    <mergeCell ref="A233:E235"/>
    <mergeCell ref="G233:Y235"/>
    <mergeCell ref="Z233:AG236"/>
    <mergeCell ref="AX233:DQ236"/>
    <mergeCell ref="A237:E239"/>
    <mergeCell ref="G237:Y239"/>
    <mergeCell ref="Z237:AG240"/>
    <mergeCell ref="AX237:DQ240"/>
    <mergeCell ref="AH233:AW236"/>
    <mergeCell ref="AH237:AW240"/>
    <mergeCell ref="F240:J240"/>
    <mergeCell ref="K240:M240"/>
    <mergeCell ref="N240:P240"/>
    <mergeCell ref="F236:J236"/>
    <mergeCell ref="K236:M236"/>
    <mergeCell ref="N236:P236"/>
    <mergeCell ref="X240:Y240"/>
    <mergeCell ref="X236:Y236"/>
    <mergeCell ref="AX241:DQ244"/>
    <mergeCell ref="A245:E247"/>
    <mergeCell ref="G245:Y247"/>
    <mergeCell ref="Z245:AG248"/>
    <mergeCell ref="AH245:AW248"/>
    <mergeCell ref="AX245:DQ248"/>
    <mergeCell ref="AH241:AW244"/>
    <mergeCell ref="A241:E243"/>
    <mergeCell ref="G241:Y243"/>
    <mergeCell ref="Z241:AG244"/>
    <mergeCell ref="F248:J248"/>
    <mergeCell ref="K248:M248"/>
    <mergeCell ref="N248:P248"/>
    <mergeCell ref="F244:J244"/>
    <mergeCell ref="K244:M244"/>
    <mergeCell ref="N244:P244"/>
    <mergeCell ref="X248:Y248"/>
    <mergeCell ref="X244:Y244"/>
    <mergeCell ref="AH253:AW256"/>
    <mergeCell ref="A249:E251"/>
    <mergeCell ref="G249:Y251"/>
    <mergeCell ref="Z249:AG252"/>
    <mergeCell ref="AX249:DQ252"/>
    <mergeCell ref="A253:E255"/>
    <mergeCell ref="G253:Y255"/>
    <mergeCell ref="Z253:AG256"/>
    <mergeCell ref="AX253:DQ256"/>
    <mergeCell ref="AH249:AW252"/>
    <mergeCell ref="F256:J256"/>
    <mergeCell ref="K256:M256"/>
    <mergeCell ref="N256:P256"/>
    <mergeCell ref="F252:J252"/>
    <mergeCell ref="K252:M252"/>
    <mergeCell ref="N252:P252"/>
    <mergeCell ref="X256:Y256"/>
    <mergeCell ref="X252:Y252"/>
    <mergeCell ref="A205:E207"/>
    <mergeCell ref="G205:Y207"/>
    <mergeCell ref="Z205:AG208"/>
    <mergeCell ref="AH205:AW208"/>
    <mergeCell ref="AX205:DQ208"/>
    <mergeCell ref="A198:E200"/>
    <mergeCell ref="G198:Y200"/>
    <mergeCell ref="Z198:AG201"/>
    <mergeCell ref="AH198:AW201"/>
    <mergeCell ref="AX198:DQ201"/>
    <mergeCell ref="F208:J208"/>
    <mergeCell ref="K208:M208"/>
    <mergeCell ref="N208:P208"/>
    <mergeCell ref="F201:J201"/>
    <mergeCell ref="K201:M201"/>
    <mergeCell ref="N201:P201"/>
    <mergeCell ref="X208:Y208"/>
    <mergeCell ref="X201:Y201"/>
    <mergeCell ref="DS8:DS9"/>
    <mergeCell ref="DT8:DT9"/>
    <mergeCell ref="DU8:DU9"/>
    <mergeCell ref="DV8:DV9"/>
    <mergeCell ref="DW8:DW9"/>
    <mergeCell ref="DX8:DX9"/>
    <mergeCell ref="DY8:DY9"/>
    <mergeCell ref="BF49:BM51"/>
    <mergeCell ref="A202:AG204"/>
    <mergeCell ref="Z186:AG189"/>
    <mergeCell ref="AX186:DQ189"/>
    <mergeCell ref="A174:E176"/>
    <mergeCell ref="G174:Y176"/>
    <mergeCell ref="Z174:AG177"/>
    <mergeCell ref="AX174:DQ177"/>
    <mergeCell ref="A178:E180"/>
    <mergeCell ref="G178:Y180"/>
    <mergeCell ref="Z178:AG181"/>
    <mergeCell ref="AX178:DQ181"/>
    <mergeCell ref="A182:E184"/>
    <mergeCell ref="G182:Y184"/>
    <mergeCell ref="Z182:AG185"/>
    <mergeCell ref="AX182:DQ185"/>
    <mergeCell ref="A186:E188"/>
    <mergeCell ref="DZ8:DZ9"/>
    <mergeCell ref="EA8:EA9"/>
    <mergeCell ref="EB8:EB9"/>
    <mergeCell ref="EC8:EC9"/>
    <mergeCell ref="ED8:ED9"/>
    <mergeCell ref="EE8:EE9"/>
    <mergeCell ref="EF8:EF9"/>
    <mergeCell ref="EG8:EG9"/>
    <mergeCell ref="EH8:EH9"/>
    <mergeCell ref="EI8:EI9"/>
    <mergeCell ref="EJ8:EJ9"/>
    <mergeCell ref="EK8:EK9"/>
    <mergeCell ref="EL8:EL9"/>
    <mergeCell ref="EM8:EM9"/>
    <mergeCell ref="EN8:EN9"/>
    <mergeCell ref="EO8:EO9"/>
    <mergeCell ref="EP8:EP9"/>
    <mergeCell ref="EQ8:EQ9"/>
    <mergeCell ref="A284:E286"/>
    <mergeCell ref="G284:Y286"/>
    <mergeCell ref="Z284:AG287"/>
    <mergeCell ref="AH284:AW287"/>
    <mergeCell ref="AX284:DQ287"/>
    <mergeCell ref="F287:J287"/>
    <mergeCell ref="K287:M287"/>
    <mergeCell ref="N287:P287"/>
    <mergeCell ref="X287:Y287"/>
    <mergeCell ref="A288:E290"/>
    <mergeCell ref="G288:Y290"/>
    <mergeCell ref="Z288:AG291"/>
    <mergeCell ref="AH288:AW291"/>
    <mergeCell ref="AX288:DQ291"/>
    <mergeCell ref="F291:J291"/>
    <mergeCell ref="K291:M291"/>
    <mergeCell ref="N291:P291"/>
    <mergeCell ref="X291:Y291"/>
    <mergeCell ref="A292:E294"/>
    <mergeCell ref="G292:Y294"/>
    <mergeCell ref="Z292:AG295"/>
    <mergeCell ref="AH292:AW295"/>
    <mergeCell ref="AX292:DQ295"/>
    <mergeCell ref="F295:J295"/>
    <mergeCell ref="K295:M295"/>
    <mergeCell ref="N295:P295"/>
    <mergeCell ref="X295:Y295"/>
    <mergeCell ref="A296:E298"/>
    <mergeCell ref="G296:Y298"/>
    <mergeCell ref="Z296:AG299"/>
    <mergeCell ref="AH296:AW299"/>
    <mergeCell ref="AX296:DQ299"/>
    <mergeCell ref="F299:J299"/>
    <mergeCell ref="K299:M299"/>
    <mergeCell ref="N299:P299"/>
    <mergeCell ref="X299:Y299"/>
    <mergeCell ref="A300:E302"/>
    <mergeCell ref="G300:Y302"/>
    <mergeCell ref="Z300:AG303"/>
    <mergeCell ref="AH300:AW303"/>
    <mergeCell ref="AX300:DQ303"/>
    <mergeCell ref="F303:J303"/>
    <mergeCell ref="K303:M303"/>
    <mergeCell ref="N303:P303"/>
    <mergeCell ref="X303:Y303"/>
    <mergeCell ref="A304:E306"/>
    <mergeCell ref="G304:Y306"/>
    <mergeCell ref="Z304:AG307"/>
    <mergeCell ref="AH304:AW307"/>
    <mergeCell ref="AX304:DQ307"/>
    <mergeCell ref="F307:J307"/>
    <mergeCell ref="K307:M307"/>
    <mergeCell ref="N307:P307"/>
    <mergeCell ref="X307:Y307"/>
    <mergeCell ref="A308:E310"/>
    <mergeCell ref="G308:Y310"/>
    <mergeCell ref="Z308:AG311"/>
    <mergeCell ref="AH308:AW311"/>
    <mergeCell ref="AX308:DQ311"/>
    <mergeCell ref="F311:J311"/>
    <mergeCell ref="K311:M311"/>
    <mergeCell ref="N311:P311"/>
    <mergeCell ref="X311:Y311"/>
    <mergeCell ref="A312:E314"/>
    <mergeCell ref="G312:Y314"/>
    <mergeCell ref="Z312:AG315"/>
    <mergeCell ref="AH312:AW315"/>
    <mergeCell ref="AX312:DQ315"/>
    <mergeCell ref="F315:J315"/>
    <mergeCell ref="K315:M315"/>
    <mergeCell ref="N315:P315"/>
    <mergeCell ref="X315:Y315"/>
    <mergeCell ref="A316:E318"/>
    <mergeCell ref="G316:Y318"/>
    <mergeCell ref="Z316:AG319"/>
    <mergeCell ref="AH316:AW319"/>
    <mergeCell ref="AX316:DQ319"/>
    <mergeCell ref="F319:J319"/>
    <mergeCell ref="K319:M319"/>
    <mergeCell ref="N319:P319"/>
    <mergeCell ref="X319:Y319"/>
    <mergeCell ref="A320:E322"/>
    <mergeCell ref="G320:Y322"/>
    <mergeCell ref="Z320:AG323"/>
    <mergeCell ref="AH320:AW323"/>
    <mergeCell ref="AX320:DQ323"/>
    <mergeCell ref="F323:J323"/>
    <mergeCell ref="K323:M323"/>
    <mergeCell ref="N323:P323"/>
    <mergeCell ref="X323:Y323"/>
    <mergeCell ref="A324:E326"/>
    <mergeCell ref="G324:Y326"/>
    <mergeCell ref="Z324:AG327"/>
    <mergeCell ref="AH324:AW327"/>
    <mergeCell ref="AX324:DQ327"/>
    <mergeCell ref="F327:J327"/>
    <mergeCell ref="K327:M327"/>
    <mergeCell ref="N327:P327"/>
    <mergeCell ref="X327:Y327"/>
    <mergeCell ref="A328:E330"/>
    <mergeCell ref="G328:Y330"/>
    <mergeCell ref="Z328:AG331"/>
    <mergeCell ref="AH328:AW331"/>
    <mergeCell ref="AX328:DQ331"/>
    <mergeCell ref="F331:J331"/>
    <mergeCell ref="K331:M331"/>
    <mergeCell ref="N331:P331"/>
    <mergeCell ref="X331:Y331"/>
    <mergeCell ref="A332:E334"/>
    <mergeCell ref="G332:Y334"/>
    <mergeCell ref="Z332:AG335"/>
    <mergeCell ref="AH332:AW335"/>
    <mergeCell ref="AX332:DQ335"/>
    <mergeCell ref="F335:J335"/>
    <mergeCell ref="K335:M335"/>
    <mergeCell ref="N335:P335"/>
    <mergeCell ref="X335:Y335"/>
    <mergeCell ref="A336:E338"/>
    <mergeCell ref="G336:Y338"/>
    <mergeCell ref="Z336:AG339"/>
    <mergeCell ref="AH336:AW339"/>
    <mergeCell ref="AX336:DQ339"/>
    <mergeCell ref="F339:J339"/>
    <mergeCell ref="K339:M339"/>
    <mergeCell ref="N339:P339"/>
    <mergeCell ref="X339:Y339"/>
    <mergeCell ref="A340:E342"/>
    <mergeCell ref="G340:Y342"/>
    <mergeCell ref="Z340:AG343"/>
    <mergeCell ref="AH340:AW343"/>
    <mergeCell ref="AX340:DQ343"/>
    <mergeCell ref="F343:J343"/>
    <mergeCell ref="K343:M343"/>
    <mergeCell ref="N343:P343"/>
    <mergeCell ref="X343:Y343"/>
    <mergeCell ref="A344:E346"/>
    <mergeCell ref="G344:Y346"/>
    <mergeCell ref="Z344:AG347"/>
    <mergeCell ref="AH344:AW347"/>
    <mergeCell ref="AX344:DQ347"/>
    <mergeCell ref="F347:J347"/>
    <mergeCell ref="K347:M347"/>
    <mergeCell ref="N347:P347"/>
    <mergeCell ref="X347:Y347"/>
    <mergeCell ref="A348:E350"/>
    <mergeCell ref="G348:Y350"/>
    <mergeCell ref="Z348:AG351"/>
    <mergeCell ref="AH348:AW351"/>
    <mergeCell ref="AX348:DQ351"/>
    <mergeCell ref="F351:J351"/>
    <mergeCell ref="K351:M351"/>
    <mergeCell ref="N351:P351"/>
    <mergeCell ref="X351:Y351"/>
    <mergeCell ref="A352:E354"/>
    <mergeCell ref="G352:Y354"/>
    <mergeCell ref="Z352:AG355"/>
    <mergeCell ref="AH352:AW355"/>
    <mergeCell ref="AX352:DQ355"/>
    <mergeCell ref="F355:J355"/>
    <mergeCell ref="K355:M355"/>
    <mergeCell ref="N355:P355"/>
    <mergeCell ref="X355:Y355"/>
    <mergeCell ref="A356:E358"/>
    <mergeCell ref="G356:Y358"/>
    <mergeCell ref="Z356:AG359"/>
    <mergeCell ref="AH356:AW359"/>
    <mergeCell ref="AX356:DQ359"/>
    <mergeCell ref="F359:J359"/>
    <mergeCell ref="K359:M359"/>
    <mergeCell ref="N359:P359"/>
    <mergeCell ref="X359:Y359"/>
    <mergeCell ref="A360:E362"/>
    <mergeCell ref="G360:Y362"/>
    <mergeCell ref="Z360:AG363"/>
    <mergeCell ref="AH360:AW363"/>
    <mergeCell ref="AX360:DQ363"/>
    <mergeCell ref="F363:J363"/>
    <mergeCell ref="K363:M363"/>
    <mergeCell ref="N363:P363"/>
    <mergeCell ref="X363:Y363"/>
    <mergeCell ref="A364:E366"/>
    <mergeCell ref="G364:Y366"/>
    <mergeCell ref="Z364:AG367"/>
    <mergeCell ref="AH364:AW367"/>
    <mergeCell ref="AX364:DQ367"/>
    <mergeCell ref="F367:J367"/>
    <mergeCell ref="K367:M367"/>
    <mergeCell ref="N367:P367"/>
    <mergeCell ref="X367:Y367"/>
    <mergeCell ref="A368:E370"/>
    <mergeCell ref="G368:Y370"/>
    <mergeCell ref="Z368:AG371"/>
    <mergeCell ref="AH368:AW371"/>
    <mergeCell ref="AX368:DQ371"/>
    <mergeCell ref="F371:J371"/>
    <mergeCell ref="K371:M371"/>
    <mergeCell ref="N371:P371"/>
    <mergeCell ref="A372:E374"/>
    <mergeCell ref="G372:Y374"/>
    <mergeCell ref="Z372:AG375"/>
    <mergeCell ref="AH372:AW375"/>
    <mergeCell ref="AX372:DQ375"/>
    <mergeCell ref="F375:J375"/>
    <mergeCell ref="K375:M375"/>
    <mergeCell ref="N375:P375"/>
    <mergeCell ref="A376:E378"/>
    <mergeCell ref="G376:Y378"/>
    <mergeCell ref="Z376:AG379"/>
    <mergeCell ref="AH376:AW379"/>
    <mergeCell ref="AX376:DQ379"/>
    <mergeCell ref="F379:J379"/>
    <mergeCell ref="K379:M379"/>
    <mergeCell ref="N379:P379"/>
    <mergeCell ref="A380:E382"/>
    <mergeCell ref="G380:Y382"/>
    <mergeCell ref="Z380:AG383"/>
    <mergeCell ref="AH380:AW383"/>
    <mergeCell ref="AX380:DQ383"/>
    <mergeCell ref="F383:J383"/>
    <mergeCell ref="K383:M383"/>
    <mergeCell ref="N383:P383"/>
    <mergeCell ref="A384:E386"/>
    <mergeCell ref="G384:Y386"/>
    <mergeCell ref="Z384:AG387"/>
    <mergeCell ref="AH384:AW387"/>
    <mergeCell ref="AX384:DQ387"/>
    <mergeCell ref="F387:J387"/>
    <mergeCell ref="K387:M387"/>
    <mergeCell ref="N387:P387"/>
    <mergeCell ref="A388:E390"/>
    <mergeCell ref="G388:Y390"/>
    <mergeCell ref="Z388:AG391"/>
    <mergeCell ref="AH388:AW391"/>
    <mergeCell ref="AX388:DQ391"/>
    <mergeCell ref="F391:J391"/>
    <mergeCell ref="K391:M391"/>
    <mergeCell ref="N391:P391"/>
    <mergeCell ref="A400:E402"/>
    <mergeCell ref="G400:Y402"/>
    <mergeCell ref="Z400:AG403"/>
    <mergeCell ref="AH400:AW403"/>
    <mergeCell ref="AX400:DQ403"/>
    <mergeCell ref="F403:J403"/>
    <mergeCell ref="K403:M403"/>
    <mergeCell ref="N403:P403"/>
    <mergeCell ref="A392:E394"/>
    <mergeCell ref="G392:Y394"/>
    <mergeCell ref="Z392:AG395"/>
    <mergeCell ref="AH392:AW395"/>
    <mergeCell ref="AX392:DQ395"/>
    <mergeCell ref="F395:J395"/>
    <mergeCell ref="K395:M395"/>
    <mergeCell ref="N395:P395"/>
    <mergeCell ref="A396:E398"/>
    <mergeCell ref="G396:Y398"/>
    <mergeCell ref="Z396:AG399"/>
    <mergeCell ref="AH396:AW399"/>
    <mergeCell ref="AX396:DQ399"/>
    <mergeCell ref="F399:J399"/>
    <mergeCell ref="K399:M399"/>
    <mergeCell ref="N399:P399"/>
  </mergeCells>
  <conditionalFormatting sqref="AL3">
    <cfRule type="cellIs" dxfId="1044" priority="738" operator="equal">
      <formula>""</formula>
    </cfRule>
  </conditionalFormatting>
  <conditionalFormatting sqref="AW2">
    <cfRule type="expression" dxfId="1043" priority="2079">
      <formula>NOT(ISERROR(FIND("ERR",$AT$4,1)))</formula>
    </cfRule>
  </conditionalFormatting>
  <conditionalFormatting sqref="AL6:AM6 AS6:AU6">
    <cfRule type="expression" dxfId="1042" priority="2080">
      <formula>NOT(ISERROR(FIND("ERR",$AN$6,1)))</formula>
    </cfRule>
  </conditionalFormatting>
  <conditionalFormatting sqref="N272:Y274 G273:M274 N400:P402 Q402:R402 Q400:R400 S400:T402 W400:Y402 U401:V402">
    <cfRule type="expression" dxfId="1041" priority="633">
      <formula>J275&lt;&gt;TRUE</formula>
    </cfRule>
  </conditionalFormatting>
  <conditionalFormatting sqref="G272:I272">
    <cfRule type="expression" dxfId="1040" priority="570">
      <formula>N275&lt;&gt;TRUE</formula>
    </cfRule>
  </conditionalFormatting>
  <conditionalFormatting sqref="A304:E306 A300:E302 A296:E298 A292:E294 A108:E108 A52:E52 A56:E56 A88:E88 A80:E80 A84:E84 A100:E100 A104:E104">
    <cfRule type="expression" dxfId="1039" priority="509">
      <formula>AND(N55&lt;&gt;TRUE,A52&gt;0)</formula>
    </cfRule>
    <cfRule type="expression" dxfId="1038" priority="510">
      <formula>N55&lt;&gt;TRUE</formula>
    </cfRule>
    <cfRule type="expression" dxfId="1037" priority="511">
      <formula>AND(NOT(A52=0),NOT(A52=""))</formula>
    </cfRule>
    <cfRule type="colorScale" priority="512">
      <colorScale>
        <cfvo type="num" val="0"/>
        <cfvo type="num" val="1"/>
        <cfvo type="num" val="30"/>
        <color rgb="FFFFFF99"/>
        <color rgb="FFCCFF99"/>
        <color rgb="FF63BE7B"/>
      </colorScale>
    </cfRule>
  </conditionalFormatting>
  <conditionalFormatting sqref="J272:M272">
    <cfRule type="expression" dxfId="1036" priority="2085">
      <formula>#REF!&lt;&gt;TRUE</formula>
    </cfRule>
  </conditionalFormatting>
  <conditionalFormatting sqref="A37:E39">
    <cfRule type="expression" dxfId="1035" priority="217">
      <formula>AND(N40&lt;&gt;TRUE,A37&gt;0)</formula>
    </cfRule>
    <cfRule type="expression" dxfId="1034" priority="218">
      <formula>N40&lt;&gt;TRUE</formula>
    </cfRule>
    <cfRule type="expression" dxfId="1033" priority="219">
      <formula>AND(NOT(A37=0),NOT(A37=""))</formula>
    </cfRule>
    <cfRule type="colorScale" priority="220">
      <colorScale>
        <cfvo type="num" val="0"/>
        <cfvo type="num" val="1"/>
        <cfvo type="num" val="30"/>
        <color rgb="FFFFFF99"/>
        <color rgb="FFCCFF99"/>
        <color rgb="FF63BE7B"/>
      </colorScale>
    </cfRule>
  </conditionalFormatting>
  <conditionalFormatting sqref="A29:E31">
    <cfRule type="expression" dxfId="1032" priority="209">
      <formula>AND(N32&lt;&gt;TRUE,A29&gt;0)</formula>
    </cfRule>
    <cfRule type="expression" dxfId="1031" priority="210">
      <formula>N32&lt;&gt;TRUE</formula>
    </cfRule>
    <cfRule type="expression" dxfId="1030" priority="211">
      <formula>AND(NOT(A29=0),NOT(A29=""))</formula>
    </cfRule>
    <cfRule type="colorScale" priority="212">
      <colorScale>
        <cfvo type="num" val="0"/>
        <cfvo type="num" val="1"/>
        <cfvo type="num" val="30"/>
        <color rgb="FFFFFF99"/>
        <color rgb="FFCCFF99"/>
        <color rgb="FF63BE7B"/>
      </colorScale>
    </cfRule>
  </conditionalFormatting>
  <conditionalFormatting sqref="A21:E23">
    <cfRule type="expression" dxfId="1029" priority="201">
      <formula>AND(N24&lt;&gt;TRUE,A21&gt;0)</formula>
    </cfRule>
    <cfRule type="expression" dxfId="1028" priority="202">
      <formula>N24&lt;&gt;TRUE</formula>
    </cfRule>
    <cfRule type="expression" dxfId="1027" priority="203">
      <formula>AND(NOT(A21=0),NOT(A21=""))</formula>
    </cfRule>
    <cfRule type="colorScale" priority="204">
      <colorScale>
        <cfvo type="num" val="0"/>
        <cfvo type="num" val="1"/>
        <cfvo type="num" val="30"/>
        <color rgb="FFFFFF99"/>
        <color rgb="FFCCFF99"/>
        <color rgb="FF63BE7B"/>
      </colorScale>
    </cfRule>
  </conditionalFormatting>
  <conditionalFormatting sqref="A288:E290">
    <cfRule type="expression" dxfId="1026" priority="493">
      <formula>AND(N291&lt;&gt;TRUE,A288&gt;0)</formula>
    </cfRule>
    <cfRule type="expression" dxfId="1025" priority="494">
      <formula>N291&lt;&gt;TRUE</formula>
    </cfRule>
    <cfRule type="expression" dxfId="1024" priority="495">
      <formula>AND(NOT(A288=0),NOT(A288=""))</formula>
    </cfRule>
    <cfRule type="colorScale" priority="496">
      <colorScale>
        <cfvo type="num" val="0"/>
        <cfvo type="num" val="1"/>
        <cfvo type="num" val="30"/>
        <color rgb="FFFFFF99"/>
        <color rgb="FFCCFF99"/>
        <color rgb="FF63BE7B"/>
      </colorScale>
    </cfRule>
  </conditionalFormatting>
  <conditionalFormatting sqref="A284:E286">
    <cfRule type="expression" dxfId="1023" priority="489">
      <formula>AND(N287&lt;&gt;TRUE,A284&gt;0)</formula>
    </cfRule>
    <cfRule type="expression" dxfId="1022" priority="490">
      <formula>N287&lt;&gt;TRUE</formula>
    </cfRule>
    <cfRule type="expression" dxfId="1021" priority="491">
      <formula>AND(NOT(A284=0),NOT(A284=""))</formula>
    </cfRule>
    <cfRule type="colorScale" priority="492">
      <colorScale>
        <cfvo type="num" val="0"/>
        <cfvo type="num" val="1"/>
        <cfvo type="num" val="30"/>
        <color rgb="FFFFFF99"/>
        <color rgb="FFCCFF99"/>
        <color rgb="FF63BE7B"/>
      </colorScale>
    </cfRule>
  </conditionalFormatting>
  <conditionalFormatting sqref="A280:E282">
    <cfRule type="expression" dxfId="1020" priority="485">
      <formula>AND(N283&lt;&gt;TRUE,A280&gt;0)</formula>
    </cfRule>
    <cfRule type="expression" dxfId="1019" priority="486">
      <formula>N283&lt;&gt;TRUE</formula>
    </cfRule>
    <cfRule type="expression" dxfId="1018" priority="487">
      <formula>AND(NOT(A280=0),NOT(A280=""))</formula>
    </cfRule>
    <cfRule type="colorScale" priority="488">
      <colorScale>
        <cfvo type="num" val="0"/>
        <cfvo type="num" val="1"/>
        <cfvo type="num" val="30"/>
        <color rgb="FFFFFF99"/>
        <color rgb="FFCCFF99"/>
        <color rgb="FF63BE7B"/>
      </colorScale>
    </cfRule>
  </conditionalFormatting>
  <conditionalFormatting sqref="A276:E278">
    <cfRule type="expression" dxfId="1017" priority="481">
      <formula>AND(N279&lt;&gt;TRUE,A276&gt;0)</formula>
    </cfRule>
    <cfRule type="expression" dxfId="1016" priority="482">
      <formula>N279&lt;&gt;TRUE</formula>
    </cfRule>
    <cfRule type="expression" dxfId="1015" priority="483">
      <formula>AND(NOT(A276=0),NOT(A276=""))</formula>
    </cfRule>
    <cfRule type="colorScale" priority="484">
      <colorScale>
        <cfvo type="num" val="0"/>
        <cfvo type="num" val="1"/>
        <cfvo type="num" val="30"/>
        <color rgb="FFFFFF99"/>
        <color rgb="FFCCFF99"/>
        <color rgb="FF63BE7B"/>
      </colorScale>
    </cfRule>
  </conditionalFormatting>
  <conditionalFormatting sqref="A272:E274">
    <cfRule type="expression" dxfId="1014" priority="477">
      <formula>AND(N275&lt;&gt;TRUE,A272&gt;0)</formula>
    </cfRule>
    <cfRule type="expression" dxfId="1013" priority="478">
      <formula>N275&lt;&gt;TRUE</formula>
    </cfRule>
    <cfRule type="expression" dxfId="1012" priority="479">
      <formula>AND(NOT(A272=0),NOT(A272=""))</formula>
    </cfRule>
    <cfRule type="colorScale" priority="480">
      <colorScale>
        <cfvo type="num" val="0"/>
        <cfvo type="num" val="1"/>
        <cfvo type="num" val="30"/>
        <color rgb="FFFFFF99"/>
        <color rgb="FFCCFF99"/>
        <color rgb="FF63BE7B"/>
      </colorScale>
    </cfRule>
  </conditionalFormatting>
  <conditionalFormatting sqref="A268:E270">
    <cfRule type="expression" dxfId="1011" priority="473">
      <formula>AND(N271&lt;&gt;TRUE,A268&gt;0)</formula>
    </cfRule>
    <cfRule type="expression" dxfId="1010" priority="474">
      <formula>N271&lt;&gt;TRUE</formula>
    </cfRule>
    <cfRule type="expression" dxfId="1009" priority="475">
      <formula>AND(NOT(A268=0),NOT(A268=""))</formula>
    </cfRule>
    <cfRule type="colorScale" priority="476">
      <colorScale>
        <cfvo type="num" val="0"/>
        <cfvo type="num" val="1"/>
        <cfvo type="num" val="30"/>
        <color rgb="FFFFFF99"/>
        <color rgb="FFCCFF99"/>
        <color rgb="FF63BE7B"/>
      </colorScale>
    </cfRule>
  </conditionalFormatting>
  <conditionalFormatting sqref="A264:E266">
    <cfRule type="expression" dxfId="1008" priority="469">
      <formula>AND(N267&lt;&gt;TRUE,A264&gt;0)</formula>
    </cfRule>
    <cfRule type="expression" dxfId="1007" priority="470">
      <formula>N267&lt;&gt;TRUE</formula>
    </cfRule>
    <cfRule type="expression" dxfId="1006" priority="471">
      <formula>AND(NOT(A264=0),NOT(A264=""))</formula>
    </cfRule>
    <cfRule type="colorScale" priority="472">
      <colorScale>
        <cfvo type="num" val="0"/>
        <cfvo type="num" val="1"/>
        <cfvo type="num" val="30"/>
        <color rgb="FFFFFF99"/>
        <color rgb="FFCCFF99"/>
        <color rgb="FF63BE7B"/>
      </colorScale>
    </cfRule>
  </conditionalFormatting>
  <conditionalFormatting sqref="A260:E262">
    <cfRule type="expression" dxfId="1005" priority="465">
      <formula>AND(N263&lt;&gt;TRUE,A260&gt;0)</formula>
    </cfRule>
    <cfRule type="expression" dxfId="1004" priority="466">
      <formula>N263&lt;&gt;TRUE</formula>
    </cfRule>
    <cfRule type="expression" dxfId="1003" priority="467">
      <formula>AND(NOT(A260=0),NOT(A260=""))</formula>
    </cfRule>
    <cfRule type="colorScale" priority="468">
      <colorScale>
        <cfvo type="num" val="0"/>
        <cfvo type="num" val="1"/>
        <cfvo type="num" val="30"/>
        <color rgb="FFFFFF99"/>
        <color rgb="FFCCFF99"/>
        <color rgb="FF63BE7B"/>
      </colorScale>
    </cfRule>
  </conditionalFormatting>
  <conditionalFormatting sqref="A253:E255">
    <cfRule type="expression" dxfId="1002" priority="461">
      <formula>AND(N256&lt;&gt;TRUE,A253&gt;0)</formula>
    </cfRule>
    <cfRule type="expression" dxfId="1001" priority="462">
      <formula>N256&lt;&gt;TRUE</formula>
    </cfRule>
    <cfRule type="expression" dxfId="1000" priority="463">
      <formula>AND(NOT(A253=0),NOT(A253=""))</formula>
    </cfRule>
    <cfRule type="colorScale" priority="464">
      <colorScale>
        <cfvo type="num" val="0"/>
        <cfvo type="num" val="1"/>
        <cfvo type="num" val="30"/>
        <color rgb="FFFFFF99"/>
        <color rgb="FFCCFF99"/>
        <color rgb="FF63BE7B"/>
      </colorScale>
    </cfRule>
  </conditionalFormatting>
  <conditionalFormatting sqref="A33:E35">
    <cfRule type="expression" dxfId="999" priority="213">
      <formula>AND(N36&lt;&gt;TRUE,A33&gt;0)</formula>
    </cfRule>
    <cfRule type="expression" dxfId="998" priority="214">
      <formula>N36&lt;&gt;TRUE</formula>
    </cfRule>
    <cfRule type="expression" dxfId="997" priority="215">
      <formula>AND(NOT(A33=0),NOT(A33=""))</formula>
    </cfRule>
    <cfRule type="colorScale" priority="216">
      <colorScale>
        <cfvo type="num" val="0"/>
        <cfvo type="num" val="1"/>
        <cfvo type="num" val="30"/>
        <color rgb="FFFFFF99"/>
        <color rgb="FFCCFF99"/>
        <color rgb="FF63BE7B"/>
      </colorScale>
    </cfRule>
  </conditionalFormatting>
  <conditionalFormatting sqref="A249:E251">
    <cfRule type="expression" dxfId="996" priority="433">
      <formula>AND(N252&lt;&gt;TRUE,A249&gt;0)</formula>
    </cfRule>
    <cfRule type="expression" dxfId="995" priority="434">
      <formula>N252&lt;&gt;TRUE</formula>
    </cfRule>
    <cfRule type="expression" dxfId="994" priority="435">
      <formula>AND(NOT(A249=0),NOT(A249=""))</formula>
    </cfRule>
    <cfRule type="colorScale" priority="436">
      <colorScale>
        <cfvo type="num" val="0"/>
        <cfvo type="num" val="1"/>
        <cfvo type="num" val="30"/>
        <color rgb="FFFFFF99"/>
        <color rgb="FFCCFF99"/>
        <color rgb="FF63BE7B"/>
      </colorScale>
    </cfRule>
  </conditionalFormatting>
  <conditionalFormatting sqref="A245:E247">
    <cfRule type="expression" dxfId="993" priority="429">
      <formula>AND(N248&lt;&gt;TRUE,A245&gt;0)</formula>
    </cfRule>
    <cfRule type="expression" dxfId="992" priority="430">
      <formula>N248&lt;&gt;TRUE</formula>
    </cfRule>
    <cfRule type="expression" dxfId="991" priority="431">
      <formula>AND(NOT(A245=0),NOT(A245=""))</formula>
    </cfRule>
    <cfRule type="colorScale" priority="432">
      <colorScale>
        <cfvo type="num" val="0"/>
        <cfvo type="num" val="1"/>
        <cfvo type="num" val="30"/>
        <color rgb="FFFFFF99"/>
        <color rgb="FFCCFF99"/>
        <color rgb="FF63BE7B"/>
      </colorScale>
    </cfRule>
  </conditionalFormatting>
  <conditionalFormatting sqref="A241:E243">
    <cfRule type="expression" dxfId="990" priority="425">
      <formula>AND(N244&lt;&gt;TRUE,A241&gt;0)</formula>
    </cfRule>
    <cfRule type="expression" dxfId="989" priority="426">
      <formula>N244&lt;&gt;TRUE</formula>
    </cfRule>
    <cfRule type="expression" dxfId="988" priority="427">
      <formula>AND(NOT(A241=0),NOT(A241=""))</formula>
    </cfRule>
    <cfRule type="colorScale" priority="428">
      <colorScale>
        <cfvo type="num" val="0"/>
        <cfvo type="num" val="1"/>
        <cfvo type="num" val="30"/>
        <color rgb="FFFFFF99"/>
        <color rgb="FFCCFF99"/>
        <color rgb="FF63BE7B"/>
      </colorScale>
    </cfRule>
  </conditionalFormatting>
  <conditionalFormatting sqref="A237:E239">
    <cfRule type="expression" dxfId="987" priority="421">
      <formula>AND(N240&lt;&gt;TRUE,A237&gt;0)</formula>
    </cfRule>
    <cfRule type="expression" dxfId="986" priority="422">
      <formula>N240&lt;&gt;TRUE</formula>
    </cfRule>
    <cfRule type="expression" dxfId="985" priority="423">
      <formula>AND(NOT(A237=0),NOT(A237=""))</formula>
    </cfRule>
    <cfRule type="colorScale" priority="424">
      <colorScale>
        <cfvo type="num" val="0"/>
        <cfvo type="num" val="1"/>
        <cfvo type="num" val="30"/>
        <color rgb="FFFFFF99"/>
        <color rgb="FFCCFF99"/>
        <color rgb="FF63BE7B"/>
      </colorScale>
    </cfRule>
  </conditionalFormatting>
  <conditionalFormatting sqref="A233:E235">
    <cfRule type="expression" dxfId="984" priority="417">
      <formula>AND(N236&lt;&gt;TRUE,A233&gt;0)</formula>
    </cfRule>
    <cfRule type="expression" dxfId="983" priority="418">
      <formula>N236&lt;&gt;TRUE</formula>
    </cfRule>
    <cfRule type="expression" dxfId="982" priority="419">
      <formula>AND(NOT(A233=0),NOT(A233=""))</formula>
    </cfRule>
    <cfRule type="colorScale" priority="420">
      <colorScale>
        <cfvo type="num" val="0"/>
        <cfvo type="num" val="1"/>
        <cfvo type="num" val="30"/>
        <color rgb="FFFFFF99"/>
        <color rgb="FFCCFF99"/>
        <color rgb="FF63BE7B"/>
      </colorScale>
    </cfRule>
  </conditionalFormatting>
  <conditionalFormatting sqref="A229:E231">
    <cfRule type="expression" dxfId="981" priority="413">
      <formula>AND(N232&lt;&gt;TRUE,A229&gt;0)</formula>
    </cfRule>
    <cfRule type="expression" dxfId="980" priority="414">
      <formula>N232&lt;&gt;TRUE</formula>
    </cfRule>
    <cfRule type="expression" dxfId="979" priority="415">
      <formula>AND(NOT(A229=0),NOT(A229=""))</formula>
    </cfRule>
    <cfRule type="colorScale" priority="416">
      <colorScale>
        <cfvo type="num" val="0"/>
        <cfvo type="num" val="1"/>
        <cfvo type="num" val="30"/>
        <color rgb="FFFFFF99"/>
        <color rgb="FFCCFF99"/>
        <color rgb="FF63BE7B"/>
      </colorScale>
    </cfRule>
  </conditionalFormatting>
  <conditionalFormatting sqref="A225:E227">
    <cfRule type="expression" dxfId="978" priority="409">
      <formula>AND(N228&lt;&gt;TRUE,A225&gt;0)</formula>
    </cfRule>
    <cfRule type="expression" dxfId="977" priority="410">
      <formula>N228&lt;&gt;TRUE</formula>
    </cfRule>
    <cfRule type="expression" dxfId="976" priority="411">
      <formula>AND(NOT(A225=0),NOT(A225=""))</formula>
    </cfRule>
    <cfRule type="colorScale" priority="412">
      <colorScale>
        <cfvo type="num" val="0"/>
        <cfvo type="num" val="1"/>
        <cfvo type="num" val="30"/>
        <color rgb="FFFFFF99"/>
        <color rgb="FFCCFF99"/>
        <color rgb="FF63BE7B"/>
      </colorScale>
    </cfRule>
  </conditionalFormatting>
  <conditionalFormatting sqref="A221:E223">
    <cfRule type="expression" dxfId="975" priority="405">
      <formula>AND(N224&lt;&gt;TRUE,A221&gt;0)</formula>
    </cfRule>
    <cfRule type="expression" dxfId="974" priority="406">
      <formula>N224&lt;&gt;TRUE</formula>
    </cfRule>
    <cfRule type="expression" dxfId="973" priority="407">
      <formula>AND(NOT(A221=0),NOT(A221=""))</formula>
    </cfRule>
    <cfRule type="colorScale" priority="408">
      <colorScale>
        <cfvo type="num" val="0"/>
        <cfvo type="num" val="1"/>
        <cfvo type="num" val="30"/>
        <color rgb="FFFFFF99"/>
        <color rgb="FFCCFF99"/>
        <color rgb="FF63BE7B"/>
      </colorScale>
    </cfRule>
  </conditionalFormatting>
  <conditionalFormatting sqref="A217:E219">
    <cfRule type="expression" dxfId="972" priority="401">
      <formula>AND(N220&lt;&gt;TRUE,A217&gt;0)</formula>
    </cfRule>
    <cfRule type="expression" dxfId="971" priority="402">
      <formula>N220&lt;&gt;TRUE</formula>
    </cfRule>
    <cfRule type="expression" dxfId="970" priority="403">
      <formula>AND(NOT(A217=0),NOT(A217=""))</formula>
    </cfRule>
    <cfRule type="colorScale" priority="404">
      <colorScale>
        <cfvo type="num" val="0"/>
        <cfvo type="num" val="1"/>
        <cfvo type="num" val="30"/>
        <color rgb="FFFFFF99"/>
        <color rgb="FFCCFF99"/>
        <color rgb="FF63BE7B"/>
      </colorScale>
    </cfRule>
  </conditionalFormatting>
  <conditionalFormatting sqref="A213:E215">
    <cfRule type="expression" dxfId="969" priority="397">
      <formula>AND(N216&lt;&gt;TRUE,A213&gt;0)</formula>
    </cfRule>
    <cfRule type="expression" dxfId="968" priority="398">
      <formula>N216&lt;&gt;TRUE</formula>
    </cfRule>
    <cfRule type="expression" dxfId="967" priority="399">
      <formula>AND(NOT(A213=0),NOT(A213=""))</formula>
    </cfRule>
    <cfRule type="colorScale" priority="400">
      <colorScale>
        <cfvo type="num" val="0"/>
        <cfvo type="num" val="1"/>
        <cfvo type="num" val="30"/>
        <color rgb="FFFFFF99"/>
        <color rgb="FFCCFF99"/>
        <color rgb="FF63BE7B"/>
      </colorScale>
    </cfRule>
  </conditionalFormatting>
  <conditionalFormatting sqref="A209:E211">
    <cfRule type="expression" dxfId="966" priority="393">
      <formula>AND(N212&lt;&gt;TRUE,A209&gt;0)</formula>
    </cfRule>
    <cfRule type="expression" dxfId="965" priority="394">
      <formula>N212&lt;&gt;TRUE</formula>
    </cfRule>
    <cfRule type="expression" dxfId="964" priority="395">
      <formula>AND(NOT(A209=0),NOT(A209=""))</formula>
    </cfRule>
    <cfRule type="colorScale" priority="396">
      <colorScale>
        <cfvo type="num" val="0"/>
        <cfvo type="num" val="1"/>
        <cfvo type="num" val="30"/>
        <color rgb="FFFFFF99"/>
        <color rgb="FFCCFF99"/>
        <color rgb="FF63BE7B"/>
      </colorScale>
    </cfRule>
  </conditionalFormatting>
  <conditionalFormatting sqref="A205:E207">
    <cfRule type="expression" dxfId="963" priority="389">
      <formula>AND(N208&lt;&gt;TRUE,A205&gt;0)</formula>
    </cfRule>
    <cfRule type="expression" dxfId="962" priority="390">
      <formula>N208&lt;&gt;TRUE</formula>
    </cfRule>
    <cfRule type="expression" dxfId="961" priority="391">
      <formula>AND(NOT(A205=0),NOT(A205=""))</formula>
    </cfRule>
    <cfRule type="colorScale" priority="392">
      <colorScale>
        <cfvo type="num" val="0"/>
        <cfvo type="num" val="1"/>
        <cfvo type="num" val="30"/>
        <color rgb="FFFFFF99"/>
        <color rgb="FFCCFF99"/>
        <color rgb="FF63BE7B"/>
      </colorScale>
    </cfRule>
  </conditionalFormatting>
  <conditionalFormatting sqref="A198:E200">
    <cfRule type="expression" dxfId="960" priority="385">
      <formula>AND(N201&lt;&gt;TRUE,A198&gt;0)</formula>
    </cfRule>
    <cfRule type="expression" dxfId="959" priority="386">
      <formula>N201&lt;&gt;TRUE</formula>
    </cfRule>
    <cfRule type="expression" dxfId="958" priority="387">
      <formula>AND(NOT(A198=0),NOT(A198=""))</formula>
    </cfRule>
    <cfRule type="colorScale" priority="388">
      <colorScale>
        <cfvo type="num" val="0"/>
        <cfvo type="num" val="1"/>
        <cfvo type="num" val="30"/>
        <color rgb="FFFFFF99"/>
        <color rgb="FFCCFF99"/>
        <color rgb="FF63BE7B"/>
      </colorScale>
    </cfRule>
  </conditionalFormatting>
  <conditionalFormatting sqref="A194:E196">
    <cfRule type="expression" dxfId="957" priority="381">
      <formula>AND(N197&lt;&gt;TRUE,A194&gt;0)</formula>
    </cfRule>
    <cfRule type="expression" dxfId="956" priority="382">
      <formula>N197&lt;&gt;TRUE</formula>
    </cfRule>
    <cfRule type="expression" dxfId="955" priority="383">
      <formula>AND(NOT(A194=0),NOT(A194=""))</formula>
    </cfRule>
    <cfRule type="colorScale" priority="384">
      <colorScale>
        <cfvo type="num" val="0"/>
        <cfvo type="num" val="1"/>
        <cfvo type="num" val="30"/>
        <color rgb="FFFFFF99"/>
        <color rgb="FFCCFF99"/>
        <color rgb="FF63BE7B"/>
      </colorScale>
    </cfRule>
  </conditionalFormatting>
  <conditionalFormatting sqref="A190:E192">
    <cfRule type="expression" dxfId="954" priority="377">
      <formula>AND(N193&lt;&gt;TRUE,A190&gt;0)</formula>
    </cfRule>
    <cfRule type="expression" dxfId="953" priority="378">
      <formula>N193&lt;&gt;TRUE</formula>
    </cfRule>
    <cfRule type="expression" dxfId="952" priority="379">
      <formula>AND(NOT(A190=0),NOT(A190=""))</formula>
    </cfRule>
    <cfRule type="colorScale" priority="380">
      <colorScale>
        <cfvo type="num" val="0"/>
        <cfvo type="num" val="1"/>
        <cfvo type="num" val="30"/>
        <color rgb="FFFFFF99"/>
        <color rgb="FFCCFF99"/>
        <color rgb="FF63BE7B"/>
      </colorScale>
    </cfRule>
  </conditionalFormatting>
  <conditionalFormatting sqref="A186:E188">
    <cfRule type="expression" dxfId="951" priority="373">
      <formula>AND(N189&lt;&gt;TRUE,A186&gt;0)</formula>
    </cfRule>
    <cfRule type="expression" dxfId="950" priority="374">
      <formula>N189&lt;&gt;TRUE</formula>
    </cfRule>
    <cfRule type="expression" dxfId="949" priority="375">
      <formula>AND(NOT(A186=0),NOT(A186=""))</formula>
    </cfRule>
    <cfRule type="colorScale" priority="376">
      <colorScale>
        <cfvo type="num" val="0"/>
        <cfvo type="num" val="1"/>
        <cfvo type="num" val="30"/>
        <color rgb="FFFFFF99"/>
        <color rgb="FFCCFF99"/>
        <color rgb="FF63BE7B"/>
      </colorScale>
    </cfRule>
  </conditionalFormatting>
  <conditionalFormatting sqref="A182:E184">
    <cfRule type="expression" dxfId="948" priority="369">
      <formula>AND(N185&lt;&gt;TRUE,A182&gt;0)</formula>
    </cfRule>
    <cfRule type="expression" dxfId="947" priority="370">
      <formula>N185&lt;&gt;TRUE</formula>
    </cfRule>
    <cfRule type="expression" dxfId="946" priority="371">
      <formula>AND(NOT(A182=0),NOT(A182=""))</formula>
    </cfRule>
    <cfRule type="colorScale" priority="372">
      <colorScale>
        <cfvo type="num" val="0"/>
        <cfvo type="num" val="1"/>
        <cfvo type="num" val="30"/>
        <color rgb="FFFFFF99"/>
        <color rgb="FFCCFF99"/>
        <color rgb="FF63BE7B"/>
      </colorScale>
    </cfRule>
  </conditionalFormatting>
  <conditionalFormatting sqref="A178:E180">
    <cfRule type="expression" dxfId="945" priority="365">
      <formula>AND(N181&lt;&gt;TRUE,A178&gt;0)</formula>
    </cfRule>
    <cfRule type="expression" dxfId="944" priority="366">
      <formula>N181&lt;&gt;TRUE</formula>
    </cfRule>
    <cfRule type="expression" dxfId="943" priority="367">
      <formula>AND(NOT(A178=0),NOT(A178=""))</formula>
    </cfRule>
    <cfRule type="colorScale" priority="368">
      <colorScale>
        <cfvo type="num" val="0"/>
        <cfvo type="num" val="1"/>
        <cfvo type="num" val="30"/>
        <color rgb="FFFFFF99"/>
        <color rgb="FFCCFF99"/>
        <color rgb="FF63BE7B"/>
      </colorScale>
    </cfRule>
  </conditionalFormatting>
  <conditionalFormatting sqref="A174:E176">
    <cfRule type="expression" dxfId="942" priority="361">
      <formula>AND(N177&lt;&gt;TRUE,A174&gt;0)</formula>
    </cfRule>
    <cfRule type="expression" dxfId="941" priority="362">
      <formula>N177&lt;&gt;TRUE</formula>
    </cfRule>
    <cfRule type="expression" dxfId="940" priority="363">
      <formula>AND(NOT(A174=0),NOT(A174=""))</formula>
    </cfRule>
    <cfRule type="colorScale" priority="364">
      <colorScale>
        <cfvo type="num" val="0"/>
        <cfvo type="num" val="1"/>
        <cfvo type="num" val="30"/>
        <color rgb="FFFFFF99"/>
        <color rgb="FFCCFF99"/>
        <color rgb="FF63BE7B"/>
      </colorScale>
    </cfRule>
  </conditionalFormatting>
  <conditionalFormatting sqref="A170:E172">
    <cfRule type="expression" dxfId="939" priority="357">
      <formula>AND(N173&lt;&gt;TRUE,A170&gt;0)</formula>
    </cfRule>
    <cfRule type="expression" dxfId="938" priority="358">
      <formula>N173&lt;&gt;TRUE</formula>
    </cfRule>
    <cfRule type="expression" dxfId="937" priority="359">
      <formula>AND(NOT(A170=0),NOT(A170=""))</formula>
    </cfRule>
    <cfRule type="colorScale" priority="360">
      <colorScale>
        <cfvo type="num" val="0"/>
        <cfvo type="num" val="1"/>
        <cfvo type="num" val="30"/>
        <color rgb="FFFFFF99"/>
        <color rgb="FFCCFF99"/>
        <color rgb="FF63BE7B"/>
      </colorScale>
    </cfRule>
  </conditionalFormatting>
  <conditionalFormatting sqref="A166:E168">
    <cfRule type="expression" dxfId="936" priority="353">
      <formula>AND(N169&lt;&gt;TRUE,A166&gt;0)</formula>
    </cfRule>
    <cfRule type="expression" dxfId="935" priority="354">
      <formula>N169&lt;&gt;TRUE</formula>
    </cfRule>
    <cfRule type="expression" dxfId="934" priority="355">
      <formula>AND(NOT(A166=0),NOT(A166=""))</formula>
    </cfRule>
    <cfRule type="colorScale" priority="356">
      <colorScale>
        <cfvo type="num" val="0"/>
        <cfvo type="num" val="1"/>
        <cfvo type="num" val="30"/>
        <color rgb="FFFFFF99"/>
        <color rgb="FFCCFF99"/>
        <color rgb="FF63BE7B"/>
      </colorScale>
    </cfRule>
  </conditionalFormatting>
  <conditionalFormatting sqref="A162:E164">
    <cfRule type="expression" dxfId="933" priority="349">
      <formula>AND(N165&lt;&gt;TRUE,A162&gt;0)</formula>
    </cfRule>
    <cfRule type="expression" dxfId="932" priority="350">
      <formula>N165&lt;&gt;TRUE</formula>
    </cfRule>
    <cfRule type="expression" dxfId="931" priority="351">
      <formula>AND(NOT(A162=0),NOT(A162=""))</formula>
    </cfRule>
    <cfRule type="colorScale" priority="352">
      <colorScale>
        <cfvo type="num" val="0"/>
        <cfvo type="num" val="1"/>
        <cfvo type="num" val="30"/>
        <color rgb="FFFFFF99"/>
        <color rgb="FFCCFF99"/>
        <color rgb="FF63BE7B"/>
      </colorScale>
    </cfRule>
  </conditionalFormatting>
  <conditionalFormatting sqref="A155:E157">
    <cfRule type="expression" dxfId="930" priority="345">
      <formula>AND(N158&lt;&gt;TRUE,A155&gt;0)</formula>
    </cfRule>
    <cfRule type="expression" dxfId="929" priority="346">
      <formula>N158&lt;&gt;TRUE</formula>
    </cfRule>
    <cfRule type="expression" dxfId="928" priority="347">
      <formula>AND(NOT(A155=0),NOT(A155=""))</formula>
    </cfRule>
    <cfRule type="colorScale" priority="348">
      <colorScale>
        <cfvo type="num" val="0"/>
        <cfvo type="num" val="1"/>
        <cfvo type="num" val="30"/>
        <color rgb="FFFFFF99"/>
        <color rgb="FFCCFF99"/>
        <color rgb="FF63BE7B"/>
      </colorScale>
    </cfRule>
  </conditionalFormatting>
  <conditionalFormatting sqref="A151:E153">
    <cfRule type="expression" dxfId="927" priority="341">
      <formula>AND(N154&lt;&gt;TRUE,A151&gt;0)</formula>
    </cfRule>
    <cfRule type="expression" dxfId="926" priority="342">
      <formula>N154&lt;&gt;TRUE</formula>
    </cfRule>
    <cfRule type="expression" dxfId="925" priority="343">
      <formula>AND(NOT(A151=0),NOT(A151=""))</formula>
    </cfRule>
    <cfRule type="colorScale" priority="344">
      <colorScale>
        <cfvo type="num" val="0"/>
        <cfvo type="num" val="1"/>
        <cfvo type="num" val="30"/>
        <color rgb="FFFFFF99"/>
        <color rgb="FFCCFF99"/>
        <color rgb="FF63BE7B"/>
      </colorScale>
    </cfRule>
  </conditionalFormatting>
  <conditionalFormatting sqref="A147:E149">
    <cfRule type="expression" dxfId="924" priority="337">
      <formula>AND(N150&lt;&gt;TRUE,A147&gt;0)</formula>
    </cfRule>
    <cfRule type="expression" dxfId="923" priority="338">
      <formula>N150&lt;&gt;TRUE</formula>
    </cfRule>
    <cfRule type="expression" dxfId="922" priority="339">
      <formula>AND(NOT(A147=0),NOT(A147=""))</formula>
    </cfRule>
    <cfRule type="colorScale" priority="340">
      <colorScale>
        <cfvo type="num" val="0"/>
        <cfvo type="num" val="1"/>
        <cfvo type="num" val="30"/>
        <color rgb="FFFFFF99"/>
        <color rgb="FFCCFF99"/>
        <color rgb="FF63BE7B"/>
      </colorScale>
    </cfRule>
  </conditionalFormatting>
  <conditionalFormatting sqref="A143:E145">
    <cfRule type="expression" dxfId="921" priority="333">
      <formula>AND(N146&lt;&gt;TRUE,A143&gt;0)</formula>
    </cfRule>
    <cfRule type="expression" dxfId="920" priority="334">
      <formula>N146&lt;&gt;TRUE</formula>
    </cfRule>
    <cfRule type="expression" dxfId="919" priority="335">
      <formula>AND(NOT(A143=0),NOT(A143=""))</formula>
    </cfRule>
    <cfRule type="colorScale" priority="336">
      <colorScale>
        <cfvo type="num" val="0"/>
        <cfvo type="num" val="1"/>
        <cfvo type="num" val="30"/>
        <color rgb="FFFFFF99"/>
        <color rgb="FFCCFF99"/>
        <color rgb="FF63BE7B"/>
      </colorScale>
    </cfRule>
  </conditionalFormatting>
  <conditionalFormatting sqref="A139:E141">
    <cfRule type="expression" dxfId="918" priority="329">
      <formula>AND(N142&lt;&gt;TRUE,A139&gt;0)</formula>
    </cfRule>
    <cfRule type="expression" dxfId="917" priority="330">
      <formula>N142&lt;&gt;TRUE</formula>
    </cfRule>
    <cfRule type="expression" dxfId="916" priority="331">
      <formula>AND(NOT(A139=0),NOT(A139=""))</formula>
    </cfRule>
    <cfRule type="colorScale" priority="332">
      <colorScale>
        <cfvo type="num" val="0"/>
        <cfvo type="num" val="1"/>
        <cfvo type="num" val="30"/>
        <color rgb="FFFFFF99"/>
        <color rgb="FFCCFF99"/>
        <color rgb="FF63BE7B"/>
      </colorScale>
    </cfRule>
  </conditionalFormatting>
  <conditionalFormatting sqref="A135:E137">
    <cfRule type="expression" dxfId="915" priority="325">
      <formula>AND(N138&lt;&gt;TRUE,A135&gt;0)</formula>
    </cfRule>
    <cfRule type="expression" dxfId="914" priority="326">
      <formula>N138&lt;&gt;TRUE</formula>
    </cfRule>
    <cfRule type="expression" dxfId="913" priority="327">
      <formula>AND(NOT(A135=0),NOT(A135=""))</formula>
    </cfRule>
    <cfRule type="colorScale" priority="328">
      <colorScale>
        <cfvo type="num" val="0"/>
        <cfvo type="num" val="1"/>
        <cfvo type="num" val="30"/>
        <color rgb="FFFFFF99"/>
        <color rgb="FFCCFF99"/>
        <color rgb="FF63BE7B"/>
      </colorScale>
    </cfRule>
  </conditionalFormatting>
  <conditionalFormatting sqref="A131:E133">
    <cfRule type="expression" dxfId="912" priority="321">
      <formula>AND(N134&lt;&gt;TRUE,A131&gt;0)</formula>
    </cfRule>
    <cfRule type="expression" dxfId="911" priority="322">
      <formula>N134&lt;&gt;TRUE</formula>
    </cfRule>
    <cfRule type="expression" dxfId="910" priority="323">
      <formula>AND(NOT(A131=0),NOT(A131=""))</formula>
    </cfRule>
    <cfRule type="colorScale" priority="324">
      <colorScale>
        <cfvo type="num" val="0"/>
        <cfvo type="num" val="1"/>
        <cfvo type="num" val="30"/>
        <color rgb="FFFFFF99"/>
        <color rgb="FFCCFF99"/>
        <color rgb="FF63BE7B"/>
      </colorScale>
    </cfRule>
  </conditionalFormatting>
  <conditionalFormatting sqref="A127:E129">
    <cfRule type="expression" dxfId="909" priority="317">
      <formula>AND(N130&lt;&gt;TRUE,A127&gt;0)</formula>
    </cfRule>
    <cfRule type="expression" dxfId="908" priority="318">
      <formula>N130&lt;&gt;TRUE</formula>
    </cfRule>
    <cfRule type="expression" dxfId="907" priority="319">
      <formula>AND(NOT(A127=0),NOT(A127=""))</formula>
    </cfRule>
    <cfRule type="colorScale" priority="320">
      <colorScale>
        <cfvo type="num" val="0"/>
        <cfvo type="num" val="1"/>
        <cfvo type="num" val="30"/>
        <color rgb="FFFFFF99"/>
        <color rgb="FFCCFF99"/>
        <color rgb="FF63BE7B"/>
      </colorScale>
    </cfRule>
  </conditionalFormatting>
  <conditionalFormatting sqref="A123:E125">
    <cfRule type="expression" dxfId="906" priority="313">
      <formula>AND(N126&lt;&gt;TRUE,A123&gt;0)</formula>
    </cfRule>
    <cfRule type="expression" dxfId="905" priority="314">
      <formula>N126&lt;&gt;TRUE</formula>
    </cfRule>
    <cfRule type="expression" dxfId="904" priority="315">
      <formula>AND(NOT(A123=0),NOT(A123=""))</formula>
    </cfRule>
    <cfRule type="colorScale" priority="316">
      <colorScale>
        <cfvo type="num" val="0"/>
        <cfvo type="num" val="1"/>
        <cfvo type="num" val="30"/>
        <color rgb="FFFFFF99"/>
        <color rgb="FFCCFF99"/>
        <color rgb="FF63BE7B"/>
      </colorScale>
    </cfRule>
  </conditionalFormatting>
  <conditionalFormatting sqref="A119:E121">
    <cfRule type="expression" dxfId="903" priority="309">
      <formula>AND(N122&lt;&gt;TRUE,A119&gt;0)</formula>
    </cfRule>
    <cfRule type="expression" dxfId="902" priority="310">
      <formula>N122&lt;&gt;TRUE</formula>
    </cfRule>
    <cfRule type="expression" dxfId="901" priority="311">
      <formula>AND(NOT(A119=0),NOT(A119=""))</formula>
    </cfRule>
    <cfRule type="colorScale" priority="312">
      <colorScale>
        <cfvo type="num" val="0"/>
        <cfvo type="num" val="1"/>
        <cfvo type="num" val="30"/>
        <color rgb="FFFFFF99"/>
        <color rgb="FFCCFF99"/>
        <color rgb="FF63BE7B"/>
      </colorScale>
    </cfRule>
  </conditionalFormatting>
  <conditionalFormatting sqref="A115:E117">
    <cfRule type="expression" dxfId="900" priority="305">
      <formula>AND(N118&lt;&gt;TRUE,A115&gt;0)</formula>
    </cfRule>
    <cfRule type="expression" dxfId="899" priority="306">
      <formula>N118&lt;&gt;TRUE</formula>
    </cfRule>
    <cfRule type="expression" dxfId="898" priority="307">
      <formula>AND(NOT(A115=0),NOT(A115=""))</formula>
    </cfRule>
    <cfRule type="colorScale" priority="308">
      <colorScale>
        <cfvo type="num" val="0"/>
        <cfvo type="num" val="1"/>
        <cfvo type="num" val="30"/>
        <color rgb="FFFFFF99"/>
        <color rgb="FFCCFF99"/>
        <color rgb="FF63BE7B"/>
      </colorScale>
    </cfRule>
  </conditionalFormatting>
  <conditionalFormatting sqref="A96:E98">
    <cfRule type="expression" dxfId="897" priority="281">
      <formula>AND(N99&lt;&gt;TRUE,A96&gt;0)</formula>
    </cfRule>
    <cfRule type="expression" dxfId="896" priority="282">
      <formula>N99&lt;&gt;TRUE</formula>
    </cfRule>
    <cfRule type="expression" dxfId="895" priority="283">
      <formula>AND(NOT(A96=0),NOT(A96=""))</formula>
    </cfRule>
    <cfRule type="colorScale" priority="284">
      <colorScale>
        <cfvo type="num" val="0"/>
        <cfvo type="num" val="1"/>
        <cfvo type="num" val="30"/>
        <color rgb="FFFFFF99"/>
        <color rgb="FFCCFF99"/>
        <color rgb="FF63BE7B"/>
      </colorScale>
    </cfRule>
  </conditionalFormatting>
  <conditionalFormatting sqref="A92:E94">
    <cfRule type="expression" dxfId="894" priority="277">
      <formula>AND(N95&lt;&gt;TRUE,A92&gt;0)</formula>
    </cfRule>
    <cfRule type="expression" dxfId="893" priority="278">
      <formula>N95&lt;&gt;TRUE</formula>
    </cfRule>
    <cfRule type="expression" dxfId="892" priority="279">
      <formula>AND(NOT(A92=0),NOT(A92=""))</formula>
    </cfRule>
    <cfRule type="colorScale" priority="280">
      <colorScale>
        <cfvo type="num" val="0"/>
        <cfvo type="num" val="1"/>
        <cfvo type="num" val="30"/>
        <color rgb="FFFFFF99"/>
        <color rgb="FFCCFF99"/>
        <color rgb="FF63BE7B"/>
      </colorScale>
    </cfRule>
  </conditionalFormatting>
  <conditionalFormatting sqref="A76:E78">
    <cfRule type="expression" dxfId="891" priority="253">
      <formula>AND(N79&lt;&gt;TRUE,A76&gt;0)</formula>
    </cfRule>
    <cfRule type="expression" dxfId="890" priority="254">
      <formula>N79&lt;&gt;TRUE</formula>
    </cfRule>
    <cfRule type="expression" dxfId="889" priority="255">
      <formula>AND(NOT(A76=0),NOT(A76=""))</formula>
    </cfRule>
    <cfRule type="colorScale" priority="256">
      <colorScale>
        <cfvo type="num" val="0"/>
        <cfvo type="num" val="1"/>
        <cfvo type="num" val="30"/>
        <color rgb="FFFFFF99"/>
        <color rgb="FFCCFF99"/>
        <color rgb="FF63BE7B"/>
      </colorScale>
    </cfRule>
  </conditionalFormatting>
  <conditionalFormatting sqref="A72:E74">
    <cfRule type="expression" dxfId="888" priority="249">
      <formula>AND(N75&lt;&gt;TRUE,A72&gt;0)</formula>
    </cfRule>
    <cfRule type="expression" dxfId="887" priority="250">
      <formula>N75&lt;&gt;TRUE</formula>
    </cfRule>
    <cfRule type="expression" dxfId="886" priority="251">
      <formula>AND(NOT(A72=0),NOT(A72=""))</formula>
    </cfRule>
    <cfRule type="colorScale" priority="252">
      <colorScale>
        <cfvo type="num" val="0"/>
        <cfvo type="num" val="1"/>
        <cfvo type="num" val="30"/>
        <color rgb="FFFFFF99"/>
        <color rgb="FFCCFF99"/>
        <color rgb="FF63BE7B"/>
      </colorScale>
    </cfRule>
  </conditionalFormatting>
  <conditionalFormatting sqref="A68:E70">
    <cfRule type="expression" dxfId="885" priority="245">
      <formula>AND(N71&lt;&gt;TRUE,A68&gt;0)</formula>
    </cfRule>
    <cfRule type="expression" dxfId="884" priority="246">
      <formula>N71&lt;&gt;TRUE</formula>
    </cfRule>
    <cfRule type="expression" dxfId="883" priority="247">
      <formula>AND(NOT(A68=0),NOT(A68=""))</formula>
    </cfRule>
    <cfRule type="colorScale" priority="248">
      <colorScale>
        <cfvo type="num" val="0"/>
        <cfvo type="num" val="1"/>
        <cfvo type="num" val="30"/>
        <color rgb="FFFFFF99"/>
        <color rgb="FFCCFF99"/>
        <color rgb="FF63BE7B"/>
      </colorScale>
    </cfRule>
  </conditionalFormatting>
  <conditionalFormatting sqref="A64:E66">
    <cfRule type="expression" dxfId="882" priority="241">
      <formula>AND(N67&lt;&gt;TRUE,A64&gt;0)</formula>
    </cfRule>
    <cfRule type="expression" dxfId="881" priority="242">
      <formula>N67&lt;&gt;TRUE</formula>
    </cfRule>
    <cfRule type="expression" dxfId="880" priority="243">
      <formula>AND(NOT(A64=0),NOT(A64=""))</formula>
    </cfRule>
    <cfRule type="colorScale" priority="244">
      <colorScale>
        <cfvo type="num" val="0"/>
        <cfvo type="num" val="1"/>
        <cfvo type="num" val="30"/>
        <color rgb="FFFFFF99"/>
        <color rgb="FFCCFF99"/>
        <color rgb="FF63BE7B"/>
      </colorScale>
    </cfRule>
  </conditionalFormatting>
  <conditionalFormatting sqref="A60:E62">
    <cfRule type="expression" dxfId="879" priority="237">
      <formula>AND(N63&lt;&gt;TRUE,A60&gt;0)</formula>
    </cfRule>
    <cfRule type="expression" dxfId="878" priority="238">
      <formula>N63&lt;&gt;TRUE</formula>
    </cfRule>
    <cfRule type="expression" dxfId="877" priority="239">
      <formula>AND(NOT(A60=0),NOT(A60=""))</formula>
    </cfRule>
    <cfRule type="colorScale" priority="240">
      <colorScale>
        <cfvo type="num" val="0"/>
        <cfvo type="num" val="1"/>
        <cfvo type="num" val="30"/>
        <color rgb="FFFFFF99"/>
        <color rgb="FFCCFF99"/>
        <color rgb="FF63BE7B"/>
      </colorScale>
    </cfRule>
  </conditionalFormatting>
  <conditionalFormatting sqref="A13:E15">
    <cfRule type="expression" dxfId="876" priority="193">
      <formula>AND(N16&lt;&gt;TRUE,A13&gt;0)</formula>
    </cfRule>
    <cfRule type="expression" dxfId="875" priority="194">
      <formula>N16&lt;&gt;TRUE</formula>
    </cfRule>
    <cfRule type="expression" dxfId="874" priority="195">
      <formula>AND(NOT(A13=0),NOT(A13=""))</formula>
    </cfRule>
    <cfRule type="colorScale" priority="196">
      <colorScale>
        <cfvo type="num" val="0"/>
        <cfvo type="num" val="1"/>
        <cfvo type="num" val="30"/>
        <color rgb="FFFFFF99"/>
        <color rgb="FFCCFF99"/>
        <color rgb="FF63BE7B"/>
      </colorScale>
    </cfRule>
  </conditionalFormatting>
  <conditionalFormatting sqref="A45:E47">
    <cfRule type="expression" dxfId="873" priority="225">
      <formula>AND(N48&lt;&gt;TRUE,A45&gt;0)</formula>
    </cfRule>
    <cfRule type="expression" dxfId="872" priority="226">
      <formula>N48&lt;&gt;TRUE</formula>
    </cfRule>
    <cfRule type="expression" dxfId="871" priority="227">
      <formula>AND(NOT(A45=0),NOT(A45=""))</formula>
    </cfRule>
    <cfRule type="colorScale" priority="228">
      <colorScale>
        <cfvo type="num" val="0"/>
        <cfvo type="num" val="1"/>
        <cfvo type="num" val="30"/>
        <color rgb="FFFFFF99"/>
        <color rgb="FFCCFF99"/>
        <color rgb="FF63BE7B"/>
      </colorScale>
    </cfRule>
  </conditionalFormatting>
  <conditionalFormatting sqref="A41:E43">
    <cfRule type="expression" dxfId="870" priority="221">
      <formula>AND(N44&lt;&gt;TRUE,A41&gt;0)</formula>
    </cfRule>
    <cfRule type="expression" dxfId="869" priority="222">
      <formula>N44&lt;&gt;TRUE</formula>
    </cfRule>
    <cfRule type="expression" dxfId="868" priority="223">
      <formula>AND(NOT(A41=0),NOT(A41=""))</formula>
    </cfRule>
    <cfRule type="colorScale" priority="224">
      <colorScale>
        <cfvo type="num" val="0"/>
        <cfvo type="num" val="1"/>
        <cfvo type="num" val="30"/>
        <color rgb="FFFFFF99"/>
        <color rgb="FFCCFF99"/>
        <color rgb="FF63BE7B"/>
      </colorScale>
    </cfRule>
  </conditionalFormatting>
  <conditionalFormatting sqref="A25:E27">
    <cfRule type="expression" dxfId="867" priority="205">
      <formula>AND(N28&lt;&gt;TRUE,A25&gt;0)</formula>
    </cfRule>
    <cfRule type="expression" dxfId="866" priority="206">
      <formula>N28&lt;&gt;TRUE</formula>
    </cfRule>
    <cfRule type="expression" dxfId="865" priority="207">
      <formula>AND(NOT(A25=0),NOT(A25=""))</formula>
    </cfRule>
    <cfRule type="colorScale" priority="208">
      <colorScale>
        <cfvo type="num" val="0"/>
        <cfvo type="num" val="1"/>
        <cfvo type="num" val="30"/>
        <color rgb="FFFFFF99"/>
        <color rgb="FFCCFF99"/>
        <color rgb="FF63BE7B"/>
      </colorScale>
    </cfRule>
  </conditionalFormatting>
  <conditionalFormatting sqref="A17:E19">
    <cfRule type="expression" dxfId="864" priority="197">
      <formula>AND(N20&lt;&gt;TRUE,A17&gt;0)</formula>
    </cfRule>
    <cfRule type="expression" dxfId="863" priority="198">
      <formula>N20&lt;&gt;TRUE</formula>
    </cfRule>
    <cfRule type="expression" dxfId="862" priority="199">
      <formula>AND(NOT(A17=0),NOT(A17=""))</formula>
    </cfRule>
    <cfRule type="colorScale" priority="200">
      <colorScale>
        <cfvo type="num" val="0"/>
        <cfvo type="num" val="1"/>
        <cfvo type="num" val="30"/>
        <color rgb="FFFFFF99"/>
        <color rgb="FFCCFF99"/>
        <color rgb="FF63BE7B"/>
      </colorScale>
    </cfRule>
  </conditionalFormatting>
  <conditionalFormatting sqref="N276:Y278 G277:M278">
    <cfRule type="expression" dxfId="861" priority="191">
      <formula>J279&lt;&gt;TRUE</formula>
    </cfRule>
  </conditionalFormatting>
  <conditionalFormatting sqref="G276:I276">
    <cfRule type="expression" dxfId="860" priority="190">
      <formula>N279&lt;&gt;TRUE</formula>
    </cfRule>
  </conditionalFormatting>
  <conditionalFormatting sqref="J276:M276">
    <cfRule type="expression" dxfId="859" priority="192">
      <formula>#REF!&lt;&gt;TRUE</formula>
    </cfRule>
  </conditionalFormatting>
  <conditionalFormatting sqref="N280:Y282 G281:M282">
    <cfRule type="expression" dxfId="858" priority="188">
      <formula>J283&lt;&gt;TRUE</formula>
    </cfRule>
  </conditionalFormatting>
  <conditionalFormatting sqref="G280:I280">
    <cfRule type="expression" dxfId="857" priority="187">
      <formula>N283&lt;&gt;TRUE</formula>
    </cfRule>
  </conditionalFormatting>
  <conditionalFormatting sqref="J280:M280">
    <cfRule type="expression" dxfId="856" priority="189">
      <formula>#REF!&lt;&gt;TRUE</formula>
    </cfRule>
  </conditionalFormatting>
  <conditionalFormatting sqref="N284:Y286 G285:M286">
    <cfRule type="expression" dxfId="855" priority="185">
      <formula>J287&lt;&gt;TRUE</formula>
    </cfRule>
  </conditionalFormatting>
  <conditionalFormatting sqref="G284:I284">
    <cfRule type="expression" dxfId="854" priority="184">
      <formula>N287&lt;&gt;TRUE</formula>
    </cfRule>
  </conditionalFormatting>
  <conditionalFormatting sqref="J284:M284">
    <cfRule type="expression" dxfId="853" priority="186">
      <formula>#REF!&lt;&gt;TRUE</formula>
    </cfRule>
  </conditionalFormatting>
  <conditionalFormatting sqref="N288:Y290 G289:M290">
    <cfRule type="expression" dxfId="852" priority="182">
      <formula>J291&lt;&gt;TRUE</formula>
    </cfRule>
  </conditionalFormatting>
  <conditionalFormatting sqref="G288:I288">
    <cfRule type="expression" dxfId="851" priority="181">
      <formula>N291&lt;&gt;TRUE</formula>
    </cfRule>
  </conditionalFormatting>
  <conditionalFormatting sqref="J288:M288">
    <cfRule type="expression" dxfId="850" priority="183">
      <formula>#REF!&lt;&gt;TRUE</formula>
    </cfRule>
  </conditionalFormatting>
  <conditionalFormatting sqref="N292:Y294 G293:M294">
    <cfRule type="expression" dxfId="849" priority="179">
      <formula>J295&lt;&gt;TRUE</formula>
    </cfRule>
  </conditionalFormatting>
  <conditionalFormatting sqref="G292:I292">
    <cfRule type="expression" dxfId="848" priority="178">
      <formula>N295&lt;&gt;TRUE</formula>
    </cfRule>
  </conditionalFormatting>
  <conditionalFormatting sqref="J292:M292">
    <cfRule type="expression" dxfId="847" priority="180">
      <formula>#REF!&lt;&gt;TRUE</formula>
    </cfRule>
  </conditionalFormatting>
  <conditionalFormatting sqref="N296:Y298 G297:M298">
    <cfRule type="expression" dxfId="846" priority="176">
      <formula>J299&lt;&gt;TRUE</formula>
    </cfRule>
  </conditionalFormatting>
  <conditionalFormatting sqref="G296:I296">
    <cfRule type="expression" dxfId="845" priority="175">
      <formula>N299&lt;&gt;TRUE</formula>
    </cfRule>
  </conditionalFormatting>
  <conditionalFormatting sqref="J296:M296">
    <cfRule type="expression" dxfId="844" priority="177">
      <formula>#REF!&lt;&gt;TRUE</formula>
    </cfRule>
  </conditionalFormatting>
  <conditionalFormatting sqref="N300:Y302 G301:M302">
    <cfRule type="expression" dxfId="843" priority="173">
      <formula>J303&lt;&gt;TRUE</formula>
    </cfRule>
  </conditionalFormatting>
  <conditionalFormatting sqref="G300:I300">
    <cfRule type="expression" dxfId="842" priority="172">
      <formula>N303&lt;&gt;TRUE</formula>
    </cfRule>
  </conditionalFormatting>
  <conditionalFormatting sqref="J300:M300">
    <cfRule type="expression" dxfId="841" priority="174">
      <formula>#REF!&lt;&gt;TRUE</formula>
    </cfRule>
  </conditionalFormatting>
  <conditionalFormatting sqref="N304:Y306 G305:M306">
    <cfRule type="expression" dxfId="840" priority="170">
      <formula>J307&lt;&gt;TRUE</formula>
    </cfRule>
  </conditionalFormatting>
  <conditionalFormatting sqref="G304:I304">
    <cfRule type="expression" dxfId="839" priority="169">
      <formula>N307&lt;&gt;TRUE</formula>
    </cfRule>
  </conditionalFormatting>
  <conditionalFormatting sqref="J304:M304">
    <cfRule type="expression" dxfId="838" priority="171">
      <formula>#REF!&lt;&gt;TRUE</formula>
    </cfRule>
  </conditionalFormatting>
  <conditionalFormatting sqref="A308:E310">
    <cfRule type="expression" dxfId="837" priority="165">
      <formula>AND(N311&lt;&gt;TRUE,A308&gt;0)</formula>
    </cfRule>
    <cfRule type="expression" dxfId="836" priority="166">
      <formula>N311&lt;&gt;TRUE</formula>
    </cfRule>
    <cfRule type="expression" dxfId="835" priority="167">
      <formula>AND(NOT(A308=0),NOT(A308=""))</formula>
    </cfRule>
    <cfRule type="colorScale" priority="168">
      <colorScale>
        <cfvo type="num" val="0"/>
        <cfvo type="num" val="1"/>
        <cfvo type="num" val="30"/>
        <color rgb="FFFFFF99"/>
        <color rgb="FFCCFF99"/>
        <color rgb="FF63BE7B"/>
      </colorScale>
    </cfRule>
  </conditionalFormatting>
  <conditionalFormatting sqref="N308:Y310 G309:M310">
    <cfRule type="expression" dxfId="834" priority="163">
      <formula>J311&lt;&gt;TRUE</formula>
    </cfRule>
  </conditionalFormatting>
  <conditionalFormatting sqref="G308:I308">
    <cfRule type="expression" dxfId="833" priority="162">
      <formula>N311&lt;&gt;TRUE</formula>
    </cfRule>
  </conditionalFormatting>
  <conditionalFormatting sqref="J308:M308">
    <cfRule type="expression" dxfId="832" priority="164">
      <formula>#REF!&lt;&gt;TRUE</formula>
    </cfRule>
  </conditionalFormatting>
  <conditionalFormatting sqref="A312:E314">
    <cfRule type="expression" dxfId="831" priority="158">
      <formula>AND(N315&lt;&gt;TRUE,A312&gt;0)</formula>
    </cfRule>
    <cfRule type="expression" dxfId="830" priority="159">
      <formula>N315&lt;&gt;TRUE</formula>
    </cfRule>
    <cfRule type="expression" dxfId="829" priority="160">
      <formula>AND(NOT(A312=0),NOT(A312=""))</formula>
    </cfRule>
    <cfRule type="colorScale" priority="161">
      <colorScale>
        <cfvo type="num" val="0"/>
        <cfvo type="num" val="1"/>
        <cfvo type="num" val="30"/>
        <color rgb="FFFFFF99"/>
        <color rgb="FFCCFF99"/>
        <color rgb="FF63BE7B"/>
      </colorScale>
    </cfRule>
  </conditionalFormatting>
  <conditionalFormatting sqref="N312:Y314 G313:M314">
    <cfRule type="expression" dxfId="828" priority="156">
      <formula>J315&lt;&gt;TRUE</formula>
    </cfRule>
  </conditionalFormatting>
  <conditionalFormatting sqref="G312:I312">
    <cfRule type="expression" dxfId="827" priority="155">
      <formula>N315&lt;&gt;TRUE</formula>
    </cfRule>
  </conditionalFormatting>
  <conditionalFormatting sqref="J312:M312">
    <cfRule type="expression" dxfId="826" priority="157">
      <formula>#REF!&lt;&gt;TRUE</formula>
    </cfRule>
  </conditionalFormatting>
  <conditionalFormatting sqref="A316:E318">
    <cfRule type="expression" dxfId="825" priority="151">
      <formula>AND(N319&lt;&gt;TRUE,A316&gt;0)</formula>
    </cfRule>
    <cfRule type="expression" dxfId="824" priority="152">
      <formula>N319&lt;&gt;TRUE</formula>
    </cfRule>
    <cfRule type="expression" dxfId="823" priority="153">
      <formula>AND(NOT(A316=0),NOT(A316=""))</formula>
    </cfRule>
    <cfRule type="colorScale" priority="154">
      <colorScale>
        <cfvo type="num" val="0"/>
        <cfvo type="num" val="1"/>
        <cfvo type="num" val="30"/>
        <color rgb="FFFFFF99"/>
        <color rgb="FFCCFF99"/>
        <color rgb="FF63BE7B"/>
      </colorScale>
    </cfRule>
  </conditionalFormatting>
  <conditionalFormatting sqref="N316:Y318 G317:M318">
    <cfRule type="expression" dxfId="822" priority="149">
      <formula>J319&lt;&gt;TRUE</formula>
    </cfRule>
  </conditionalFormatting>
  <conditionalFormatting sqref="G316:I316">
    <cfRule type="expression" dxfId="821" priority="148">
      <formula>N319&lt;&gt;TRUE</formula>
    </cfRule>
  </conditionalFormatting>
  <conditionalFormatting sqref="J316:M316">
    <cfRule type="expression" dxfId="820" priority="150">
      <formula>#REF!&lt;&gt;TRUE</formula>
    </cfRule>
  </conditionalFormatting>
  <conditionalFormatting sqref="A320:E322">
    <cfRule type="expression" dxfId="819" priority="144">
      <formula>AND(N323&lt;&gt;TRUE,A320&gt;0)</formula>
    </cfRule>
    <cfRule type="expression" dxfId="818" priority="145">
      <formula>N323&lt;&gt;TRUE</formula>
    </cfRule>
    <cfRule type="expression" dxfId="817" priority="146">
      <formula>AND(NOT(A320=0),NOT(A320=""))</formula>
    </cfRule>
    <cfRule type="colorScale" priority="147">
      <colorScale>
        <cfvo type="num" val="0"/>
        <cfvo type="num" val="1"/>
        <cfvo type="num" val="30"/>
        <color rgb="FFFFFF99"/>
        <color rgb="FFCCFF99"/>
        <color rgb="FF63BE7B"/>
      </colorScale>
    </cfRule>
  </conditionalFormatting>
  <conditionalFormatting sqref="N320:Y322 G321:M322">
    <cfRule type="expression" dxfId="816" priority="142">
      <formula>J323&lt;&gt;TRUE</formula>
    </cfRule>
  </conditionalFormatting>
  <conditionalFormatting sqref="G320:I320">
    <cfRule type="expression" dxfId="815" priority="141">
      <formula>N323&lt;&gt;TRUE</formula>
    </cfRule>
  </conditionalFormatting>
  <conditionalFormatting sqref="J320:M320">
    <cfRule type="expression" dxfId="814" priority="143">
      <formula>#REF!&lt;&gt;TRUE</formula>
    </cfRule>
  </conditionalFormatting>
  <conditionalFormatting sqref="A324:E326">
    <cfRule type="expression" dxfId="813" priority="137">
      <formula>AND(N327&lt;&gt;TRUE,A324&gt;0)</formula>
    </cfRule>
    <cfRule type="expression" dxfId="812" priority="138">
      <formula>N327&lt;&gt;TRUE</formula>
    </cfRule>
    <cfRule type="expression" dxfId="811" priority="139">
      <formula>AND(NOT(A324=0),NOT(A324=""))</formula>
    </cfRule>
    <cfRule type="colorScale" priority="140">
      <colorScale>
        <cfvo type="num" val="0"/>
        <cfvo type="num" val="1"/>
        <cfvo type="num" val="30"/>
        <color rgb="FFFFFF99"/>
        <color rgb="FFCCFF99"/>
        <color rgb="FF63BE7B"/>
      </colorScale>
    </cfRule>
  </conditionalFormatting>
  <conditionalFormatting sqref="N324:Y326 G325:M326">
    <cfRule type="expression" dxfId="810" priority="135">
      <formula>J327&lt;&gt;TRUE</formula>
    </cfRule>
  </conditionalFormatting>
  <conditionalFormatting sqref="G324:I324">
    <cfRule type="expression" dxfId="809" priority="134">
      <formula>N327&lt;&gt;TRUE</formula>
    </cfRule>
  </conditionalFormatting>
  <conditionalFormatting sqref="J324:M324">
    <cfRule type="expression" dxfId="808" priority="136">
      <formula>#REF!&lt;&gt;TRUE</formula>
    </cfRule>
  </conditionalFormatting>
  <conditionalFormatting sqref="A328:E330">
    <cfRule type="expression" dxfId="807" priority="130">
      <formula>AND(N331&lt;&gt;TRUE,A328&gt;0)</formula>
    </cfRule>
    <cfRule type="expression" dxfId="806" priority="131">
      <formula>N331&lt;&gt;TRUE</formula>
    </cfRule>
    <cfRule type="expression" dxfId="805" priority="132">
      <formula>AND(NOT(A328=0),NOT(A328=""))</formula>
    </cfRule>
    <cfRule type="colorScale" priority="133">
      <colorScale>
        <cfvo type="num" val="0"/>
        <cfvo type="num" val="1"/>
        <cfvo type="num" val="30"/>
        <color rgb="FFFFFF99"/>
        <color rgb="FFCCFF99"/>
        <color rgb="FF63BE7B"/>
      </colorScale>
    </cfRule>
  </conditionalFormatting>
  <conditionalFormatting sqref="N328:Y330 G329:M330">
    <cfRule type="expression" dxfId="804" priority="128">
      <formula>J331&lt;&gt;TRUE</formula>
    </cfRule>
  </conditionalFormatting>
  <conditionalFormatting sqref="G328:I328">
    <cfRule type="expression" dxfId="803" priority="127">
      <formula>N331&lt;&gt;TRUE</formula>
    </cfRule>
  </conditionalFormatting>
  <conditionalFormatting sqref="J328:M328">
    <cfRule type="expression" dxfId="802" priority="129">
      <formula>#REF!&lt;&gt;TRUE</formula>
    </cfRule>
  </conditionalFormatting>
  <conditionalFormatting sqref="A332:E334">
    <cfRule type="expression" dxfId="801" priority="123">
      <formula>AND(N335&lt;&gt;TRUE,A332&gt;0)</formula>
    </cfRule>
    <cfRule type="expression" dxfId="800" priority="124">
      <formula>N335&lt;&gt;TRUE</formula>
    </cfRule>
    <cfRule type="expression" dxfId="799" priority="125">
      <formula>AND(NOT(A332=0),NOT(A332=""))</formula>
    </cfRule>
    <cfRule type="colorScale" priority="126">
      <colorScale>
        <cfvo type="num" val="0"/>
        <cfvo type="num" val="1"/>
        <cfvo type="num" val="30"/>
        <color rgb="FFFFFF99"/>
        <color rgb="FFCCFF99"/>
        <color rgb="FF63BE7B"/>
      </colorScale>
    </cfRule>
  </conditionalFormatting>
  <conditionalFormatting sqref="N332:Y334 G333:M334">
    <cfRule type="expression" dxfId="798" priority="121">
      <formula>J335&lt;&gt;TRUE</formula>
    </cfRule>
  </conditionalFormatting>
  <conditionalFormatting sqref="G332:I332">
    <cfRule type="expression" dxfId="797" priority="120">
      <formula>N335&lt;&gt;TRUE</formula>
    </cfRule>
  </conditionalFormatting>
  <conditionalFormatting sqref="J332:M332">
    <cfRule type="expression" dxfId="796" priority="122">
      <formula>#REF!&lt;&gt;TRUE</formula>
    </cfRule>
  </conditionalFormatting>
  <conditionalFormatting sqref="A336:E338">
    <cfRule type="expression" dxfId="795" priority="116">
      <formula>AND(N339&lt;&gt;TRUE,A336&gt;0)</formula>
    </cfRule>
    <cfRule type="expression" dxfId="794" priority="117">
      <formula>N339&lt;&gt;TRUE</formula>
    </cfRule>
    <cfRule type="expression" dxfId="793" priority="118">
      <formula>AND(NOT(A336=0),NOT(A336=""))</formula>
    </cfRule>
    <cfRule type="colorScale" priority="119">
      <colorScale>
        <cfvo type="num" val="0"/>
        <cfvo type="num" val="1"/>
        <cfvo type="num" val="30"/>
        <color rgb="FFFFFF99"/>
        <color rgb="FFCCFF99"/>
        <color rgb="FF63BE7B"/>
      </colorScale>
    </cfRule>
  </conditionalFormatting>
  <conditionalFormatting sqref="N336:Y338 G337:M338">
    <cfRule type="expression" dxfId="792" priority="114">
      <formula>J339&lt;&gt;TRUE</formula>
    </cfRule>
  </conditionalFormatting>
  <conditionalFormatting sqref="G336:I336">
    <cfRule type="expression" dxfId="791" priority="113">
      <formula>N339&lt;&gt;TRUE</formula>
    </cfRule>
  </conditionalFormatting>
  <conditionalFormatting sqref="J336:M336">
    <cfRule type="expression" dxfId="790" priority="115">
      <formula>#REF!&lt;&gt;TRUE</formula>
    </cfRule>
  </conditionalFormatting>
  <conditionalFormatting sqref="A340:E342">
    <cfRule type="expression" dxfId="789" priority="109">
      <formula>AND(N343&lt;&gt;TRUE,A340&gt;0)</formula>
    </cfRule>
    <cfRule type="expression" dxfId="788" priority="110">
      <formula>N343&lt;&gt;TRUE</formula>
    </cfRule>
    <cfRule type="expression" dxfId="787" priority="111">
      <formula>AND(NOT(A340=0),NOT(A340=""))</formula>
    </cfRule>
    <cfRule type="colorScale" priority="112">
      <colorScale>
        <cfvo type="num" val="0"/>
        <cfvo type="num" val="1"/>
        <cfvo type="num" val="30"/>
        <color rgb="FFFFFF99"/>
        <color rgb="FFCCFF99"/>
        <color rgb="FF63BE7B"/>
      </colorScale>
    </cfRule>
  </conditionalFormatting>
  <conditionalFormatting sqref="N340:Y342 G341:M342">
    <cfRule type="expression" dxfId="786" priority="107">
      <formula>J343&lt;&gt;TRUE</formula>
    </cfRule>
  </conditionalFormatting>
  <conditionalFormatting sqref="G340:I340">
    <cfRule type="expression" dxfId="785" priority="106">
      <formula>N343&lt;&gt;TRUE</formula>
    </cfRule>
  </conditionalFormatting>
  <conditionalFormatting sqref="J340:M340">
    <cfRule type="expression" dxfId="784" priority="108">
      <formula>#REF!&lt;&gt;TRUE</formula>
    </cfRule>
  </conditionalFormatting>
  <conditionalFormatting sqref="A344:E346">
    <cfRule type="expression" dxfId="783" priority="102">
      <formula>AND(N347&lt;&gt;TRUE,A344&gt;0)</formula>
    </cfRule>
    <cfRule type="expression" dxfId="782" priority="103">
      <formula>N347&lt;&gt;TRUE</formula>
    </cfRule>
    <cfRule type="expression" dxfId="781" priority="104">
      <formula>AND(NOT(A344=0),NOT(A344=""))</formula>
    </cfRule>
    <cfRule type="colorScale" priority="105">
      <colorScale>
        <cfvo type="num" val="0"/>
        <cfvo type="num" val="1"/>
        <cfvo type="num" val="30"/>
        <color rgb="FFFFFF99"/>
        <color rgb="FFCCFF99"/>
        <color rgb="FF63BE7B"/>
      </colorScale>
    </cfRule>
  </conditionalFormatting>
  <conditionalFormatting sqref="N344:Y346 G345:M346">
    <cfRule type="expression" dxfId="780" priority="100">
      <formula>J347&lt;&gt;TRUE</formula>
    </cfRule>
  </conditionalFormatting>
  <conditionalFormatting sqref="G344:I344">
    <cfRule type="expression" dxfId="779" priority="99">
      <formula>N347&lt;&gt;TRUE</formula>
    </cfRule>
  </conditionalFormatting>
  <conditionalFormatting sqref="J344:M344">
    <cfRule type="expression" dxfId="778" priority="101">
      <formula>#REF!&lt;&gt;TRUE</formula>
    </cfRule>
  </conditionalFormatting>
  <conditionalFormatting sqref="A348:E350">
    <cfRule type="expression" dxfId="777" priority="95">
      <formula>AND(N351&lt;&gt;TRUE,A348&gt;0)</formula>
    </cfRule>
    <cfRule type="expression" dxfId="776" priority="96">
      <formula>N351&lt;&gt;TRUE</formula>
    </cfRule>
    <cfRule type="expression" dxfId="775" priority="97">
      <formula>AND(NOT(A348=0),NOT(A348=""))</formula>
    </cfRule>
    <cfRule type="colorScale" priority="98">
      <colorScale>
        <cfvo type="num" val="0"/>
        <cfvo type="num" val="1"/>
        <cfvo type="num" val="30"/>
        <color rgb="FFFFFF99"/>
        <color rgb="FFCCFF99"/>
        <color rgb="FF63BE7B"/>
      </colorScale>
    </cfRule>
  </conditionalFormatting>
  <conditionalFormatting sqref="N348:Y350 G349:M350">
    <cfRule type="expression" dxfId="774" priority="93">
      <formula>J351&lt;&gt;TRUE</formula>
    </cfRule>
  </conditionalFormatting>
  <conditionalFormatting sqref="G348:I348">
    <cfRule type="expression" dxfId="773" priority="92">
      <formula>N351&lt;&gt;TRUE</formula>
    </cfRule>
  </conditionalFormatting>
  <conditionalFormatting sqref="J348:M348">
    <cfRule type="expression" dxfId="772" priority="94">
      <formula>#REF!&lt;&gt;TRUE</formula>
    </cfRule>
  </conditionalFormatting>
  <conditionalFormatting sqref="A352:E354">
    <cfRule type="expression" dxfId="771" priority="88">
      <formula>AND(N355&lt;&gt;TRUE,A352&gt;0)</formula>
    </cfRule>
    <cfRule type="expression" dxfId="770" priority="89">
      <formula>N355&lt;&gt;TRUE</formula>
    </cfRule>
    <cfRule type="expression" dxfId="769" priority="90">
      <formula>AND(NOT(A352=0),NOT(A352=""))</formula>
    </cfRule>
    <cfRule type="colorScale" priority="91">
      <colorScale>
        <cfvo type="num" val="0"/>
        <cfvo type="num" val="1"/>
        <cfvo type="num" val="30"/>
        <color rgb="FFFFFF99"/>
        <color rgb="FFCCFF99"/>
        <color rgb="FF63BE7B"/>
      </colorScale>
    </cfRule>
  </conditionalFormatting>
  <conditionalFormatting sqref="N352:Y354 G353:M354">
    <cfRule type="expression" dxfId="768" priority="86">
      <formula>J355&lt;&gt;TRUE</formula>
    </cfRule>
  </conditionalFormatting>
  <conditionalFormatting sqref="G352:I352">
    <cfRule type="expression" dxfId="767" priority="85">
      <formula>N355&lt;&gt;TRUE</formula>
    </cfRule>
  </conditionalFormatting>
  <conditionalFormatting sqref="J352:M352">
    <cfRule type="expression" dxfId="766" priority="87">
      <formula>#REF!&lt;&gt;TRUE</formula>
    </cfRule>
  </conditionalFormatting>
  <conditionalFormatting sqref="A356:E358">
    <cfRule type="expression" dxfId="765" priority="81">
      <formula>AND(N359&lt;&gt;TRUE,A356&gt;0)</formula>
    </cfRule>
    <cfRule type="expression" dxfId="764" priority="82">
      <formula>N359&lt;&gt;TRUE</formula>
    </cfRule>
    <cfRule type="expression" dxfId="763" priority="83">
      <formula>AND(NOT(A356=0),NOT(A356=""))</formula>
    </cfRule>
    <cfRule type="colorScale" priority="84">
      <colorScale>
        <cfvo type="num" val="0"/>
        <cfvo type="num" val="1"/>
        <cfvo type="num" val="30"/>
        <color rgb="FFFFFF99"/>
        <color rgb="FFCCFF99"/>
        <color rgb="FF63BE7B"/>
      </colorScale>
    </cfRule>
  </conditionalFormatting>
  <conditionalFormatting sqref="N356:Y358 G357:M358">
    <cfRule type="expression" dxfId="762" priority="79">
      <formula>J359&lt;&gt;TRUE</formula>
    </cfRule>
  </conditionalFormatting>
  <conditionalFormatting sqref="G356:I356">
    <cfRule type="expression" dxfId="761" priority="78">
      <formula>N359&lt;&gt;TRUE</formula>
    </cfRule>
  </conditionalFormatting>
  <conditionalFormatting sqref="J356:M356">
    <cfRule type="expression" dxfId="760" priority="80">
      <formula>#REF!&lt;&gt;TRUE</formula>
    </cfRule>
  </conditionalFormatting>
  <conditionalFormatting sqref="A360:E362">
    <cfRule type="expression" dxfId="759" priority="74">
      <formula>AND(N363&lt;&gt;TRUE,A360&gt;0)</formula>
    </cfRule>
    <cfRule type="expression" dxfId="758" priority="75">
      <formula>N363&lt;&gt;TRUE</formula>
    </cfRule>
    <cfRule type="expression" dxfId="757" priority="76">
      <formula>AND(NOT(A360=0),NOT(A360=""))</formula>
    </cfRule>
    <cfRule type="colorScale" priority="77">
      <colorScale>
        <cfvo type="num" val="0"/>
        <cfvo type="num" val="1"/>
        <cfvo type="num" val="30"/>
        <color rgb="FFFFFF99"/>
        <color rgb="FFCCFF99"/>
        <color rgb="FF63BE7B"/>
      </colorScale>
    </cfRule>
  </conditionalFormatting>
  <conditionalFormatting sqref="N360:Y362 G361:M362">
    <cfRule type="expression" dxfId="756" priority="72">
      <formula>J363&lt;&gt;TRUE</formula>
    </cfRule>
  </conditionalFormatting>
  <conditionalFormatting sqref="G360:I360">
    <cfRule type="expression" dxfId="755" priority="71">
      <formula>N363&lt;&gt;TRUE</formula>
    </cfRule>
  </conditionalFormatting>
  <conditionalFormatting sqref="J360:M360">
    <cfRule type="expression" dxfId="754" priority="73">
      <formula>#REF!&lt;&gt;TRUE</formula>
    </cfRule>
  </conditionalFormatting>
  <conditionalFormatting sqref="A364:E366">
    <cfRule type="expression" dxfId="753" priority="67">
      <formula>AND(N367&lt;&gt;TRUE,A364&gt;0)</formula>
    </cfRule>
    <cfRule type="expression" dxfId="752" priority="68">
      <formula>N367&lt;&gt;TRUE</formula>
    </cfRule>
    <cfRule type="expression" dxfId="751" priority="69">
      <formula>AND(NOT(A364=0),NOT(A364=""))</formula>
    </cfRule>
    <cfRule type="colorScale" priority="70">
      <colorScale>
        <cfvo type="num" val="0"/>
        <cfvo type="num" val="1"/>
        <cfvo type="num" val="30"/>
        <color rgb="FFFFFF99"/>
        <color rgb="FFCCFF99"/>
        <color rgb="FF63BE7B"/>
      </colorScale>
    </cfRule>
  </conditionalFormatting>
  <conditionalFormatting sqref="N364:Y366 G365:M366">
    <cfRule type="expression" dxfId="750" priority="65">
      <formula>J367&lt;&gt;TRUE</formula>
    </cfRule>
  </conditionalFormatting>
  <conditionalFormatting sqref="G364:I364">
    <cfRule type="expression" dxfId="749" priority="64">
      <formula>N367&lt;&gt;TRUE</formula>
    </cfRule>
  </conditionalFormatting>
  <conditionalFormatting sqref="J364:M364">
    <cfRule type="expression" dxfId="748" priority="66">
      <formula>#REF!&lt;&gt;TRUE</formula>
    </cfRule>
  </conditionalFormatting>
  <conditionalFormatting sqref="A368:E370">
    <cfRule type="expression" dxfId="747" priority="60">
      <formula>AND(N371&lt;&gt;TRUE,A368&gt;0)</formula>
    </cfRule>
    <cfRule type="expression" dxfId="746" priority="61">
      <formula>N371&lt;&gt;TRUE</formula>
    </cfRule>
    <cfRule type="expression" dxfId="745" priority="62">
      <formula>AND(NOT(A368=0),NOT(A368=""))</formula>
    </cfRule>
    <cfRule type="colorScale" priority="63">
      <colorScale>
        <cfvo type="num" val="0"/>
        <cfvo type="num" val="1"/>
        <cfvo type="num" val="30"/>
        <color rgb="FFFFFF99"/>
        <color rgb="FFCCFF99"/>
        <color rgb="FF63BE7B"/>
      </colorScale>
    </cfRule>
  </conditionalFormatting>
  <conditionalFormatting sqref="N368:Y370 G369:M370">
    <cfRule type="expression" dxfId="744" priority="58">
      <formula>J371&lt;&gt;TRUE</formula>
    </cfRule>
  </conditionalFormatting>
  <conditionalFormatting sqref="G368:I368">
    <cfRule type="expression" dxfId="743" priority="57">
      <formula>N371&lt;&gt;TRUE</formula>
    </cfRule>
  </conditionalFormatting>
  <conditionalFormatting sqref="J368:M368">
    <cfRule type="expression" dxfId="742" priority="59">
      <formula>#REF!&lt;&gt;TRUE</formula>
    </cfRule>
  </conditionalFormatting>
  <conditionalFormatting sqref="A372:E374">
    <cfRule type="expression" dxfId="741" priority="53">
      <formula>AND(N375&lt;&gt;TRUE,A372&gt;0)</formula>
    </cfRule>
    <cfRule type="expression" dxfId="740" priority="54">
      <formula>N375&lt;&gt;TRUE</formula>
    </cfRule>
    <cfRule type="expression" dxfId="739" priority="55">
      <formula>AND(NOT(A372=0),NOT(A372=""))</formula>
    </cfRule>
    <cfRule type="colorScale" priority="56">
      <colorScale>
        <cfvo type="num" val="0"/>
        <cfvo type="num" val="1"/>
        <cfvo type="num" val="30"/>
        <color rgb="FFFFFF99"/>
        <color rgb="FFCCFF99"/>
        <color rgb="FF63BE7B"/>
      </colorScale>
    </cfRule>
  </conditionalFormatting>
  <conditionalFormatting sqref="N372:Y374 G373:M374">
    <cfRule type="expression" dxfId="738" priority="51">
      <formula>J375&lt;&gt;TRUE</formula>
    </cfRule>
  </conditionalFormatting>
  <conditionalFormatting sqref="G372:I372">
    <cfRule type="expression" dxfId="737" priority="50">
      <formula>N375&lt;&gt;TRUE</formula>
    </cfRule>
  </conditionalFormatting>
  <conditionalFormatting sqref="J372:M372">
    <cfRule type="expression" dxfId="736" priority="52">
      <formula>#REF!&lt;&gt;TRUE</formula>
    </cfRule>
  </conditionalFormatting>
  <conditionalFormatting sqref="A376:E378">
    <cfRule type="expression" dxfId="735" priority="46">
      <formula>AND(N379&lt;&gt;TRUE,A376&gt;0)</formula>
    </cfRule>
    <cfRule type="expression" dxfId="734" priority="47">
      <formula>N379&lt;&gt;TRUE</formula>
    </cfRule>
    <cfRule type="expression" dxfId="733" priority="48">
      <formula>AND(NOT(A376=0),NOT(A376=""))</formula>
    </cfRule>
    <cfRule type="colorScale" priority="49">
      <colorScale>
        <cfvo type="num" val="0"/>
        <cfvo type="num" val="1"/>
        <cfvo type="num" val="30"/>
        <color rgb="FFFFFF99"/>
        <color rgb="FFCCFF99"/>
        <color rgb="FF63BE7B"/>
      </colorScale>
    </cfRule>
  </conditionalFormatting>
  <conditionalFormatting sqref="N376:Y378 G377:M378">
    <cfRule type="expression" dxfId="732" priority="44">
      <formula>J379&lt;&gt;TRUE</formula>
    </cfRule>
  </conditionalFormatting>
  <conditionalFormatting sqref="G376:I376">
    <cfRule type="expression" dxfId="731" priority="43">
      <formula>N379&lt;&gt;TRUE</formula>
    </cfRule>
  </conditionalFormatting>
  <conditionalFormatting sqref="J376:M376">
    <cfRule type="expression" dxfId="730" priority="45">
      <formula>#REF!&lt;&gt;TRUE</formula>
    </cfRule>
  </conditionalFormatting>
  <conditionalFormatting sqref="A380:E382">
    <cfRule type="expression" dxfId="729" priority="39">
      <formula>AND(N383&lt;&gt;TRUE,A380&gt;0)</formula>
    </cfRule>
    <cfRule type="expression" dxfId="728" priority="40">
      <formula>N383&lt;&gt;TRUE</formula>
    </cfRule>
    <cfRule type="expression" dxfId="727" priority="41">
      <formula>AND(NOT(A380=0),NOT(A380=""))</formula>
    </cfRule>
    <cfRule type="colorScale" priority="42">
      <colorScale>
        <cfvo type="num" val="0"/>
        <cfvo type="num" val="1"/>
        <cfvo type="num" val="30"/>
        <color rgb="FFFFFF99"/>
        <color rgb="FFCCFF99"/>
        <color rgb="FF63BE7B"/>
      </colorScale>
    </cfRule>
  </conditionalFormatting>
  <conditionalFormatting sqref="N380:Y382 G381:M382">
    <cfRule type="expression" dxfId="726" priority="37">
      <formula>J383&lt;&gt;TRUE</formula>
    </cfRule>
  </conditionalFormatting>
  <conditionalFormatting sqref="G380:I380">
    <cfRule type="expression" dxfId="725" priority="36">
      <formula>N383&lt;&gt;TRUE</formula>
    </cfRule>
  </conditionalFormatting>
  <conditionalFormatting sqref="J380:M380">
    <cfRule type="expression" dxfId="724" priority="38">
      <formula>#REF!&lt;&gt;TRUE</formula>
    </cfRule>
  </conditionalFormatting>
  <conditionalFormatting sqref="A384:E386">
    <cfRule type="expression" dxfId="723" priority="32">
      <formula>AND(N387&lt;&gt;TRUE,A384&gt;0)</formula>
    </cfRule>
    <cfRule type="expression" dxfId="722" priority="33">
      <formula>N387&lt;&gt;TRUE</formula>
    </cfRule>
    <cfRule type="expression" dxfId="721" priority="34">
      <formula>AND(NOT(A384=0),NOT(A384=""))</formula>
    </cfRule>
    <cfRule type="colorScale" priority="35">
      <colorScale>
        <cfvo type="num" val="0"/>
        <cfvo type="num" val="1"/>
        <cfvo type="num" val="30"/>
        <color rgb="FFFFFF99"/>
        <color rgb="FFCCFF99"/>
        <color rgb="FF63BE7B"/>
      </colorScale>
    </cfRule>
  </conditionalFormatting>
  <conditionalFormatting sqref="N384:Y386 G385:M386">
    <cfRule type="expression" dxfId="720" priority="30">
      <formula>J387&lt;&gt;TRUE</formula>
    </cfRule>
  </conditionalFormatting>
  <conditionalFormatting sqref="G384:I384">
    <cfRule type="expression" dxfId="719" priority="29">
      <formula>N387&lt;&gt;TRUE</formula>
    </cfRule>
  </conditionalFormatting>
  <conditionalFormatting sqref="J384:M384">
    <cfRule type="expression" dxfId="718" priority="31">
      <formula>#REF!&lt;&gt;TRUE</formula>
    </cfRule>
  </conditionalFormatting>
  <conditionalFormatting sqref="A388:E390">
    <cfRule type="expression" dxfId="717" priority="25">
      <formula>AND(N391&lt;&gt;TRUE,A388&gt;0)</formula>
    </cfRule>
    <cfRule type="expression" dxfId="716" priority="26">
      <formula>N391&lt;&gt;TRUE</formula>
    </cfRule>
    <cfRule type="expression" dxfId="715" priority="27">
      <formula>AND(NOT(A388=0),NOT(A388=""))</formula>
    </cfRule>
    <cfRule type="colorScale" priority="28">
      <colorScale>
        <cfvo type="num" val="0"/>
        <cfvo type="num" val="1"/>
        <cfvo type="num" val="30"/>
        <color rgb="FFFFFF99"/>
        <color rgb="FFCCFF99"/>
        <color rgb="FF63BE7B"/>
      </colorScale>
    </cfRule>
  </conditionalFormatting>
  <conditionalFormatting sqref="N388:Y390 G389:M390">
    <cfRule type="expression" dxfId="714" priority="23">
      <formula>J391&lt;&gt;TRUE</formula>
    </cfRule>
  </conditionalFormatting>
  <conditionalFormatting sqref="G388:I388">
    <cfRule type="expression" dxfId="713" priority="22">
      <formula>N391&lt;&gt;TRUE</formula>
    </cfRule>
  </conditionalFormatting>
  <conditionalFormatting sqref="J388:M388">
    <cfRule type="expression" dxfId="712" priority="24">
      <formula>#REF!&lt;&gt;TRUE</formula>
    </cfRule>
  </conditionalFormatting>
  <conditionalFormatting sqref="A392:E394">
    <cfRule type="expression" dxfId="711" priority="18">
      <formula>AND(N395&lt;&gt;TRUE,A392&gt;0)</formula>
    </cfRule>
    <cfRule type="expression" dxfId="710" priority="19">
      <formula>N395&lt;&gt;TRUE</formula>
    </cfRule>
    <cfRule type="expression" dxfId="709" priority="20">
      <formula>AND(NOT(A392=0),NOT(A392=""))</formula>
    </cfRule>
    <cfRule type="colorScale" priority="21">
      <colorScale>
        <cfvo type="num" val="0"/>
        <cfvo type="num" val="1"/>
        <cfvo type="num" val="30"/>
        <color rgb="FFFFFF99"/>
        <color rgb="FFCCFF99"/>
        <color rgb="FF63BE7B"/>
      </colorScale>
    </cfRule>
  </conditionalFormatting>
  <conditionalFormatting sqref="N392:Y394 G393:M394">
    <cfRule type="expression" dxfId="708" priority="16">
      <formula>J395&lt;&gt;TRUE</formula>
    </cfRule>
  </conditionalFormatting>
  <conditionalFormatting sqref="G392:I392">
    <cfRule type="expression" dxfId="707" priority="15">
      <formula>N395&lt;&gt;TRUE</formula>
    </cfRule>
  </conditionalFormatting>
  <conditionalFormatting sqref="J392:M392">
    <cfRule type="expression" dxfId="706" priority="17">
      <formula>#REF!&lt;&gt;TRUE</formula>
    </cfRule>
  </conditionalFormatting>
  <conditionalFormatting sqref="A396:E398">
    <cfRule type="expression" dxfId="705" priority="11">
      <formula>AND(N399&lt;&gt;TRUE,A396&gt;0)</formula>
    </cfRule>
    <cfRule type="expression" dxfId="704" priority="12">
      <formula>N399&lt;&gt;TRUE</formula>
    </cfRule>
    <cfRule type="expression" dxfId="703" priority="13">
      <formula>AND(NOT(A396=0),NOT(A396=""))</formula>
    </cfRule>
    <cfRule type="colorScale" priority="14">
      <colorScale>
        <cfvo type="num" val="0"/>
        <cfvo type="num" val="1"/>
        <cfvo type="num" val="30"/>
        <color rgb="FFFFFF99"/>
        <color rgb="FFCCFF99"/>
        <color rgb="FF63BE7B"/>
      </colorScale>
    </cfRule>
  </conditionalFormatting>
  <conditionalFormatting sqref="N396:Y398 G397:M398">
    <cfRule type="expression" dxfId="702" priority="9">
      <formula>J399&lt;&gt;TRUE</formula>
    </cfRule>
  </conditionalFormatting>
  <conditionalFormatting sqref="G396:I396">
    <cfRule type="expression" dxfId="701" priority="8">
      <formula>N399&lt;&gt;TRUE</formula>
    </cfRule>
  </conditionalFormatting>
  <conditionalFormatting sqref="J396:M396">
    <cfRule type="expression" dxfId="700" priority="10">
      <formula>#REF!&lt;&gt;TRUE</formula>
    </cfRule>
  </conditionalFormatting>
  <conditionalFormatting sqref="A400:E402">
    <cfRule type="expression" dxfId="699" priority="4">
      <formula>AND(N403&lt;&gt;TRUE,A400&gt;0)</formula>
    </cfRule>
    <cfRule type="expression" dxfId="698" priority="5">
      <formula>N403&lt;&gt;TRUE</formula>
    </cfRule>
    <cfRule type="expression" dxfId="697" priority="6">
      <formula>AND(NOT(A400=0),NOT(A400=""))</formula>
    </cfRule>
    <cfRule type="colorScale" priority="7">
      <colorScale>
        <cfvo type="num" val="0"/>
        <cfvo type="num" val="1"/>
        <cfvo type="num" val="30"/>
        <color rgb="FFFFFF99"/>
        <color rgb="FFCCFF99"/>
        <color rgb="FF63BE7B"/>
      </colorScale>
    </cfRule>
  </conditionalFormatting>
  <conditionalFormatting sqref="G401:M402">
    <cfRule type="expression" dxfId="696" priority="2">
      <formula>J404&lt;&gt;TRUE</formula>
    </cfRule>
  </conditionalFormatting>
  <conditionalFormatting sqref="G400:I400">
    <cfRule type="expression" dxfId="695" priority="1">
      <formula>N403&lt;&gt;TRUE</formula>
    </cfRule>
  </conditionalFormatting>
  <conditionalFormatting sqref="J400:M400">
    <cfRule type="expression" dxfId="694" priority="3">
      <formula>#REF!&lt;&gt;TRUE</formula>
    </cfRule>
  </conditionalFormatting>
  <conditionalFormatting sqref="Q401:R401">
    <cfRule type="expression" dxfId="693" priority="2087">
      <formula>X403&lt;&gt;TRUE</formula>
    </cfRule>
  </conditionalFormatting>
  <conditionalFormatting sqref="U400:V400">
    <cfRule type="expression" dxfId="692" priority="2088">
      <formula>#REF!&lt;&gt;TRUE</formula>
    </cfRule>
  </conditionalFormatting>
  <conditionalFormatting sqref="A109:E110">
    <cfRule type="expression" dxfId="691" priority="2234">
      <formula>AND(#REF!&lt;&gt;TRUE,A109&gt;0)</formula>
    </cfRule>
    <cfRule type="expression" dxfId="690" priority="2235">
      <formula>#REF!&lt;&gt;TRUE</formula>
    </cfRule>
    <cfRule type="expression" dxfId="689" priority="2236">
      <formula>AND(NOT(A109=0),NOT(A109=""))</formula>
    </cfRule>
    <cfRule type="colorScale" priority="2237">
      <colorScale>
        <cfvo type="num" val="0"/>
        <cfvo type="num" val="1"/>
        <cfvo type="num" val="30"/>
        <color rgb="FFFFFF99"/>
        <color rgb="FFCCFF99"/>
        <color rgb="FF63BE7B"/>
      </colorScale>
    </cfRule>
  </conditionalFormatting>
  <conditionalFormatting sqref="A53:E54 A81:E82 A101:E102">
    <cfRule type="expression" dxfId="688" priority="2242">
      <formula>AND(N60&lt;&gt;TRUE,A53&gt;0)</formula>
    </cfRule>
    <cfRule type="expression" dxfId="687" priority="2243">
      <formula>N60&lt;&gt;TRUE</formula>
    </cfRule>
    <cfRule type="expression" dxfId="686" priority="2244">
      <formula>AND(NOT(A53=0),NOT(A53=""))</formula>
    </cfRule>
    <cfRule type="colorScale" priority="2245">
      <colorScale>
        <cfvo type="num" val="0"/>
        <cfvo type="num" val="1"/>
        <cfvo type="num" val="30"/>
        <color rgb="FFFFFF99"/>
        <color rgb="FFCCFF99"/>
        <color rgb="FF63BE7B"/>
      </colorScale>
    </cfRule>
  </conditionalFormatting>
  <conditionalFormatting sqref="A89:E90">
    <cfRule type="expression" dxfId="685" priority="2258">
      <formula>AND(N56&lt;&gt;TRUE,A89&gt;0)</formula>
    </cfRule>
    <cfRule type="expression" dxfId="684" priority="2259">
      <formula>N56&lt;&gt;TRUE</formula>
    </cfRule>
    <cfRule type="expression" dxfId="683" priority="2260">
      <formula>AND(NOT(A89=0),NOT(A89=""))</formula>
    </cfRule>
    <cfRule type="colorScale" priority="2261">
      <colorScale>
        <cfvo type="num" val="0"/>
        <cfvo type="num" val="1"/>
        <cfvo type="num" val="30"/>
        <color rgb="FFFFFF99"/>
        <color rgb="FFCCFF99"/>
        <color rgb="FF63BE7B"/>
      </colorScale>
    </cfRule>
  </conditionalFormatting>
  <conditionalFormatting sqref="A57:E58">
    <cfRule type="expression" dxfId="682" priority="2270">
      <formula>AND(N84&lt;&gt;TRUE,A57&gt;0)</formula>
    </cfRule>
    <cfRule type="expression" dxfId="681" priority="2271">
      <formula>N84&lt;&gt;TRUE</formula>
    </cfRule>
    <cfRule type="expression" dxfId="680" priority="2272">
      <formula>AND(NOT(A57=0),NOT(A57=""))</formula>
    </cfRule>
    <cfRule type="colorScale" priority="2273">
      <colorScale>
        <cfvo type="num" val="0"/>
        <cfvo type="num" val="1"/>
        <cfvo type="num" val="30"/>
        <color rgb="FFFFFF99"/>
        <color rgb="FFCCFF99"/>
        <color rgb="FF63BE7B"/>
      </colorScale>
    </cfRule>
  </conditionalFormatting>
  <conditionalFormatting sqref="A105:E106">
    <cfRule type="expression" dxfId="679" priority="2274">
      <formula>AND(N92&lt;&gt;TRUE,A105&gt;0)</formula>
    </cfRule>
    <cfRule type="expression" dxfId="678" priority="2275">
      <formula>N92&lt;&gt;TRUE</formula>
    </cfRule>
    <cfRule type="expression" dxfId="677" priority="2276">
      <formula>AND(NOT(A105=0),NOT(A105=""))</formula>
    </cfRule>
    <cfRule type="colorScale" priority="2277">
      <colorScale>
        <cfvo type="num" val="0"/>
        <cfvo type="num" val="1"/>
        <cfvo type="num" val="30"/>
        <color rgb="FFFFFF99"/>
        <color rgb="FFCCFF99"/>
        <color rgb="FF63BE7B"/>
      </colorScale>
    </cfRule>
  </conditionalFormatting>
  <conditionalFormatting sqref="A85:E86">
    <cfRule type="expression" dxfId="676" priority="2282">
      <formula>AND(N104&lt;&gt;TRUE,A85&gt;0)</formula>
    </cfRule>
    <cfRule type="expression" dxfId="675" priority="2283">
      <formula>N104&lt;&gt;TRUE</formula>
    </cfRule>
    <cfRule type="expression" dxfId="674" priority="2284">
      <formula>AND(NOT(A85=0),NOT(A85=""))</formula>
    </cfRule>
    <cfRule type="colorScale" priority="2285">
      <colorScale>
        <cfvo type="num" val="0"/>
        <cfvo type="num" val="1"/>
        <cfvo type="num" val="30"/>
        <color rgb="FFFFFF99"/>
        <color rgb="FFCCFF99"/>
        <color rgb="FF63BE7B"/>
      </colorScale>
    </cfRule>
  </conditionalFormatting>
  <dataValidations xWindow="332" yWindow="822" count="61">
    <dataValidation type="whole" errorStyle="warning" showErrorMessage="1" errorTitle="Invalid Data" error="Should be a positive integer." sqref="A24:E24 A28:E28 A44:E44 A40:E40 A36:E36 A32:E32">
      <formula1>0</formula1>
      <formula2>80</formula2>
    </dataValidation>
    <dataValidation allowBlank="1" showInputMessage="1" showErrorMessage="1" promptTitle="Shields" prompt="Usually held in the off-hand, shields protect the wielder from a variety of attacks by providing an extra layer of damage reduction.  A skilled user can even use a shield as a powerful weapon, distracting confusing their opponent." sqref="G96:U98"/>
    <dataValidation allowBlank="1" showInputMessage="1" showErrorMessage="1" promptTitle="Heavy Armor" prompt="Strong, tough, and capable of stopping a normal devastating blow, heavy armor offers better protection and is a practical solution to those on the front line.  In exchange, however, heavy armor limits your flexibility and ability to move with any freedom." sqref="G72:U74 Q131:U133"/>
    <dataValidation allowBlank="1" showInputMessage="1" showErrorMessage="1" promptTitle="Light Armor" prompt="Light and flexible, this armor allows you freedom of movement in exchange for higher layers of protection.  Light armor is good for those that prefer not getting hit at all and don't want to be encumbered by heavier armor._x000a_" sqref="G80:U82 Q139:U141"/>
    <dataValidation allowBlank="1" showInputMessage="1" showErrorMessage="1" promptTitle="Improvised Weaponry" prompt="When no weapon of such is available, you improvise.  Pick up a chair and use it as a club.  Take broken bottle and use it as a mace.  This skill improves your ability with something that isn't designed as a weapon." sqref="G76:U78 Q135:U137"/>
    <dataValidation allowBlank="1" showInputMessage="1" showErrorMessage="1" promptTitle="Throwing" prompt="Shurikens, darts, throwing axes, large rocks, etc.  Throwing weapons tend to have an unpredictable damage range, though are quick and easy to use." sqref="G108:U110"/>
    <dataValidation allowBlank="1" showInputMessage="1" showErrorMessage="1" promptTitle="Crossbows" prompt="The &quot;automatic bow&quot; and a weapon of the people, crossbows provide quick, deadly ranged attacks at range while not leaving the wielder exposed.  Crossbows are difficult to reload, however, and do not benefit from many abilities." sqref="G60:U62 Q119:U121"/>
    <dataValidation allowBlank="1" showInputMessage="1" showErrorMessage="1" promptTitle="Archery" prompt="Archery weapons specializing in delivering precise, deadly projectiles past your enemies defenses before they are able they have a chance to retaliate.  While aiming, however, the user is exposed and vulnerable to attack." sqref="G52:G53"/>
    <dataValidation allowBlank="1" showInputMessage="1" showErrorMessage="1" promptTitle="Magicka" prompt="This skill allows the wielder to shape the ether into an unstoppable divine or arcane weapon. Magicka skill covers all offensive spells providing a wide array of different ways to incapacitate or debilitate your foe using elemental and divine energy." sqref="G88:U90 Q143:U145"/>
    <dataValidation allowBlank="1" showInputMessage="1" showErrorMessage="1" promptTitle="Hand-to-Hand Combat" prompt="Focusing on the ability to fight without the aid of a weapon, hand-to-hand combat focusing on weaponizing your fists and legs and the use of the entire body.  These attacks are quick and precise, but don't deal as damage as a larger weapon." sqref="G68:U70 Q127:U129"/>
    <dataValidation allowBlank="1" showInputMessage="1" showErrorMessage="1" promptTitle="Polearms" prompt="Pike, trident, glaives, spears, etc.  Polearms are considered the middle ground, bridging the gap between one handed and two handed weapons.  Many polearms have reach and are balanced weapon, allowing flexibility and control." sqref="G92:U94"/>
    <dataValidation allowBlank="1" showInputMessage="1" showErrorMessage="1" promptTitle="Staves" prompt="Quarterstaves, Shillelagh, and beatsticks, staves usually deal crushing damage.  favored by warriors and casters, many staves are enchanted allow the manipulation of magic. They are among the fastest and most accurate two-handed weapons." sqref="G100:U102"/>
    <dataValidation allowBlank="1" showInputMessage="1" showErrorMessage="1" promptTitle="One-Handed Axes" prompt="Including Axes, picks, cleavers, hatchets, and more, Ace are heavy-handed weapons that focus their weight a single point or axes dealing incredible cleaving damage at the cost of speed and accuracy." sqref="Q147:U149"/>
    <dataValidation allowBlank="1" showInputMessage="1" showErrorMessage="1" promptTitle="One-Handed Maces" prompt="Includes clubs, flails, board-with-a-spike, cudgels, hammers, etc.  While maces lack speed and are on the heavier end of one-handed weapons, maces pack stopping power with every swing, crushing armor and bone with ease.  " sqref="Q200:U200 Q151:U153"/>
    <dataValidation allowBlank="1" showInputMessage="1" showErrorMessage="1" promptTitle="One-Handed Swords" prompt="Include all swords such as long swords, short swords, rapiers, machetes, wakizashis, etc.  Swords are balanced weapons combining accuracy and control with reasonable speed and power.  Swords usually deal slashing damage." sqref="G157:P157 Q155:U157"/>
    <dataValidation allowBlank="1" showInputMessage="1" showErrorMessage="1" promptTitle="Daggers" prompt="Include daggers, knives, shivs, pointed sticks, letter openers, etc.  Daggers are usually light weapons that deal piercing damage and are among the fastest weapons available.  They favor pin-point accuracy over the brute strength of other weapons." sqref="G64:U66 Q123:U125"/>
    <dataValidation type="custom" showInputMessage="1" showErrorMessage="1" errorTitle="Oops!" error="This is just a title.  You shouldn't change it." promptTitle="Survival" prompt="The skill of surviving in the wild with limited resources.  Helps you find find food, water and shelter, avoid predators, track the passage of creatures, navigate difficult and dangerous terrain, and generally stay alive with little resources." sqref="G155:P156">
      <formula1>G155</formula1>
    </dataValidation>
    <dataValidation type="custom" showInputMessage="1" showErrorMessage="1" errorTitle="Oops!" error="This is just a title.  You shouldn't change it." promptTitle="Subterfuge" prompt="The art of distraction and misdirection, subterfuge allows you to skillfully misrepresent the true nature of your activities  whether it be a simple or complex lie, casually stealing something, or even falsifying your identity." sqref="G151:P152">
      <formula1>"3.14159"</formula1>
    </dataValidation>
    <dataValidation type="custom" showInputMessage="1" showErrorMessage="1" errorTitle="Oops!" error="This is just a title.  You shouldn't change it." promptTitle="Streetwise" prompt="The skill of surviving in the city with limited resources.  Helps you find good deals in stores, know who is in charge, where you can get information, identify gang markings, find safe places, and locate shortcuts that otherwise might go overlooked." sqref="G147:P148">
      <formula1>G147</formula1>
    </dataValidation>
    <dataValidation type="custom" showInputMessage="1" showErrorMessage="1" errorTitle="Oops!" error="This is just a title.  You shouldn't change it." promptTitle="Stealth" prompt="Helps you conceal yourself from enemies, slink past guards, slip away without being noticed, and sneak up on others without being detected.  Stealth also helps conceal your identity, prevent being tracked, and disguise yourself without detection." sqref="G143:P145">
      <formula1>G143</formula1>
    </dataValidation>
    <dataValidation type="custom" showInputMessage="1" showErrorMessage="1" errorTitle="Oops!" error="This is just a title.  You shouldn't change it." promptTitle="Security" prompt="Knowledge of the proper methods of keeping something safe from harm, intrusion, and crime. Security takes into account the potential attempt of destructive actions, but it is possible for the knowledge itself to be used for destruction." sqref="G139:P141">
      <formula1>G139</formula1>
    </dataValidation>
    <dataValidation type="custom" showInputMessage="1" showErrorMessage="1" errorTitle="Oops!" error="This is just a title.  You shouldn't change it." promptTitle="Perception" prompt="Determine how aware your character is of their surroundings.  Perception helps you notice abnormalities of your surroundings, find hidden creatures and objects, and pick up on sounds that others may not notice." sqref="G135:P137">
      <formula1>G135</formula1>
    </dataValidation>
    <dataValidation type="custom" showInputMessage="1" showErrorMessage="1" errorTitle="Oops!" error="This is just a title.  You shouldn't change it." promptTitle="Expression" prompt="Eases your ability to communicating thoughts and motives precisely, especially across language barriers.  Expression can be used directly, such as through intimidation or diplomacy, or indirectly for concealing the deeper meaning of a messages." sqref="G131:P133">
      <formula1>G131</formula1>
    </dataValidation>
    <dataValidation type="custom" showInputMessage="1" showErrorMessage="1" errorTitle="Oops!" error="This is just a title.  You shouldn't change it." promptTitle="Comprehension" prompt="Aids your understanding of behavior and motives. Use this skill to determine hostility, understand spoken language, ascertain why a person is acting oddly, see through a lie, read body language, or determine what someones true intentions might be. " sqref="G127">
      <formula1>G127</formula1>
    </dataValidation>
    <dataValidation type="custom" showInputMessage="1" showErrorMessage="1" errorTitle="Oops!" error="This is just a title.  You shouldn't change it." promptTitle="Athletics" prompt="Determines how well a character can do various physical tasks, such as swimming, climbing rope, jumping distances, or maintaining balance. " sqref="G123:P125">
      <formula1>G123</formula1>
    </dataValidation>
    <dataValidation type="custom" showInputMessage="1" showErrorMessage="1" errorTitle="Oops!" error="This is just a title.  You shouldn't change it." promptTitle="Appraisal" prompt="Helps you determine the value of objects, identifying the presence of enchantments on an item, and can be used to assess people such as how threatening they may be or what sort of abilities they may possess." sqref="G119:P121">
      <formula1>G119</formula1>
    </dataValidation>
    <dataValidation type="custom" showInputMessage="1" showErrorMessage="1" errorTitle="Oops!" error="This is just a title.  You shouldn't change it." promptTitle="Acrobatics" prompt="The performance of feats of balance, agility and motor coordination through the use and control of ones own body weight. With acrobatics you can balance on an unstable surface, escaping grabs or restraints, reducing fall damage, or perform complex stunts." sqref="G115:P117">
      <formula1>G115</formula1>
    </dataValidation>
    <dataValidation type="custom" allowBlank="1" showInputMessage="1" showErrorMessage="1" errorTitle="Oops!" error="This is just a title.  You shouldn't change it." promptTitle="Alchemy" prompt="The skill of mixing herbs and reagents in order to concoct potions, elixirs, oils, and other chemicals.  Everything created by alchemy causes some sort of reaction.  Whether it is beneficial or deterimental is mostly up to the alchemist." sqref="G182:U184">
      <formula1>G182</formula1>
    </dataValidation>
    <dataValidation type="custom" showInputMessage="1" showErrorMessage="1" errorTitle="Oops!" error="This is just a title.  You shouldn't change it." promptTitle="Animal Handling" prompt="Understanding of the behavior of animals.  This skill allows you to tame and train animals, maintain their needs, treat their ailments, and generally have comprehension of their attitudes and behavior." sqref="G166:U168">
      <formula1>G166</formula1>
    </dataValidation>
    <dataValidation type="custom" showInputMessage="1" showErrorMessage="1" errorTitle="Oops!" error="This is just a title.  You shouldn't change it." promptTitle="Alchemy" prompt="The skill of mixing herbs and reagents in order to concoct potions, elixirs, oils, and other chemicals.  Everything created by alchemy causes some sort of reaction.  Whether it is beneficial or deterimental is mostly up to the alchemist." sqref="G162:U164 Q209:U211 Q213:U215 Q217:U219 Q221:U223 Q225:U227 Q229:U231 Q233:U235 Q237:U239 Q241:U243 Q245:U247 Q249:U251 G255:P255 Q253:U255 Q205:U207">
      <formula1>G162</formula1>
    </dataValidation>
    <dataValidation type="custom" allowBlank="1" showInputMessage="1" showErrorMessage="1" errorTitle="Oops!" error="This is just a title.  You shouldn't change it." promptTitle="Arcana" prompt="The study of arcane magic, the flow of ethereal energy, and how it interacts with the physical world.  Arcana teaches arcane principles and is extremely important for arcane spellcasters as it determines the maximum level of arcane spell they can cast." sqref="G170:U172">
      <formula1>G170</formula1>
    </dataValidation>
    <dataValidation type="custom" allowBlank="1" showInputMessage="1" showErrorMessage="1" errorTitle="Oops!" error="This is just a title.  You shouldn't change it." promptTitle="Fletching" prompt="The craft of creating arrows, fletching allows you to recover ammunition spent from archery weapons and crossbows.  In addition it allows you to modify and create new types of ammunition, reduces the price of ammunition and even create new ranged weapons." sqref="G174:U176">
      <formula1>G174</formula1>
    </dataValidation>
    <dataValidation type="custom" allowBlank="1" showInputMessage="1" showErrorMessage="1" errorTitle="Oops!" error="This is just a title.  You shouldn't change it." promptTitle="Leatherworking" prompt="The art of preparing hide and leather for use in production.  This skill will let you create and repair light armor and other leather materials.  In addition, you can use it to improve armor, removing weakness and improving durability." sqref="G178:U180">
      <formula1>G178</formula1>
    </dataValidation>
    <dataValidation type="custom" allowBlank="1" showInputMessage="1" showErrorMessage="1" errorTitle="Oops!" error="This is just a title.  You shouldn't change it." promptTitle="Smithing" prompt="The craft of taking raw metals and creating them into something new.  This skill will let you create and repair heavy armor, and weapons, and other objects.  In addition, you can use it to improve armor and weapons, effectiveness." sqref="G186:U188">
      <formula1>G186</formula1>
    </dataValidation>
    <dataValidation type="custom" allowBlank="1" showInputMessage="1" showErrorMessage="1" errorTitle="Oops!" error="This is just a title.  You shouldn't change it." promptTitle="Tailoring" prompt="The craft of making, repairing, and altering clothing.  This skill will let you create and repair clothes and cloth objects.  Tailors can identify craftsmanship allowing them to improve the quality and look of clothing as well as asses quality as well." sqref="G190:U192">
      <formula1>G190</formula1>
    </dataValidation>
    <dataValidation type="custom" allowBlank="1" showInputMessage="1" showErrorMessage="1" errorTitle="Oops!" error="This is just a title.  You shouldn't change it." promptTitle="Technology" prompt="A profession that allows the user to create a variety of mechanical trinkets and clockwork devices with the goal of making tasks easier. Technology also allows the user to repair mechanical devices as well as create and maintain constructs." sqref="G194:U196">
      <formula1>G194</formula1>
    </dataValidation>
    <dataValidation type="custom" allowBlank="1" showInputMessage="1" showErrorMessage="1" errorTitle="Oops!" error="This is just a title.  You shouldn't change it." promptTitle="Theology" prompt="The study of the religion, the gods, and their interactions and effects on the physical world.  Theologists usually focus on particular deities, gaining insight and wisdom from their studies. Theology determines the maximum level of your divine spells." sqref="G198:U199">
      <formula1>G198</formula1>
    </dataValidation>
    <dataValidation allowBlank="1" showInputMessage="1" showErrorMessage="1" promptTitle="High Elven" prompt="Script: Elven_x000a_Spoken by: Wind Elves, Shadow Elves, Manakin, Humans_x000a__x000a_The language of the wind elves, high elven is a smooth and flowing language with few hard syllable sounds." sqref="G205:P207"/>
    <dataValidation allowBlank="1" showInputMessage="1" showErrorMessage="1" promptTitle="Wood Elven" prompt="Script: Elven_x000a_Spoken by: Wood Elves, Sylvan, Lagamo, Some Krothgar _x000a__x000a_The language of the wood elves is commonly shared among the fey races" sqref="G209:P211"/>
    <dataValidation allowBlank="1" showInputMessage="1" showErrorMessage="1" promptTitle="Dark Elven" prompt="Script: Elven_x000a_Spoken by: Shadow Elves, some humans_x000a__x000a_Known as Shaeorian among its speakers, Dark elven is a twisted version of high elven with many more sharp sounds." sqref="G213:P215"/>
    <dataValidation allowBlank="1" showInputMessage="1" showErrorMessage="1" promptTitle="Basic Elven" prompt="Script: Simplified Elven_x000a_Spoken by: Most elves, humans, krothgar_x000a__x000a_A simplified version of the elven script, basic elven allows easier communication between the factions without the complexities of the indiivdual languages." sqref="G217:P219"/>
    <dataValidation allowBlank="1" showInputMessage="1" showErrorMessage="1" promptTitle="Eulian" prompt="Script: Elven and Common_x000a_Spoken by: wind elves, humans, garonians,_x000a__x000a_Formed as mixture of Elven and Common, Eulian serves as a unified language and representation of peace between the wind elves and humans." sqref="G221:P223"/>
    <dataValidation allowBlank="1" showInputMessage="1" showErrorMessage="1" prompt="Script: Common_x000a_Spoken by: Humans, Kender, some high elves_x000a__x000a_Due to the nature of humanity and the simplicity of the language, Common is one of the most wide spread languages in the world." sqref="G225:P227"/>
    <dataValidation allowBlank="1" showInputMessage="1" showErrorMessage="1" promptTitle="Garonian" prompt="Script: Common_x000a_Spoken by: Garona, some humans_x000a__x000a_An offshoot of common, Garonian was considered a dead language for many years.  It is an unpopular language, however, as the Garonians are not very popular." sqref="G229:P231"/>
    <dataValidation allowBlank="1" showInputMessage="1" showErrorMessage="1" promptTitle="Lower Common" prompt="Script: Common_x000a_Spoken by: Merchants, traders, less intelligent races_x000a__x000a_An extremely simple language, Lower Common is usually called a trade language.  It lacks complexity: Ideas spoken in Lower Common are simple and straightforward." sqref="G233:P235"/>
    <dataValidation allowBlank="1" showInputMessage="1" showErrorMessage="1" prompt="Script: Davek_x000a_Spoken by: Dwarves, Giants, Gnomes_x000a__x000a_Usually just called 'Dwarven', Davek is the runic language of the dwarves characterized by its earthen sound with many hard syllables." sqref="G237:P239"/>
    <dataValidation allowBlank="1" showInputMessage="1" showErrorMessage="1" promptTitle="Geovek" prompt="Script: Davek_x000a_Spoken by: Dwarves, Giants, Ogres_x000a__x000a_The language of the giants and ogres, it shares many similarities with dwarven.  Dwarven is based off of the Geovek language." sqref="G241:P243"/>
    <dataValidation allowBlank="1" showInputMessage="1" showErrorMessage="1" promptTitle="Goblin" prompt="Script: Golvek_x000a_Spoken by: Goblins, Gnomes, Orcs, Krothgar_x000a__x000a_The dialect of goblin varies between breeds, but it is mostly recognized between all of the races due to its simplistic nature._x000a__x000a_" sqref="G245:P247"/>
    <dataValidation allowBlank="1" showInputMessage="1" showErrorMessage="1" promptTitle="Gnomish" prompt="Script: Golvek_x000a_Spoken by: Gnomes, Dwarves_x000a__x000a_Very similar to the goblin language, Gnomish is more refined with a much larger vocabulary.  An amount of gnomish has been borrowed from the dwarven language as well." sqref="G249:P251"/>
    <dataValidation allowBlank="1" showInputMessage="1" showErrorMessage="1" promptTitle="Volken" prompt="Script: Volken_x000a_Spoken by: Volkmyr, Krothgar, wood elves_x000a__x000a_Volkmyr is a very complex language involving a large amount of body language as well.  When written, symbols must be precisely drawn to avoid misinterpretation." sqref="G253:P254"/>
    <dataValidation type="custom" errorStyle="warning" showErrorMessage="1" errorTitle="Unqualified" error="You do not qualify for this merit.  " sqref="A292:E294 A296:E298 A300:E302 A284:E286 A304:E306 A288:E290 A280:E282 A276:E278 A264:E266 A272:E274 A268:E270 A260:E262 A253:E255 A233:E235 A249:E251 A245:E247 A241:E243 A237:E239 A229:E231 A225:E227 A221:E223 A217:E219 A213:E215 A209:E211 A205:E207 A198:E200 A194:E196 A190:E192 A186:E188 A182:E184 A178:E180 A174:E176 A170:E172 A166:E168 A162:E164 A155:E157 A151:E153 A147:E149 A143:E145 A139:E141 A135:E137 A131:E133 A127:E129 A123:E125 A119:E121 A115:E117 A392:E394 A396:E398 A400:E402 A96:E98 A92:E94 A76:E78 A72:E74 A68:E70 A64:E66 A60:E62 A45:E47 A41:E43 A37:E39 A33:E35 A29:E31 A25:E27 A21:E23 A17:E19 A13:E15 A308:E310 A312:E314 A316:E318 A320:E322 A324:E326 A328:E330 A332:E334 A336:E338 A340:E342 A344:E346 A348:E350 A352:E354 A356:E358 A360:E362 A364:E366 A368:E370 A372:E374 A376:E378 A380:E382 A384:E386 A388:E390 A108:E108 A52:E52 A88:E88 A56:E56 A80:E80 A84:E84 A100:E100 A104:E104">
      <formula1>IF(N16=TRUE,A13&gt;=0,A13=0)</formula1>
    </dataValidation>
    <dataValidation type="custom" errorStyle="warning" showErrorMessage="1" errorTitle="Unqualified" error="You do not qualify for this merit.  " sqref="A109:E110">
      <formula1>IF(#REF!=TRUE,A109&gt;=0,A109=0)</formula1>
    </dataValidation>
    <dataValidation type="custom" errorStyle="warning" showErrorMessage="1" errorTitle="Unqualified" error="You do not qualify for this merit.  " sqref="A53:E54 A81:E82 A101:E102">
      <formula1>IF(N60=TRUE,A53&gt;=0,A53=0)</formula1>
    </dataValidation>
    <dataValidation type="custom" errorStyle="warning" showErrorMessage="1" errorTitle="Unqualified" error="You do not qualify for this merit.  " sqref="A89:E90">
      <formula1>IF(N56=TRUE,A89&gt;=0,A89=0)</formula1>
    </dataValidation>
    <dataValidation type="custom" errorStyle="warning" showErrorMessage="1" errorTitle="Unqualified" error="You do not qualify for this merit.  " sqref="A57:E58">
      <formula1>IF(N84=TRUE,A57&gt;=0,A57=0)</formula1>
    </dataValidation>
    <dataValidation type="custom" errorStyle="warning" showErrorMessage="1" errorTitle="Unqualified" error="You do not qualify for this merit.  " sqref="A105:E106">
      <formula1>IF(N92=TRUE,A105&gt;=0,A105=0)</formula1>
    </dataValidation>
    <dataValidation type="custom" errorStyle="warning" showErrorMessage="1" errorTitle="Unqualified" error="You do not qualify for this merit.  " sqref="A85:E86">
      <formula1>IF(N104=TRUE,A85&gt;=0,A85=0)</formula1>
    </dataValidation>
    <dataValidation allowBlank="1" showInputMessage="1" showErrorMessage="1" promptTitle="Axes" prompt="Including Axes, picks, cleavers, hatchets, and more, Ace are heavy-handed weapons that focus their weight a single point or axes dealing incredible cleaving damage at the cost of speed and accuracy." sqref="G56:Y58"/>
    <dataValidation allowBlank="1" showInputMessage="1" showErrorMessage="1" promptTitle="Swords" prompt="Include all swords such as long swords, short swords, rapiers, machetes, wakizashis, etc.  Swords are balanced weapons combining accuracy and control with reasonable speed and power.  Swords usually deal slashing damage." sqref="G104:Y106"/>
    <dataValidation allowBlank="1" showInputMessage="1" showErrorMessage="1" promptTitle="Maces" prompt="Includes clubs, flails, board-with-a-spike, cudgels, hammers, etc.  While maces lack speed and are on the heavier end of one-handed weapons, maces pack stopping power with every swing, crushing armor and bone with ease.  " sqref="G84:Y86"/>
    <dataValidation type="whole" errorStyle="warning" allowBlank="1" showInputMessage="1" showErrorMessage="1" errorTitle="Changing Starting Experience" error="You are changing your starting experience value." promptTitle="Starting Experience" prompt="How much experience your character starts with._x000a__x000a_DEFAULT: 1000" sqref="B5:I6">
      <formula1>1000</formula1>
      <formula2>1000</formula2>
    </dataValidation>
  </dataValidations>
  <pageMargins left="0.7" right="0.7" top="0.75" bottom="0.75" header="0.3" footer="0.3"/>
  <pageSetup orientation="portrait"/>
  <drawing r:id="rId1"/>
  <legacyDrawing r:id="rId2"/>
  <mc:AlternateContent xmlns:mc="http://schemas.openxmlformats.org/markup-compatibility/2006">
    <mc:Choice Requires="x14">
      <controls>
        <mc:AlternateContent xmlns:mc="http://schemas.openxmlformats.org/markup-compatibility/2006">
          <mc:Choice Requires="x14">
            <control shapeId="12289" r:id="rId3" name="Spinner 1">
              <controlPr defaultSize="0" autoPict="0">
                <anchor moveWithCells="1" sizeWithCells="1">
                  <from>
                    <xdr:col>5</xdr:col>
                    <xdr:colOff>0</xdr:colOff>
                    <xdr:row>12</xdr:row>
                    <xdr:rowOff>0</xdr:rowOff>
                  </from>
                  <to>
                    <xdr:col>5</xdr:col>
                    <xdr:colOff>85725</xdr:colOff>
                    <xdr:row>15</xdr:row>
                    <xdr:rowOff>0</xdr:rowOff>
                  </to>
                </anchor>
              </controlPr>
            </control>
          </mc:Choice>
        </mc:AlternateContent>
        <mc:AlternateContent xmlns:mc="http://schemas.openxmlformats.org/markup-compatibility/2006">
          <mc:Choice Requires="x14">
            <control shapeId="12291" r:id="rId4" name="Spinner 3">
              <controlPr defaultSize="0" autoPict="0">
                <anchor moveWithCells="1" sizeWithCells="1">
                  <from>
                    <xdr:col>5</xdr:col>
                    <xdr:colOff>0</xdr:colOff>
                    <xdr:row>16</xdr:row>
                    <xdr:rowOff>0</xdr:rowOff>
                  </from>
                  <to>
                    <xdr:col>5</xdr:col>
                    <xdr:colOff>85725</xdr:colOff>
                    <xdr:row>19</xdr:row>
                    <xdr:rowOff>0</xdr:rowOff>
                  </to>
                </anchor>
              </controlPr>
            </control>
          </mc:Choice>
        </mc:AlternateContent>
        <mc:AlternateContent xmlns:mc="http://schemas.openxmlformats.org/markup-compatibility/2006">
          <mc:Choice Requires="x14">
            <control shapeId="12292" r:id="rId5" name="Spinner 4">
              <controlPr defaultSize="0" autoPict="0">
                <anchor moveWithCells="1" sizeWithCells="1">
                  <from>
                    <xdr:col>5</xdr:col>
                    <xdr:colOff>0</xdr:colOff>
                    <xdr:row>20</xdr:row>
                    <xdr:rowOff>0</xdr:rowOff>
                  </from>
                  <to>
                    <xdr:col>5</xdr:col>
                    <xdr:colOff>85725</xdr:colOff>
                    <xdr:row>23</xdr:row>
                    <xdr:rowOff>0</xdr:rowOff>
                  </to>
                </anchor>
              </controlPr>
            </control>
          </mc:Choice>
        </mc:AlternateContent>
        <mc:AlternateContent xmlns:mc="http://schemas.openxmlformats.org/markup-compatibility/2006">
          <mc:Choice Requires="x14">
            <control shapeId="12293" r:id="rId6" name="Spinner 5">
              <controlPr defaultSize="0" autoPict="0">
                <anchor moveWithCells="1" sizeWithCells="1">
                  <from>
                    <xdr:col>5</xdr:col>
                    <xdr:colOff>0</xdr:colOff>
                    <xdr:row>24</xdr:row>
                    <xdr:rowOff>0</xdr:rowOff>
                  </from>
                  <to>
                    <xdr:col>5</xdr:col>
                    <xdr:colOff>85725</xdr:colOff>
                    <xdr:row>27</xdr:row>
                    <xdr:rowOff>0</xdr:rowOff>
                  </to>
                </anchor>
              </controlPr>
            </control>
          </mc:Choice>
        </mc:AlternateContent>
        <mc:AlternateContent xmlns:mc="http://schemas.openxmlformats.org/markup-compatibility/2006">
          <mc:Choice Requires="x14">
            <control shapeId="12294" r:id="rId7" name="Spinner 6">
              <controlPr defaultSize="0" autoPict="0">
                <anchor moveWithCells="1" sizeWithCells="1">
                  <from>
                    <xdr:col>5</xdr:col>
                    <xdr:colOff>0</xdr:colOff>
                    <xdr:row>28</xdr:row>
                    <xdr:rowOff>0</xdr:rowOff>
                  </from>
                  <to>
                    <xdr:col>5</xdr:col>
                    <xdr:colOff>85725</xdr:colOff>
                    <xdr:row>31</xdr:row>
                    <xdr:rowOff>0</xdr:rowOff>
                  </to>
                </anchor>
              </controlPr>
            </control>
          </mc:Choice>
        </mc:AlternateContent>
        <mc:AlternateContent xmlns:mc="http://schemas.openxmlformats.org/markup-compatibility/2006">
          <mc:Choice Requires="x14">
            <control shapeId="12295" r:id="rId8" name="Spinner 7">
              <controlPr defaultSize="0" autoPict="0">
                <anchor moveWithCells="1" sizeWithCells="1">
                  <from>
                    <xdr:col>5</xdr:col>
                    <xdr:colOff>0</xdr:colOff>
                    <xdr:row>32</xdr:row>
                    <xdr:rowOff>0</xdr:rowOff>
                  </from>
                  <to>
                    <xdr:col>5</xdr:col>
                    <xdr:colOff>85725</xdr:colOff>
                    <xdr:row>35</xdr:row>
                    <xdr:rowOff>0</xdr:rowOff>
                  </to>
                </anchor>
              </controlPr>
            </control>
          </mc:Choice>
        </mc:AlternateContent>
        <mc:AlternateContent xmlns:mc="http://schemas.openxmlformats.org/markup-compatibility/2006">
          <mc:Choice Requires="x14">
            <control shapeId="12296" r:id="rId9" name="Spinner 8">
              <controlPr defaultSize="0" autoPict="0">
                <anchor moveWithCells="1" sizeWithCells="1">
                  <from>
                    <xdr:col>5</xdr:col>
                    <xdr:colOff>0</xdr:colOff>
                    <xdr:row>36</xdr:row>
                    <xdr:rowOff>0</xdr:rowOff>
                  </from>
                  <to>
                    <xdr:col>5</xdr:col>
                    <xdr:colOff>85725</xdr:colOff>
                    <xdr:row>39</xdr:row>
                    <xdr:rowOff>0</xdr:rowOff>
                  </to>
                </anchor>
              </controlPr>
            </control>
          </mc:Choice>
        </mc:AlternateContent>
        <mc:AlternateContent xmlns:mc="http://schemas.openxmlformats.org/markup-compatibility/2006">
          <mc:Choice Requires="x14">
            <control shapeId="12297" r:id="rId10" name="Spinner 9">
              <controlPr defaultSize="0" autoPict="0">
                <anchor moveWithCells="1" sizeWithCells="1">
                  <from>
                    <xdr:col>5</xdr:col>
                    <xdr:colOff>0</xdr:colOff>
                    <xdr:row>40</xdr:row>
                    <xdr:rowOff>0</xdr:rowOff>
                  </from>
                  <to>
                    <xdr:col>5</xdr:col>
                    <xdr:colOff>85725</xdr:colOff>
                    <xdr:row>43</xdr:row>
                    <xdr:rowOff>0</xdr:rowOff>
                  </to>
                </anchor>
              </controlPr>
            </control>
          </mc:Choice>
        </mc:AlternateContent>
        <mc:AlternateContent xmlns:mc="http://schemas.openxmlformats.org/markup-compatibility/2006">
          <mc:Choice Requires="x14">
            <control shapeId="12298" r:id="rId11" name="Spinner 10">
              <controlPr defaultSize="0" autoPict="0">
                <anchor moveWithCells="1" sizeWithCells="1">
                  <from>
                    <xdr:col>5</xdr:col>
                    <xdr:colOff>0</xdr:colOff>
                    <xdr:row>44</xdr:row>
                    <xdr:rowOff>0</xdr:rowOff>
                  </from>
                  <to>
                    <xdr:col>5</xdr:col>
                    <xdr:colOff>85725</xdr:colOff>
                    <xdr:row>47</xdr:row>
                    <xdr:rowOff>0</xdr:rowOff>
                  </to>
                </anchor>
              </controlPr>
            </control>
          </mc:Choice>
        </mc:AlternateContent>
        <mc:AlternateContent xmlns:mc="http://schemas.openxmlformats.org/markup-compatibility/2006">
          <mc:Choice Requires="x14">
            <control shapeId="12299" r:id="rId12" name="Spinner 11">
              <controlPr defaultSize="0" autoPict="0">
                <anchor moveWithCells="1" sizeWithCells="1">
                  <from>
                    <xdr:col>5</xdr:col>
                    <xdr:colOff>0</xdr:colOff>
                    <xdr:row>51</xdr:row>
                    <xdr:rowOff>0</xdr:rowOff>
                  </from>
                  <to>
                    <xdr:col>5</xdr:col>
                    <xdr:colOff>85725</xdr:colOff>
                    <xdr:row>54</xdr:row>
                    <xdr:rowOff>0</xdr:rowOff>
                  </to>
                </anchor>
              </controlPr>
            </control>
          </mc:Choice>
        </mc:AlternateContent>
        <mc:AlternateContent xmlns:mc="http://schemas.openxmlformats.org/markup-compatibility/2006">
          <mc:Choice Requires="x14">
            <control shapeId="12300" r:id="rId13" name="Spinner 12">
              <controlPr defaultSize="0" autoPict="0">
                <anchor moveWithCells="1" sizeWithCells="1">
                  <from>
                    <xdr:col>5</xdr:col>
                    <xdr:colOff>0</xdr:colOff>
                    <xdr:row>59</xdr:row>
                    <xdr:rowOff>0</xdr:rowOff>
                  </from>
                  <to>
                    <xdr:col>5</xdr:col>
                    <xdr:colOff>85725</xdr:colOff>
                    <xdr:row>62</xdr:row>
                    <xdr:rowOff>0</xdr:rowOff>
                  </to>
                </anchor>
              </controlPr>
            </control>
          </mc:Choice>
        </mc:AlternateContent>
        <mc:AlternateContent xmlns:mc="http://schemas.openxmlformats.org/markup-compatibility/2006">
          <mc:Choice Requires="x14">
            <control shapeId="12301" r:id="rId14" name="Spinner 13">
              <controlPr defaultSize="0" autoPict="0">
                <anchor moveWithCells="1" sizeWithCells="1">
                  <from>
                    <xdr:col>5</xdr:col>
                    <xdr:colOff>0</xdr:colOff>
                    <xdr:row>63</xdr:row>
                    <xdr:rowOff>0</xdr:rowOff>
                  </from>
                  <to>
                    <xdr:col>5</xdr:col>
                    <xdr:colOff>85725</xdr:colOff>
                    <xdr:row>66</xdr:row>
                    <xdr:rowOff>0</xdr:rowOff>
                  </to>
                </anchor>
              </controlPr>
            </control>
          </mc:Choice>
        </mc:AlternateContent>
        <mc:AlternateContent xmlns:mc="http://schemas.openxmlformats.org/markup-compatibility/2006">
          <mc:Choice Requires="x14">
            <control shapeId="12302" r:id="rId15" name="Spinner 14">
              <controlPr defaultSize="0" autoPict="0">
                <anchor moveWithCells="1" sizeWithCells="1">
                  <from>
                    <xdr:col>5</xdr:col>
                    <xdr:colOff>0</xdr:colOff>
                    <xdr:row>67</xdr:row>
                    <xdr:rowOff>0</xdr:rowOff>
                  </from>
                  <to>
                    <xdr:col>5</xdr:col>
                    <xdr:colOff>85725</xdr:colOff>
                    <xdr:row>70</xdr:row>
                    <xdr:rowOff>0</xdr:rowOff>
                  </to>
                </anchor>
              </controlPr>
            </control>
          </mc:Choice>
        </mc:AlternateContent>
        <mc:AlternateContent xmlns:mc="http://schemas.openxmlformats.org/markup-compatibility/2006">
          <mc:Choice Requires="x14">
            <control shapeId="12303" r:id="rId16" name="Spinner 15">
              <controlPr defaultSize="0" autoPict="0">
                <anchor moveWithCells="1" sizeWithCells="1">
                  <from>
                    <xdr:col>5</xdr:col>
                    <xdr:colOff>0</xdr:colOff>
                    <xdr:row>71</xdr:row>
                    <xdr:rowOff>0</xdr:rowOff>
                  </from>
                  <to>
                    <xdr:col>5</xdr:col>
                    <xdr:colOff>85725</xdr:colOff>
                    <xdr:row>74</xdr:row>
                    <xdr:rowOff>0</xdr:rowOff>
                  </to>
                </anchor>
              </controlPr>
            </control>
          </mc:Choice>
        </mc:AlternateContent>
        <mc:AlternateContent xmlns:mc="http://schemas.openxmlformats.org/markup-compatibility/2006">
          <mc:Choice Requires="x14">
            <control shapeId="12304" r:id="rId17" name="Spinner 16">
              <controlPr defaultSize="0" autoPict="0">
                <anchor moveWithCells="1" sizeWithCells="1">
                  <from>
                    <xdr:col>5</xdr:col>
                    <xdr:colOff>0</xdr:colOff>
                    <xdr:row>75</xdr:row>
                    <xdr:rowOff>0</xdr:rowOff>
                  </from>
                  <to>
                    <xdr:col>5</xdr:col>
                    <xdr:colOff>85725</xdr:colOff>
                    <xdr:row>78</xdr:row>
                    <xdr:rowOff>0</xdr:rowOff>
                  </to>
                </anchor>
              </controlPr>
            </control>
          </mc:Choice>
        </mc:AlternateContent>
        <mc:AlternateContent xmlns:mc="http://schemas.openxmlformats.org/markup-compatibility/2006">
          <mc:Choice Requires="x14">
            <control shapeId="12305" r:id="rId18" name="Spinner 17">
              <controlPr defaultSize="0" autoPict="0">
                <anchor moveWithCells="1" sizeWithCells="1">
                  <from>
                    <xdr:col>5</xdr:col>
                    <xdr:colOff>0</xdr:colOff>
                    <xdr:row>79</xdr:row>
                    <xdr:rowOff>0</xdr:rowOff>
                  </from>
                  <to>
                    <xdr:col>5</xdr:col>
                    <xdr:colOff>85725</xdr:colOff>
                    <xdr:row>82</xdr:row>
                    <xdr:rowOff>0</xdr:rowOff>
                  </to>
                </anchor>
              </controlPr>
            </control>
          </mc:Choice>
        </mc:AlternateContent>
        <mc:AlternateContent xmlns:mc="http://schemas.openxmlformats.org/markup-compatibility/2006">
          <mc:Choice Requires="x14">
            <control shapeId="12306" r:id="rId19" name="Spinner 18">
              <controlPr defaultSize="0" autoPict="0">
                <anchor moveWithCells="1" sizeWithCells="1">
                  <from>
                    <xdr:col>5</xdr:col>
                    <xdr:colOff>0</xdr:colOff>
                    <xdr:row>87</xdr:row>
                    <xdr:rowOff>0</xdr:rowOff>
                  </from>
                  <to>
                    <xdr:col>5</xdr:col>
                    <xdr:colOff>85725</xdr:colOff>
                    <xdr:row>90</xdr:row>
                    <xdr:rowOff>0</xdr:rowOff>
                  </to>
                </anchor>
              </controlPr>
            </control>
          </mc:Choice>
        </mc:AlternateContent>
        <mc:AlternateContent xmlns:mc="http://schemas.openxmlformats.org/markup-compatibility/2006">
          <mc:Choice Requires="x14">
            <control shapeId="12307" r:id="rId20" name="Spinner 19">
              <controlPr defaultSize="0" autoPict="0">
                <anchor moveWithCells="1" sizeWithCells="1">
                  <from>
                    <xdr:col>5</xdr:col>
                    <xdr:colOff>0</xdr:colOff>
                    <xdr:row>55</xdr:row>
                    <xdr:rowOff>0</xdr:rowOff>
                  </from>
                  <to>
                    <xdr:col>5</xdr:col>
                    <xdr:colOff>85725</xdr:colOff>
                    <xdr:row>58</xdr:row>
                    <xdr:rowOff>0</xdr:rowOff>
                  </to>
                </anchor>
              </controlPr>
            </control>
          </mc:Choice>
        </mc:AlternateContent>
        <mc:AlternateContent xmlns:mc="http://schemas.openxmlformats.org/markup-compatibility/2006">
          <mc:Choice Requires="x14">
            <control shapeId="12308" r:id="rId21" name="Spinner 20">
              <controlPr defaultSize="0" autoPict="0">
                <anchor moveWithCells="1" sizeWithCells="1">
                  <from>
                    <xdr:col>5</xdr:col>
                    <xdr:colOff>0</xdr:colOff>
                    <xdr:row>83</xdr:row>
                    <xdr:rowOff>0</xdr:rowOff>
                  </from>
                  <to>
                    <xdr:col>5</xdr:col>
                    <xdr:colOff>85725</xdr:colOff>
                    <xdr:row>86</xdr:row>
                    <xdr:rowOff>0</xdr:rowOff>
                  </to>
                </anchor>
              </controlPr>
            </control>
          </mc:Choice>
        </mc:AlternateContent>
        <mc:AlternateContent xmlns:mc="http://schemas.openxmlformats.org/markup-compatibility/2006">
          <mc:Choice Requires="x14">
            <control shapeId="12309" r:id="rId22" name="Spinner 21">
              <controlPr defaultSize="0" autoPict="0">
                <anchor moveWithCells="1" sizeWithCells="1">
                  <from>
                    <xdr:col>5</xdr:col>
                    <xdr:colOff>0</xdr:colOff>
                    <xdr:row>103</xdr:row>
                    <xdr:rowOff>0</xdr:rowOff>
                  </from>
                  <to>
                    <xdr:col>5</xdr:col>
                    <xdr:colOff>85725</xdr:colOff>
                    <xdr:row>106</xdr:row>
                    <xdr:rowOff>0</xdr:rowOff>
                  </to>
                </anchor>
              </controlPr>
            </control>
          </mc:Choice>
        </mc:AlternateContent>
        <mc:AlternateContent xmlns:mc="http://schemas.openxmlformats.org/markup-compatibility/2006">
          <mc:Choice Requires="x14">
            <control shapeId="12310" r:id="rId23" name="Spinner 22">
              <controlPr defaultSize="0" autoPict="0">
                <anchor moveWithCells="1" sizeWithCells="1">
                  <from>
                    <xdr:col>5</xdr:col>
                    <xdr:colOff>0</xdr:colOff>
                    <xdr:row>91</xdr:row>
                    <xdr:rowOff>0</xdr:rowOff>
                  </from>
                  <to>
                    <xdr:col>5</xdr:col>
                    <xdr:colOff>85725</xdr:colOff>
                    <xdr:row>94</xdr:row>
                    <xdr:rowOff>0</xdr:rowOff>
                  </to>
                </anchor>
              </controlPr>
            </control>
          </mc:Choice>
        </mc:AlternateContent>
        <mc:AlternateContent xmlns:mc="http://schemas.openxmlformats.org/markup-compatibility/2006">
          <mc:Choice Requires="x14">
            <control shapeId="12311" r:id="rId24" name="Spinner 23">
              <controlPr defaultSize="0" autoPict="0">
                <anchor moveWithCells="1" sizeWithCells="1">
                  <from>
                    <xdr:col>5</xdr:col>
                    <xdr:colOff>0</xdr:colOff>
                    <xdr:row>95</xdr:row>
                    <xdr:rowOff>0</xdr:rowOff>
                  </from>
                  <to>
                    <xdr:col>5</xdr:col>
                    <xdr:colOff>85725</xdr:colOff>
                    <xdr:row>98</xdr:row>
                    <xdr:rowOff>0</xdr:rowOff>
                  </to>
                </anchor>
              </controlPr>
            </control>
          </mc:Choice>
        </mc:AlternateContent>
        <mc:AlternateContent xmlns:mc="http://schemas.openxmlformats.org/markup-compatibility/2006">
          <mc:Choice Requires="x14">
            <control shapeId="12312" r:id="rId25" name="Spinner 24">
              <controlPr defaultSize="0" autoPict="0">
                <anchor moveWithCells="1" sizeWithCells="1">
                  <from>
                    <xdr:col>5</xdr:col>
                    <xdr:colOff>0</xdr:colOff>
                    <xdr:row>99</xdr:row>
                    <xdr:rowOff>0</xdr:rowOff>
                  </from>
                  <to>
                    <xdr:col>5</xdr:col>
                    <xdr:colOff>85725</xdr:colOff>
                    <xdr:row>102</xdr:row>
                    <xdr:rowOff>0</xdr:rowOff>
                  </to>
                </anchor>
              </controlPr>
            </control>
          </mc:Choice>
        </mc:AlternateContent>
        <mc:AlternateContent xmlns:mc="http://schemas.openxmlformats.org/markup-compatibility/2006">
          <mc:Choice Requires="x14">
            <control shapeId="12313" r:id="rId26" name="Spinner 25">
              <controlPr defaultSize="0" autoPict="0">
                <anchor moveWithCells="1" sizeWithCells="1">
                  <from>
                    <xdr:col>5</xdr:col>
                    <xdr:colOff>0</xdr:colOff>
                    <xdr:row>107</xdr:row>
                    <xdr:rowOff>0</xdr:rowOff>
                  </from>
                  <to>
                    <xdr:col>5</xdr:col>
                    <xdr:colOff>85725</xdr:colOff>
                    <xdr:row>110</xdr:row>
                    <xdr:rowOff>0</xdr:rowOff>
                  </to>
                </anchor>
              </controlPr>
            </control>
          </mc:Choice>
        </mc:AlternateContent>
        <mc:AlternateContent xmlns:mc="http://schemas.openxmlformats.org/markup-compatibility/2006">
          <mc:Choice Requires="x14">
            <control shapeId="12353" r:id="rId27" name="Spinner 65">
              <controlPr defaultSize="0" autoPict="0">
                <anchor moveWithCells="1" sizeWithCells="1">
                  <from>
                    <xdr:col>5</xdr:col>
                    <xdr:colOff>0</xdr:colOff>
                    <xdr:row>114</xdr:row>
                    <xdr:rowOff>0</xdr:rowOff>
                  </from>
                  <to>
                    <xdr:col>5</xdr:col>
                    <xdr:colOff>85725</xdr:colOff>
                    <xdr:row>117</xdr:row>
                    <xdr:rowOff>0</xdr:rowOff>
                  </to>
                </anchor>
              </controlPr>
            </control>
          </mc:Choice>
        </mc:AlternateContent>
        <mc:AlternateContent xmlns:mc="http://schemas.openxmlformats.org/markup-compatibility/2006">
          <mc:Choice Requires="x14">
            <control shapeId="12354" r:id="rId28" name="Spinner 66">
              <controlPr defaultSize="0" autoPict="0">
                <anchor moveWithCells="1" sizeWithCells="1">
                  <from>
                    <xdr:col>5</xdr:col>
                    <xdr:colOff>0</xdr:colOff>
                    <xdr:row>118</xdr:row>
                    <xdr:rowOff>0</xdr:rowOff>
                  </from>
                  <to>
                    <xdr:col>5</xdr:col>
                    <xdr:colOff>85725</xdr:colOff>
                    <xdr:row>121</xdr:row>
                    <xdr:rowOff>0</xdr:rowOff>
                  </to>
                </anchor>
              </controlPr>
            </control>
          </mc:Choice>
        </mc:AlternateContent>
        <mc:AlternateContent xmlns:mc="http://schemas.openxmlformats.org/markup-compatibility/2006">
          <mc:Choice Requires="x14">
            <control shapeId="12355" r:id="rId29" name="Spinner 67">
              <controlPr defaultSize="0" autoPict="0">
                <anchor moveWithCells="1" sizeWithCells="1">
                  <from>
                    <xdr:col>5</xdr:col>
                    <xdr:colOff>0</xdr:colOff>
                    <xdr:row>122</xdr:row>
                    <xdr:rowOff>0</xdr:rowOff>
                  </from>
                  <to>
                    <xdr:col>5</xdr:col>
                    <xdr:colOff>85725</xdr:colOff>
                    <xdr:row>125</xdr:row>
                    <xdr:rowOff>0</xdr:rowOff>
                  </to>
                </anchor>
              </controlPr>
            </control>
          </mc:Choice>
        </mc:AlternateContent>
        <mc:AlternateContent xmlns:mc="http://schemas.openxmlformats.org/markup-compatibility/2006">
          <mc:Choice Requires="x14">
            <control shapeId="12356" r:id="rId30" name="Spinner 68">
              <controlPr defaultSize="0" autoPict="0">
                <anchor moveWithCells="1" sizeWithCells="1">
                  <from>
                    <xdr:col>5</xdr:col>
                    <xdr:colOff>0</xdr:colOff>
                    <xdr:row>126</xdr:row>
                    <xdr:rowOff>0</xdr:rowOff>
                  </from>
                  <to>
                    <xdr:col>5</xdr:col>
                    <xdr:colOff>85725</xdr:colOff>
                    <xdr:row>129</xdr:row>
                    <xdr:rowOff>0</xdr:rowOff>
                  </to>
                </anchor>
              </controlPr>
            </control>
          </mc:Choice>
        </mc:AlternateContent>
        <mc:AlternateContent xmlns:mc="http://schemas.openxmlformats.org/markup-compatibility/2006">
          <mc:Choice Requires="x14">
            <control shapeId="12357" r:id="rId31" name="Spinner 69">
              <controlPr defaultSize="0" autoPict="0">
                <anchor moveWithCells="1" sizeWithCells="1">
                  <from>
                    <xdr:col>5</xdr:col>
                    <xdr:colOff>0</xdr:colOff>
                    <xdr:row>130</xdr:row>
                    <xdr:rowOff>0</xdr:rowOff>
                  </from>
                  <to>
                    <xdr:col>5</xdr:col>
                    <xdr:colOff>85725</xdr:colOff>
                    <xdr:row>133</xdr:row>
                    <xdr:rowOff>0</xdr:rowOff>
                  </to>
                </anchor>
              </controlPr>
            </control>
          </mc:Choice>
        </mc:AlternateContent>
        <mc:AlternateContent xmlns:mc="http://schemas.openxmlformats.org/markup-compatibility/2006">
          <mc:Choice Requires="x14">
            <control shapeId="12358" r:id="rId32" name="Spinner 70">
              <controlPr defaultSize="0" autoPict="0">
                <anchor moveWithCells="1" sizeWithCells="1">
                  <from>
                    <xdr:col>5</xdr:col>
                    <xdr:colOff>0</xdr:colOff>
                    <xdr:row>134</xdr:row>
                    <xdr:rowOff>0</xdr:rowOff>
                  </from>
                  <to>
                    <xdr:col>5</xdr:col>
                    <xdr:colOff>85725</xdr:colOff>
                    <xdr:row>137</xdr:row>
                    <xdr:rowOff>0</xdr:rowOff>
                  </to>
                </anchor>
              </controlPr>
            </control>
          </mc:Choice>
        </mc:AlternateContent>
        <mc:AlternateContent xmlns:mc="http://schemas.openxmlformats.org/markup-compatibility/2006">
          <mc:Choice Requires="x14">
            <control shapeId="12359" r:id="rId33" name="Spinner 71">
              <controlPr defaultSize="0" autoPict="0">
                <anchor moveWithCells="1" sizeWithCells="1">
                  <from>
                    <xdr:col>5</xdr:col>
                    <xdr:colOff>0</xdr:colOff>
                    <xdr:row>138</xdr:row>
                    <xdr:rowOff>0</xdr:rowOff>
                  </from>
                  <to>
                    <xdr:col>5</xdr:col>
                    <xdr:colOff>85725</xdr:colOff>
                    <xdr:row>141</xdr:row>
                    <xdr:rowOff>0</xdr:rowOff>
                  </to>
                </anchor>
              </controlPr>
            </control>
          </mc:Choice>
        </mc:AlternateContent>
        <mc:AlternateContent xmlns:mc="http://schemas.openxmlformats.org/markup-compatibility/2006">
          <mc:Choice Requires="x14">
            <control shapeId="12360" r:id="rId34" name="Spinner 72">
              <controlPr defaultSize="0" autoPict="0">
                <anchor moveWithCells="1" sizeWithCells="1">
                  <from>
                    <xdr:col>5</xdr:col>
                    <xdr:colOff>0</xdr:colOff>
                    <xdr:row>142</xdr:row>
                    <xdr:rowOff>0</xdr:rowOff>
                  </from>
                  <to>
                    <xdr:col>5</xdr:col>
                    <xdr:colOff>85725</xdr:colOff>
                    <xdr:row>145</xdr:row>
                    <xdr:rowOff>0</xdr:rowOff>
                  </to>
                </anchor>
              </controlPr>
            </control>
          </mc:Choice>
        </mc:AlternateContent>
        <mc:AlternateContent xmlns:mc="http://schemas.openxmlformats.org/markup-compatibility/2006">
          <mc:Choice Requires="x14">
            <control shapeId="12361" r:id="rId35" name="Spinner 73">
              <controlPr defaultSize="0" autoPict="0">
                <anchor moveWithCells="1" sizeWithCells="1">
                  <from>
                    <xdr:col>5</xdr:col>
                    <xdr:colOff>0</xdr:colOff>
                    <xdr:row>146</xdr:row>
                    <xdr:rowOff>0</xdr:rowOff>
                  </from>
                  <to>
                    <xdr:col>5</xdr:col>
                    <xdr:colOff>85725</xdr:colOff>
                    <xdr:row>149</xdr:row>
                    <xdr:rowOff>0</xdr:rowOff>
                  </to>
                </anchor>
              </controlPr>
            </control>
          </mc:Choice>
        </mc:AlternateContent>
        <mc:AlternateContent xmlns:mc="http://schemas.openxmlformats.org/markup-compatibility/2006">
          <mc:Choice Requires="x14">
            <control shapeId="12362" r:id="rId36" name="Spinner 74">
              <controlPr defaultSize="0" autoPict="0">
                <anchor moveWithCells="1" sizeWithCells="1">
                  <from>
                    <xdr:col>5</xdr:col>
                    <xdr:colOff>0</xdr:colOff>
                    <xdr:row>150</xdr:row>
                    <xdr:rowOff>0</xdr:rowOff>
                  </from>
                  <to>
                    <xdr:col>5</xdr:col>
                    <xdr:colOff>85725</xdr:colOff>
                    <xdr:row>153</xdr:row>
                    <xdr:rowOff>0</xdr:rowOff>
                  </to>
                </anchor>
              </controlPr>
            </control>
          </mc:Choice>
        </mc:AlternateContent>
        <mc:AlternateContent xmlns:mc="http://schemas.openxmlformats.org/markup-compatibility/2006">
          <mc:Choice Requires="x14">
            <control shapeId="12363" r:id="rId37" name="Spinner 75">
              <controlPr defaultSize="0" autoPict="0">
                <anchor moveWithCells="1" sizeWithCells="1">
                  <from>
                    <xdr:col>5</xdr:col>
                    <xdr:colOff>0</xdr:colOff>
                    <xdr:row>154</xdr:row>
                    <xdr:rowOff>0</xdr:rowOff>
                  </from>
                  <to>
                    <xdr:col>5</xdr:col>
                    <xdr:colOff>85725</xdr:colOff>
                    <xdr:row>157</xdr:row>
                    <xdr:rowOff>0</xdr:rowOff>
                  </to>
                </anchor>
              </controlPr>
            </control>
          </mc:Choice>
        </mc:AlternateContent>
        <mc:AlternateContent xmlns:mc="http://schemas.openxmlformats.org/markup-compatibility/2006">
          <mc:Choice Requires="x14">
            <control shapeId="12370" r:id="rId38" name="Spinner 82">
              <controlPr defaultSize="0" autoPict="0">
                <anchor moveWithCells="1" sizeWithCells="1">
                  <from>
                    <xdr:col>5</xdr:col>
                    <xdr:colOff>0</xdr:colOff>
                    <xdr:row>182</xdr:row>
                    <xdr:rowOff>0</xdr:rowOff>
                  </from>
                  <to>
                    <xdr:col>5</xdr:col>
                    <xdr:colOff>85725</xdr:colOff>
                    <xdr:row>185</xdr:row>
                    <xdr:rowOff>0</xdr:rowOff>
                  </to>
                </anchor>
              </controlPr>
            </control>
          </mc:Choice>
        </mc:AlternateContent>
        <mc:AlternateContent xmlns:mc="http://schemas.openxmlformats.org/markup-compatibility/2006">
          <mc:Choice Requires="x14">
            <control shapeId="12371" r:id="rId39" name="Spinner 83">
              <controlPr defaultSize="0" autoPict="0">
                <anchor moveWithCells="1" sizeWithCells="1">
                  <from>
                    <xdr:col>5</xdr:col>
                    <xdr:colOff>0</xdr:colOff>
                    <xdr:row>161</xdr:row>
                    <xdr:rowOff>0</xdr:rowOff>
                  </from>
                  <to>
                    <xdr:col>5</xdr:col>
                    <xdr:colOff>85725</xdr:colOff>
                    <xdr:row>164</xdr:row>
                    <xdr:rowOff>0</xdr:rowOff>
                  </to>
                </anchor>
              </controlPr>
            </control>
          </mc:Choice>
        </mc:AlternateContent>
        <mc:AlternateContent xmlns:mc="http://schemas.openxmlformats.org/markup-compatibility/2006">
          <mc:Choice Requires="x14">
            <control shapeId="12372" r:id="rId40" name="Spinner 84">
              <controlPr defaultSize="0" autoPict="0">
                <anchor moveWithCells="1" sizeWithCells="1">
                  <from>
                    <xdr:col>5</xdr:col>
                    <xdr:colOff>0</xdr:colOff>
                    <xdr:row>165</xdr:row>
                    <xdr:rowOff>0</xdr:rowOff>
                  </from>
                  <to>
                    <xdr:col>5</xdr:col>
                    <xdr:colOff>85725</xdr:colOff>
                    <xdr:row>168</xdr:row>
                    <xdr:rowOff>0</xdr:rowOff>
                  </to>
                </anchor>
              </controlPr>
            </control>
          </mc:Choice>
        </mc:AlternateContent>
        <mc:AlternateContent xmlns:mc="http://schemas.openxmlformats.org/markup-compatibility/2006">
          <mc:Choice Requires="x14">
            <control shapeId="12373" r:id="rId41" name="Spinner 85">
              <controlPr defaultSize="0" autoPict="0">
                <anchor moveWithCells="1" sizeWithCells="1">
                  <from>
                    <xdr:col>5</xdr:col>
                    <xdr:colOff>0</xdr:colOff>
                    <xdr:row>169</xdr:row>
                    <xdr:rowOff>0</xdr:rowOff>
                  </from>
                  <to>
                    <xdr:col>5</xdr:col>
                    <xdr:colOff>85725</xdr:colOff>
                    <xdr:row>172</xdr:row>
                    <xdr:rowOff>0</xdr:rowOff>
                  </to>
                </anchor>
              </controlPr>
            </control>
          </mc:Choice>
        </mc:AlternateContent>
        <mc:AlternateContent xmlns:mc="http://schemas.openxmlformats.org/markup-compatibility/2006">
          <mc:Choice Requires="x14">
            <control shapeId="12374" r:id="rId42" name="Spinner 86">
              <controlPr defaultSize="0" autoPict="0">
                <anchor moveWithCells="1" sizeWithCells="1">
                  <from>
                    <xdr:col>5</xdr:col>
                    <xdr:colOff>0</xdr:colOff>
                    <xdr:row>173</xdr:row>
                    <xdr:rowOff>0</xdr:rowOff>
                  </from>
                  <to>
                    <xdr:col>5</xdr:col>
                    <xdr:colOff>85725</xdr:colOff>
                    <xdr:row>176</xdr:row>
                    <xdr:rowOff>0</xdr:rowOff>
                  </to>
                </anchor>
              </controlPr>
            </control>
          </mc:Choice>
        </mc:AlternateContent>
        <mc:AlternateContent xmlns:mc="http://schemas.openxmlformats.org/markup-compatibility/2006">
          <mc:Choice Requires="x14">
            <control shapeId="12375" r:id="rId43" name="Spinner 87">
              <controlPr defaultSize="0" autoPict="0">
                <anchor moveWithCells="1" sizeWithCells="1">
                  <from>
                    <xdr:col>5</xdr:col>
                    <xdr:colOff>0</xdr:colOff>
                    <xdr:row>177</xdr:row>
                    <xdr:rowOff>0</xdr:rowOff>
                  </from>
                  <to>
                    <xdr:col>5</xdr:col>
                    <xdr:colOff>85725</xdr:colOff>
                    <xdr:row>180</xdr:row>
                    <xdr:rowOff>0</xdr:rowOff>
                  </to>
                </anchor>
              </controlPr>
            </control>
          </mc:Choice>
        </mc:AlternateContent>
        <mc:AlternateContent xmlns:mc="http://schemas.openxmlformats.org/markup-compatibility/2006">
          <mc:Choice Requires="x14">
            <control shapeId="12376" r:id="rId44" name="Spinner 88">
              <controlPr defaultSize="0" autoPict="0">
                <anchor moveWithCells="1" sizeWithCells="1">
                  <from>
                    <xdr:col>5</xdr:col>
                    <xdr:colOff>0</xdr:colOff>
                    <xdr:row>181</xdr:row>
                    <xdr:rowOff>0</xdr:rowOff>
                  </from>
                  <to>
                    <xdr:col>5</xdr:col>
                    <xdr:colOff>85725</xdr:colOff>
                    <xdr:row>184</xdr:row>
                    <xdr:rowOff>0</xdr:rowOff>
                  </to>
                </anchor>
              </controlPr>
            </control>
          </mc:Choice>
        </mc:AlternateContent>
        <mc:AlternateContent xmlns:mc="http://schemas.openxmlformats.org/markup-compatibility/2006">
          <mc:Choice Requires="x14">
            <control shapeId="12377" r:id="rId45" name="Spinner 89">
              <controlPr defaultSize="0" autoPict="0">
                <anchor moveWithCells="1" sizeWithCells="1">
                  <from>
                    <xdr:col>5</xdr:col>
                    <xdr:colOff>0</xdr:colOff>
                    <xdr:row>185</xdr:row>
                    <xdr:rowOff>0</xdr:rowOff>
                  </from>
                  <to>
                    <xdr:col>5</xdr:col>
                    <xdr:colOff>85725</xdr:colOff>
                    <xdr:row>188</xdr:row>
                    <xdr:rowOff>0</xdr:rowOff>
                  </to>
                </anchor>
              </controlPr>
            </control>
          </mc:Choice>
        </mc:AlternateContent>
        <mc:AlternateContent xmlns:mc="http://schemas.openxmlformats.org/markup-compatibility/2006">
          <mc:Choice Requires="x14">
            <control shapeId="12378" r:id="rId46" name="Spinner 90">
              <controlPr defaultSize="0" autoPict="0">
                <anchor moveWithCells="1" sizeWithCells="1">
                  <from>
                    <xdr:col>5</xdr:col>
                    <xdr:colOff>0</xdr:colOff>
                    <xdr:row>189</xdr:row>
                    <xdr:rowOff>0</xdr:rowOff>
                  </from>
                  <to>
                    <xdr:col>5</xdr:col>
                    <xdr:colOff>85725</xdr:colOff>
                    <xdr:row>192</xdr:row>
                    <xdr:rowOff>0</xdr:rowOff>
                  </to>
                </anchor>
              </controlPr>
            </control>
          </mc:Choice>
        </mc:AlternateContent>
        <mc:AlternateContent xmlns:mc="http://schemas.openxmlformats.org/markup-compatibility/2006">
          <mc:Choice Requires="x14">
            <control shapeId="12379" r:id="rId47" name="Spinner 91">
              <controlPr defaultSize="0" autoPict="0">
                <anchor moveWithCells="1" sizeWithCells="1">
                  <from>
                    <xdr:col>5</xdr:col>
                    <xdr:colOff>0</xdr:colOff>
                    <xdr:row>193</xdr:row>
                    <xdr:rowOff>0</xdr:rowOff>
                  </from>
                  <to>
                    <xdr:col>5</xdr:col>
                    <xdr:colOff>85725</xdr:colOff>
                    <xdr:row>196</xdr:row>
                    <xdr:rowOff>0</xdr:rowOff>
                  </to>
                </anchor>
              </controlPr>
            </control>
          </mc:Choice>
        </mc:AlternateContent>
        <mc:AlternateContent xmlns:mc="http://schemas.openxmlformats.org/markup-compatibility/2006">
          <mc:Choice Requires="x14">
            <control shapeId="12380" r:id="rId48" name="Spinner 92">
              <controlPr defaultSize="0" autoPict="0">
                <anchor moveWithCells="1" sizeWithCells="1">
                  <from>
                    <xdr:col>5</xdr:col>
                    <xdr:colOff>0</xdr:colOff>
                    <xdr:row>197</xdr:row>
                    <xdr:rowOff>0</xdr:rowOff>
                  </from>
                  <to>
                    <xdr:col>5</xdr:col>
                    <xdr:colOff>85725</xdr:colOff>
                    <xdr:row>200</xdr:row>
                    <xdr:rowOff>0</xdr:rowOff>
                  </to>
                </anchor>
              </controlPr>
            </control>
          </mc:Choice>
        </mc:AlternateContent>
        <mc:AlternateContent xmlns:mc="http://schemas.openxmlformats.org/markup-compatibility/2006">
          <mc:Choice Requires="x14">
            <control shapeId="12395" r:id="rId49" name="Spinner 107">
              <controlPr defaultSize="0" autoPict="0">
                <anchor moveWithCells="1" sizeWithCells="1">
                  <from>
                    <xdr:col>5</xdr:col>
                    <xdr:colOff>0</xdr:colOff>
                    <xdr:row>204</xdr:row>
                    <xdr:rowOff>0</xdr:rowOff>
                  </from>
                  <to>
                    <xdr:col>5</xdr:col>
                    <xdr:colOff>85725</xdr:colOff>
                    <xdr:row>207</xdr:row>
                    <xdr:rowOff>0</xdr:rowOff>
                  </to>
                </anchor>
              </controlPr>
            </control>
          </mc:Choice>
        </mc:AlternateContent>
        <mc:AlternateContent xmlns:mc="http://schemas.openxmlformats.org/markup-compatibility/2006">
          <mc:Choice Requires="x14">
            <control shapeId="12396" r:id="rId50" name="Spinner 108">
              <controlPr defaultSize="0" autoPict="0">
                <anchor moveWithCells="1" sizeWithCells="1">
                  <from>
                    <xdr:col>5</xdr:col>
                    <xdr:colOff>0</xdr:colOff>
                    <xdr:row>208</xdr:row>
                    <xdr:rowOff>0</xdr:rowOff>
                  </from>
                  <to>
                    <xdr:col>5</xdr:col>
                    <xdr:colOff>85725</xdr:colOff>
                    <xdr:row>211</xdr:row>
                    <xdr:rowOff>0</xdr:rowOff>
                  </to>
                </anchor>
              </controlPr>
            </control>
          </mc:Choice>
        </mc:AlternateContent>
        <mc:AlternateContent xmlns:mc="http://schemas.openxmlformats.org/markup-compatibility/2006">
          <mc:Choice Requires="x14">
            <control shapeId="12397" r:id="rId51" name="Spinner 109">
              <controlPr defaultSize="0" autoPict="0">
                <anchor moveWithCells="1" sizeWithCells="1">
                  <from>
                    <xdr:col>5</xdr:col>
                    <xdr:colOff>0</xdr:colOff>
                    <xdr:row>212</xdr:row>
                    <xdr:rowOff>0</xdr:rowOff>
                  </from>
                  <to>
                    <xdr:col>5</xdr:col>
                    <xdr:colOff>85725</xdr:colOff>
                    <xdr:row>215</xdr:row>
                    <xdr:rowOff>0</xdr:rowOff>
                  </to>
                </anchor>
              </controlPr>
            </control>
          </mc:Choice>
        </mc:AlternateContent>
        <mc:AlternateContent xmlns:mc="http://schemas.openxmlformats.org/markup-compatibility/2006">
          <mc:Choice Requires="x14">
            <control shapeId="12398" r:id="rId52" name="Spinner 110">
              <controlPr defaultSize="0" autoPict="0">
                <anchor moveWithCells="1" sizeWithCells="1">
                  <from>
                    <xdr:col>5</xdr:col>
                    <xdr:colOff>0</xdr:colOff>
                    <xdr:row>216</xdr:row>
                    <xdr:rowOff>0</xdr:rowOff>
                  </from>
                  <to>
                    <xdr:col>5</xdr:col>
                    <xdr:colOff>85725</xdr:colOff>
                    <xdr:row>219</xdr:row>
                    <xdr:rowOff>0</xdr:rowOff>
                  </to>
                </anchor>
              </controlPr>
            </control>
          </mc:Choice>
        </mc:AlternateContent>
        <mc:AlternateContent xmlns:mc="http://schemas.openxmlformats.org/markup-compatibility/2006">
          <mc:Choice Requires="x14">
            <control shapeId="12399" r:id="rId53" name="Spinner 111">
              <controlPr defaultSize="0" autoPict="0">
                <anchor moveWithCells="1" sizeWithCells="1">
                  <from>
                    <xdr:col>5</xdr:col>
                    <xdr:colOff>0</xdr:colOff>
                    <xdr:row>220</xdr:row>
                    <xdr:rowOff>0</xdr:rowOff>
                  </from>
                  <to>
                    <xdr:col>5</xdr:col>
                    <xdr:colOff>85725</xdr:colOff>
                    <xdr:row>223</xdr:row>
                    <xdr:rowOff>0</xdr:rowOff>
                  </to>
                </anchor>
              </controlPr>
            </control>
          </mc:Choice>
        </mc:AlternateContent>
        <mc:AlternateContent xmlns:mc="http://schemas.openxmlformats.org/markup-compatibility/2006">
          <mc:Choice Requires="x14">
            <control shapeId="12400" r:id="rId54" name="Spinner 112">
              <controlPr defaultSize="0" autoPict="0">
                <anchor moveWithCells="1" sizeWithCells="1">
                  <from>
                    <xdr:col>5</xdr:col>
                    <xdr:colOff>0</xdr:colOff>
                    <xdr:row>224</xdr:row>
                    <xdr:rowOff>0</xdr:rowOff>
                  </from>
                  <to>
                    <xdr:col>5</xdr:col>
                    <xdr:colOff>85725</xdr:colOff>
                    <xdr:row>227</xdr:row>
                    <xdr:rowOff>0</xdr:rowOff>
                  </to>
                </anchor>
              </controlPr>
            </control>
          </mc:Choice>
        </mc:AlternateContent>
        <mc:AlternateContent xmlns:mc="http://schemas.openxmlformats.org/markup-compatibility/2006">
          <mc:Choice Requires="x14">
            <control shapeId="12401" r:id="rId55" name="Spinner 113">
              <controlPr defaultSize="0" autoPict="0">
                <anchor moveWithCells="1" sizeWithCells="1">
                  <from>
                    <xdr:col>5</xdr:col>
                    <xdr:colOff>0</xdr:colOff>
                    <xdr:row>228</xdr:row>
                    <xdr:rowOff>0</xdr:rowOff>
                  </from>
                  <to>
                    <xdr:col>5</xdr:col>
                    <xdr:colOff>85725</xdr:colOff>
                    <xdr:row>231</xdr:row>
                    <xdr:rowOff>0</xdr:rowOff>
                  </to>
                </anchor>
              </controlPr>
            </control>
          </mc:Choice>
        </mc:AlternateContent>
        <mc:AlternateContent xmlns:mc="http://schemas.openxmlformats.org/markup-compatibility/2006">
          <mc:Choice Requires="x14">
            <control shapeId="12402" r:id="rId56" name="Spinner 114">
              <controlPr defaultSize="0" autoPict="0">
                <anchor moveWithCells="1" sizeWithCells="1">
                  <from>
                    <xdr:col>5</xdr:col>
                    <xdr:colOff>0</xdr:colOff>
                    <xdr:row>232</xdr:row>
                    <xdr:rowOff>0</xdr:rowOff>
                  </from>
                  <to>
                    <xdr:col>5</xdr:col>
                    <xdr:colOff>85725</xdr:colOff>
                    <xdr:row>235</xdr:row>
                    <xdr:rowOff>0</xdr:rowOff>
                  </to>
                </anchor>
              </controlPr>
            </control>
          </mc:Choice>
        </mc:AlternateContent>
        <mc:AlternateContent xmlns:mc="http://schemas.openxmlformats.org/markup-compatibility/2006">
          <mc:Choice Requires="x14">
            <control shapeId="12403" r:id="rId57" name="Spinner 115">
              <controlPr defaultSize="0" autoPict="0">
                <anchor moveWithCells="1" sizeWithCells="1">
                  <from>
                    <xdr:col>5</xdr:col>
                    <xdr:colOff>0</xdr:colOff>
                    <xdr:row>236</xdr:row>
                    <xdr:rowOff>0</xdr:rowOff>
                  </from>
                  <to>
                    <xdr:col>5</xdr:col>
                    <xdr:colOff>85725</xdr:colOff>
                    <xdr:row>239</xdr:row>
                    <xdr:rowOff>0</xdr:rowOff>
                  </to>
                </anchor>
              </controlPr>
            </control>
          </mc:Choice>
        </mc:AlternateContent>
        <mc:AlternateContent xmlns:mc="http://schemas.openxmlformats.org/markup-compatibility/2006">
          <mc:Choice Requires="x14">
            <control shapeId="12404" r:id="rId58" name="Spinner 116">
              <controlPr defaultSize="0" autoPict="0">
                <anchor moveWithCells="1" sizeWithCells="1">
                  <from>
                    <xdr:col>5</xdr:col>
                    <xdr:colOff>0</xdr:colOff>
                    <xdr:row>240</xdr:row>
                    <xdr:rowOff>0</xdr:rowOff>
                  </from>
                  <to>
                    <xdr:col>5</xdr:col>
                    <xdr:colOff>85725</xdr:colOff>
                    <xdr:row>243</xdr:row>
                    <xdr:rowOff>0</xdr:rowOff>
                  </to>
                </anchor>
              </controlPr>
            </control>
          </mc:Choice>
        </mc:AlternateContent>
        <mc:AlternateContent xmlns:mc="http://schemas.openxmlformats.org/markup-compatibility/2006">
          <mc:Choice Requires="x14">
            <control shapeId="12405" r:id="rId59" name="Spinner 117">
              <controlPr defaultSize="0" autoPict="0">
                <anchor moveWithCells="1" sizeWithCells="1">
                  <from>
                    <xdr:col>5</xdr:col>
                    <xdr:colOff>0</xdr:colOff>
                    <xdr:row>244</xdr:row>
                    <xdr:rowOff>0</xdr:rowOff>
                  </from>
                  <to>
                    <xdr:col>5</xdr:col>
                    <xdr:colOff>85725</xdr:colOff>
                    <xdr:row>247</xdr:row>
                    <xdr:rowOff>0</xdr:rowOff>
                  </to>
                </anchor>
              </controlPr>
            </control>
          </mc:Choice>
        </mc:AlternateContent>
        <mc:AlternateContent xmlns:mc="http://schemas.openxmlformats.org/markup-compatibility/2006">
          <mc:Choice Requires="x14">
            <control shapeId="12406" r:id="rId60" name="Spinner 118">
              <controlPr defaultSize="0" autoPict="0">
                <anchor moveWithCells="1" sizeWithCells="1">
                  <from>
                    <xdr:col>5</xdr:col>
                    <xdr:colOff>0</xdr:colOff>
                    <xdr:row>248</xdr:row>
                    <xdr:rowOff>0</xdr:rowOff>
                  </from>
                  <to>
                    <xdr:col>5</xdr:col>
                    <xdr:colOff>85725</xdr:colOff>
                    <xdr:row>251</xdr:row>
                    <xdr:rowOff>0</xdr:rowOff>
                  </to>
                </anchor>
              </controlPr>
            </control>
          </mc:Choice>
        </mc:AlternateContent>
        <mc:AlternateContent xmlns:mc="http://schemas.openxmlformats.org/markup-compatibility/2006">
          <mc:Choice Requires="x14">
            <control shapeId="12407" r:id="rId61" name="Spinner 119">
              <controlPr defaultSize="0" autoPict="0">
                <anchor moveWithCells="1" sizeWithCells="1">
                  <from>
                    <xdr:col>5</xdr:col>
                    <xdr:colOff>0</xdr:colOff>
                    <xdr:row>252</xdr:row>
                    <xdr:rowOff>0</xdr:rowOff>
                  </from>
                  <to>
                    <xdr:col>5</xdr:col>
                    <xdr:colOff>85725</xdr:colOff>
                    <xdr:row>255</xdr:row>
                    <xdr:rowOff>0</xdr:rowOff>
                  </to>
                </anchor>
              </controlPr>
            </control>
          </mc:Choice>
        </mc:AlternateContent>
        <mc:AlternateContent xmlns:mc="http://schemas.openxmlformats.org/markup-compatibility/2006">
          <mc:Choice Requires="x14">
            <control shapeId="12408" r:id="rId62" name="Spinner 120">
              <controlPr defaultSize="0" autoPict="0">
                <anchor moveWithCells="1" sizeWithCells="1">
                  <from>
                    <xdr:col>5</xdr:col>
                    <xdr:colOff>0</xdr:colOff>
                    <xdr:row>259</xdr:row>
                    <xdr:rowOff>0</xdr:rowOff>
                  </from>
                  <to>
                    <xdr:col>5</xdr:col>
                    <xdr:colOff>85725</xdr:colOff>
                    <xdr:row>262</xdr:row>
                    <xdr:rowOff>0</xdr:rowOff>
                  </to>
                </anchor>
              </controlPr>
            </control>
          </mc:Choice>
        </mc:AlternateContent>
        <mc:AlternateContent xmlns:mc="http://schemas.openxmlformats.org/markup-compatibility/2006">
          <mc:Choice Requires="x14">
            <control shapeId="12409" r:id="rId63" name="Spinner 121">
              <controlPr defaultSize="0" autoPict="0">
                <anchor moveWithCells="1" sizeWithCells="1">
                  <from>
                    <xdr:col>5</xdr:col>
                    <xdr:colOff>0</xdr:colOff>
                    <xdr:row>263</xdr:row>
                    <xdr:rowOff>0</xdr:rowOff>
                  </from>
                  <to>
                    <xdr:col>5</xdr:col>
                    <xdr:colOff>85725</xdr:colOff>
                    <xdr:row>266</xdr:row>
                    <xdr:rowOff>0</xdr:rowOff>
                  </to>
                </anchor>
              </controlPr>
            </control>
          </mc:Choice>
        </mc:AlternateContent>
        <mc:AlternateContent xmlns:mc="http://schemas.openxmlformats.org/markup-compatibility/2006">
          <mc:Choice Requires="x14">
            <control shapeId="12410" r:id="rId64" name="Spinner 122">
              <controlPr defaultSize="0" autoPict="0">
                <anchor moveWithCells="1" sizeWithCells="1">
                  <from>
                    <xdr:col>5</xdr:col>
                    <xdr:colOff>0</xdr:colOff>
                    <xdr:row>267</xdr:row>
                    <xdr:rowOff>0</xdr:rowOff>
                  </from>
                  <to>
                    <xdr:col>5</xdr:col>
                    <xdr:colOff>85725</xdr:colOff>
                    <xdr:row>270</xdr:row>
                    <xdr:rowOff>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00B0F0"/>
  </sheetPr>
  <dimension ref="A1:CL63"/>
  <sheetViews>
    <sheetView workbookViewId="0">
      <pane xSplit="1" ySplit="3" topLeftCell="AO4" activePane="bottomRight" state="frozen"/>
      <selection pane="topRight" activeCell="B1" sqref="B1"/>
      <selection pane="bottomLeft" activeCell="A4" sqref="A4"/>
      <selection pane="bottomRight" activeCell="BZ4" sqref="BZ4"/>
    </sheetView>
  </sheetViews>
  <sheetFormatPr defaultColWidth="8.85546875" defaultRowHeight="15" x14ac:dyDescent="0.25"/>
  <cols>
    <col min="1" max="1" width="21.85546875" style="75" customWidth="1"/>
    <col min="2" max="4" width="4.140625" style="75" customWidth="1"/>
    <col min="5" max="5" width="4.7109375" style="75" customWidth="1"/>
    <col min="6" max="6" width="39.42578125" style="75" customWidth="1"/>
    <col min="7" max="8" width="3.42578125" style="75" customWidth="1"/>
    <col min="9" max="9" width="4.42578125" style="75" customWidth="1"/>
    <col min="10" max="13" width="21.85546875" style="75" customWidth="1"/>
    <col min="14" max="22" width="5.28515625" style="79" customWidth="1"/>
    <col min="23" max="23" width="2.85546875" style="78" customWidth="1"/>
    <col min="24" max="42" width="5.28515625" style="79" customWidth="1"/>
    <col min="43" max="43" width="1.7109375" style="79" customWidth="1"/>
    <col min="44" max="54" width="5.28515625" style="79" customWidth="1"/>
    <col min="55" max="55" width="1.85546875" style="79" customWidth="1"/>
    <col min="56" max="75" width="5.28515625" style="79" customWidth="1"/>
    <col min="76" max="76" width="39.42578125" style="75" customWidth="1"/>
    <col min="77" max="77" width="5.28515625" style="79" customWidth="1"/>
    <col min="78" max="81" width="21.85546875" style="75" customWidth="1"/>
    <col min="82" max="88" width="9.140625" style="75" customWidth="1"/>
    <col min="89" max="89" width="3" style="82" customWidth="1"/>
    <col min="90" max="16384" width="8.85546875" style="75"/>
  </cols>
  <sheetData>
    <row r="1" spans="1:90" x14ac:dyDescent="0.25">
      <c r="A1" s="75" t="str">
        <f t="shared" ref="A1:H1" si="0">SUBSTITUTE(ADDRESS(1,COLUMN(A1),4),"1","")</f>
        <v>A</v>
      </c>
      <c r="B1" s="75" t="str">
        <f t="shared" si="0"/>
        <v>B</v>
      </c>
      <c r="C1" s="75" t="str">
        <f t="shared" si="0"/>
        <v>C</v>
      </c>
      <c r="D1" s="75" t="str">
        <f t="shared" si="0"/>
        <v>D</v>
      </c>
      <c r="E1" s="75" t="str">
        <f t="shared" si="0"/>
        <v>E</v>
      </c>
      <c r="F1" s="75" t="str">
        <f t="shared" si="0"/>
        <v>F</v>
      </c>
      <c r="G1" s="75" t="str">
        <f t="shared" si="0"/>
        <v>G</v>
      </c>
      <c r="H1" s="75" t="str">
        <f t="shared" si="0"/>
        <v>H</v>
      </c>
      <c r="I1" s="75" t="str">
        <f>SUBSTITUTE(ADDRESS(1,COLUMN(I1),4),"1","")</f>
        <v>I</v>
      </c>
      <c r="J1" s="75" t="str">
        <f t="shared" ref="J1:BU1" si="1">SUBSTITUTE(ADDRESS(1,COLUMN(J1),4),"1","")</f>
        <v>J</v>
      </c>
      <c r="K1" s="75" t="str">
        <f t="shared" si="1"/>
        <v>K</v>
      </c>
      <c r="L1" s="75" t="str">
        <f t="shared" si="1"/>
        <v>L</v>
      </c>
      <c r="M1" s="75" t="str">
        <f t="shared" si="1"/>
        <v>M</v>
      </c>
      <c r="N1" s="75" t="str">
        <f t="shared" si="1"/>
        <v>N</v>
      </c>
      <c r="O1" s="75" t="str">
        <f t="shared" si="1"/>
        <v>O</v>
      </c>
      <c r="P1" s="75" t="str">
        <f t="shared" si="1"/>
        <v>P</v>
      </c>
      <c r="Q1" s="75" t="str">
        <f t="shared" si="1"/>
        <v>Q</v>
      </c>
      <c r="R1" s="75" t="str">
        <f t="shared" si="1"/>
        <v>R</v>
      </c>
      <c r="S1" s="75" t="str">
        <f t="shared" si="1"/>
        <v>S</v>
      </c>
      <c r="T1" s="75" t="str">
        <f t="shared" si="1"/>
        <v>T</v>
      </c>
      <c r="U1" s="75" t="str">
        <f t="shared" si="1"/>
        <v>U</v>
      </c>
      <c r="V1" s="75" t="str">
        <f t="shared" si="1"/>
        <v>V</v>
      </c>
      <c r="W1" s="75" t="str">
        <f t="shared" si="1"/>
        <v>W</v>
      </c>
      <c r="X1" s="75" t="str">
        <f t="shared" si="1"/>
        <v>X</v>
      </c>
      <c r="Y1" s="75" t="str">
        <f t="shared" si="1"/>
        <v>Y</v>
      </c>
      <c r="Z1" s="75" t="str">
        <f t="shared" si="1"/>
        <v>Z</v>
      </c>
      <c r="AA1" s="75" t="str">
        <f t="shared" si="1"/>
        <v>AA</v>
      </c>
      <c r="AB1" s="75" t="str">
        <f t="shared" si="1"/>
        <v>AB</v>
      </c>
      <c r="AC1" s="75" t="str">
        <f t="shared" si="1"/>
        <v>AC</v>
      </c>
      <c r="AD1" s="75" t="str">
        <f t="shared" si="1"/>
        <v>AD</v>
      </c>
      <c r="AE1" s="75" t="str">
        <f t="shared" si="1"/>
        <v>AE</v>
      </c>
      <c r="AF1" s="75" t="str">
        <f t="shared" si="1"/>
        <v>AF</v>
      </c>
      <c r="AG1" s="75" t="str">
        <f t="shared" si="1"/>
        <v>AG</v>
      </c>
      <c r="AH1" s="75" t="str">
        <f t="shared" si="1"/>
        <v>AH</v>
      </c>
      <c r="AI1" s="75" t="str">
        <f t="shared" si="1"/>
        <v>AI</v>
      </c>
      <c r="AJ1" s="75" t="str">
        <f t="shared" si="1"/>
        <v>AJ</v>
      </c>
      <c r="AK1" s="75" t="str">
        <f t="shared" si="1"/>
        <v>AK</v>
      </c>
      <c r="AL1" s="75" t="str">
        <f t="shared" si="1"/>
        <v>AL</v>
      </c>
      <c r="AM1" s="75" t="str">
        <f t="shared" si="1"/>
        <v>AM</v>
      </c>
      <c r="AN1" s="75" t="str">
        <f t="shared" si="1"/>
        <v>AN</v>
      </c>
      <c r="AO1" s="75" t="str">
        <f t="shared" si="1"/>
        <v>AO</v>
      </c>
      <c r="AP1" s="75" t="str">
        <f t="shared" si="1"/>
        <v>AP</v>
      </c>
      <c r="AQ1" s="75" t="str">
        <f t="shared" si="1"/>
        <v>AQ</v>
      </c>
      <c r="AR1" s="75" t="str">
        <f t="shared" si="1"/>
        <v>AR</v>
      </c>
      <c r="AS1" s="75" t="str">
        <f t="shared" si="1"/>
        <v>AS</v>
      </c>
      <c r="AT1" s="75" t="str">
        <f t="shared" si="1"/>
        <v>AT</v>
      </c>
      <c r="AU1" s="75" t="str">
        <f t="shared" si="1"/>
        <v>AU</v>
      </c>
      <c r="AV1" s="75" t="str">
        <f t="shared" si="1"/>
        <v>AV</v>
      </c>
      <c r="AW1" s="75" t="str">
        <f t="shared" si="1"/>
        <v>AW</v>
      </c>
      <c r="AX1" s="75" t="str">
        <f t="shared" si="1"/>
        <v>AX</v>
      </c>
      <c r="AY1" s="75" t="str">
        <f t="shared" si="1"/>
        <v>AY</v>
      </c>
      <c r="AZ1" s="75" t="str">
        <f t="shared" si="1"/>
        <v>AZ</v>
      </c>
      <c r="BA1" s="75" t="str">
        <f t="shared" si="1"/>
        <v>BA</v>
      </c>
      <c r="BB1" s="75" t="str">
        <f t="shared" si="1"/>
        <v>BB</v>
      </c>
      <c r="BC1" s="75" t="str">
        <f t="shared" si="1"/>
        <v>BC</v>
      </c>
      <c r="BD1" s="75" t="str">
        <f t="shared" si="1"/>
        <v>BD</v>
      </c>
      <c r="BE1" s="75" t="str">
        <f t="shared" si="1"/>
        <v>BE</v>
      </c>
      <c r="BF1" s="75" t="str">
        <f t="shared" si="1"/>
        <v>BF</v>
      </c>
      <c r="BG1" s="75" t="str">
        <f t="shared" si="1"/>
        <v>BG</v>
      </c>
      <c r="BH1" s="75" t="str">
        <f t="shared" si="1"/>
        <v>BH</v>
      </c>
      <c r="BI1" s="75" t="str">
        <f t="shared" si="1"/>
        <v>BI</v>
      </c>
      <c r="BJ1" s="75" t="str">
        <f t="shared" si="1"/>
        <v>BJ</v>
      </c>
      <c r="BK1" s="75" t="str">
        <f t="shared" si="1"/>
        <v>BK</v>
      </c>
      <c r="BL1" s="75" t="str">
        <f t="shared" si="1"/>
        <v>BL</v>
      </c>
      <c r="BM1" s="75" t="str">
        <f t="shared" si="1"/>
        <v>BM</v>
      </c>
      <c r="BN1" s="75" t="str">
        <f t="shared" si="1"/>
        <v>BN</v>
      </c>
      <c r="BO1" s="75" t="str">
        <f t="shared" si="1"/>
        <v>BO</v>
      </c>
      <c r="BP1" s="75" t="str">
        <f t="shared" si="1"/>
        <v>BP</v>
      </c>
      <c r="BQ1" s="75" t="str">
        <f t="shared" si="1"/>
        <v>BQ</v>
      </c>
      <c r="BR1" s="75" t="str">
        <f t="shared" si="1"/>
        <v>BR</v>
      </c>
      <c r="BS1" s="75" t="str">
        <f t="shared" si="1"/>
        <v>BS</v>
      </c>
      <c r="BT1" s="75" t="str">
        <f t="shared" si="1"/>
        <v>BT</v>
      </c>
      <c r="BU1" s="75" t="str">
        <f t="shared" si="1"/>
        <v>BU</v>
      </c>
      <c r="BV1" s="75" t="str">
        <f t="shared" ref="BV1:CK1" si="2">SUBSTITUTE(ADDRESS(1,COLUMN(BV1),4),"1","")</f>
        <v>BV</v>
      </c>
      <c r="BW1" s="75" t="str">
        <f>SUBSTITUTE(ADDRESS(1,COLUMN(BW1),4),"1","")</f>
        <v>BW</v>
      </c>
      <c r="BX1" s="75" t="str">
        <f t="shared" si="2"/>
        <v>BX</v>
      </c>
      <c r="BY1" s="75" t="str">
        <f t="shared" si="2"/>
        <v>BY</v>
      </c>
      <c r="BZ1" s="75" t="str">
        <f t="shared" si="2"/>
        <v>BZ</v>
      </c>
      <c r="CA1" s="75" t="str">
        <f t="shared" si="2"/>
        <v>CA</v>
      </c>
      <c r="CB1" s="75" t="str">
        <f t="shared" si="2"/>
        <v>CB</v>
      </c>
      <c r="CC1" s="75" t="str">
        <f t="shared" si="2"/>
        <v>CC</v>
      </c>
      <c r="CD1" s="75" t="str">
        <f t="shared" si="2"/>
        <v>CD</v>
      </c>
      <c r="CE1" s="75" t="str">
        <f t="shared" si="2"/>
        <v>CE</v>
      </c>
      <c r="CF1" s="75" t="str">
        <f t="shared" si="2"/>
        <v>CF</v>
      </c>
      <c r="CG1" s="75" t="str">
        <f t="shared" si="2"/>
        <v>CG</v>
      </c>
      <c r="CH1" s="75" t="str">
        <f t="shared" si="2"/>
        <v>CH</v>
      </c>
      <c r="CI1" s="75" t="str">
        <f t="shared" si="2"/>
        <v>CI</v>
      </c>
      <c r="CJ1" s="75" t="str">
        <f t="shared" si="2"/>
        <v>CJ</v>
      </c>
      <c r="CK1" s="75" t="str">
        <f t="shared" si="2"/>
        <v>CK</v>
      </c>
    </row>
    <row r="2" spans="1:90" ht="15" customHeight="1" x14ac:dyDescent="0.25">
      <c r="J2" s="712" t="s">
        <v>404</v>
      </c>
      <c r="K2" s="712"/>
      <c r="L2" s="712"/>
      <c r="O2" s="711" t="s">
        <v>400</v>
      </c>
      <c r="P2" s="711"/>
      <c r="Q2" s="711"/>
      <c r="R2" s="711"/>
      <c r="S2" s="711"/>
      <c r="T2" s="711"/>
      <c r="U2" s="711"/>
      <c r="V2" s="713"/>
      <c r="X2" s="711" t="s">
        <v>27</v>
      </c>
      <c r="Y2" s="711"/>
      <c r="Z2" s="711"/>
      <c r="AA2" s="711"/>
      <c r="AB2" s="711"/>
      <c r="AC2" s="711"/>
      <c r="AD2" s="711"/>
      <c r="AE2" s="711"/>
      <c r="AF2" s="711"/>
      <c r="AG2" s="711"/>
      <c r="AH2" s="711"/>
      <c r="AI2" s="711"/>
      <c r="AJ2" s="711"/>
      <c r="AK2" s="711"/>
      <c r="AL2" s="711"/>
      <c r="AM2" s="711"/>
      <c r="AN2" s="711"/>
      <c r="AO2" s="711"/>
      <c r="AP2" s="711"/>
      <c r="AR2" s="711" t="s">
        <v>270</v>
      </c>
      <c r="AS2" s="711"/>
      <c r="AT2" s="711"/>
      <c r="AU2" s="711"/>
      <c r="AV2" s="711"/>
      <c r="AW2" s="711"/>
      <c r="AX2" s="711"/>
      <c r="AY2" s="711"/>
      <c r="AZ2" s="711"/>
      <c r="BA2" s="711"/>
      <c r="BB2" s="711"/>
      <c r="BW2" s="75"/>
      <c r="BZ2" s="77"/>
      <c r="CA2" s="77"/>
      <c r="CB2" s="77"/>
      <c r="CC2" s="77"/>
      <c r="CL2" s="75" t="s">
        <v>124</v>
      </c>
    </row>
    <row r="3" spans="1:90" s="81" customFormat="1" ht="84.75" x14ac:dyDescent="0.25">
      <c r="A3" s="75" t="s">
        <v>355</v>
      </c>
      <c r="B3" s="81" t="s">
        <v>407</v>
      </c>
      <c r="C3" s="81" t="s">
        <v>408</v>
      </c>
      <c r="D3" s="81" t="s">
        <v>217</v>
      </c>
      <c r="E3" s="81" t="s">
        <v>405</v>
      </c>
      <c r="F3" s="75" t="s">
        <v>191</v>
      </c>
      <c r="G3" s="75" t="s">
        <v>99</v>
      </c>
      <c r="H3" s="75" t="s">
        <v>356</v>
      </c>
      <c r="I3" s="75"/>
      <c r="J3" s="75" t="s">
        <v>401</v>
      </c>
      <c r="K3" s="75" t="s">
        <v>402</v>
      </c>
      <c r="L3" s="75" t="s">
        <v>403</v>
      </c>
      <c r="M3" s="75" t="s">
        <v>406</v>
      </c>
      <c r="N3" s="278" t="s">
        <v>358</v>
      </c>
      <c r="O3" s="278" t="s">
        <v>359</v>
      </c>
      <c r="P3" s="278" t="s">
        <v>360</v>
      </c>
      <c r="Q3" s="278" t="s">
        <v>361</v>
      </c>
      <c r="R3" s="278" t="s">
        <v>362</v>
      </c>
      <c r="S3" s="278" t="s">
        <v>363</v>
      </c>
      <c r="T3" s="278" t="s">
        <v>364</v>
      </c>
      <c r="U3" s="278" t="s">
        <v>365</v>
      </c>
      <c r="V3" s="278" t="s">
        <v>366</v>
      </c>
      <c r="W3" s="278"/>
      <c r="X3" s="278" t="s">
        <v>151</v>
      </c>
      <c r="Y3" s="278" t="s">
        <v>152</v>
      </c>
      <c r="Z3" s="278" t="s">
        <v>148</v>
      </c>
      <c r="AA3" s="278" t="s">
        <v>269</v>
      </c>
      <c r="AB3" s="278" t="s">
        <v>156</v>
      </c>
      <c r="AC3" s="278" t="s">
        <v>157</v>
      </c>
      <c r="AD3" s="278" t="s">
        <v>158</v>
      </c>
      <c r="AE3" s="278" t="s">
        <v>159</v>
      </c>
      <c r="AF3" s="278" t="s">
        <v>460</v>
      </c>
      <c r="AG3" s="278" t="s">
        <v>502</v>
      </c>
      <c r="AH3" s="278" t="s">
        <v>503</v>
      </c>
      <c r="AI3" s="278" t="s">
        <v>504</v>
      </c>
      <c r="AJ3" s="278" t="s">
        <v>149</v>
      </c>
      <c r="AK3" s="278" t="s">
        <v>160</v>
      </c>
      <c r="AL3" s="278" t="s">
        <v>161</v>
      </c>
      <c r="AM3" s="278" t="s">
        <v>153</v>
      </c>
      <c r="AN3" s="278" t="s">
        <v>501</v>
      </c>
      <c r="AO3" s="278" t="s">
        <v>501</v>
      </c>
      <c r="AP3" s="278" t="s">
        <v>501</v>
      </c>
      <c r="AQ3" s="278"/>
      <c r="AR3" s="278" t="s">
        <v>274</v>
      </c>
      <c r="AS3" s="278" t="s">
        <v>275</v>
      </c>
      <c r="AT3" s="278" t="s">
        <v>276</v>
      </c>
      <c r="AU3" s="278" t="s">
        <v>277</v>
      </c>
      <c r="AV3" s="278" t="s">
        <v>278</v>
      </c>
      <c r="AW3" s="278" t="s">
        <v>279</v>
      </c>
      <c r="AX3" s="278" t="s">
        <v>280</v>
      </c>
      <c r="AY3" s="278" t="s">
        <v>281</v>
      </c>
      <c r="AZ3" s="278" t="s">
        <v>282</v>
      </c>
      <c r="BA3" s="278" t="s">
        <v>283</v>
      </c>
      <c r="BB3" s="278" t="s">
        <v>284</v>
      </c>
      <c r="BC3" s="278"/>
      <c r="BD3" s="278" t="s">
        <v>131</v>
      </c>
      <c r="BE3" s="278" t="s">
        <v>137</v>
      </c>
      <c r="BF3" s="278" t="s">
        <v>104</v>
      </c>
      <c r="BG3" s="278" t="s">
        <v>103</v>
      </c>
      <c r="BH3" s="278" t="s">
        <v>136</v>
      </c>
      <c r="BI3" s="278" t="s">
        <v>142</v>
      </c>
      <c r="BJ3" s="278" t="s">
        <v>125</v>
      </c>
      <c r="BK3" s="278" t="s">
        <v>139</v>
      </c>
      <c r="BL3" s="278" t="s">
        <v>140</v>
      </c>
      <c r="BM3" s="278" t="s">
        <v>143</v>
      </c>
      <c r="BN3" s="278" t="s">
        <v>144</v>
      </c>
      <c r="BO3" s="278" t="s">
        <v>127</v>
      </c>
      <c r="BP3" s="278" t="s">
        <v>134</v>
      </c>
      <c r="BQ3" s="278" t="s">
        <v>138</v>
      </c>
      <c r="BR3" s="278" t="s">
        <v>141</v>
      </c>
      <c r="BS3" s="278" t="s">
        <v>133</v>
      </c>
      <c r="BT3" s="278" t="s">
        <v>123</v>
      </c>
      <c r="BU3" s="278" t="s">
        <v>132</v>
      </c>
      <c r="BV3" s="278" t="s">
        <v>145</v>
      </c>
      <c r="BW3" s="278" t="s">
        <v>135</v>
      </c>
      <c r="BX3" s="241" t="s">
        <v>395</v>
      </c>
      <c r="BY3" s="80"/>
      <c r="CK3" s="83"/>
    </row>
    <row r="4" spans="1:90" s="84" customFormat="1" ht="15" customHeight="1" x14ac:dyDescent="0.25">
      <c r="A4" s="704" t="s">
        <v>409</v>
      </c>
      <c r="B4" s="706" t="b">
        <f>ISERROR(MATCH(FALSE,$J5:$BW5,0))</f>
        <v>1</v>
      </c>
      <c r="C4" s="706" t="e">
        <f>IF(AND(INDEX('General Merits'!$F:$F,MATCH(A4,'General Merits'!$F:$F,0))&gt;0,VLOOKUP(A4,'General Merits'!$F:$Q,10,0)),TRUE,FALSE)</f>
        <v>#N/A</v>
      </c>
      <c r="D4" s="708"/>
      <c r="E4" s="706">
        <f>D4*100</f>
        <v>0</v>
      </c>
      <c r="F4" s="698" t="s">
        <v>426</v>
      </c>
      <c r="G4" s="700"/>
      <c r="H4" s="700"/>
      <c r="J4" s="94"/>
      <c r="K4" s="94"/>
      <c r="L4" s="94"/>
      <c r="N4" s="85"/>
      <c r="O4" s="85"/>
      <c r="P4" s="85"/>
      <c r="Q4" s="85"/>
      <c r="R4" s="85"/>
      <c r="S4" s="85"/>
      <c r="T4" s="85"/>
      <c r="U4" s="85"/>
      <c r="V4" s="85"/>
      <c r="W4" s="86"/>
      <c r="X4" s="85"/>
      <c r="Y4" s="85"/>
      <c r="Z4" s="85"/>
      <c r="AA4" s="85"/>
      <c r="AB4" s="85"/>
      <c r="AC4" s="85"/>
      <c r="AD4" s="85"/>
      <c r="AE4" s="85"/>
      <c r="AF4" s="236"/>
      <c r="AG4" s="85"/>
      <c r="AH4" s="85"/>
      <c r="AI4" s="85"/>
      <c r="AJ4" s="85"/>
      <c r="AK4" s="85"/>
      <c r="AL4" s="85"/>
      <c r="AM4" s="85"/>
      <c r="AN4" s="85"/>
      <c r="AO4" s="85"/>
      <c r="AP4" s="85"/>
      <c r="AQ4" s="85"/>
      <c r="AR4" s="85"/>
      <c r="AS4" s="85"/>
      <c r="AT4" s="85"/>
      <c r="AU4" s="85"/>
      <c r="AV4" s="85"/>
      <c r="AW4" s="85"/>
      <c r="AX4" s="85"/>
      <c r="AY4" s="85"/>
      <c r="AZ4" s="85"/>
      <c r="BA4" s="85"/>
      <c r="BB4" s="85"/>
      <c r="BC4" s="85"/>
      <c r="BD4" s="85"/>
      <c r="BE4" s="85"/>
      <c r="BF4" s="85"/>
      <c r="BG4" s="85"/>
      <c r="BH4" s="85"/>
      <c r="BI4" s="85"/>
      <c r="BJ4" s="85"/>
      <c r="BK4" s="85"/>
      <c r="BL4" s="85"/>
      <c r="BM4" s="85"/>
      <c r="BN4" s="85"/>
      <c r="BO4" s="85"/>
      <c r="BP4" s="85"/>
      <c r="BQ4" s="85"/>
      <c r="BR4" s="85"/>
      <c r="BS4" s="85"/>
      <c r="BT4" s="85"/>
      <c r="BU4" s="85"/>
      <c r="BV4" s="85"/>
      <c r="BW4" s="85"/>
      <c r="BX4" s="702" t="str">
        <f ca="1">IF(BZ4&lt;&gt;"",BZ4,"")&amp;IF(CA4&lt;&gt;"",", "&amp;CA4,"")&amp;IF(CB4&lt;&gt;"",", "&amp;CB4,"")&amp;IF(CC4&lt;&gt;"",", "&amp;CC4,"")&amp;IF(CD4&lt;&gt;"",", "&amp;CD4,"")&amp;IF(CE4&lt;&gt;"",", "&amp;CE4,"")&amp;IF(CF4&lt;&gt;"",", "&amp;CF4,"")&amp;IF(CG4&lt;&gt;"",", "&amp;CG4,"")&amp;IF(CH4&lt;&gt;"",", "&amp;CH4,"")&amp;IF(CI4&lt;&gt;"",", "&amp;CI4,"")</f>
        <v/>
      </c>
      <c r="BY4" s="85"/>
      <c r="BZ4" s="84" t="str">
        <f ca="1">IF(NOT(ISERROR(BZ5)),IF(NOT(ISERROR(INDIRECT(SUBSTITUTE(INDEX($1:$1048576,ROW($3:$3),SUM($BZ5:BZ5)+COLUMN($I$1)-1)," ","")&amp;"Title"))),INDIRECT(SUBSTITUTE(INDEX($1:$1048576,ROW($3:$3),SUM($BZ5:BZ5)+COLUMN($I$1)-1)," ","")&amp;"Title")&amp;"("&amp;INDEX($1:$1048576,ROW(BZ4),SUM($BZ5:BZ5)+COLUMN($I$1)-1)&amp;")",INDEX($1:$1048576,ROW(BZ4),SUM($BZ5:BZ5)+COLUMN($I$1)-1)),"")</f>
        <v/>
      </c>
      <c r="CA4" s="84" t="str">
        <f ca="1">IF(NOT(ISERROR(CA5)),IF(NOT(ISERROR(INDIRECT(SUBSTITUTE(INDEX($1:$1048576,ROW($3:$3),SUM($BZ5:CA5)+COLUMN($I$1)-1)," ","")&amp;"Title"))),INDIRECT(SUBSTITUTE(INDEX($1:$1048576,ROW($3:$3),SUM($BZ5:CA5)+COLUMN($I$1)-1)," ","")&amp;"Title")&amp;"("&amp;INDEX($1:$1048576,ROW(CA4),SUM($BZ5:CA5)+COLUMN($I$1)-1)&amp;")",INDEX($1:$1048576,ROW(CA4),SUM($BZ5:CA5)+COLUMN($I$1)-1)),"")</f>
        <v/>
      </c>
      <c r="CB4" s="84" t="str">
        <f ca="1">IF(NOT(ISERROR(CB5)),IF(NOT(ISERROR(INDIRECT(SUBSTITUTE(INDEX($1:$1048576,ROW($3:$3),SUM($BZ5:CB5)+COLUMN($I$1)-1)," ","")&amp;"Title"))),INDIRECT(SUBSTITUTE(INDEX($1:$1048576,ROW($3:$3),SUM($BZ5:CB5)+COLUMN($I$1)-1)," ","")&amp;"Title")&amp;"("&amp;INDEX($1:$1048576,ROW(CB4),SUM($BZ5:CB5)+COLUMN($I$1)-1)&amp;")",INDEX($1:$1048576,ROW(CB4),SUM($BZ5:CB5)+COLUMN($I$1)-1)),"")</f>
        <v/>
      </c>
      <c r="CC4" s="84" t="str">
        <f ca="1">IF(NOT(ISERROR(CC5)),IF(NOT(ISERROR(INDIRECT(SUBSTITUTE(INDEX($1:$1048576,ROW($3:$3),SUM($BZ5:CC5)+COLUMN($I$1)-1)," ","")&amp;"Title"))),INDIRECT(SUBSTITUTE(INDEX($1:$1048576,ROW($3:$3),SUM($BZ5:CC5)+COLUMN($I$1)-1)," ","")&amp;"Title")&amp;"("&amp;INDEX($1:$1048576,ROW(CC4),SUM($BZ5:CC5)+COLUMN($I$1)-1)&amp;")",INDEX($1:$1048576,ROW(CC4),SUM($BZ5:CC5)+COLUMN($I$1)-1)),"")</f>
        <v/>
      </c>
      <c r="CD4" s="84" t="str">
        <f ca="1">IF(NOT(ISERROR(CD5)),IF(NOT(ISERROR(INDIRECT(SUBSTITUTE(INDEX($1:$1048576,ROW($3:$3),SUM($BZ5:CD5)+COLUMN($I$1)-1)," ","")&amp;"Title"))),INDIRECT(SUBSTITUTE(INDEX($1:$1048576,ROW($3:$3),SUM($BZ5:CD5)+COLUMN($I$1)-1)," ","")&amp;"Title")&amp;"("&amp;INDEX($1:$1048576,ROW(CD4),SUM($BZ5:CD5)+COLUMN($I$1)-1)&amp;")",INDEX($1:$1048576,ROW(CD4),SUM($BZ5:CD5)+COLUMN($I$1)-1)),"")</f>
        <v/>
      </c>
      <c r="CE4" s="84" t="str">
        <f ca="1">IF(NOT(ISERROR(CE5)),IF(NOT(ISERROR(INDIRECT(SUBSTITUTE(INDEX($1:$1048576,ROW($3:$3),SUM($BZ5:CE5)+COLUMN($I$1)-1)," ","")&amp;"Title"))),INDIRECT(SUBSTITUTE(INDEX($1:$1048576,ROW($3:$3),SUM($BZ5:CE5)+COLUMN($I$1)-1)," ","")&amp;"Title")&amp;"("&amp;INDEX($1:$1048576,ROW(CE4),SUM($BZ5:CE5)+COLUMN($I$1)-1)&amp;")",INDEX($1:$1048576,ROW(CE4),SUM($BZ5:CE5)+COLUMN($I$1)-1)),"")</f>
        <v/>
      </c>
      <c r="CF4" s="84" t="str">
        <f ca="1">IF(NOT(ISERROR(CF5)),IF(NOT(ISERROR(INDIRECT(SUBSTITUTE(INDEX($1:$1048576,ROW($3:$3),SUM($BZ5:CF5)+COLUMN($I$1)-1)," ","")&amp;"Title"))),INDIRECT(SUBSTITUTE(INDEX($1:$1048576,ROW($3:$3),SUM($BZ5:CF5)+COLUMN($I$1)-1)," ","")&amp;"Title")&amp;"("&amp;INDEX($1:$1048576,ROW(CF4),SUM($BZ5:CF5)+COLUMN($I$1)-1)&amp;")",INDEX($1:$1048576,ROW(CF4),SUM($BZ5:CF5)+COLUMN($I$1)-1)),"")</f>
        <v/>
      </c>
      <c r="CG4" s="84" t="str">
        <f ca="1">IF(NOT(ISERROR(CG5)),IF(NOT(ISERROR(INDIRECT(SUBSTITUTE(INDEX($1:$1048576,ROW($3:$3),SUM($BZ5:CG5)+COLUMN($I$1)-1)," ","")&amp;"Title"))),INDIRECT(SUBSTITUTE(INDEX($1:$1048576,ROW($3:$3),SUM($BZ5:CG5)+COLUMN($I$1)-1)," ","")&amp;"Title")&amp;"("&amp;INDEX($1:$1048576,ROW(CG4),SUM($BZ5:CG5)+COLUMN($I$1)-1)&amp;")",INDEX($1:$1048576,ROW(CG4),SUM($BZ5:CG5)+COLUMN($I$1)-1)),"")</f>
        <v/>
      </c>
      <c r="CH4" s="84" t="str">
        <f ca="1">IF(NOT(ISERROR(CH5)),IF(NOT(ISERROR(INDIRECT(SUBSTITUTE(INDEX($1:$1048576,ROW($3:$3),SUM($BZ5:CH5)+COLUMN($I$1)-1)," ","")&amp;"Title"))),INDIRECT(SUBSTITUTE(INDEX($1:$1048576,ROW($3:$3),SUM($BZ5:CH5)+COLUMN($I$1)-1)," ","")&amp;"Title")&amp;"("&amp;INDEX($1:$1048576,ROW(CH4),SUM($BZ5:CH5)+COLUMN($I$1)-1)&amp;")",INDEX($1:$1048576,ROW(CH4),SUM($BZ5:CH5)+COLUMN($I$1)-1)),"")</f>
        <v/>
      </c>
      <c r="CI4" s="84" t="str">
        <f ca="1">IF(NOT(ISERROR(CI5)),IF(NOT(ISERROR(INDIRECT(SUBSTITUTE(INDEX($1:$1048576,ROW($3:$3),SUM($BZ5:CI5)+COLUMN($I$1)-1)," ","")&amp;"Title"))),INDIRECT(SUBSTITUTE(INDEX($1:$1048576,ROW($3:$3),SUM($BZ5:CI5)+COLUMN($I$1)-1)," ","")&amp;"Title")&amp;"("&amp;INDEX($1:$1048576,ROW(CI4),SUM($BZ5:CI5)+COLUMN($I$1)-1)&amp;")",INDEX($1:$1048576,ROW(CI4),SUM($BZ5:CI5)+COLUMN($I$1)-1)),"")</f>
        <v/>
      </c>
      <c r="CJ4" s="84" t="str">
        <f ca="1">IF(NOT(ISERROR(CJ5)),IF(NOT(ISERROR(INDIRECT(SUBSTITUTE(INDEX($1:$1048576,ROW($3:$3),SUM($BZ5:CJ5)+COLUMN($I$1)-1)," ","")&amp;"Title"))),INDIRECT(SUBSTITUTE(INDEX($1:$1048576,ROW($3:$3),SUM($BZ5:CJ5)+COLUMN($I$1)-1)," ","")&amp;"Title")&amp;"("&amp;INDEX($1:$1048576,ROW(CJ4),SUM($BZ5:CJ5)+COLUMN($I$1)-1)&amp;")",INDEX($1:$1048576,ROW(CJ4),SUM($BZ5:CJ5)+COLUMN($I$1)-1)),"")</f>
        <v/>
      </c>
      <c r="CK4" s="87"/>
    </row>
    <row r="5" spans="1:90" s="88" customFormat="1" x14ac:dyDescent="0.25">
      <c r="A5" s="705"/>
      <c r="B5" s="707"/>
      <c r="C5" s="707"/>
      <c r="D5" s="709"/>
      <c r="E5" s="707"/>
      <c r="F5" s="699"/>
      <c r="G5" s="701"/>
      <c r="H5" s="701"/>
      <c r="J5" s="92" t="e">
        <f>IF(J4&gt;0,IF(AND(INDEX('General Merits'!$F:$F,MATCH($J4,'General Merits'!$F:$F,0),1)&gt;0,VLOOKUP('Merit Data'!J4,'General Merits'!$F:$Z,COLUMN('General Merits'!$N:$N),0)),TRUE,FALSE),#N/A)</f>
        <v>#N/A</v>
      </c>
      <c r="K5" s="92" t="e">
        <f>IF(K4&gt;0,IF(AND(INDEX('General Merits'!$A:$A,MATCH($J4,'General Merits'!$G:$G,0),1)&gt;0,VLOOKUP('Merit Data'!K4,'General Merits'!$A:$Z,COLUMN('General Merits'!$J:$J),0)),TRUE,FALSE),#N/A)</f>
        <v>#N/A</v>
      </c>
      <c r="L5" s="92" t="e">
        <f>IF(L4&gt;0,IF(AND(INDEX('General Merits'!$A:$A,MATCH($J4,'General Merits'!$G:$G,0),1)&gt;0,VLOOKUP('Merit Data'!L4,'General Merits'!$A:$Z,COLUMN('General Merits'!$J:$J),0)),TRUE,FALSE),#N/A)</f>
        <v>#N/A</v>
      </c>
      <c r="N5" s="89" t="e">
        <f>IF(STR&gt;=N4,TRUE)</f>
        <v>#REF!</v>
      </c>
      <c r="O5" s="89" t="e">
        <f>IF(AGI&gt;=O4,TRUE)</f>
        <v>#REF!</v>
      </c>
      <c r="P5" s="89" t="e">
        <f>IF(CON&gt;=P4,TRUE)</f>
        <v>#REF!</v>
      </c>
      <c r="Q5" s="89" t="e">
        <f>IF(INT&gt;=Q4,TRUE)</f>
        <v>#REF!</v>
      </c>
      <c r="R5" s="89" t="e">
        <f>IF(WIS&gt;=R4,TRUE)</f>
        <v>#REF!</v>
      </c>
      <c r="S5" s="89" t="e">
        <f>IF(FOC&gt;=S4,TRUE)</f>
        <v>#REF!</v>
      </c>
      <c r="T5" s="89" t="e">
        <f>IF(CHA&gt;=T4,TRUE)</f>
        <v>#REF!</v>
      </c>
      <c r="U5" s="89" t="e">
        <f>IF(INS&gt;=U4,TRUE)</f>
        <v>#REF!</v>
      </c>
      <c r="V5" s="89" t="e">
        <f>IF(CNV&gt;=V4,TRUE)</f>
        <v>#REF!</v>
      </c>
      <c r="W5" s="89"/>
      <c r="X5" s="89" t="e">
        <f>IF(Archery&gt;=X4,TRUE)</f>
        <v>#REF!</v>
      </c>
      <c r="Y5" s="89" t="e">
        <f>IF(Crossbows&gt;=Y4,TRUE)</f>
        <v>#REF!</v>
      </c>
      <c r="Z5" s="89" t="e">
        <f>IF(Daggers&gt;=Z4,TRUE)</f>
        <v>#REF!</v>
      </c>
      <c r="AA5" s="89" t="e">
        <f>IF(HandtoHandCombat&gt;=AA4,TRUE)</f>
        <v>#REF!</v>
      </c>
      <c r="AB5" s="89" t="e">
        <f>IF(HeavyArmor&gt;=AB4,TRUE)</f>
        <v>#REF!</v>
      </c>
      <c r="AC5" s="89" t="e">
        <f>IF(ImprovisedWeaponry&gt;=AC4,TRUE)</f>
        <v>#NAME?</v>
      </c>
      <c r="AD5" s="89" t="e">
        <f>IF(LightArmor&gt;=AD4,TRUE)</f>
        <v>#REF!</v>
      </c>
      <c r="AE5" s="89" t="e">
        <f>IF(Magicka&gt;=AE4,TRUE)</f>
        <v>#REF!</v>
      </c>
      <c r="AF5" s="89" t="e">
        <f>IF(OR(Archery&gt;=AF4,Crossbows&gt;=AF4,Daggers&gt;=AF4,HandtoHandCombat&gt;=AF4,ImprovisedWeaponry&gt;=AF4,Axes&gt;=AF4,Maces&gt;=AF4,Swords&gt;=AF4,Polearms&gt;=AF4,Staves&gt;=AF4,Throwing&gt;=AF4,TwoHandedAxes&gt;=AF4,TwoHandedMaces&gt;=AF4,TwoHandedSwords&gt;=AF4),TRUE)</f>
        <v>#REF!</v>
      </c>
      <c r="AG5" s="89" t="e">
        <f>IF(Axes&gt;=AG4,TRUE)</f>
        <v>#REF!</v>
      </c>
      <c r="AH5" s="89" t="e">
        <f>IF(Maces&gt;=AH4,TRUE)</f>
        <v>#REF!</v>
      </c>
      <c r="AI5" s="89" t="e">
        <f>IF(Swords&gt;=AI4,TRUE)</f>
        <v>#REF!</v>
      </c>
      <c r="AJ5" s="89" t="e">
        <f>IF(Polearms&gt;=AJ4,TRUE)</f>
        <v>#REF!</v>
      </c>
      <c r="AK5" s="89" t="e">
        <f>IF(Shields&gt;=AK4,TRUE)</f>
        <v>#REF!</v>
      </c>
      <c r="AL5" s="89" t="e">
        <f>IF(Staves&gt;=AL4,TRUE)</f>
        <v>#REF!</v>
      </c>
      <c r="AM5" s="89" t="e">
        <f>IF(Throwing&gt;=AM4,TRUE)</f>
        <v>#REF!</v>
      </c>
      <c r="AN5" s="89" t="e">
        <f>IF(TwoHandedAxes&gt;=AN4,TRUE)</f>
        <v>#NAME?</v>
      </c>
      <c r="AO5" s="89" t="e">
        <f>IF(TwoHandedMaces&gt;=AO4,TRUE)</f>
        <v>#NAME?</v>
      </c>
      <c r="AP5" s="89" t="e">
        <f>IF(TwoHandedSwords&gt;=AP4,TRUE)</f>
        <v>#NAME?</v>
      </c>
      <c r="AQ5" s="89"/>
      <c r="AR5" s="89" t="e">
        <f>IF(Acrobatics&gt;=AR4,TRUE)</f>
        <v>#REF!</v>
      </c>
      <c r="AS5" s="89" t="e">
        <f>IF(Appraisal&gt;=AS4,TRUE)</f>
        <v>#REF!</v>
      </c>
      <c r="AT5" s="89" t="e">
        <f>IF(Athletics&gt;=AT4,TRUE)</f>
        <v>#REF!</v>
      </c>
      <c r="AU5" s="89" t="e">
        <f>IF(Comprehension&gt;=AU4,TRUE)</f>
        <v>#REF!</v>
      </c>
      <c r="AV5" s="89" t="e">
        <f>IF(Expression&gt;=AV4,TRUE)</f>
        <v>#REF!</v>
      </c>
      <c r="AW5" s="89" t="e">
        <f>IF(Perception&gt;=AW4,TRUE)</f>
        <v>#REF!</v>
      </c>
      <c r="AX5" s="89" t="e">
        <f>IF(Security&gt;=AX4,TRUE)</f>
        <v>#REF!</v>
      </c>
      <c r="AY5" s="89" t="e">
        <f>IF(Stealth&gt;=AY4,TRUE)</f>
        <v>#REF!</v>
      </c>
      <c r="AZ5" s="89" t="e">
        <f>IF(Streetwise&gt;=AZ4,TRUE)</f>
        <v>#REF!</v>
      </c>
      <c r="BA5" s="89" t="e">
        <f>IF(Subterfuge&gt;=BA4,TRUE)</f>
        <v>#REF!</v>
      </c>
      <c r="BB5" s="89" t="e">
        <f>IF(Survival&gt;=BB4,TRUE)</f>
        <v>#REF!</v>
      </c>
      <c r="BC5" s="89"/>
      <c r="BD5" s="89" t="e">
        <f>IF(AncientDraconic&gt;=BD4,TRUE)</f>
        <v>#REF!</v>
      </c>
      <c r="BE5" s="89" t="e">
        <f>IF(AquaElven&gt;=BE4,TRUE)</f>
        <v>#REF!</v>
      </c>
      <c r="BF5" s="89" t="e">
        <f>IF(BasicElven&gt;=BF4,TRUE)</f>
        <v>#REF!</v>
      </c>
      <c r="BG5" s="89" t="e">
        <f>IF(Common&gt;=BG4,TRUE)</f>
        <v>#REF!</v>
      </c>
      <c r="BH5" s="89" t="e">
        <f>IF(DarkElven&gt;=BH4,TRUE)</f>
        <v>#REF!</v>
      </c>
      <c r="BI5" s="89" t="e">
        <f>IF(Davek&gt;=BI4,TRUE)</f>
        <v>#REF!</v>
      </c>
      <c r="BJ5" s="89" t="e">
        <f>IF(Draconic&gt;=BJ4,TRUE)</f>
        <v>#REF!</v>
      </c>
      <c r="BK5" s="89" t="e">
        <f>IF(Eulian&gt;=BK4,TRUE)</f>
        <v>#REF!</v>
      </c>
      <c r="BL5" s="89" t="e">
        <f>IF(Garonian&gt;=BL4,TRUE)</f>
        <v>#REF!</v>
      </c>
      <c r="BM5" s="89" t="e">
        <f>IF(Geovek&gt;=BM4,TRUE)</f>
        <v>#REF!</v>
      </c>
      <c r="BN5" s="89" t="e">
        <f>IF(Gnomish&gt;=BN4,TRUE)</f>
        <v>#REF!</v>
      </c>
      <c r="BO5" s="89" t="e">
        <f>IF(Goblin&gt;=BO4,TRUE)</f>
        <v>#REF!</v>
      </c>
      <c r="BP5" s="89" t="e">
        <f>IF(HighElven&gt;=BP4,TRUE)</f>
        <v>#REF!</v>
      </c>
      <c r="BQ5" s="89" t="e">
        <f>IF(Kotaba&gt;=BQ4,TRUE)</f>
        <v>#REF!</v>
      </c>
      <c r="BR5" s="89" t="e">
        <f>IF(LowerCommon&gt;=BR4,TRUE)</f>
        <v>#REF!</v>
      </c>
      <c r="BS5" s="89" t="e">
        <f>IF(OldElven&gt;=BS4,TRUE)</f>
        <v>#REF!</v>
      </c>
      <c r="BT5" s="89" t="e">
        <f>IF(Sylvan&gt;=BT4,TRUE)</f>
        <v>#REF!</v>
      </c>
      <c r="BU5" s="89" t="e">
        <f>IF(TrueDraconic&gt;=BU4,TRUE)</f>
        <v>#REF!</v>
      </c>
      <c r="BV5" s="89" t="e">
        <f>IF(Volken&gt;=BV4,TRUE)</f>
        <v>#REF!</v>
      </c>
      <c r="BW5" s="89" t="e">
        <f>IF(WoodElven&gt;=BW4,TRUE)</f>
        <v>#REF!</v>
      </c>
      <c r="BX5" s="703"/>
      <c r="BY5" s="89"/>
      <c r="BZ5" s="88" t="e">
        <f ca="1">MATCH(TRUE,INDEX((INDIRECT(CHAR(CODE($I$1)+SUM($BY5:BY5))&amp;$CK5-1&amp;":"&amp;$BW$1&amp;$CK5-1)&lt;&gt;0),0),0)</f>
        <v>#N/A</v>
      </c>
      <c r="CA5" s="88" t="e">
        <f ca="1">MATCH(TRUE,INDEX((INDIRECT(CHAR(CODE($I$1)+SUM($BY5:BZ5))&amp;$CK5-1&amp;":"&amp;$BW$1&amp;$CK5-1)&lt;&gt;0),0),0)</f>
        <v>#N/A</v>
      </c>
      <c r="CB5" s="88" t="e">
        <f ca="1">MATCH(TRUE,INDEX((INDIRECT(CHAR(CODE($I$1)+SUM($BY5:CA5))&amp;$CK5-1&amp;":"&amp;$BW$1&amp;$CK5-1)&lt;&gt;0),0),0)</f>
        <v>#N/A</v>
      </c>
      <c r="CC5" s="88" t="e">
        <f ca="1">MATCH(TRUE,INDEX((INDIRECT(CHAR(CODE($I$1)+SUM($BY5:CB5))&amp;$CK5-1&amp;":"&amp;$BW$1&amp;$CK5-1)&lt;&gt;0),0),0)</f>
        <v>#N/A</v>
      </c>
      <c r="CD5" s="88" t="e">
        <f ca="1">MATCH(TRUE,INDEX((INDIRECT(CHAR(CODE($I$1)+SUM($BY5:CC5))&amp;$CK5-1&amp;":"&amp;$BW$1&amp;$CK5-1)&lt;&gt;0),0),0)</f>
        <v>#N/A</v>
      </c>
      <c r="CE5" s="88" t="e">
        <f ca="1">MATCH(TRUE,INDEX((INDIRECT(CHAR(CODE($I$1)+SUM($BY5:CD5))&amp;$CK5-1&amp;":"&amp;$BW$1&amp;$CK5-1)&lt;&gt;0),0),0)</f>
        <v>#N/A</v>
      </c>
      <c r="CF5" s="88" t="e">
        <f ca="1">MATCH(TRUE,INDEX((INDIRECT(CHAR(CODE($I$1)+SUM($BY5:CE5))&amp;$CK5-1&amp;":"&amp;$BW$1&amp;$CK5-1)&lt;&gt;0),0),0)</f>
        <v>#N/A</v>
      </c>
      <c r="CG5" s="88" t="e">
        <f ca="1">MATCH(TRUE,INDEX((INDIRECT(CHAR(CODE($I$1)+SUM($BY5:CF5))&amp;$CK5-1&amp;":"&amp;$BW$1&amp;$CK5-1)&lt;&gt;0),0),0)</f>
        <v>#N/A</v>
      </c>
      <c r="CH5" s="88" t="e">
        <f ca="1">MATCH(TRUE,INDEX((INDIRECT(CHAR(CODE($I$1)+SUM($BY5:CG5))&amp;$CK5-1&amp;":"&amp;$BW$1&amp;$CK5-1)&lt;&gt;0),0),0)</f>
        <v>#N/A</v>
      </c>
      <c r="CI5" s="88" t="e">
        <f ca="1">MATCH(TRUE,INDEX((INDIRECT(CHAR(CODE($I$1)+SUM($BY5:CH5))&amp;$CK5-1&amp;":"&amp;$BW$1&amp;$CK5-1)&lt;&gt;0),0),0)</f>
        <v>#N/A</v>
      </c>
      <c r="CJ5" s="88" t="e">
        <f ca="1">MATCH(TRUE,INDEX((INDIRECT(CHAR(CODE($I$1)+SUM($BY5:CI5))&amp;$CK5-1&amp;":"&amp;$BW$1&amp;$CK5-1)&lt;&gt;0),0),0)</f>
        <v>#N/A</v>
      </c>
      <c r="CK5" s="90">
        <f>ROW(CK5)</f>
        <v>5</v>
      </c>
    </row>
    <row r="6" spans="1:90" s="84" customFormat="1" ht="15" customHeight="1" x14ac:dyDescent="0.25">
      <c r="A6" s="704" t="s">
        <v>393</v>
      </c>
      <c r="B6" s="706" t="b">
        <f>ISERROR(MATCH(FALSE,$J7:$BW7,0))</f>
        <v>0</v>
      </c>
      <c r="C6" s="706" t="b">
        <f>IF(AND(INDEX('General Merits'!$F:$F,MATCH(A6,'General Merits'!$F:$F,0))&gt;0,VLOOKUP(A6,'General Merits'!$F:$Q,10,0)),TRUE,FALSE)</f>
        <v>0</v>
      </c>
      <c r="D6" s="708">
        <v>4</v>
      </c>
      <c r="E6" s="706">
        <f>D6*100</f>
        <v>400</v>
      </c>
      <c r="F6" s="698" t="s">
        <v>411</v>
      </c>
      <c r="G6" s="700"/>
      <c r="H6" s="700"/>
      <c r="J6" s="91" t="s">
        <v>389</v>
      </c>
      <c r="K6" s="91"/>
      <c r="L6" s="91"/>
      <c r="N6" s="85"/>
      <c r="O6" s="85"/>
      <c r="P6" s="85"/>
      <c r="Q6" s="85"/>
      <c r="R6" s="85"/>
      <c r="S6" s="85"/>
      <c r="T6" s="85"/>
      <c r="U6" s="85"/>
      <c r="V6" s="85"/>
      <c r="W6" s="86"/>
      <c r="X6" s="85"/>
      <c r="Y6" s="85"/>
      <c r="Z6" s="85"/>
      <c r="AA6" s="85"/>
      <c r="AB6" s="85"/>
      <c r="AC6" s="85"/>
      <c r="AD6" s="85"/>
      <c r="AE6" s="85"/>
      <c r="AF6" s="236"/>
      <c r="AG6" s="85"/>
      <c r="AH6" s="85"/>
      <c r="AI6" s="85"/>
      <c r="AJ6" s="85"/>
      <c r="AK6" s="85"/>
      <c r="AL6" s="85"/>
      <c r="AM6" s="85"/>
      <c r="AN6" s="85"/>
      <c r="AO6" s="85"/>
      <c r="AP6" s="85"/>
      <c r="AQ6" s="85"/>
      <c r="AR6" s="85"/>
      <c r="AS6" s="85"/>
      <c r="AT6" s="85"/>
      <c r="AU6" s="85"/>
      <c r="AV6" s="85"/>
      <c r="AW6" s="85"/>
      <c r="AX6" s="85"/>
      <c r="AY6" s="85"/>
      <c r="AZ6" s="85"/>
      <c r="BA6" s="85"/>
      <c r="BB6" s="85"/>
      <c r="BC6" s="85"/>
      <c r="BD6" s="85"/>
      <c r="BE6" s="85"/>
      <c r="BF6" s="85"/>
      <c r="BG6" s="85"/>
      <c r="BH6" s="85"/>
      <c r="BI6" s="85"/>
      <c r="BJ6" s="85"/>
      <c r="BK6" s="85"/>
      <c r="BL6" s="85"/>
      <c r="BM6" s="85"/>
      <c r="BN6" s="85"/>
      <c r="BO6" s="85"/>
      <c r="BP6" s="85"/>
      <c r="BQ6" s="85"/>
      <c r="BR6" s="85"/>
      <c r="BS6" s="85"/>
      <c r="BT6" s="85"/>
      <c r="BU6" s="85"/>
      <c r="BV6" s="85"/>
      <c r="BW6" s="85"/>
      <c r="BX6" s="702" t="str">
        <f ca="1">IF(BZ6&lt;&gt;"",BZ6,"")&amp;IF(CA6&lt;&gt;"",", "&amp;CA6,"")&amp;IF(CB6&lt;&gt;"",", "&amp;CB6,"")&amp;IF(CC6&lt;&gt;"",", "&amp;CC6,"")&amp;IF(CD6&lt;&gt;"",", "&amp;CD6,"")&amp;IF(CE6&lt;&gt;"",", "&amp;CE6,"")&amp;IF(CF6&lt;&gt;"",", "&amp;CF6,"")&amp;IF(CG6&lt;&gt;"",", "&amp;CG6,"")&amp;IF(CH6&lt;&gt;"",", "&amp;CH6,"")&amp;IF(CI6&lt;&gt;"",", "&amp;CI6,"")</f>
        <v>Improved Stamina</v>
      </c>
      <c r="BY6" s="85"/>
      <c r="BZ6" s="84" t="str">
        <f ca="1">IF(NOT(ISERROR(BZ7)),IF(COLUMN($I:$I)+SUM($BY7:BZ7)-1&lt;COLUMN($N:$N),INDEX($1:$1048576,ROW(BZ6),SUM($BZ7:BZ7)+COLUMN($I$1)-1),INDEX($3:$3,1,COLUMN($I:$I)+SUM($BY7:BZ7)-1)&amp;" ("&amp;INDEX($1:$1048576,ROW(BZ6),SUM($BZ7:BZ7)+COLUMN($I$1)-1)&amp;")"),"")</f>
        <v>Improved Stamina</v>
      </c>
      <c r="CA6" s="84" t="str">
        <f ca="1">IF(NOT(ISERROR(CA7)),IF(COLUMN($I:$I)+SUM($BY7:CA7)-1&lt;COLUMN($N:$N),INDEX($1:$1048576,ROW(CA6),SUM($BZ7:CA7)+COLUMN($I$1)-1),INDEX($3:$3,1,COLUMN($I:$I)+SUM($BY7:CA7)-1)&amp;" ("&amp;INDEX($1:$1048576,ROW(CA6),SUM($BZ7:CA7)+COLUMN($I$1)-1)&amp;")"),"")</f>
        <v/>
      </c>
      <c r="CB6" s="84" t="str">
        <f ca="1">IF(NOT(ISERROR(CB7)),IF(COLUMN($I:$I)+SUM($BY7:CB7)-1&lt;COLUMN($N:$N),INDEX($1:$1048576,ROW(CB6),SUM($BZ7:CB7)+COLUMN($I$1)-1),INDEX($3:$3,1,COLUMN($I:$I)+SUM($BY7:CB7)-1)&amp;" ("&amp;INDEX($1:$1048576,ROW(CB6),SUM($BZ7:CB7)+COLUMN($I$1)-1)&amp;")"),"")</f>
        <v/>
      </c>
      <c r="CC6" s="84" t="str">
        <f ca="1">IF(NOT(ISERROR(CC7)),IF(COLUMN($I:$I)+SUM($BY7:CC7)-1&lt;COLUMN($N:$N),INDEX($1:$1048576,ROW(CC6),SUM($BZ7:CC7)+COLUMN($I$1)-1),INDEX($3:$3,1,COLUMN($I:$I)+SUM($BY7:CC7)-1)&amp;" ("&amp;INDEX($1:$1048576,ROW(CC6),SUM($BZ7:CC7)+COLUMN($I$1)-1)&amp;")"),"")</f>
        <v/>
      </c>
      <c r="CD6" s="84" t="str">
        <f ca="1">IF(NOT(ISERROR(CD7)),IF(COLUMN($I:$I)+SUM($BY7:CD7)-1&lt;COLUMN($N:$N),INDEX($1:$1048576,ROW(CD6),SUM($BZ7:CD7)+COLUMN($I$1)-1),INDEX($3:$3,1,COLUMN($I:$I)+SUM($BY7:CD7)-1)&amp;" ("&amp;INDEX($1:$1048576,ROW(CD6),SUM($BZ7:CD7)+COLUMN($I$1)-1)&amp;")"),"")</f>
        <v/>
      </c>
      <c r="CE6" s="84" t="str">
        <f ca="1">IF(NOT(ISERROR(CE7)),IF(COLUMN($I:$I)+SUM($BY7:CE7)-1&lt;COLUMN($N:$N),INDEX($1:$1048576,ROW(CE6),SUM($BZ7:CE7)+COLUMN($I$1)-1),INDEX($3:$3,1,COLUMN($I:$I)+SUM($BY7:CE7)-1)&amp;" ("&amp;INDEX($1:$1048576,ROW(CE6),SUM($BZ7:CE7)+COLUMN($I$1)-1)&amp;")"),"")</f>
        <v/>
      </c>
      <c r="CF6" s="84" t="str">
        <f ca="1">IF(NOT(ISERROR(CF7)),IF(COLUMN($I:$I)+SUM($BY7:CF7)-1&lt;COLUMN($N:$N),INDEX($1:$1048576,ROW(CF6),SUM($BZ7:CF7)+COLUMN($I$1)-1),INDEX($3:$3,1,COLUMN($I:$I)+SUM($BY7:CF7)-1)&amp;" ("&amp;INDEX($1:$1048576,ROW(CF6),SUM($BZ7:CF7)+COLUMN($I$1)-1)&amp;")"),"")</f>
        <v/>
      </c>
      <c r="CG6" s="84" t="str">
        <f ca="1">IF(NOT(ISERROR(CG7)),IF(COLUMN($I:$I)+SUM($BY7:CG7)-1&lt;COLUMN($N:$N),INDEX($1:$1048576,ROW(CG6),SUM($BZ7:CG7)+COLUMN($I$1)-1),INDEX($3:$3,1,COLUMN($I:$I)+SUM($BY7:CG7)-1)&amp;" ("&amp;INDEX($1:$1048576,ROW(CG6),SUM($BZ7:CG7)+COLUMN($I$1)-1)&amp;")"),"")</f>
        <v/>
      </c>
      <c r="CH6" s="84" t="str">
        <f ca="1">IF(NOT(ISERROR(CH7)),IF(COLUMN($I:$I)+SUM($BY7:CH7)-1&lt;COLUMN($N:$N),INDEX($1:$1048576,ROW(CH6),SUM($BZ7:CH7)+COLUMN($I$1)-1),INDEX($3:$3,1,COLUMN($I:$I)+SUM($BY7:CH7)-1)&amp;" ("&amp;INDEX($1:$1048576,ROW(CH6),SUM($BZ7:CH7)+COLUMN($I$1)-1)&amp;")"),"")</f>
        <v/>
      </c>
      <c r="CI6" s="84" t="str">
        <f ca="1">IF(NOT(ISERROR(CI7)),IF(COLUMN($I:$I)+SUM($BY7:CI7)-1&lt;COLUMN($N:$N),INDEX($1:$1048576,ROW(CI6),SUM($BZ7:CI7)+COLUMN($I$1)-1),INDEX($3:$3,1,COLUMN($I:$I)+SUM($BY7:CI7)-1)&amp;" ("&amp;INDEX($1:$1048576,ROW(CI6),SUM($BZ7:CI7)+COLUMN($I$1)-1)&amp;")"),"")</f>
        <v/>
      </c>
      <c r="CJ6" s="84" t="str">
        <f ca="1">IF(NOT(ISERROR(CJ7)),IF(COLUMN($I:$I)+SUM($BY7:CJ7)-1&lt;COLUMN($N:$N),INDEX($1:$1048576,ROW(CJ6),SUM($BZ7:CJ7)+COLUMN($I$1)-1),INDEX($3:$3,1,COLUMN($I:$I)+SUM($BY7:CJ7)-1)&amp;" ("&amp;INDEX($1:$1048576,ROW(CJ6),SUM($BZ7:CJ7)+COLUMN($I$1)-1)&amp;")"),"")</f>
        <v/>
      </c>
      <c r="CK6" s="87"/>
    </row>
    <row r="7" spans="1:90" s="88" customFormat="1" x14ac:dyDescent="0.25">
      <c r="A7" s="705"/>
      <c r="B7" s="707"/>
      <c r="C7" s="707"/>
      <c r="D7" s="709"/>
      <c r="E7" s="707"/>
      <c r="F7" s="699"/>
      <c r="G7" s="701"/>
      <c r="H7" s="701"/>
      <c r="J7" s="92" t="b">
        <f>IF(J6&gt;0,IF(AND(INDEX('General Merits'!$F:$F,MATCH($J6,'General Merits'!$F:$F,0),1)&gt;0,VLOOKUP('Merit Data'!J6,'General Merits'!$F:$Z,COLUMN('General Merits'!$N:$N),0)),TRUE,FALSE),#N/A)</f>
        <v>0</v>
      </c>
      <c r="K7" s="92" t="e">
        <f>IF(K6&gt;0,IF(AND(INDEX('General Merits'!$F:$F,MATCH($J6,'General Merits'!$F:$F,0),1)&gt;0,VLOOKUP('Merit Data'!K6,'General Merits'!$F:$Z,COLUMN('General Merits'!$N:$N),0)),TRUE,FALSE),#N/A)</f>
        <v>#N/A</v>
      </c>
      <c r="L7" s="92" t="e">
        <f>IF(L6&gt;0,IF(AND(INDEX('General Merits'!$F:$F,MATCH($J6,'General Merits'!$F:$F,0),1)&gt;0,VLOOKUP('Merit Data'!L6,'General Merits'!$F:$Z,COLUMN('General Merits'!$N:$N),0)),TRUE,FALSE),#N/A)</f>
        <v>#N/A</v>
      </c>
      <c r="N7" s="89" t="e">
        <f>IF(STR&gt;=N6,TRUE)</f>
        <v>#REF!</v>
      </c>
      <c r="O7" s="89" t="e">
        <f>IF(AGI&gt;=O6,TRUE)</f>
        <v>#REF!</v>
      </c>
      <c r="P7" s="89" t="e">
        <f>IF(CON&gt;=P6,TRUE)</f>
        <v>#REF!</v>
      </c>
      <c r="Q7" s="89" t="e">
        <f>IF(INT&gt;=Q6,TRUE)</f>
        <v>#REF!</v>
      </c>
      <c r="R7" s="89" t="e">
        <f>IF(WIS&gt;=R6,TRUE)</f>
        <v>#REF!</v>
      </c>
      <c r="S7" s="89" t="e">
        <f>IF(FOC&gt;=S6,TRUE)</f>
        <v>#REF!</v>
      </c>
      <c r="T7" s="89" t="e">
        <f>IF(CHA&gt;=T6,TRUE)</f>
        <v>#REF!</v>
      </c>
      <c r="U7" s="89" t="e">
        <f>IF(INS&gt;=U6,TRUE)</f>
        <v>#REF!</v>
      </c>
      <c r="V7" s="89" t="e">
        <f>IF(CNV&gt;=V6,TRUE)</f>
        <v>#REF!</v>
      </c>
      <c r="W7" s="89"/>
      <c r="X7" s="89" t="e">
        <f>IF(Archery&gt;=X6,TRUE)</f>
        <v>#REF!</v>
      </c>
      <c r="Y7" s="89" t="e">
        <f>IF(Crossbows&gt;=Y6,TRUE)</f>
        <v>#REF!</v>
      </c>
      <c r="Z7" s="89" t="e">
        <f>IF(Daggers&gt;=Z6,TRUE)</f>
        <v>#REF!</v>
      </c>
      <c r="AA7" s="89" t="e">
        <f>IF(HandtoHandCombat&gt;=AA6,TRUE)</f>
        <v>#REF!</v>
      </c>
      <c r="AB7" s="89" t="e">
        <f>IF(HeavyArmor&gt;=AB6,TRUE)</f>
        <v>#REF!</v>
      </c>
      <c r="AC7" s="89" t="e">
        <f>IF(ImprovisedWeaponry&gt;=AC6,TRUE)</f>
        <v>#NAME?</v>
      </c>
      <c r="AD7" s="89" t="e">
        <f>IF(LightArmor&gt;=AD6,TRUE)</f>
        <v>#REF!</v>
      </c>
      <c r="AE7" s="89" t="e">
        <f>IF(Magicka&gt;=AE6,TRUE)</f>
        <v>#REF!</v>
      </c>
      <c r="AF7" s="89" t="e">
        <f>IF(OR(Archery&gt;=AF6,Crossbows&gt;=AF6,Daggers&gt;=AF6,HandtoHandCombat&gt;=AF6,ImprovisedWeaponry&gt;=AF6,Axes&gt;=AF6,Maces&gt;=AF6,Swords&gt;=AF6,Polearms&gt;=AF6,Staves&gt;=AF6,Throwing&gt;=AF6,TwoHandedAxes&gt;=AF6,TwoHandedMaces&gt;=AF6,TwoHandedSwords&gt;=AF6),TRUE)</f>
        <v>#REF!</v>
      </c>
      <c r="AG7" s="89" t="e">
        <f>IF(Axes&gt;=AG6,TRUE)</f>
        <v>#REF!</v>
      </c>
      <c r="AH7" s="89" t="e">
        <f>IF(Maces&gt;=AH6,TRUE)</f>
        <v>#REF!</v>
      </c>
      <c r="AI7" s="89" t="e">
        <f>IF(Swords&gt;=AI6,TRUE)</f>
        <v>#REF!</v>
      </c>
      <c r="AJ7" s="89" t="e">
        <f>IF(Polearms&gt;=AJ6,TRUE)</f>
        <v>#REF!</v>
      </c>
      <c r="AK7" s="89" t="e">
        <f>IF(Shields&gt;=AK6,TRUE)</f>
        <v>#REF!</v>
      </c>
      <c r="AL7" s="89" t="e">
        <f>IF(Staves&gt;=AL6,TRUE)</f>
        <v>#REF!</v>
      </c>
      <c r="AM7" s="89" t="e">
        <f>IF(Throwing&gt;=AM6,TRUE)</f>
        <v>#REF!</v>
      </c>
      <c r="AN7" s="89" t="e">
        <f>IF(TwoHandedAxes&gt;=AN6,TRUE)</f>
        <v>#NAME?</v>
      </c>
      <c r="AO7" s="89" t="e">
        <f>IF(TwoHandedMaces&gt;=AO6,TRUE)</f>
        <v>#NAME?</v>
      </c>
      <c r="AP7" s="89" t="e">
        <f>IF(TwoHandedSwords&gt;=AP6,TRUE)</f>
        <v>#NAME?</v>
      </c>
      <c r="AQ7" s="89"/>
      <c r="AR7" s="89" t="e">
        <f>IF(Acrobatics&gt;=AR6,TRUE)</f>
        <v>#REF!</v>
      </c>
      <c r="AS7" s="89" t="e">
        <f>IF(Appraisal&gt;=AS6,TRUE)</f>
        <v>#REF!</v>
      </c>
      <c r="AT7" s="89" t="e">
        <f>IF(Athletics&gt;=AT6,TRUE)</f>
        <v>#REF!</v>
      </c>
      <c r="AU7" s="89" t="e">
        <f>IF(Comprehension&gt;=AU6,TRUE)</f>
        <v>#REF!</v>
      </c>
      <c r="AV7" s="89" t="e">
        <f>IF(Expression&gt;=AV6,TRUE)</f>
        <v>#REF!</v>
      </c>
      <c r="AW7" s="89" t="e">
        <f>IF(Perception&gt;=AW6,TRUE)</f>
        <v>#REF!</v>
      </c>
      <c r="AX7" s="89" t="e">
        <f>IF(Security&gt;=AX6,TRUE)</f>
        <v>#REF!</v>
      </c>
      <c r="AY7" s="89" t="e">
        <f>IF(Stealth&gt;=AY6,TRUE)</f>
        <v>#REF!</v>
      </c>
      <c r="AZ7" s="89" t="e">
        <f>IF(Streetwise&gt;=AZ6,TRUE)</f>
        <v>#REF!</v>
      </c>
      <c r="BA7" s="89" t="e">
        <f>IF(Subterfuge&gt;=BA6,TRUE)</f>
        <v>#REF!</v>
      </c>
      <c r="BB7" s="89" t="e">
        <f>IF(Survival&gt;=BB6,TRUE)</f>
        <v>#REF!</v>
      </c>
      <c r="BC7" s="89"/>
      <c r="BD7" s="89" t="e">
        <f>IF(AncientDraconic&gt;=BD6,TRUE)</f>
        <v>#REF!</v>
      </c>
      <c r="BE7" s="89" t="e">
        <f>IF(AquaElven&gt;=BE6,TRUE)</f>
        <v>#REF!</v>
      </c>
      <c r="BF7" s="89" t="e">
        <f>IF(BasicElven&gt;=BF6,TRUE)</f>
        <v>#REF!</v>
      </c>
      <c r="BG7" s="89" t="e">
        <f>IF(Common&gt;=BG6,TRUE)</f>
        <v>#REF!</v>
      </c>
      <c r="BH7" s="89" t="e">
        <f>IF(DarkElven&gt;=BH6,TRUE)</f>
        <v>#REF!</v>
      </c>
      <c r="BI7" s="89" t="e">
        <f>IF(Davek&gt;=BI6,TRUE)</f>
        <v>#REF!</v>
      </c>
      <c r="BJ7" s="89" t="e">
        <f>IF(Draconic&gt;=BJ6,TRUE)</f>
        <v>#REF!</v>
      </c>
      <c r="BK7" s="89" t="e">
        <f>IF(Eulian&gt;=BK6,TRUE)</f>
        <v>#REF!</v>
      </c>
      <c r="BL7" s="89" t="e">
        <f>IF(Garonian&gt;=BL6,TRUE)</f>
        <v>#REF!</v>
      </c>
      <c r="BM7" s="89" t="e">
        <f>IF(Geovek&gt;=BM6,TRUE)</f>
        <v>#REF!</v>
      </c>
      <c r="BN7" s="89" t="e">
        <f>IF(Gnomish&gt;=BN6,TRUE)</f>
        <v>#REF!</v>
      </c>
      <c r="BO7" s="89" t="e">
        <f>IF(Goblin&gt;=BO6,TRUE)</f>
        <v>#REF!</v>
      </c>
      <c r="BP7" s="89" t="e">
        <f>IF(HighElven&gt;=BP6,TRUE)</f>
        <v>#REF!</v>
      </c>
      <c r="BQ7" s="89" t="e">
        <f>IF(Kotaba&gt;=BQ6,TRUE)</f>
        <v>#REF!</v>
      </c>
      <c r="BR7" s="89" t="e">
        <f>IF(LowerCommon&gt;=BR6,TRUE)</f>
        <v>#REF!</v>
      </c>
      <c r="BS7" s="89" t="e">
        <f>IF(OldElven&gt;=BS6,TRUE)</f>
        <v>#REF!</v>
      </c>
      <c r="BT7" s="89" t="e">
        <f>IF(Sylvan&gt;=BT6,TRUE)</f>
        <v>#REF!</v>
      </c>
      <c r="BU7" s="89" t="e">
        <f>IF(TrueDraconic&gt;=BU6,TRUE)</f>
        <v>#REF!</v>
      </c>
      <c r="BV7" s="89" t="e">
        <f>IF(Volken&gt;=BV6,TRUE)</f>
        <v>#REF!</v>
      </c>
      <c r="BW7" s="89" t="e">
        <f>IF(WoodElven&gt;=BW6,TRUE)</f>
        <v>#REF!</v>
      </c>
      <c r="BX7" s="703"/>
      <c r="BY7" s="89"/>
      <c r="BZ7" s="88">
        <f ca="1">MATCH(TRUE,INDEX((INDIRECT(INDEX($1:$1,ROW($1:$1),COLUMN($I:$I)+SUM($BY7:BY7))&amp;$CK7-1&amp;":"&amp;$BW$1&amp;$CK7-1)&lt;&gt;0),0),0)</f>
        <v>2</v>
      </c>
      <c r="CA7" s="88" t="e">
        <f ca="1">MATCH(TRUE,INDEX((INDIRECT(INDEX($1:$1,ROW($1:$1),COLUMN($I:$I)+SUM($BY7:BZ7))&amp;$CK7-1&amp;":"&amp;$BW$1&amp;$CK7-1)&lt;&gt;0),0),0)</f>
        <v>#N/A</v>
      </c>
      <c r="CB7" s="88" t="e">
        <f ca="1">MATCH(TRUE,INDEX((INDIRECT(INDEX($1:$1,ROW($1:$1),COLUMN($I:$I)+SUM($BY7:CA7))&amp;$CK7-1&amp;":"&amp;$BW$1&amp;$CK7-1)&lt;&gt;0),0),0)</f>
        <v>#N/A</v>
      </c>
      <c r="CC7" s="88" t="e">
        <f ca="1">MATCH(TRUE,INDEX((INDIRECT(INDEX($1:$1,ROW($1:$1),COLUMN($I:$I)+SUM($BY7:CB7))&amp;$CK7-1&amp;":"&amp;$BW$1&amp;$CK7-1)&lt;&gt;0),0),0)</f>
        <v>#N/A</v>
      </c>
      <c r="CD7" s="88" t="e">
        <f ca="1">MATCH(TRUE,INDEX((INDIRECT(INDEX($1:$1,ROW($1:$1),COLUMN($I:$I)+SUM($BY7:CC7))&amp;$CK7-1&amp;":"&amp;$BW$1&amp;$CK7-1)&lt;&gt;0),0),0)</f>
        <v>#N/A</v>
      </c>
      <c r="CE7" s="88" t="e">
        <f ca="1">MATCH(TRUE,INDEX((INDIRECT(INDEX($1:$1,ROW($1:$1),COLUMN($I:$I)+SUM($BY7:CD7))&amp;$CK7-1&amp;":"&amp;$BW$1&amp;$CK7-1)&lt;&gt;0),0),0)</f>
        <v>#N/A</v>
      </c>
      <c r="CF7" s="88" t="e">
        <f ca="1">MATCH(TRUE,INDEX((INDIRECT(INDEX($1:$1,ROW($1:$1),COLUMN($I:$I)+SUM($BY7:CE7))&amp;$CK7-1&amp;":"&amp;$BW$1&amp;$CK7-1)&lt;&gt;0),0),0)</f>
        <v>#N/A</v>
      </c>
      <c r="CG7" s="88" t="e">
        <f ca="1">MATCH(TRUE,INDEX((INDIRECT(INDEX($1:$1,ROW($1:$1),COLUMN($I:$I)+SUM($BY7:CF7))&amp;$CK7-1&amp;":"&amp;$BW$1&amp;$CK7-1)&lt;&gt;0),0),0)</f>
        <v>#N/A</v>
      </c>
      <c r="CH7" s="88" t="e">
        <f ca="1">MATCH(TRUE,INDEX((INDIRECT(INDEX($1:$1,ROW($1:$1),COLUMN($I:$I)+SUM($BY7:CG7))&amp;$CK7-1&amp;":"&amp;$BW$1&amp;$CK7-1)&lt;&gt;0),0),0)</f>
        <v>#N/A</v>
      </c>
      <c r="CI7" s="88" t="e">
        <f ca="1">MATCH(TRUE,INDEX((INDIRECT(INDEX($1:$1,ROW($1:$1),COLUMN($I:$I)+SUM($BY7:CH7))&amp;$CK7-1&amp;":"&amp;$BW$1&amp;$CK7-1)&lt;&gt;0),0),0)</f>
        <v>#N/A</v>
      </c>
      <c r="CJ7" s="88" t="e">
        <f ca="1">MATCH(TRUE,INDEX((INDIRECT(INDEX($1:$1,ROW($1:$1),COLUMN($I:$I)+SUM($BY7:CI7))&amp;$CK7-1&amp;":"&amp;$BW$1&amp;$CK7-1)&lt;&gt;0),0),0)</f>
        <v>#N/A</v>
      </c>
      <c r="CK7" s="90">
        <f>ROW(CK7)</f>
        <v>7</v>
      </c>
    </row>
    <row r="8" spans="1:90" s="84" customFormat="1" ht="15" customHeight="1" x14ac:dyDescent="0.25">
      <c r="A8" s="704" t="s">
        <v>394</v>
      </c>
      <c r="B8" s="706" t="b">
        <f>ISERROR(MATCH(FALSE,$J9:$BW9,0))</f>
        <v>0</v>
      </c>
      <c r="C8" s="706" t="b">
        <f>IF(AND(INDEX('General Merits'!$F:$F,MATCH(A8,'General Merits'!$F:$F,0))&gt;0,VLOOKUP(A8,'General Merits'!$F:$Q,10,0)),TRUE,FALSE)</f>
        <v>0</v>
      </c>
      <c r="D8" s="708">
        <v>4</v>
      </c>
      <c r="E8" s="706">
        <f>D8*100</f>
        <v>400</v>
      </c>
      <c r="F8" s="698" t="s">
        <v>412</v>
      </c>
      <c r="G8" s="700"/>
      <c r="H8" s="700"/>
      <c r="J8" s="91" t="s">
        <v>390</v>
      </c>
      <c r="K8" s="91"/>
      <c r="L8" s="91"/>
      <c r="N8" s="85"/>
      <c r="O8" s="85"/>
      <c r="P8" s="85"/>
      <c r="Q8" s="85"/>
      <c r="R8" s="85"/>
      <c r="S8" s="85"/>
      <c r="T8" s="85"/>
      <c r="U8" s="85"/>
      <c r="V8" s="85"/>
      <c r="W8" s="86"/>
      <c r="X8" s="85"/>
      <c r="Y8" s="85"/>
      <c r="Z8" s="85"/>
      <c r="AA8" s="85"/>
      <c r="AB8" s="85"/>
      <c r="AC8" s="85"/>
      <c r="AD8" s="85"/>
      <c r="AE8" s="85"/>
      <c r="AF8" s="236"/>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702" t="str">
        <f ca="1">IF(BZ8&lt;&gt;"",BZ8,"")&amp;IF(CA8&lt;&gt;"",", "&amp;CA8,"")&amp;IF(CB8&lt;&gt;"",", "&amp;CB8,"")&amp;IF(CC8&lt;&gt;"",", "&amp;CC8,"")&amp;IF(CD8&lt;&gt;"",", "&amp;CD8,"")&amp;IF(CE8&lt;&gt;"",", "&amp;CE8,"")&amp;IF(CF8&lt;&gt;"",", "&amp;CF8,"")&amp;IF(CG8&lt;&gt;"",", "&amp;CG8,"")&amp;IF(CH8&lt;&gt;"",", "&amp;CH8,"")&amp;IF(CI8&lt;&gt;"",", "&amp;CI8,"")</f>
        <v>Improved Energy</v>
      </c>
      <c r="BY8" s="85"/>
      <c r="BZ8" s="84" t="str">
        <f ca="1">IF(NOT(ISERROR(BZ9)),IF(COLUMN($I:$I)+SUM($BY9:BZ9)-1&lt;COLUMN($N:$N),INDEX($1:$1048576,ROW(BZ8),SUM($BZ9:BZ9)+COLUMN($I$1)-1),INDEX($3:$3,1,COLUMN($I:$I)+SUM($BY9:BZ9)-1)&amp;" ("&amp;INDEX($1:$1048576,ROW(BZ8),SUM($BZ9:BZ9)+COLUMN($I$1)-1)&amp;")"),"")</f>
        <v>Improved Energy</v>
      </c>
      <c r="CA8" s="84" t="str">
        <f ca="1">IF(NOT(ISERROR(CA9)),IF(COLUMN($I:$I)+SUM($BY9:CA9)-1&lt;COLUMN($N:$N),INDEX($1:$1048576,ROW(CA8),SUM($BZ9:CA9)+COLUMN($I$1)-1),INDEX($3:$3,1,COLUMN($I:$I)+SUM($BY9:CA9)-1)&amp;" ("&amp;INDEX($1:$1048576,ROW(CA8),SUM($BZ9:CA9)+COLUMN($I$1)-1)&amp;")"),"")</f>
        <v/>
      </c>
      <c r="CB8" s="84" t="str">
        <f ca="1">IF(NOT(ISERROR(CB9)),IF(COLUMN($I:$I)+SUM($BY9:CB9)-1&lt;COLUMN($N:$N),INDEX($1:$1048576,ROW(CB8),SUM($BZ9:CB9)+COLUMN($I$1)-1),INDEX($3:$3,1,COLUMN($I:$I)+SUM($BY9:CB9)-1)&amp;" ("&amp;INDEX($1:$1048576,ROW(CB8),SUM($BZ9:CB9)+COLUMN($I$1)-1)&amp;")"),"")</f>
        <v/>
      </c>
      <c r="CC8" s="84" t="str">
        <f ca="1">IF(NOT(ISERROR(CC9)),IF(COLUMN($I:$I)+SUM($BY9:CC9)-1&lt;COLUMN($N:$N),INDEX($1:$1048576,ROW(CC8),SUM($BZ9:CC9)+COLUMN($I$1)-1),INDEX($3:$3,1,COLUMN($I:$I)+SUM($BY9:CC9)-1)&amp;" ("&amp;INDEX($1:$1048576,ROW(CC8),SUM($BZ9:CC9)+COLUMN($I$1)-1)&amp;")"),"")</f>
        <v/>
      </c>
      <c r="CD8" s="84" t="str">
        <f ca="1">IF(NOT(ISERROR(CD9)),IF(COLUMN($I:$I)+SUM($BY9:CD9)-1&lt;COLUMN($N:$N),INDEX($1:$1048576,ROW(CD8),SUM($BZ9:CD9)+COLUMN($I$1)-1),INDEX($3:$3,1,COLUMN($I:$I)+SUM($BY9:CD9)-1)&amp;" ("&amp;INDEX($1:$1048576,ROW(CD8),SUM($BZ9:CD9)+COLUMN($I$1)-1)&amp;")"),"")</f>
        <v/>
      </c>
      <c r="CE8" s="84" t="str">
        <f ca="1">IF(NOT(ISERROR(CE9)),IF(COLUMN($I:$I)+SUM($BY9:CE9)-1&lt;COLUMN($N:$N),INDEX($1:$1048576,ROW(CE8),SUM($BZ9:CE9)+COLUMN($I$1)-1),INDEX($3:$3,1,COLUMN($I:$I)+SUM($BY9:CE9)-1)&amp;" ("&amp;INDEX($1:$1048576,ROW(CE8),SUM($BZ9:CE9)+COLUMN($I$1)-1)&amp;")"),"")</f>
        <v/>
      </c>
      <c r="CF8" s="84" t="str">
        <f ca="1">IF(NOT(ISERROR(CF9)),IF(COLUMN($I:$I)+SUM($BY9:CF9)-1&lt;COLUMN($N:$N),INDEX($1:$1048576,ROW(CF8),SUM($BZ9:CF9)+COLUMN($I$1)-1),INDEX($3:$3,1,COLUMN($I:$I)+SUM($BY9:CF9)-1)&amp;" ("&amp;INDEX($1:$1048576,ROW(CF8),SUM($BZ9:CF9)+COLUMN($I$1)-1)&amp;")"),"")</f>
        <v/>
      </c>
      <c r="CG8" s="84" t="str">
        <f ca="1">IF(NOT(ISERROR(CG9)),IF(COLUMN($I:$I)+SUM($BY9:CG9)-1&lt;COLUMN($N:$N),INDEX($1:$1048576,ROW(CG8),SUM($BZ9:CG9)+COLUMN($I$1)-1),INDEX($3:$3,1,COLUMN($I:$I)+SUM($BY9:CG9)-1)&amp;" ("&amp;INDEX($1:$1048576,ROW(CG8),SUM($BZ9:CG9)+COLUMN($I$1)-1)&amp;")"),"")</f>
        <v/>
      </c>
      <c r="CH8" s="84" t="str">
        <f ca="1">IF(NOT(ISERROR(CH9)),IF(COLUMN($I:$I)+SUM($BY9:CH9)-1&lt;COLUMN($N:$N),INDEX($1:$1048576,ROW(CH8),SUM($BZ9:CH9)+COLUMN($I$1)-1),INDEX($3:$3,1,COLUMN($I:$I)+SUM($BY9:CH9)-1)&amp;" ("&amp;INDEX($1:$1048576,ROW(CH8),SUM($BZ9:CH9)+COLUMN($I$1)-1)&amp;")"),"")</f>
        <v/>
      </c>
      <c r="CI8" s="84" t="str">
        <f ca="1">IF(NOT(ISERROR(CI9)),IF(COLUMN($I:$I)+SUM($BY9:CI9)-1&lt;COLUMN($N:$N),INDEX($1:$1048576,ROW(CI8),SUM($BZ9:CI9)+COLUMN($I$1)-1),INDEX($3:$3,1,COLUMN($I:$I)+SUM($BY9:CI9)-1)&amp;" ("&amp;INDEX($1:$1048576,ROW(CI8),SUM($BZ9:CI9)+COLUMN($I$1)-1)&amp;")"),"")</f>
        <v/>
      </c>
      <c r="CJ8" s="84" t="str">
        <f ca="1">IF(NOT(ISERROR(CJ9)),IF(COLUMN($I:$I)+SUM($BY9:CJ9)-1&lt;COLUMN($N:$N),INDEX($1:$1048576,ROW(CJ8),SUM($BZ9:CJ9)+COLUMN($I$1)-1),INDEX($3:$3,1,COLUMN($I:$I)+SUM($BY9:CJ9)-1)&amp;" ("&amp;INDEX($1:$1048576,ROW(CJ8),SUM($BZ9:CJ9)+COLUMN($I$1)-1)&amp;")"),"")</f>
        <v/>
      </c>
      <c r="CK8" s="87"/>
    </row>
    <row r="9" spans="1:90" s="88" customFormat="1" x14ac:dyDescent="0.25">
      <c r="A9" s="705"/>
      <c r="B9" s="707"/>
      <c r="C9" s="707"/>
      <c r="D9" s="709"/>
      <c r="E9" s="707"/>
      <c r="F9" s="699"/>
      <c r="G9" s="701"/>
      <c r="H9" s="701"/>
      <c r="J9" s="92" t="b">
        <f>IF(J8&gt;0,IF(AND(INDEX('General Merits'!$F:$F,MATCH($J8,'General Merits'!$F:$F,0),1)&gt;0,VLOOKUP('Merit Data'!J8,'General Merits'!$F:$Z,COLUMN('General Merits'!$N:$N),0)),TRUE,FALSE),#N/A)</f>
        <v>0</v>
      </c>
      <c r="K9" s="92" t="e">
        <f>IF(K8&gt;0,IF(AND(INDEX('General Merits'!$F:$F,MATCH($J8,'General Merits'!$F:$F,0),1)&gt;0,VLOOKUP('Merit Data'!K8,'General Merits'!$F:$Z,COLUMN('General Merits'!$N:$N),0)),TRUE,FALSE),#N/A)</f>
        <v>#N/A</v>
      </c>
      <c r="L9" s="92" t="e">
        <f>IF(L8&gt;0,IF(AND(INDEX('General Merits'!$F:$F,MATCH($J8,'General Merits'!$F:$F,0),1)&gt;0,VLOOKUP('Merit Data'!L8,'General Merits'!$F:$Z,COLUMN('General Merits'!$N:$N),0)),TRUE,FALSE),#N/A)</f>
        <v>#N/A</v>
      </c>
      <c r="N9" s="89" t="e">
        <f>IF(STR&gt;=N8,TRUE)</f>
        <v>#REF!</v>
      </c>
      <c r="O9" s="89" t="e">
        <f>IF(AGI&gt;=O8,TRUE)</f>
        <v>#REF!</v>
      </c>
      <c r="P9" s="89" t="e">
        <f>IF(CON&gt;=P8,TRUE)</f>
        <v>#REF!</v>
      </c>
      <c r="Q9" s="89" t="e">
        <f>IF(INT&gt;=Q8,TRUE)</f>
        <v>#REF!</v>
      </c>
      <c r="R9" s="89" t="e">
        <f>IF(WIS&gt;=R8,TRUE)</f>
        <v>#REF!</v>
      </c>
      <c r="S9" s="89" t="e">
        <f>IF(FOC&gt;=S8,TRUE)</f>
        <v>#REF!</v>
      </c>
      <c r="T9" s="89" t="e">
        <f>IF(CHA&gt;=T8,TRUE)</f>
        <v>#REF!</v>
      </c>
      <c r="U9" s="89" t="e">
        <f>IF(INS&gt;=U8,TRUE)</f>
        <v>#REF!</v>
      </c>
      <c r="V9" s="89" t="e">
        <f>IF(CNV&gt;=V8,TRUE)</f>
        <v>#REF!</v>
      </c>
      <c r="W9" s="89"/>
      <c r="X9" s="89" t="e">
        <f>IF(Archery&gt;=X8,TRUE)</f>
        <v>#REF!</v>
      </c>
      <c r="Y9" s="89" t="e">
        <f>IF(Crossbows&gt;=Y8,TRUE)</f>
        <v>#REF!</v>
      </c>
      <c r="Z9" s="89" t="e">
        <f>IF(Daggers&gt;=Z8,TRUE)</f>
        <v>#REF!</v>
      </c>
      <c r="AA9" s="89" t="e">
        <f>IF(HandtoHandCombat&gt;=AA8,TRUE)</f>
        <v>#REF!</v>
      </c>
      <c r="AB9" s="89" t="e">
        <f>IF(HeavyArmor&gt;=AB8,TRUE)</f>
        <v>#REF!</v>
      </c>
      <c r="AC9" s="89" t="e">
        <f>IF(ImprovisedWeaponry&gt;=AC8,TRUE)</f>
        <v>#NAME?</v>
      </c>
      <c r="AD9" s="89" t="e">
        <f>IF(LightArmor&gt;=AD8,TRUE)</f>
        <v>#REF!</v>
      </c>
      <c r="AE9" s="89" t="e">
        <f>IF(Magicka&gt;=AE8,TRUE)</f>
        <v>#REF!</v>
      </c>
      <c r="AF9" s="89" t="e">
        <f>IF(OR(Archery&gt;=AF8,Crossbows&gt;=AF8,Daggers&gt;=AF8,HandtoHandCombat&gt;=AF8,ImprovisedWeaponry&gt;=AF8,Axes&gt;=AF8,Maces&gt;=AF8,Swords&gt;=AF8,Polearms&gt;=AF8,Staves&gt;=AF8,Throwing&gt;=AF8,TwoHandedAxes&gt;=AF8,TwoHandedMaces&gt;=AF8,TwoHandedSwords&gt;=AF8),TRUE)</f>
        <v>#REF!</v>
      </c>
      <c r="AG9" s="89" t="e">
        <f>IF(Axes&gt;=AG8,TRUE)</f>
        <v>#REF!</v>
      </c>
      <c r="AH9" s="89" t="e">
        <f>IF(Maces&gt;=AH8,TRUE)</f>
        <v>#REF!</v>
      </c>
      <c r="AI9" s="89" t="e">
        <f>IF(Swords&gt;=AI8,TRUE)</f>
        <v>#REF!</v>
      </c>
      <c r="AJ9" s="89" t="e">
        <f>IF(Polearms&gt;=AJ8,TRUE)</f>
        <v>#REF!</v>
      </c>
      <c r="AK9" s="89" t="e">
        <f>IF(Shields&gt;=AK8,TRUE)</f>
        <v>#REF!</v>
      </c>
      <c r="AL9" s="89" t="e">
        <f>IF(Staves&gt;=AL8,TRUE)</f>
        <v>#REF!</v>
      </c>
      <c r="AM9" s="89" t="e">
        <f>IF(Throwing&gt;=AM8,TRUE)</f>
        <v>#REF!</v>
      </c>
      <c r="AN9" s="89" t="e">
        <f>IF(TwoHandedAxes&gt;=AN8,TRUE)</f>
        <v>#NAME?</v>
      </c>
      <c r="AO9" s="89" t="e">
        <f>IF(TwoHandedMaces&gt;=AO8,TRUE)</f>
        <v>#NAME?</v>
      </c>
      <c r="AP9" s="89" t="e">
        <f>IF(TwoHandedSwords&gt;=AP8,TRUE)</f>
        <v>#NAME?</v>
      </c>
      <c r="AQ9" s="89"/>
      <c r="AR9" s="89" t="e">
        <f>IF(Acrobatics&gt;=AR8,TRUE)</f>
        <v>#REF!</v>
      </c>
      <c r="AS9" s="89" t="e">
        <f>IF(Appraisal&gt;=AS8,TRUE)</f>
        <v>#REF!</v>
      </c>
      <c r="AT9" s="89" t="e">
        <f>IF(Athletics&gt;=AT8,TRUE)</f>
        <v>#REF!</v>
      </c>
      <c r="AU9" s="89" t="e">
        <f>IF(Comprehension&gt;=AU8,TRUE)</f>
        <v>#REF!</v>
      </c>
      <c r="AV9" s="89" t="e">
        <f>IF(Expression&gt;=AV8,TRUE)</f>
        <v>#REF!</v>
      </c>
      <c r="AW9" s="89" t="e">
        <f>IF(Perception&gt;=AW8,TRUE)</f>
        <v>#REF!</v>
      </c>
      <c r="AX9" s="89" t="e">
        <f>IF(Security&gt;=AX8,TRUE)</f>
        <v>#REF!</v>
      </c>
      <c r="AY9" s="89" t="e">
        <f>IF(Stealth&gt;=AY8,TRUE)</f>
        <v>#REF!</v>
      </c>
      <c r="AZ9" s="89" t="e">
        <f>IF(Streetwise&gt;=AZ8,TRUE)</f>
        <v>#REF!</v>
      </c>
      <c r="BA9" s="89" t="e">
        <f>IF(Subterfuge&gt;=BA8,TRUE)</f>
        <v>#REF!</v>
      </c>
      <c r="BB9" s="89" t="e">
        <f>IF(Survival&gt;=BB8,TRUE)</f>
        <v>#REF!</v>
      </c>
      <c r="BC9" s="89"/>
      <c r="BD9" s="89" t="e">
        <f>IF(AncientDraconic&gt;=BD8,TRUE)</f>
        <v>#REF!</v>
      </c>
      <c r="BE9" s="89" t="e">
        <f>IF(AquaElven&gt;=BE8,TRUE)</f>
        <v>#REF!</v>
      </c>
      <c r="BF9" s="89" t="e">
        <f>IF(BasicElven&gt;=BF8,TRUE)</f>
        <v>#REF!</v>
      </c>
      <c r="BG9" s="89" t="e">
        <f>IF(Common&gt;=BG8,TRUE)</f>
        <v>#REF!</v>
      </c>
      <c r="BH9" s="89" t="e">
        <f>IF(DarkElven&gt;=BH8,TRUE)</f>
        <v>#REF!</v>
      </c>
      <c r="BI9" s="89" t="e">
        <f>IF(Davek&gt;=BI8,TRUE)</f>
        <v>#REF!</v>
      </c>
      <c r="BJ9" s="89" t="e">
        <f>IF(Draconic&gt;=BJ8,TRUE)</f>
        <v>#REF!</v>
      </c>
      <c r="BK9" s="89" t="e">
        <f>IF(Eulian&gt;=BK8,TRUE)</f>
        <v>#REF!</v>
      </c>
      <c r="BL9" s="89" t="e">
        <f>IF(Garonian&gt;=BL8,TRUE)</f>
        <v>#REF!</v>
      </c>
      <c r="BM9" s="89" t="e">
        <f>IF(Geovek&gt;=BM8,TRUE)</f>
        <v>#REF!</v>
      </c>
      <c r="BN9" s="89" t="e">
        <f>IF(Gnomish&gt;=BN8,TRUE)</f>
        <v>#REF!</v>
      </c>
      <c r="BO9" s="89" t="e">
        <f>IF(Goblin&gt;=BO8,TRUE)</f>
        <v>#REF!</v>
      </c>
      <c r="BP9" s="89" t="e">
        <f>IF(HighElven&gt;=BP8,TRUE)</f>
        <v>#REF!</v>
      </c>
      <c r="BQ9" s="89" t="e">
        <f>IF(Kotaba&gt;=BQ8,TRUE)</f>
        <v>#REF!</v>
      </c>
      <c r="BR9" s="89" t="e">
        <f>IF(LowerCommon&gt;=BR8,TRUE)</f>
        <v>#REF!</v>
      </c>
      <c r="BS9" s="89" t="e">
        <f>IF(OldElven&gt;=BS8,TRUE)</f>
        <v>#REF!</v>
      </c>
      <c r="BT9" s="89" t="e">
        <f>IF(Sylvan&gt;=BT8,TRUE)</f>
        <v>#REF!</v>
      </c>
      <c r="BU9" s="89" t="e">
        <f>IF(TrueDraconic&gt;=BU8,TRUE)</f>
        <v>#REF!</v>
      </c>
      <c r="BV9" s="89" t="e">
        <f>IF(Volken&gt;=BV8,TRUE)</f>
        <v>#REF!</v>
      </c>
      <c r="BW9" s="89" t="e">
        <f>IF(WoodElven&gt;=BW8,TRUE)</f>
        <v>#REF!</v>
      </c>
      <c r="BX9" s="703"/>
      <c r="BY9" s="89"/>
      <c r="BZ9" s="88">
        <f ca="1">MATCH(TRUE,INDEX((INDIRECT(INDEX($1:$1,ROW($1:$1),COLUMN($I:$I)+SUM($BY9:BY9))&amp;$CK9-1&amp;":"&amp;$BW$1&amp;$CK9-1)&lt;&gt;0),0),0)</f>
        <v>2</v>
      </c>
      <c r="CA9" s="88" t="e">
        <f ca="1">MATCH(TRUE,INDEX((INDIRECT(INDEX($1:$1,ROW($1:$1),COLUMN($I:$I)+SUM($BY9:BZ9))&amp;$CK9-1&amp;":"&amp;$BW$1&amp;$CK9-1)&lt;&gt;0),0),0)</f>
        <v>#N/A</v>
      </c>
      <c r="CB9" s="88" t="e">
        <f ca="1">MATCH(TRUE,INDEX((INDIRECT(INDEX($1:$1,ROW($1:$1),COLUMN($I:$I)+SUM($BY9:CA9))&amp;$CK9-1&amp;":"&amp;$BW$1&amp;$CK9-1)&lt;&gt;0),0),0)</f>
        <v>#N/A</v>
      </c>
      <c r="CC9" s="88" t="e">
        <f ca="1">MATCH(TRUE,INDEX((INDIRECT(INDEX($1:$1,ROW($1:$1),COLUMN($I:$I)+SUM($BY9:CB9))&amp;$CK9-1&amp;":"&amp;$BW$1&amp;$CK9-1)&lt;&gt;0),0),0)</f>
        <v>#N/A</v>
      </c>
      <c r="CD9" s="88" t="e">
        <f ca="1">MATCH(TRUE,INDEX((INDIRECT(INDEX($1:$1,ROW($1:$1),COLUMN($I:$I)+SUM($BY9:CC9))&amp;$CK9-1&amp;":"&amp;$BW$1&amp;$CK9-1)&lt;&gt;0),0),0)</f>
        <v>#N/A</v>
      </c>
      <c r="CE9" s="88" t="e">
        <f ca="1">MATCH(TRUE,INDEX((INDIRECT(INDEX($1:$1,ROW($1:$1),COLUMN($I:$I)+SUM($BY9:CD9))&amp;$CK9-1&amp;":"&amp;$BW$1&amp;$CK9-1)&lt;&gt;0),0),0)</f>
        <v>#N/A</v>
      </c>
      <c r="CF9" s="88" t="e">
        <f ca="1">MATCH(TRUE,INDEX((INDIRECT(INDEX($1:$1,ROW($1:$1),COLUMN($I:$I)+SUM($BY9:CE9))&amp;$CK9-1&amp;":"&amp;$BW$1&amp;$CK9-1)&lt;&gt;0),0),0)</f>
        <v>#N/A</v>
      </c>
      <c r="CG9" s="88" t="e">
        <f ca="1">MATCH(TRUE,INDEX((INDIRECT(INDEX($1:$1,ROW($1:$1),COLUMN($I:$I)+SUM($BY9:CF9))&amp;$CK9-1&amp;":"&amp;$BW$1&amp;$CK9-1)&lt;&gt;0),0),0)</f>
        <v>#N/A</v>
      </c>
      <c r="CH9" s="88" t="e">
        <f ca="1">MATCH(TRUE,INDEX((INDIRECT(INDEX($1:$1,ROW($1:$1),COLUMN($I:$I)+SUM($BY9:CG9))&amp;$CK9-1&amp;":"&amp;$BW$1&amp;$CK9-1)&lt;&gt;0),0),0)</f>
        <v>#N/A</v>
      </c>
      <c r="CI9" s="88" t="e">
        <f ca="1">MATCH(TRUE,INDEX((INDIRECT(INDEX($1:$1,ROW($1:$1),COLUMN($I:$I)+SUM($BY9:CH9))&amp;$CK9-1&amp;":"&amp;$BW$1&amp;$CK9-1)&lt;&gt;0),0),0)</f>
        <v>#N/A</v>
      </c>
      <c r="CJ9" s="88" t="e">
        <f ca="1">MATCH(TRUE,INDEX((INDIRECT(INDEX($1:$1,ROW($1:$1),COLUMN($I:$I)+SUM($BY9:CI9))&amp;$CK9-1&amp;":"&amp;$BW$1&amp;$CK9-1)&lt;&gt;0),0),0)</f>
        <v>#N/A</v>
      </c>
      <c r="CK9" s="90">
        <f>ROW(CK9)</f>
        <v>9</v>
      </c>
    </row>
    <row r="10" spans="1:90" s="84" customFormat="1" ht="15" customHeight="1" x14ac:dyDescent="0.25">
      <c r="A10" s="704" t="s">
        <v>410</v>
      </c>
      <c r="B10" s="706" t="b">
        <f>ISERROR(MATCH(FALSE,$J11:$BW11,0))</f>
        <v>0</v>
      </c>
      <c r="C10" s="706" t="b">
        <f>IF(AND(INDEX('General Merits'!$F:$F,MATCH(A10,'General Merits'!$F:$F,0))&gt;0,VLOOKUP(A10,'General Merits'!$F:$Q,10,0)),TRUE,FALSE)</f>
        <v>0</v>
      </c>
      <c r="D10" s="708">
        <v>4</v>
      </c>
      <c r="E10" s="706">
        <f>D10*100</f>
        <v>400</v>
      </c>
      <c r="F10" s="698" t="s">
        <v>413</v>
      </c>
      <c r="G10" s="700"/>
      <c r="H10" s="700"/>
      <c r="J10" s="91" t="s">
        <v>391</v>
      </c>
      <c r="K10" s="91"/>
      <c r="L10" s="91"/>
      <c r="N10" s="85"/>
      <c r="O10" s="85"/>
      <c r="P10" s="85"/>
      <c r="Q10" s="85"/>
      <c r="R10" s="85"/>
      <c r="S10" s="85"/>
      <c r="T10" s="85"/>
      <c r="U10" s="85"/>
      <c r="V10" s="85"/>
      <c r="W10" s="86"/>
      <c r="X10" s="85"/>
      <c r="Y10" s="85"/>
      <c r="Z10" s="85"/>
      <c r="AA10" s="85"/>
      <c r="AB10" s="85"/>
      <c r="AC10" s="85"/>
      <c r="AD10" s="85"/>
      <c r="AE10" s="85"/>
      <c r="AF10" s="236"/>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702" t="str">
        <f ca="1">IF(BZ10&lt;&gt;"",BZ10,"")&amp;IF(CA10&lt;&gt;"",", "&amp;CA10,"")&amp;IF(CB10&lt;&gt;"",", "&amp;CB10,"")&amp;IF(CC10&lt;&gt;"",", "&amp;CC10,"")&amp;IF(CD10&lt;&gt;"",", "&amp;CD10,"")&amp;IF(CE10&lt;&gt;"",", "&amp;CE10,"")&amp;IF(CF10&lt;&gt;"",", "&amp;CF10,"")&amp;IF(CG10&lt;&gt;"",", "&amp;CG10,"")&amp;IF(CH10&lt;&gt;"",", "&amp;CH10,"")&amp;IF(CI10&lt;&gt;"",", "&amp;CI10,"")</f>
        <v>Improved Vitality</v>
      </c>
      <c r="BY10" s="85"/>
      <c r="BZ10" s="84" t="str">
        <f ca="1">IF(NOT(ISERROR(BZ11)),IF(COLUMN($I:$I)+SUM($BY11:BZ11)-1&lt;COLUMN($N:$N),INDEX($1:$1048576,ROW(BZ10),SUM($BZ11:BZ11)+COLUMN($I$1)-1),INDEX($3:$3,1,COLUMN($I:$I)+SUM($BY11:BZ11)-1)&amp;" ("&amp;INDEX($1:$1048576,ROW(BZ10),SUM($BZ11:BZ11)+COLUMN($I$1)-1)&amp;")"),"")</f>
        <v>Improved Vitality</v>
      </c>
      <c r="CA10" s="84" t="str">
        <f ca="1">IF(NOT(ISERROR(CA11)),IF(COLUMN($I:$I)+SUM($BY11:CA11)-1&lt;COLUMN($N:$N),INDEX($1:$1048576,ROW(CA10),SUM($BZ11:CA11)+COLUMN($I$1)-1),INDEX($3:$3,1,COLUMN($I:$I)+SUM($BY11:CA11)-1)&amp;" ("&amp;INDEX($1:$1048576,ROW(CA10),SUM($BZ11:CA11)+COLUMN($I$1)-1)&amp;")"),"")</f>
        <v/>
      </c>
      <c r="CB10" s="84" t="str">
        <f ca="1">IF(NOT(ISERROR(CB11)),IF(COLUMN($I:$I)+SUM($BY11:CB11)-1&lt;COLUMN($N:$N),INDEX($1:$1048576,ROW(CB10),SUM($BZ11:CB11)+COLUMN($I$1)-1),INDEX($3:$3,1,COLUMN($I:$I)+SUM($BY11:CB11)-1)&amp;" ("&amp;INDEX($1:$1048576,ROW(CB10),SUM($BZ11:CB11)+COLUMN($I$1)-1)&amp;")"),"")</f>
        <v/>
      </c>
      <c r="CC10" s="84" t="str">
        <f ca="1">IF(NOT(ISERROR(CC11)),IF(COLUMN($I:$I)+SUM($BY11:CC11)-1&lt;COLUMN($N:$N),INDEX($1:$1048576,ROW(CC10),SUM($BZ11:CC11)+COLUMN($I$1)-1),INDEX($3:$3,1,COLUMN($I:$I)+SUM($BY11:CC11)-1)&amp;" ("&amp;INDEX($1:$1048576,ROW(CC10),SUM($BZ11:CC11)+COLUMN($I$1)-1)&amp;")"),"")</f>
        <v/>
      </c>
      <c r="CD10" s="84" t="str">
        <f ca="1">IF(NOT(ISERROR(CD11)),IF(COLUMN($I:$I)+SUM($BY11:CD11)-1&lt;COLUMN($N:$N),INDEX($1:$1048576,ROW(CD10),SUM($BZ11:CD11)+COLUMN($I$1)-1),INDEX($3:$3,1,COLUMN($I:$I)+SUM($BY11:CD11)-1)&amp;" ("&amp;INDEX($1:$1048576,ROW(CD10),SUM($BZ11:CD11)+COLUMN($I$1)-1)&amp;")"),"")</f>
        <v/>
      </c>
      <c r="CE10" s="84" t="str">
        <f ca="1">IF(NOT(ISERROR(CE11)),IF(COLUMN($I:$I)+SUM($BY11:CE11)-1&lt;COLUMN($N:$N),INDEX($1:$1048576,ROW(CE10),SUM($BZ11:CE11)+COLUMN($I$1)-1),INDEX($3:$3,1,COLUMN($I:$I)+SUM($BY11:CE11)-1)&amp;" ("&amp;INDEX($1:$1048576,ROW(CE10),SUM($BZ11:CE11)+COLUMN($I$1)-1)&amp;")"),"")</f>
        <v/>
      </c>
      <c r="CF10" s="84" t="str">
        <f ca="1">IF(NOT(ISERROR(CF11)),IF(COLUMN($I:$I)+SUM($BY11:CF11)-1&lt;COLUMN($N:$N),INDEX($1:$1048576,ROW(CF10),SUM($BZ11:CF11)+COLUMN($I$1)-1),INDEX($3:$3,1,COLUMN($I:$I)+SUM($BY11:CF11)-1)&amp;" ("&amp;INDEX($1:$1048576,ROW(CF10),SUM($BZ11:CF11)+COLUMN($I$1)-1)&amp;")"),"")</f>
        <v/>
      </c>
      <c r="CG10" s="84" t="str">
        <f ca="1">IF(NOT(ISERROR(CG11)),IF(COLUMN($I:$I)+SUM($BY11:CG11)-1&lt;COLUMN($N:$N),INDEX($1:$1048576,ROW(CG10),SUM($BZ11:CG11)+COLUMN($I$1)-1),INDEX($3:$3,1,COLUMN($I:$I)+SUM($BY11:CG11)-1)&amp;" ("&amp;INDEX($1:$1048576,ROW(CG10),SUM($BZ11:CG11)+COLUMN($I$1)-1)&amp;")"),"")</f>
        <v/>
      </c>
      <c r="CH10" s="84" t="str">
        <f ca="1">IF(NOT(ISERROR(CH11)),IF(COLUMN($I:$I)+SUM($BY11:CH11)-1&lt;COLUMN($N:$N),INDEX($1:$1048576,ROW(CH10),SUM($BZ11:CH11)+COLUMN($I$1)-1),INDEX($3:$3,1,COLUMN($I:$I)+SUM($BY11:CH11)-1)&amp;" ("&amp;INDEX($1:$1048576,ROW(CH10),SUM($BZ11:CH11)+COLUMN($I$1)-1)&amp;")"),"")</f>
        <v/>
      </c>
      <c r="CI10" s="84" t="str">
        <f ca="1">IF(NOT(ISERROR(CI11)),IF(COLUMN($I:$I)+SUM($BY11:CI11)-1&lt;COLUMN($N:$N),INDEX($1:$1048576,ROW(CI10),SUM($BZ11:CI11)+COLUMN($I$1)-1),INDEX($3:$3,1,COLUMN($I:$I)+SUM($BY11:CI11)-1)&amp;" ("&amp;INDEX($1:$1048576,ROW(CI10),SUM($BZ11:CI11)+COLUMN($I$1)-1)&amp;")"),"")</f>
        <v/>
      </c>
      <c r="CJ10" s="84" t="str">
        <f ca="1">IF(NOT(ISERROR(CJ11)),IF(COLUMN($I:$I)+SUM($BY11:CJ11)-1&lt;COLUMN($N:$N),INDEX($1:$1048576,ROW(CJ10),SUM($BZ11:CJ11)+COLUMN($I$1)-1),INDEX($3:$3,1,COLUMN($I:$I)+SUM($BY11:CJ11)-1)&amp;" ("&amp;INDEX($1:$1048576,ROW(CJ10),SUM($BZ11:CJ11)+COLUMN($I$1)-1)&amp;")"),"")</f>
        <v/>
      </c>
      <c r="CK10" s="87"/>
    </row>
    <row r="11" spans="1:90" s="88" customFormat="1" x14ac:dyDescent="0.25">
      <c r="A11" s="705"/>
      <c r="B11" s="707"/>
      <c r="C11" s="707"/>
      <c r="D11" s="709"/>
      <c r="E11" s="707"/>
      <c r="F11" s="699"/>
      <c r="G11" s="701"/>
      <c r="H11" s="701"/>
      <c r="J11" s="92" t="b">
        <f>IF(J10&gt;0,IF(AND(INDEX('General Merits'!$F:$F,MATCH($J10,'General Merits'!$F:$F,0),1)&gt;0,VLOOKUP('Merit Data'!J10,'General Merits'!$F:$Z,COLUMN('General Merits'!$N:$N),0)),TRUE,FALSE),#N/A)</f>
        <v>0</v>
      </c>
      <c r="K11" s="92" t="e">
        <f>IF(K10&gt;0,IF(AND(INDEX('General Merits'!$F:$F,MATCH($J10,'General Merits'!$F:$F,0),1)&gt;0,VLOOKUP('Merit Data'!K10,'General Merits'!$F:$Z,COLUMN('General Merits'!$N:$N),0)),TRUE,FALSE),#N/A)</f>
        <v>#N/A</v>
      </c>
      <c r="L11" s="92" t="e">
        <f>IF(L10&gt;0,IF(AND(INDEX('General Merits'!$F:$F,MATCH($J10,'General Merits'!$F:$F,0),1)&gt;0,VLOOKUP('Merit Data'!L10,'General Merits'!$F:$Z,COLUMN('General Merits'!$N:$N),0)),TRUE,FALSE),#N/A)</f>
        <v>#N/A</v>
      </c>
      <c r="N11" s="89" t="e">
        <f>IF(STR&gt;=N10,TRUE)</f>
        <v>#REF!</v>
      </c>
      <c r="O11" s="89" t="e">
        <f>IF(AGI&gt;=O10,TRUE)</f>
        <v>#REF!</v>
      </c>
      <c r="P11" s="89" t="e">
        <f>IF(CON&gt;=P10,TRUE)</f>
        <v>#REF!</v>
      </c>
      <c r="Q11" s="89" t="e">
        <f>IF(INT&gt;=Q10,TRUE)</f>
        <v>#REF!</v>
      </c>
      <c r="R11" s="89" t="e">
        <f>IF(WIS&gt;=R10,TRUE)</f>
        <v>#REF!</v>
      </c>
      <c r="S11" s="89" t="e">
        <f>IF(FOC&gt;=S10,TRUE)</f>
        <v>#REF!</v>
      </c>
      <c r="T11" s="89" t="e">
        <f>IF(CHA&gt;=T10,TRUE)</f>
        <v>#REF!</v>
      </c>
      <c r="U11" s="89" t="e">
        <f>IF(INS&gt;=U10,TRUE)</f>
        <v>#REF!</v>
      </c>
      <c r="V11" s="89" t="e">
        <f>IF(CNV&gt;=V10,TRUE)</f>
        <v>#REF!</v>
      </c>
      <c r="W11" s="89"/>
      <c r="X11" s="89" t="e">
        <f>IF(Archery&gt;=X10,TRUE)</f>
        <v>#REF!</v>
      </c>
      <c r="Y11" s="89" t="e">
        <f>IF(Crossbows&gt;=Y10,TRUE)</f>
        <v>#REF!</v>
      </c>
      <c r="Z11" s="89" t="e">
        <f>IF(Daggers&gt;=Z10,TRUE)</f>
        <v>#REF!</v>
      </c>
      <c r="AA11" s="89" t="e">
        <f>IF(HandtoHandCombat&gt;=AA10,TRUE)</f>
        <v>#REF!</v>
      </c>
      <c r="AB11" s="89" t="e">
        <f>IF(HeavyArmor&gt;=AB10,TRUE)</f>
        <v>#REF!</v>
      </c>
      <c r="AC11" s="89" t="e">
        <f>IF(ImprovisedWeaponry&gt;=AC10,TRUE)</f>
        <v>#NAME?</v>
      </c>
      <c r="AD11" s="89" t="e">
        <f>IF(LightArmor&gt;=AD10,TRUE)</f>
        <v>#REF!</v>
      </c>
      <c r="AE11" s="89" t="e">
        <f>IF(Magicka&gt;=AE10,TRUE)</f>
        <v>#REF!</v>
      </c>
      <c r="AF11" s="89" t="e">
        <f>IF(OR(Archery&gt;=AF10,Crossbows&gt;=AF10,Daggers&gt;=AF10,HandtoHandCombat&gt;=AF10,ImprovisedWeaponry&gt;=AF10,Axes&gt;=AF10,Maces&gt;=AF10,Swords&gt;=AF10,Polearms&gt;=AF10,Staves&gt;=AF10,Throwing&gt;=AF10,TwoHandedAxes&gt;=AF10,TwoHandedMaces&gt;=AF10,TwoHandedSwords&gt;=AF10),TRUE)</f>
        <v>#REF!</v>
      </c>
      <c r="AG11" s="89" t="e">
        <f>IF(Axes&gt;=AG10,TRUE)</f>
        <v>#REF!</v>
      </c>
      <c r="AH11" s="89" t="e">
        <f>IF(Maces&gt;=AH10,TRUE)</f>
        <v>#REF!</v>
      </c>
      <c r="AI11" s="89" t="e">
        <f>IF(Swords&gt;=AI10,TRUE)</f>
        <v>#REF!</v>
      </c>
      <c r="AJ11" s="89" t="e">
        <f>IF(Polearms&gt;=AJ10,TRUE)</f>
        <v>#REF!</v>
      </c>
      <c r="AK11" s="89" t="e">
        <f>IF(Shields&gt;=AK10,TRUE)</f>
        <v>#REF!</v>
      </c>
      <c r="AL11" s="89" t="e">
        <f>IF(Staves&gt;=AL10,TRUE)</f>
        <v>#REF!</v>
      </c>
      <c r="AM11" s="89" t="e">
        <f>IF(Throwing&gt;=AM10,TRUE)</f>
        <v>#REF!</v>
      </c>
      <c r="AN11" s="89" t="e">
        <f>IF(TwoHandedAxes&gt;=AN10,TRUE)</f>
        <v>#NAME?</v>
      </c>
      <c r="AO11" s="89" t="e">
        <f>IF(TwoHandedMaces&gt;=AO10,TRUE)</f>
        <v>#NAME?</v>
      </c>
      <c r="AP11" s="89" t="e">
        <f>IF(TwoHandedSwords&gt;=AP10,TRUE)</f>
        <v>#NAME?</v>
      </c>
      <c r="AQ11" s="89"/>
      <c r="AR11" s="89" t="e">
        <f>IF(Acrobatics&gt;=AR10,TRUE)</f>
        <v>#REF!</v>
      </c>
      <c r="AS11" s="89" t="e">
        <f>IF(Appraisal&gt;=AS10,TRUE)</f>
        <v>#REF!</v>
      </c>
      <c r="AT11" s="89" t="e">
        <f>IF(Athletics&gt;=AT10,TRUE)</f>
        <v>#REF!</v>
      </c>
      <c r="AU11" s="89" t="e">
        <f>IF(Comprehension&gt;=AU10,TRUE)</f>
        <v>#REF!</v>
      </c>
      <c r="AV11" s="89" t="e">
        <f>IF(Expression&gt;=AV10,TRUE)</f>
        <v>#REF!</v>
      </c>
      <c r="AW11" s="89" t="e">
        <f>IF(Perception&gt;=AW10,TRUE)</f>
        <v>#REF!</v>
      </c>
      <c r="AX11" s="89" t="e">
        <f>IF(Security&gt;=AX10,TRUE)</f>
        <v>#REF!</v>
      </c>
      <c r="AY11" s="89" t="e">
        <f>IF(Stealth&gt;=AY10,TRUE)</f>
        <v>#REF!</v>
      </c>
      <c r="AZ11" s="89" t="e">
        <f>IF(Streetwise&gt;=AZ10,TRUE)</f>
        <v>#REF!</v>
      </c>
      <c r="BA11" s="89" t="e">
        <f>IF(Subterfuge&gt;=BA10,TRUE)</f>
        <v>#REF!</v>
      </c>
      <c r="BB11" s="89" t="e">
        <f>IF(Survival&gt;=BB10,TRUE)</f>
        <v>#REF!</v>
      </c>
      <c r="BC11" s="89"/>
      <c r="BD11" s="89" t="e">
        <f>IF(AncientDraconic&gt;=BD10,TRUE)</f>
        <v>#REF!</v>
      </c>
      <c r="BE11" s="89" t="e">
        <f>IF(AquaElven&gt;=BE10,TRUE)</f>
        <v>#REF!</v>
      </c>
      <c r="BF11" s="89" t="e">
        <f>IF(BasicElven&gt;=BF10,TRUE)</f>
        <v>#REF!</v>
      </c>
      <c r="BG11" s="89" t="e">
        <f>IF(Common&gt;=BG10,TRUE)</f>
        <v>#REF!</v>
      </c>
      <c r="BH11" s="89" t="e">
        <f>IF(DarkElven&gt;=BH10,TRUE)</f>
        <v>#REF!</v>
      </c>
      <c r="BI11" s="89" t="e">
        <f>IF(Davek&gt;=BI10,TRUE)</f>
        <v>#REF!</v>
      </c>
      <c r="BJ11" s="89" t="e">
        <f>IF(Draconic&gt;=BJ10,TRUE)</f>
        <v>#REF!</v>
      </c>
      <c r="BK11" s="89" t="e">
        <f>IF(Eulian&gt;=BK10,TRUE)</f>
        <v>#REF!</v>
      </c>
      <c r="BL11" s="89" t="e">
        <f>IF(Garonian&gt;=BL10,TRUE)</f>
        <v>#REF!</v>
      </c>
      <c r="BM11" s="89" t="e">
        <f>IF(Geovek&gt;=BM10,TRUE)</f>
        <v>#REF!</v>
      </c>
      <c r="BN11" s="89" t="e">
        <f>IF(Gnomish&gt;=BN10,TRUE)</f>
        <v>#REF!</v>
      </c>
      <c r="BO11" s="89" t="e">
        <f>IF(Goblin&gt;=BO10,TRUE)</f>
        <v>#REF!</v>
      </c>
      <c r="BP11" s="89" t="e">
        <f>IF(HighElven&gt;=BP10,TRUE)</f>
        <v>#REF!</v>
      </c>
      <c r="BQ11" s="89" t="e">
        <f>IF(Kotaba&gt;=BQ10,TRUE)</f>
        <v>#REF!</v>
      </c>
      <c r="BR11" s="89" t="e">
        <f>IF(LowerCommon&gt;=BR10,TRUE)</f>
        <v>#REF!</v>
      </c>
      <c r="BS11" s="89" t="e">
        <f>IF(OldElven&gt;=BS10,TRUE)</f>
        <v>#REF!</v>
      </c>
      <c r="BT11" s="89" t="e">
        <f>IF(Sylvan&gt;=BT10,TRUE)</f>
        <v>#REF!</v>
      </c>
      <c r="BU11" s="89" t="e">
        <f>IF(TrueDraconic&gt;=BU10,TRUE)</f>
        <v>#REF!</v>
      </c>
      <c r="BV11" s="89" t="e">
        <f>IF(Volken&gt;=BV10,TRUE)</f>
        <v>#REF!</v>
      </c>
      <c r="BW11" s="89" t="e">
        <f>IF(WoodElven&gt;=BW10,TRUE)</f>
        <v>#REF!</v>
      </c>
      <c r="BX11" s="703"/>
      <c r="BY11" s="89"/>
      <c r="BZ11" s="88">
        <f ca="1">MATCH(TRUE,INDEX((INDIRECT(INDEX($1:$1,ROW($1:$1),COLUMN($I:$I)+SUM($BY11:BY11))&amp;$CK11-1&amp;":"&amp;$BW$1&amp;$CK11-1)&lt;&gt;0),0),0)</f>
        <v>2</v>
      </c>
      <c r="CA11" s="88" t="e">
        <f ca="1">MATCH(TRUE,INDEX((INDIRECT(INDEX($1:$1,ROW($1:$1),COLUMN($I:$I)+SUM($BY11:BZ11))&amp;$CK11-1&amp;":"&amp;$BW$1&amp;$CK11-1)&lt;&gt;0),0),0)</f>
        <v>#N/A</v>
      </c>
      <c r="CB11" s="88" t="e">
        <f ca="1">MATCH(TRUE,INDEX((INDIRECT(INDEX($1:$1,ROW($1:$1),COLUMN($I:$I)+SUM($BY11:CA11))&amp;$CK11-1&amp;":"&amp;$BW$1&amp;$CK11-1)&lt;&gt;0),0),0)</f>
        <v>#N/A</v>
      </c>
      <c r="CC11" s="88" t="e">
        <f ca="1">MATCH(TRUE,INDEX((INDIRECT(INDEX($1:$1,ROW($1:$1),COLUMN($I:$I)+SUM($BY11:CB11))&amp;$CK11-1&amp;":"&amp;$BW$1&amp;$CK11-1)&lt;&gt;0),0),0)</f>
        <v>#N/A</v>
      </c>
      <c r="CD11" s="88" t="e">
        <f ca="1">MATCH(TRUE,INDEX((INDIRECT(INDEX($1:$1,ROW($1:$1),COLUMN($I:$I)+SUM($BY11:CC11))&amp;$CK11-1&amp;":"&amp;$BW$1&amp;$CK11-1)&lt;&gt;0),0),0)</f>
        <v>#N/A</v>
      </c>
      <c r="CE11" s="88" t="e">
        <f ca="1">MATCH(TRUE,INDEX((INDIRECT(INDEX($1:$1,ROW($1:$1),COLUMN($I:$I)+SUM($BY11:CD11))&amp;$CK11-1&amp;":"&amp;$BW$1&amp;$CK11-1)&lt;&gt;0),0),0)</f>
        <v>#N/A</v>
      </c>
      <c r="CF11" s="88" t="e">
        <f ca="1">MATCH(TRUE,INDEX((INDIRECT(INDEX($1:$1,ROW($1:$1),COLUMN($I:$I)+SUM($BY11:CE11))&amp;$CK11-1&amp;":"&amp;$BW$1&amp;$CK11-1)&lt;&gt;0),0),0)</f>
        <v>#N/A</v>
      </c>
      <c r="CG11" s="88" t="e">
        <f ca="1">MATCH(TRUE,INDEX((INDIRECT(INDEX($1:$1,ROW($1:$1),COLUMN($I:$I)+SUM($BY11:CF11))&amp;$CK11-1&amp;":"&amp;$BW$1&amp;$CK11-1)&lt;&gt;0),0),0)</f>
        <v>#N/A</v>
      </c>
      <c r="CH11" s="88" t="e">
        <f ca="1">MATCH(TRUE,INDEX((INDIRECT(INDEX($1:$1,ROW($1:$1),COLUMN($I:$I)+SUM($BY11:CG11))&amp;$CK11-1&amp;":"&amp;$BW$1&amp;$CK11-1)&lt;&gt;0),0),0)</f>
        <v>#N/A</v>
      </c>
      <c r="CI11" s="88" t="e">
        <f ca="1">MATCH(TRUE,INDEX((INDIRECT(INDEX($1:$1,ROW($1:$1),COLUMN($I:$I)+SUM($BY11:CH11))&amp;$CK11-1&amp;":"&amp;$BW$1&amp;$CK11-1)&lt;&gt;0),0),0)</f>
        <v>#N/A</v>
      </c>
      <c r="CJ11" s="88" t="e">
        <f ca="1">MATCH(TRUE,INDEX((INDIRECT(INDEX($1:$1,ROW($1:$1),COLUMN($I:$I)+SUM($BY11:CI11))&amp;$CK11-1&amp;":"&amp;$BW$1&amp;$CK11-1)&lt;&gt;0),0),0)</f>
        <v>#N/A</v>
      </c>
      <c r="CK11" s="90">
        <f>ROW(CK11)</f>
        <v>11</v>
      </c>
    </row>
    <row r="12" spans="1:90" s="84" customFormat="1" ht="15" customHeight="1" x14ac:dyDescent="0.25">
      <c r="A12" s="704" t="s">
        <v>414</v>
      </c>
      <c r="B12" s="706" t="b">
        <f>ISERROR(MATCH(FALSE,$J13:$BW13,0))</f>
        <v>1</v>
      </c>
      <c r="C12" s="706" t="b">
        <f>IF(AND(INDEX('General Merits'!$F:$F,MATCH(A12,'General Merits'!$F:$F,0))&gt;0,VLOOKUP(A12,'General Merits'!$F:$Q,10,0)),TRUE,FALSE)</f>
        <v>0</v>
      </c>
      <c r="D12" s="708">
        <v>1</v>
      </c>
      <c r="E12" s="706">
        <f>D12*100</f>
        <v>100</v>
      </c>
      <c r="F12" s="698" t="s">
        <v>415</v>
      </c>
      <c r="G12" s="700"/>
      <c r="H12" s="700"/>
      <c r="J12" s="93"/>
      <c r="K12" s="93"/>
      <c r="L12" s="93"/>
      <c r="N12" s="85"/>
      <c r="O12" s="85"/>
      <c r="P12" s="85"/>
      <c r="Q12" s="85"/>
      <c r="R12" s="85"/>
      <c r="S12" s="85">
        <v>18</v>
      </c>
      <c r="T12" s="85"/>
      <c r="U12" s="85"/>
      <c r="V12" s="85"/>
      <c r="W12" s="86"/>
      <c r="X12" s="85"/>
      <c r="Y12" s="85"/>
      <c r="Z12" s="85"/>
      <c r="AA12" s="85"/>
      <c r="AB12" s="85"/>
      <c r="AC12" s="85"/>
      <c r="AD12" s="85"/>
      <c r="AE12" s="85"/>
      <c r="AF12" s="236"/>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702" t="str">
        <f ca="1">IF(BZ12&lt;&gt;"",BZ12,"")&amp;IF(CA12&lt;&gt;"",", "&amp;CA12,"")&amp;IF(CB12&lt;&gt;"",", "&amp;CB12,"")&amp;IF(CC12&lt;&gt;"",", "&amp;CC12,"")&amp;IF(CD12&lt;&gt;"",", "&amp;CD12,"")&amp;IF(CE12&lt;&gt;"",", "&amp;CE12,"")&amp;IF(CF12&lt;&gt;"",", "&amp;CF12,"")&amp;IF(CG12&lt;&gt;"",", "&amp;CG12,"")&amp;IF(CH12&lt;&gt;"",", "&amp;CH12,"")&amp;IF(CI12&lt;&gt;"",", "&amp;CI12,"")</f>
        <v>Focus (18)</v>
      </c>
      <c r="BY12" s="85"/>
      <c r="BZ12" s="84" t="str">
        <f ca="1">IF(NOT(ISERROR(BZ13)),IF(COLUMN($I:$I)+SUM($BY13:BZ13)-1&lt;COLUMN($N:$N),INDEX($1:$1048576,ROW(BZ12),SUM($BZ13:BZ13)+COLUMN($I$1)-1),INDEX($3:$3,1,COLUMN($I:$I)+SUM($BY13:BZ13)-1)&amp;" ("&amp;INDEX($1:$1048576,ROW(BZ12),SUM($BZ13:BZ13)+COLUMN($I$1)-1)&amp;")"),"")</f>
        <v>Focus (18)</v>
      </c>
      <c r="CA12" s="84" t="str">
        <f ca="1">IF(NOT(ISERROR(CA13)),IF(COLUMN($I:$I)+SUM($BY13:CA13)-1&lt;COLUMN($N:$N),INDEX($1:$1048576,ROW(CA12),SUM($BZ13:CA13)+COLUMN($I$1)-1),INDEX($3:$3,1,COLUMN($I:$I)+SUM($BY13:CA13)-1)&amp;" ("&amp;INDEX($1:$1048576,ROW(CA12),SUM($BZ13:CA13)+COLUMN($I$1)-1)&amp;")"),"")</f>
        <v/>
      </c>
      <c r="CB12" s="84" t="str">
        <f ca="1">IF(NOT(ISERROR(CB13)),IF(COLUMN($I:$I)+SUM($BY13:CB13)-1&lt;COLUMN($N:$N),INDEX($1:$1048576,ROW(CB12),SUM($BZ13:CB13)+COLUMN($I$1)-1),INDEX($3:$3,1,COLUMN($I:$I)+SUM($BY13:CB13)-1)&amp;" ("&amp;INDEX($1:$1048576,ROW(CB12),SUM($BZ13:CB13)+COLUMN($I$1)-1)&amp;")"),"")</f>
        <v/>
      </c>
      <c r="CC12" s="84" t="str">
        <f ca="1">IF(NOT(ISERROR(CC13)),IF(COLUMN($I:$I)+SUM($BY13:CC13)-1&lt;COLUMN($N:$N),INDEX($1:$1048576,ROW(CC12),SUM($BZ13:CC13)+COLUMN($I$1)-1),INDEX($3:$3,1,COLUMN($I:$I)+SUM($BY13:CC13)-1)&amp;" ("&amp;INDEX($1:$1048576,ROW(CC12),SUM($BZ13:CC13)+COLUMN($I$1)-1)&amp;")"),"")</f>
        <v/>
      </c>
      <c r="CD12" s="84" t="str">
        <f ca="1">IF(NOT(ISERROR(CD13)),IF(COLUMN($I:$I)+SUM($BY13:CD13)-1&lt;COLUMN($N:$N),INDEX($1:$1048576,ROW(CD12),SUM($BZ13:CD13)+COLUMN($I$1)-1),INDEX($3:$3,1,COLUMN($I:$I)+SUM($BY13:CD13)-1)&amp;" ("&amp;INDEX($1:$1048576,ROW(CD12),SUM($BZ13:CD13)+COLUMN($I$1)-1)&amp;")"),"")</f>
        <v/>
      </c>
      <c r="CE12" s="84" t="str">
        <f ca="1">IF(NOT(ISERROR(CE13)),IF(COLUMN($I:$I)+SUM($BY13:CE13)-1&lt;COLUMN($N:$N),INDEX($1:$1048576,ROW(CE12),SUM($BZ13:CE13)+COLUMN($I$1)-1),INDEX($3:$3,1,COLUMN($I:$I)+SUM($BY13:CE13)-1)&amp;" ("&amp;INDEX($1:$1048576,ROW(CE12),SUM($BZ13:CE13)+COLUMN($I$1)-1)&amp;")"),"")</f>
        <v/>
      </c>
      <c r="CF12" s="84" t="str">
        <f ca="1">IF(NOT(ISERROR(CF13)),IF(COLUMN($I:$I)+SUM($BY13:CF13)-1&lt;COLUMN($N:$N),INDEX($1:$1048576,ROW(CF12),SUM($BZ13:CF13)+COLUMN($I$1)-1),INDEX($3:$3,1,COLUMN($I:$I)+SUM($BY13:CF13)-1)&amp;" ("&amp;INDEX($1:$1048576,ROW(CF12),SUM($BZ13:CF13)+COLUMN($I$1)-1)&amp;")"),"")</f>
        <v/>
      </c>
      <c r="CG12" s="84" t="str">
        <f ca="1">IF(NOT(ISERROR(CG13)),IF(COLUMN($I:$I)+SUM($BY13:CG13)-1&lt;COLUMN($N:$N),INDEX($1:$1048576,ROW(CG12),SUM($BZ13:CG13)+COLUMN($I$1)-1),INDEX($3:$3,1,COLUMN($I:$I)+SUM($BY13:CG13)-1)&amp;" ("&amp;INDEX($1:$1048576,ROW(CG12),SUM($BZ13:CG13)+COLUMN($I$1)-1)&amp;")"),"")</f>
        <v/>
      </c>
      <c r="CH12" s="84" t="str">
        <f ca="1">IF(NOT(ISERROR(CH13)),IF(COLUMN($I:$I)+SUM($BY13:CH13)-1&lt;COLUMN($N:$N),INDEX($1:$1048576,ROW(CH12),SUM($BZ13:CH13)+COLUMN($I$1)-1),INDEX($3:$3,1,COLUMN($I:$I)+SUM($BY13:CH13)-1)&amp;" ("&amp;INDEX($1:$1048576,ROW(CH12),SUM($BZ13:CH13)+COLUMN($I$1)-1)&amp;")"),"")</f>
        <v/>
      </c>
      <c r="CI12" s="84" t="str">
        <f ca="1">IF(NOT(ISERROR(CI13)),IF(COLUMN($I:$I)+SUM($BY13:CI13)-1&lt;COLUMN($N:$N),INDEX($1:$1048576,ROW(CI12),SUM($BZ13:CI13)+COLUMN($I$1)-1),INDEX($3:$3,1,COLUMN($I:$I)+SUM($BY13:CI13)-1)&amp;" ("&amp;INDEX($1:$1048576,ROW(CI12),SUM($BZ13:CI13)+COLUMN($I$1)-1)&amp;")"),"")</f>
        <v/>
      </c>
      <c r="CJ12" s="84" t="str">
        <f ca="1">IF(NOT(ISERROR(CJ13)),IF(COLUMN($I:$I)+SUM($BY13:CJ13)-1&lt;COLUMN($N:$N),INDEX($1:$1048576,ROW(CJ12),SUM($BZ13:CJ13)+COLUMN($I$1)-1),INDEX($3:$3,1,COLUMN($I:$I)+SUM($BY13:CJ13)-1)&amp;" ("&amp;INDEX($1:$1048576,ROW(CJ12),SUM($BZ13:CJ13)+COLUMN($I$1)-1)&amp;")"),"")</f>
        <v/>
      </c>
      <c r="CK12" s="87"/>
    </row>
    <row r="13" spans="1:90" s="88" customFormat="1" x14ac:dyDescent="0.25">
      <c r="A13" s="705"/>
      <c r="B13" s="707"/>
      <c r="C13" s="707"/>
      <c r="D13" s="709"/>
      <c r="E13" s="707"/>
      <c r="F13" s="699"/>
      <c r="G13" s="701"/>
      <c r="H13" s="701"/>
      <c r="J13" s="92" t="e">
        <f>IF(J12&gt;0,IF(AND(INDEX('General Merits'!$F:$F,MATCH($J12,'General Merits'!$F:$F,0),1)&gt;0,VLOOKUP('Merit Data'!J12,'General Merits'!$F:$Z,COLUMN('General Merits'!$N:$N),0)),TRUE,FALSE),#N/A)</f>
        <v>#N/A</v>
      </c>
      <c r="K13" s="92" t="e">
        <f>IF(K12&gt;0,IF(AND(INDEX('General Merits'!$F:$F,MATCH($J12,'General Merits'!$F:$F,0),1)&gt;0,VLOOKUP('Merit Data'!K12,'General Merits'!$F:$Z,COLUMN('General Merits'!$N:$N),0)),TRUE,FALSE),#N/A)</f>
        <v>#N/A</v>
      </c>
      <c r="L13" s="92" t="e">
        <f>IF(L12&gt;0,IF(AND(INDEX('General Merits'!$F:$F,MATCH($J12,'General Merits'!$F:$F,0),1)&gt;0,VLOOKUP('Merit Data'!L12,'General Merits'!$F:$Z,COLUMN('General Merits'!$N:$N),0)),TRUE,FALSE),#N/A)</f>
        <v>#N/A</v>
      </c>
      <c r="N13" s="89" t="e">
        <f>IF(STR&gt;=N12,TRUE)</f>
        <v>#REF!</v>
      </c>
      <c r="O13" s="89" t="e">
        <f>IF(AGI&gt;=O12,TRUE)</f>
        <v>#REF!</v>
      </c>
      <c r="P13" s="89" t="e">
        <f>IF(CON&gt;=P12,TRUE)</f>
        <v>#REF!</v>
      </c>
      <c r="Q13" s="89" t="e">
        <f>IF(INT&gt;=Q12,TRUE)</f>
        <v>#REF!</v>
      </c>
      <c r="R13" s="89" t="e">
        <f>IF(WIS&gt;=R12,TRUE)</f>
        <v>#REF!</v>
      </c>
      <c r="S13" s="89" t="e">
        <f>IF(FOC&gt;=S12,TRUE)</f>
        <v>#REF!</v>
      </c>
      <c r="T13" s="89" t="e">
        <f>IF(CHA&gt;=T12,TRUE)</f>
        <v>#REF!</v>
      </c>
      <c r="U13" s="89" t="e">
        <f>IF(INS&gt;=U12,TRUE)</f>
        <v>#REF!</v>
      </c>
      <c r="V13" s="89" t="e">
        <f>IF(CNV&gt;=V12,TRUE)</f>
        <v>#REF!</v>
      </c>
      <c r="W13" s="89"/>
      <c r="X13" s="89" t="e">
        <f>IF(Archery&gt;=X12,TRUE)</f>
        <v>#REF!</v>
      </c>
      <c r="Y13" s="89" t="e">
        <f>IF(Crossbows&gt;=Y12,TRUE)</f>
        <v>#REF!</v>
      </c>
      <c r="Z13" s="89" t="e">
        <f>IF(Daggers&gt;=Z12,TRUE)</f>
        <v>#REF!</v>
      </c>
      <c r="AA13" s="89" t="e">
        <f>IF(HandtoHandCombat&gt;=AA12,TRUE)</f>
        <v>#REF!</v>
      </c>
      <c r="AB13" s="89" t="e">
        <f>IF(HeavyArmor&gt;=AB12,TRUE)</f>
        <v>#REF!</v>
      </c>
      <c r="AC13" s="89" t="e">
        <f>IF(ImprovisedWeaponry&gt;=AC12,TRUE)</f>
        <v>#NAME?</v>
      </c>
      <c r="AD13" s="89" t="e">
        <f>IF(LightArmor&gt;=AD12,TRUE)</f>
        <v>#REF!</v>
      </c>
      <c r="AE13" s="89" t="e">
        <f>IF(Magicka&gt;=AE12,TRUE)</f>
        <v>#REF!</v>
      </c>
      <c r="AF13" s="89" t="e">
        <f>IF(OR(Archery&gt;=AF12,Crossbows&gt;=AF12,Daggers&gt;=AF12,HandtoHandCombat&gt;=AF12,ImprovisedWeaponry&gt;=AF12,Axes&gt;=AF12,Maces&gt;=AF12,Swords&gt;=AF12,Polearms&gt;=AF12,Staves&gt;=AF12,Throwing&gt;=AF12,TwoHandedAxes&gt;=AF12,TwoHandedMaces&gt;=AF12,TwoHandedSwords&gt;=AF12),TRUE)</f>
        <v>#REF!</v>
      </c>
      <c r="AG13" s="89" t="e">
        <f>IF(Axes&gt;=AG12,TRUE)</f>
        <v>#REF!</v>
      </c>
      <c r="AH13" s="89" t="e">
        <f>IF(Maces&gt;=AH12,TRUE)</f>
        <v>#REF!</v>
      </c>
      <c r="AI13" s="89" t="e">
        <f>IF(Swords&gt;=AI12,TRUE)</f>
        <v>#REF!</v>
      </c>
      <c r="AJ13" s="89" t="e">
        <f>IF(Polearms&gt;=AJ12,TRUE)</f>
        <v>#REF!</v>
      </c>
      <c r="AK13" s="89" t="e">
        <f>IF(Shields&gt;=AK12,TRUE)</f>
        <v>#REF!</v>
      </c>
      <c r="AL13" s="89" t="e">
        <f>IF(Staves&gt;=AL12,TRUE)</f>
        <v>#REF!</v>
      </c>
      <c r="AM13" s="89" t="e">
        <f>IF(Throwing&gt;=AM12,TRUE)</f>
        <v>#REF!</v>
      </c>
      <c r="AN13" s="89" t="e">
        <f>IF(TwoHandedAxes&gt;=AN12,TRUE)</f>
        <v>#NAME?</v>
      </c>
      <c r="AO13" s="89" t="e">
        <f>IF(TwoHandedMaces&gt;=AO12,TRUE)</f>
        <v>#NAME?</v>
      </c>
      <c r="AP13" s="89" t="e">
        <f>IF(TwoHandedSwords&gt;=AP12,TRUE)</f>
        <v>#NAME?</v>
      </c>
      <c r="AQ13" s="89"/>
      <c r="AR13" s="89" t="e">
        <f>IF(Acrobatics&gt;=AR12,TRUE)</f>
        <v>#REF!</v>
      </c>
      <c r="AS13" s="89" t="e">
        <f>IF(Appraisal&gt;=AS12,TRUE)</f>
        <v>#REF!</v>
      </c>
      <c r="AT13" s="89" t="e">
        <f>IF(Athletics&gt;=AT12,TRUE)</f>
        <v>#REF!</v>
      </c>
      <c r="AU13" s="89" t="e">
        <f>IF(Comprehension&gt;=AU12,TRUE)</f>
        <v>#REF!</v>
      </c>
      <c r="AV13" s="89" t="e">
        <f>IF(Expression&gt;=AV12,TRUE)</f>
        <v>#REF!</v>
      </c>
      <c r="AW13" s="89" t="e">
        <f>IF(Perception&gt;=AW12,TRUE)</f>
        <v>#REF!</v>
      </c>
      <c r="AX13" s="89" t="e">
        <f>IF(Security&gt;=AX12,TRUE)</f>
        <v>#REF!</v>
      </c>
      <c r="AY13" s="89" t="e">
        <f>IF(Stealth&gt;=AY12,TRUE)</f>
        <v>#REF!</v>
      </c>
      <c r="AZ13" s="89" t="e">
        <f>IF(Streetwise&gt;=AZ12,TRUE)</f>
        <v>#REF!</v>
      </c>
      <c r="BA13" s="89" t="e">
        <f>IF(Subterfuge&gt;=BA12,TRUE)</f>
        <v>#REF!</v>
      </c>
      <c r="BB13" s="89" t="e">
        <f>IF(Survival&gt;=BB12,TRUE)</f>
        <v>#REF!</v>
      </c>
      <c r="BC13" s="89"/>
      <c r="BD13" s="89" t="e">
        <f>IF(AncientDraconic&gt;=BD12,TRUE)</f>
        <v>#REF!</v>
      </c>
      <c r="BE13" s="89" t="e">
        <f>IF(AquaElven&gt;=BE12,TRUE)</f>
        <v>#REF!</v>
      </c>
      <c r="BF13" s="89" t="e">
        <f>IF(BasicElven&gt;=BF12,TRUE)</f>
        <v>#REF!</v>
      </c>
      <c r="BG13" s="89" t="e">
        <f>IF(Common&gt;=BG12,TRUE)</f>
        <v>#REF!</v>
      </c>
      <c r="BH13" s="89" t="e">
        <f>IF(DarkElven&gt;=BH12,TRUE)</f>
        <v>#REF!</v>
      </c>
      <c r="BI13" s="89" t="e">
        <f>IF(Davek&gt;=BI12,TRUE)</f>
        <v>#REF!</v>
      </c>
      <c r="BJ13" s="89" t="e">
        <f>IF(Draconic&gt;=BJ12,TRUE)</f>
        <v>#REF!</v>
      </c>
      <c r="BK13" s="89" t="e">
        <f>IF(Eulian&gt;=BK12,TRUE)</f>
        <v>#REF!</v>
      </c>
      <c r="BL13" s="89" t="e">
        <f>IF(Garonian&gt;=BL12,TRUE)</f>
        <v>#REF!</v>
      </c>
      <c r="BM13" s="89" t="e">
        <f>IF(Geovek&gt;=BM12,TRUE)</f>
        <v>#REF!</v>
      </c>
      <c r="BN13" s="89" t="e">
        <f>IF(Gnomish&gt;=BN12,TRUE)</f>
        <v>#REF!</v>
      </c>
      <c r="BO13" s="89" t="e">
        <f>IF(Goblin&gt;=BO12,TRUE)</f>
        <v>#REF!</v>
      </c>
      <c r="BP13" s="89" t="e">
        <f>IF(HighElven&gt;=BP12,TRUE)</f>
        <v>#REF!</v>
      </c>
      <c r="BQ13" s="89" t="e">
        <f>IF(Kotaba&gt;=BQ12,TRUE)</f>
        <v>#REF!</v>
      </c>
      <c r="BR13" s="89" t="e">
        <f>IF(LowerCommon&gt;=BR12,TRUE)</f>
        <v>#REF!</v>
      </c>
      <c r="BS13" s="89" t="e">
        <f>IF(OldElven&gt;=BS12,TRUE)</f>
        <v>#REF!</v>
      </c>
      <c r="BT13" s="89" t="e">
        <f>IF(Sylvan&gt;=BT12,TRUE)</f>
        <v>#REF!</v>
      </c>
      <c r="BU13" s="89" t="e">
        <f>IF(TrueDraconic&gt;=BU12,TRUE)</f>
        <v>#REF!</v>
      </c>
      <c r="BV13" s="89" t="e">
        <f>IF(Volken&gt;=BV12,TRUE)</f>
        <v>#REF!</v>
      </c>
      <c r="BW13" s="89" t="e">
        <f>IF(WoodElven&gt;=BW12,TRUE)</f>
        <v>#REF!</v>
      </c>
      <c r="BX13" s="703"/>
      <c r="BY13" s="89"/>
      <c r="BZ13" s="88">
        <f ca="1">MATCH(TRUE,INDEX((INDIRECT(INDEX($1:$1,ROW($1:$1),COLUMN($I:$I)+SUM($BY13:BY13))&amp;$CK13-1&amp;":"&amp;$BW$1&amp;$CK13-1)&lt;&gt;0),0),0)</f>
        <v>11</v>
      </c>
      <c r="CA13" s="88" t="e">
        <f ca="1">MATCH(TRUE,INDEX((INDIRECT(INDEX($1:$1,ROW($1:$1),COLUMN($I:$I)+SUM($BY13:BZ13))&amp;$CK13-1&amp;":"&amp;$BW$1&amp;$CK13-1)&lt;&gt;0),0),0)</f>
        <v>#N/A</v>
      </c>
      <c r="CB13" s="88" t="e">
        <f ca="1">MATCH(TRUE,INDEX((INDIRECT(INDEX($1:$1,ROW($1:$1),COLUMN($I:$I)+SUM($BY13:CA13))&amp;$CK13-1&amp;":"&amp;$BW$1&amp;$CK13-1)&lt;&gt;0),0),0)</f>
        <v>#N/A</v>
      </c>
      <c r="CC13" s="88" t="e">
        <f ca="1">MATCH(TRUE,INDEX((INDIRECT(INDEX($1:$1,ROW($1:$1),COLUMN($I:$I)+SUM($BY13:CB13))&amp;$CK13-1&amp;":"&amp;$BW$1&amp;$CK13-1)&lt;&gt;0),0),0)</f>
        <v>#N/A</v>
      </c>
      <c r="CD13" s="88" t="e">
        <f ca="1">MATCH(TRUE,INDEX((INDIRECT(INDEX($1:$1,ROW($1:$1),COLUMN($I:$I)+SUM($BY13:CC13))&amp;$CK13-1&amp;":"&amp;$BW$1&amp;$CK13-1)&lt;&gt;0),0),0)</f>
        <v>#N/A</v>
      </c>
      <c r="CE13" s="88" t="e">
        <f ca="1">MATCH(TRUE,INDEX((INDIRECT(INDEX($1:$1,ROW($1:$1),COLUMN($I:$I)+SUM($BY13:CD13))&amp;$CK13-1&amp;":"&amp;$BW$1&amp;$CK13-1)&lt;&gt;0),0),0)</f>
        <v>#N/A</v>
      </c>
      <c r="CF13" s="88" t="e">
        <f ca="1">MATCH(TRUE,INDEX((INDIRECT(INDEX($1:$1,ROW($1:$1),COLUMN($I:$I)+SUM($BY13:CE13))&amp;$CK13-1&amp;":"&amp;$BW$1&amp;$CK13-1)&lt;&gt;0),0),0)</f>
        <v>#N/A</v>
      </c>
      <c r="CG13" s="88" t="e">
        <f ca="1">MATCH(TRUE,INDEX((INDIRECT(INDEX($1:$1,ROW($1:$1),COLUMN($I:$I)+SUM($BY13:CF13))&amp;$CK13-1&amp;":"&amp;$BW$1&amp;$CK13-1)&lt;&gt;0),0),0)</f>
        <v>#N/A</v>
      </c>
      <c r="CH13" s="88" t="e">
        <f ca="1">MATCH(TRUE,INDEX((INDIRECT(INDEX($1:$1,ROW($1:$1),COLUMN($I:$I)+SUM($BY13:CG13))&amp;$CK13-1&amp;":"&amp;$BW$1&amp;$CK13-1)&lt;&gt;0),0),0)</f>
        <v>#N/A</v>
      </c>
      <c r="CI13" s="88" t="e">
        <f ca="1">MATCH(TRUE,INDEX((INDIRECT(INDEX($1:$1,ROW($1:$1),COLUMN($I:$I)+SUM($BY13:CH13))&amp;$CK13-1&amp;":"&amp;$BW$1&amp;$CK13-1)&lt;&gt;0),0),0)</f>
        <v>#N/A</v>
      </c>
      <c r="CJ13" s="88" t="e">
        <f ca="1">MATCH(TRUE,INDEX((INDIRECT(INDEX($1:$1,ROW($1:$1),COLUMN($I:$I)+SUM($BY13:CI13))&amp;$CK13-1&amp;":"&amp;$BW$1&amp;$CK13-1)&lt;&gt;0),0),0)</f>
        <v>#N/A</v>
      </c>
      <c r="CK13" s="90">
        <f>ROW(CK13)</f>
        <v>13</v>
      </c>
    </row>
    <row r="14" spans="1:90" s="84" customFormat="1" ht="15" customHeight="1" x14ac:dyDescent="0.25">
      <c r="A14" s="704" t="s">
        <v>416</v>
      </c>
      <c r="B14" s="706" t="b">
        <f>ISERROR(MATCH(FALSE,$J15:$BW15,0))</f>
        <v>1</v>
      </c>
      <c r="C14" s="706" t="b">
        <f>IF(AND(INDEX('General Merits'!$F:$F,MATCH(A14,'General Merits'!$F:$F,0))&gt;0,VLOOKUP(A14,'General Merits'!$F:$Q,10,0)),TRUE,FALSE)</f>
        <v>0</v>
      </c>
      <c r="D14" s="708">
        <v>1</v>
      </c>
      <c r="E14" s="706">
        <f>D14*100</f>
        <v>100</v>
      </c>
      <c r="F14" s="710" t="s">
        <v>421</v>
      </c>
      <c r="G14" s="700"/>
      <c r="H14" s="700"/>
      <c r="J14" s="93"/>
      <c r="K14" s="93"/>
      <c r="L14" s="93"/>
      <c r="N14" s="85"/>
      <c r="O14" s="85"/>
      <c r="P14" s="85"/>
      <c r="Q14" s="85"/>
      <c r="R14" s="85"/>
      <c r="S14" s="85"/>
      <c r="T14" s="85"/>
      <c r="U14" s="85"/>
      <c r="V14" s="85"/>
      <c r="W14" s="86"/>
      <c r="X14" s="85"/>
      <c r="Y14" s="85"/>
      <c r="Z14" s="85"/>
      <c r="AA14" s="85"/>
      <c r="AB14" s="85"/>
      <c r="AC14" s="85"/>
      <c r="AD14" s="85"/>
      <c r="AE14" s="85"/>
      <c r="AF14" s="236"/>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702" t="str">
        <f ca="1">IF(BZ14&lt;&gt;"",BZ14,"")&amp;IF(CA14&lt;&gt;"",", "&amp;CA14,"")&amp;IF(CB14&lt;&gt;"",", "&amp;CB14,"")&amp;IF(CC14&lt;&gt;"",", "&amp;CC14,"")&amp;IF(CD14&lt;&gt;"",", "&amp;CD14,"")&amp;IF(CE14&lt;&gt;"",", "&amp;CE14,"")&amp;IF(CF14&lt;&gt;"",", "&amp;CF14,"")&amp;IF(CG14&lt;&gt;"",", "&amp;CG14,"")&amp;IF(CH14&lt;&gt;"",", "&amp;CH14,"")&amp;IF(CI14&lt;&gt;"",", "&amp;CI14,"")</f>
        <v/>
      </c>
      <c r="BY14" s="85"/>
      <c r="BZ14" s="84" t="str">
        <f ca="1">IF(NOT(ISERROR(BZ15)),IF(COLUMN($I:$I)+SUM($BY15:BZ15)-1&lt;COLUMN($N:$N),INDEX($1:$1048576,ROW(BZ14),SUM($BZ15:BZ15)+COLUMN($I$1)-1),INDEX($3:$3,1,COLUMN($I:$I)+SUM($BY15:BZ15)-1)&amp;" ("&amp;INDEX($1:$1048576,ROW(BZ14),SUM($BZ15:BZ15)+COLUMN($I$1)-1)&amp;")"),"")</f>
        <v/>
      </c>
      <c r="CA14" s="84" t="str">
        <f ca="1">IF(NOT(ISERROR(CA15)),IF(COLUMN($I:$I)+SUM($BY15:CA15)-1&lt;COLUMN($N:$N),INDEX($1:$1048576,ROW(CA14),SUM($BZ15:CA15)+COLUMN($I$1)-1),INDEX($3:$3,1,COLUMN($I:$I)+SUM($BY15:CA15)-1)&amp;" ("&amp;INDEX($1:$1048576,ROW(CA14),SUM($BZ15:CA15)+COLUMN($I$1)-1)&amp;")"),"")</f>
        <v/>
      </c>
      <c r="CB14" s="84" t="str">
        <f ca="1">IF(NOT(ISERROR(CB15)),IF(COLUMN($I:$I)+SUM($BY15:CB15)-1&lt;COLUMN($N:$N),INDEX($1:$1048576,ROW(CB14),SUM($BZ15:CB15)+COLUMN($I$1)-1),INDEX($3:$3,1,COLUMN($I:$I)+SUM($BY15:CB15)-1)&amp;" ("&amp;INDEX($1:$1048576,ROW(CB14),SUM($BZ15:CB15)+COLUMN($I$1)-1)&amp;")"),"")</f>
        <v/>
      </c>
      <c r="CC14" s="84" t="str">
        <f ca="1">IF(NOT(ISERROR(CC15)),IF(COLUMN($I:$I)+SUM($BY15:CC15)-1&lt;COLUMN($N:$N),INDEX($1:$1048576,ROW(CC14),SUM($BZ15:CC15)+COLUMN($I$1)-1),INDEX($3:$3,1,COLUMN($I:$I)+SUM($BY15:CC15)-1)&amp;" ("&amp;INDEX($1:$1048576,ROW(CC14),SUM($BZ15:CC15)+COLUMN($I$1)-1)&amp;")"),"")</f>
        <v/>
      </c>
      <c r="CD14" s="84" t="str">
        <f ca="1">IF(NOT(ISERROR(CD15)),IF(COLUMN($I:$I)+SUM($BY15:CD15)-1&lt;COLUMN($N:$N),INDEX($1:$1048576,ROW(CD14),SUM($BZ15:CD15)+COLUMN($I$1)-1),INDEX($3:$3,1,COLUMN($I:$I)+SUM($BY15:CD15)-1)&amp;" ("&amp;INDEX($1:$1048576,ROW(CD14),SUM($BZ15:CD15)+COLUMN($I$1)-1)&amp;")"),"")</f>
        <v/>
      </c>
      <c r="CE14" s="84" t="str">
        <f ca="1">IF(NOT(ISERROR(CE15)),IF(COLUMN($I:$I)+SUM($BY15:CE15)-1&lt;COLUMN($N:$N),INDEX($1:$1048576,ROW(CE14),SUM($BZ15:CE15)+COLUMN($I$1)-1),INDEX($3:$3,1,COLUMN($I:$I)+SUM($BY15:CE15)-1)&amp;" ("&amp;INDEX($1:$1048576,ROW(CE14),SUM($BZ15:CE15)+COLUMN($I$1)-1)&amp;")"),"")</f>
        <v/>
      </c>
      <c r="CF14" s="84" t="str">
        <f ca="1">IF(NOT(ISERROR(CF15)),IF(COLUMN($I:$I)+SUM($BY15:CF15)-1&lt;COLUMN($N:$N),INDEX($1:$1048576,ROW(CF14),SUM($BZ15:CF15)+COLUMN($I$1)-1),INDEX($3:$3,1,COLUMN($I:$I)+SUM($BY15:CF15)-1)&amp;" ("&amp;INDEX($1:$1048576,ROW(CF14),SUM($BZ15:CF15)+COLUMN($I$1)-1)&amp;")"),"")</f>
        <v/>
      </c>
      <c r="CG14" s="84" t="str">
        <f ca="1">IF(NOT(ISERROR(CG15)),IF(COLUMN($I:$I)+SUM($BY15:CG15)-1&lt;COLUMN($N:$N),INDEX($1:$1048576,ROW(CG14),SUM($BZ15:CG15)+COLUMN($I$1)-1),INDEX($3:$3,1,COLUMN($I:$I)+SUM($BY15:CG15)-1)&amp;" ("&amp;INDEX($1:$1048576,ROW(CG14),SUM($BZ15:CG15)+COLUMN($I$1)-1)&amp;")"),"")</f>
        <v/>
      </c>
      <c r="CH14" s="84" t="str">
        <f ca="1">IF(NOT(ISERROR(CH15)),IF(COLUMN($I:$I)+SUM($BY15:CH15)-1&lt;COLUMN($N:$N),INDEX($1:$1048576,ROW(CH14),SUM($BZ15:CH15)+COLUMN($I$1)-1),INDEX($3:$3,1,COLUMN($I:$I)+SUM($BY15:CH15)-1)&amp;" ("&amp;INDEX($1:$1048576,ROW(CH14),SUM($BZ15:CH15)+COLUMN($I$1)-1)&amp;")"),"")</f>
        <v/>
      </c>
      <c r="CI14" s="84" t="str">
        <f ca="1">IF(NOT(ISERROR(CI15)),IF(COLUMN($I:$I)+SUM($BY15:CI15)-1&lt;COLUMN($N:$N),INDEX($1:$1048576,ROW(CI14),SUM($BZ15:CI15)+COLUMN($I$1)-1),INDEX($3:$3,1,COLUMN($I:$I)+SUM($BY15:CI15)-1)&amp;" ("&amp;INDEX($1:$1048576,ROW(CI14),SUM($BZ15:CI15)+COLUMN($I$1)-1)&amp;")"),"")</f>
        <v/>
      </c>
      <c r="CJ14" s="84" t="str">
        <f ca="1">IF(NOT(ISERROR(CJ15)),IF(COLUMN($I:$I)+SUM($BY15:CJ15)-1&lt;COLUMN($N:$N),INDEX($1:$1048576,ROW(CJ14),SUM($BZ15:CJ15)+COLUMN($I$1)-1),INDEX($3:$3,1,COLUMN($I:$I)+SUM($BY15:CJ15)-1)&amp;" ("&amp;INDEX($1:$1048576,ROW(CJ14),SUM($BZ15:CJ15)+COLUMN($I$1)-1)&amp;")"),"")</f>
        <v/>
      </c>
      <c r="CK14" s="87"/>
    </row>
    <row r="15" spans="1:90" s="88" customFormat="1" x14ac:dyDescent="0.25">
      <c r="A15" s="705"/>
      <c r="B15" s="707"/>
      <c r="C15" s="707"/>
      <c r="D15" s="709"/>
      <c r="E15" s="707"/>
      <c r="F15" s="699"/>
      <c r="G15" s="701"/>
      <c r="H15" s="701"/>
      <c r="J15" s="92" t="e">
        <f>IF(J14&gt;0,IF(AND(INDEX('General Merits'!$F:$F,MATCH($J14,'General Merits'!$F:$F,0),1)&gt;0,VLOOKUP('Merit Data'!J14,'General Merits'!$F:$Z,COLUMN('General Merits'!$N:$N),0)),TRUE,FALSE),#N/A)</f>
        <v>#N/A</v>
      </c>
      <c r="K15" s="92" t="e">
        <f>IF(K14&gt;0,IF(AND(INDEX('General Merits'!$F:$F,MATCH($J14,'General Merits'!$F:$F,0),1)&gt;0,VLOOKUP('Merit Data'!K14,'General Merits'!$F:$Z,COLUMN('General Merits'!$N:$N),0)),TRUE,FALSE),#N/A)</f>
        <v>#N/A</v>
      </c>
      <c r="L15" s="92" t="e">
        <f>IF(L14&gt;0,IF(AND(INDEX('General Merits'!$F:$F,MATCH($J14,'General Merits'!$F:$F,0),1)&gt;0,VLOOKUP('Merit Data'!L14,'General Merits'!$F:$Z,COLUMN('General Merits'!$N:$N),0)),TRUE,FALSE),#N/A)</f>
        <v>#N/A</v>
      </c>
      <c r="N15" s="89" t="e">
        <f>IF(STR&gt;=N14,TRUE)</f>
        <v>#REF!</v>
      </c>
      <c r="O15" s="89" t="e">
        <f>IF(AGI&gt;=O14,TRUE)</f>
        <v>#REF!</v>
      </c>
      <c r="P15" s="89" t="e">
        <f>IF(CON&gt;=P14,TRUE)</f>
        <v>#REF!</v>
      </c>
      <c r="Q15" s="89" t="e">
        <f>IF(INT&gt;=Q14,TRUE)</f>
        <v>#REF!</v>
      </c>
      <c r="R15" s="89" t="e">
        <f>IF(WIS&gt;=R14,TRUE)</f>
        <v>#REF!</v>
      </c>
      <c r="S15" s="89" t="e">
        <f>IF(FOC&gt;=S14,TRUE)</f>
        <v>#REF!</v>
      </c>
      <c r="T15" s="89" t="e">
        <f>IF(CHA&gt;=T14,TRUE)</f>
        <v>#REF!</v>
      </c>
      <c r="U15" s="89" t="e">
        <f>IF(INS&gt;=U14,TRUE)</f>
        <v>#REF!</v>
      </c>
      <c r="V15" s="89" t="e">
        <f>IF(CNV&gt;=V14,TRUE)</f>
        <v>#REF!</v>
      </c>
      <c r="W15" s="89"/>
      <c r="X15" s="89" t="e">
        <f>IF(Archery&gt;=X14,TRUE)</f>
        <v>#REF!</v>
      </c>
      <c r="Y15" s="89" t="e">
        <f>IF(Crossbows&gt;=Y14,TRUE)</f>
        <v>#REF!</v>
      </c>
      <c r="Z15" s="89" t="e">
        <f>IF(Daggers&gt;=Z14,TRUE)</f>
        <v>#REF!</v>
      </c>
      <c r="AA15" s="89" t="e">
        <f>IF(HandtoHandCombat&gt;=AA14,TRUE)</f>
        <v>#REF!</v>
      </c>
      <c r="AB15" s="89" t="e">
        <f>IF(HeavyArmor&gt;=AB14,TRUE)</f>
        <v>#REF!</v>
      </c>
      <c r="AC15" s="89" t="e">
        <f>IF(ImprovisedWeaponry&gt;=AC14,TRUE)</f>
        <v>#NAME?</v>
      </c>
      <c r="AD15" s="89" t="e">
        <f>IF(LightArmor&gt;=AD14,TRUE)</f>
        <v>#REF!</v>
      </c>
      <c r="AE15" s="89" t="e">
        <f>IF(Magicka&gt;=AE14,TRUE)</f>
        <v>#REF!</v>
      </c>
      <c r="AF15" s="89" t="e">
        <f>IF(OR(Archery&gt;=AF14,Crossbows&gt;=AF14,Daggers&gt;=AF14,HandtoHandCombat&gt;=AF14,ImprovisedWeaponry&gt;=AF14,Axes&gt;=AF14,Maces&gt;=AF14,Swords&gt;=AF14,Polearms&gt;=AF14,Staves&gt;=AF14,Throwing&gt;=AF14,TwoHandedAxes&gt;=AF14,TwoHandedMaces&gt;=AF14,TwoHandedSwords&gt;=AF14),TRUE)</f>
        <v>#REF!</v>
      </c>
      <c r="AG15" s="89" t="e">
        <f>IF(Axes&gt;=AG14,TRUE)</f>
        <v>#REF!</v>
      </c>
      <c r="AH15" s="89" t="e">
        <f>IF(Maces&gt;=AH14,TRUE)</f>
        <v>#REF!</v>
      </c>
      <c r="AI15" s="89" t="e">
        <f>IF(Swords&gt;=AI14,TRUE)</f>
        <v>#REF!</v>
      </c>
      <c r="AJ15" s="89" t="e">
        <f>IF(Polearms&gt;=AJ14,TRUE)</f>
        <v>#REF!</v>
      </c>
      <c r="AK15" s="89" t="e">
        <f>IF(Shields&gt;=AK14,TRUE)</f>
        <v>#REF!</v>
      </c>
      <c r="AL15" s="89" t="e">
        <f>IF(Staves&gt;=AL14,TRUE)</f>
        <v>#REF!</v>
      </c>
      <c r="AM15" s="89" t="e">
        <f>IF(Throwing&gt;=AM14,TRUE)</f>
        <v>#REF!</v>
      </c>
      <c r="AN15" s="89" t="e">
        <f>IF(TwoHandedAxes&gt;=AN14,TRUE)</f>
        <v>#NAME?</v>
      </c>
      <c r="AO15" s="89" t="e">
        <f>IF(TwoHandedMaces&gt;=AO14,TRUE)</f>
        <v>#NAME?</v>
      </c>
      <c r="AP15" s="89" t="e">
        <f>IF(TwoHandedSwords&gt;=AP14,TRUE)</f>
        <v>#NAME?</v>
      </c>
      <c r="AQ15" s="89"/>
      <c r="AR15" s="89" t="e">
        <f>IF(Acrobatics&gt;=AR14,TRUE)</f>
        <v>#REF!</v>
      </c>
      <c r="AS15" s="89" t="e">
        <f>IF(Appraisal&gt;=AS14,TRUE)</f>
        <v>#REF!</v>
      </c>
      <c r="AT15" s="89" t="e">
        <f>IF(Athletics&gt;=AT14,TRUE)</f>
        <v>#REF!</v>
      </c>
      <c r="AU15" s="89" t="e">
        <f>IF(Comprehension&gt;=AU14,TRUE)</f>
        <v>#REF!</v>
      </c>
      <c r="AV15" s="89" t="e">
        <f>IF(Expression&gt;=AV14,TRUE)</f>
        <v>#REF!</v>
      </c>
      <c r="AW15" s="89" t="e">
        <f>IF(Perception&gt;=AW14,TRUE)</f>
        <v>#REF!</v>
      </c>
      <c r="AX15" s="89" t="e">
        <f>IF(Security&gt;=AX14,TRUE)</f>
        <v>#REF!</v>
      </c>
      <c r="AY15" s="89" t="e">
        <f>IF(Stealth&gt;=AY14,TRUE)</f>
        <v>#REF!</v>
      </c>
      <c r="AZ15" s="89" t="e">
        <f>IF(Streetwise&gt;=AZ14,TRUE)</f>
        <v>#REF!</v>
      </c>
      <c r="BA15" s="89" t="e">
        <f>IF(Subterfuge&gt;=BA14,TRUE)</f>
        <v>#REF!</v>
      </c>
      <c r="BB15" s="89" t="e">
        <f>IF(Survival&gt;=BB14,TRUE)</f>
        <v>#REF!</v>
      </c>
      <c r="BC15" s="89"/>
      <c r="BD15" s="89" t="e">
        <f>IF(AncientDraconic&gt;=BD14,TRUE)</f>
        <v>#REF!</v>
      </c>
      <c r="BE15" s="89" t="e">
        <f>IF(AquaElven&gt;=BE14,TRUE)</f>
        <v>#REF!</v>
      </c>
      <c r="BF15" s="89" t="e">
        <f>IF(BasicElven&gt;=BF14,TRUE)</f>
        <v>#REF!</v>
      </c>
      <c r="BG15" s="89" t="e">
        <f>IF(Common&gt;=BG14,TRUE)</f>
        <v>#REF!</v>
      </c>
      <c r="BH15" s="89" t="e">
        <f>IF(DarkElven&gt;=BH14,TRUE)</f>
        <v>#REF!</v>
      </c>
      <c r="BI15" s="89" t="e">
        <f>IF(Davek&gt;=BI14,TRUE)</f>
        <v>#REF!</v>
      </c>
      <c r="BJ15" s="89" t="e">
        <f>IF(Draconic&gt;=BJ14,TRUE)</f>
        <v>#REF!</v>
      </c>
      <c r="BK15" s="89" t="e">
        <f>IF(Eulian&gt;=BK14,TRUE)</f>
        <v>#REF!</v>
      </c>
      <c r="BL15" s="89" t="e">
        <f>IF(Garonian&gt;=BL14,TRUE)</f>
        <v>#REF!</v>
      </c>
      <c r="BM15" s="89" t="e">
        <f>IF(Geovek&gt;=BM14,TRUE)</f>
        <v>#REF!</v>
      </c>
      <c r="BN15" s="89" t="e">
        <f>IF(Gnomish&gt;=BN14,TRUE)</f>
        <v>#REF!</v>
      </c>
      <c r="BO15" s="89" t="e">
        <f>IF(Goblin&gt;=BO14,TRUE)</f>
        <v>#REF!</v>
      </c>
      <c r="BP15" s="89" t="e">
        <f>IF(HighElven&gt;=BP14,TRUE)</f>
        <v>#REF!</v>
      </c>
      <c r="BQ15" s="89" t="e">
        <f>IF(Kotaba&gt;=BQ14,TRUE)</f>
        <v>#REF!</v>
      </c>
      <c r="BR15" s="89" t="e">
        <f>IF(LowerCommon&gt;=BR14,TRUE)</f>
        <v>#REF!</v>
      </c>
      <c r="BS15" s="89" t="e">
        <f>IF(OldElven&gt;=BS14,TRUE)</f>
        <v>#REF!</v>
      </c>
      <c r="BT15" s="89" t="e">
        <f>IF(Sylvan&gt;=BT14,TRUE)</f>
        <v>#REF!</v>
      </c>
      <c r="BU15" s="89" t="e">
        <f>IF(TrueDraconic&gt;=BU14,TRUE)</f>
        <v>#REF!</v>
      </c>
      <c r="BV15" s="89" t="e">
        <f>IF(Volken&gt;=BV14,TRUE)</f>
        <v>#REF!</v>
      </c>
      <c r="BW15" s="89" t="e">
        <f>IF(WoodElven&gt;=BW14,TRUE)</f>
        <v>#REF!</v>
      </c>
      <c r="BX15" s="703"/>
      <c r="BY15" s="89"/>
      <c r="BZ15" s="88" t="e">
        <f ca="1">MATCH(TRUE,INDEX((INDIRECT(INDEX($1:$1,ROW($1:$1),COLUMN($I:$I)+SUM($BY15:BY15))&amp;$CK15-1&amp;":"&amp;$BW$1&amp;$CK15-1)&lt;&gt;0),0),0)</f>
        <v>#N/A</v>
      </c>
      <c r="CA15" s="88" t="e">
        <f ca="1">MATCH(TRUE,INDEX((INDIRECT(INDEX($1:$1,ROW($1:$1),COLUMN($I:$I)+SUM($BY15:BZ15))&amp;$CK15-1&amp;":"&amp;$BW$1&amp;$CK15-1)&lt;&gt;0),0),0)</f>
        <v>#N/A</v>
      </c>
      <c r="CB15" s="88" t="e">
        <f ca="1">MATCH(TRUE,INDEX((INDIRECT(INDEX($1:$1,ROW($1:$1),COLUMN($I:$I)+SUM($BY15:CA15))&amp;$CK15-1&amp;":"&amp;$BW$1&amp;$CK15-1)&lt;&gt;0),0),0)</f>
        <v>#N/A</v>
      </c>
      <c r="CC15" s="88" t="e">
        <f ca="1">MATCH(TRUE,INDEX((INDIRECT(INDEX($1:$1,ROW($1:$1),COLUMN($I:$I)+SUM($BY15:CB15))&amp;$CK15-1&amp;":"&amp;$BW$1&amp;$CK15-1)&lt;&gt;0),0),0)</f>
        <v>#N/A</v>
      </c>
      <c r="CD15" s="88" t="e">
        <f ca="1">MATCH(TRUE,INDEX((INDIRECT(INDEX($1:$1,ROW($1:$1),COLUMN($I:$I)+SUM($BY15:CC15))&amp;$CK15-1&amp;":"&amp;$BW$1&amp;$CK15-1)&lt;&gt;0),0),0)</f>
        <v>#N/A</v>
      </c>
      <c r="CE15" s="88" t="e">
        <f ca="1">MATCH(TRUE,INDEX((INDIRECT(INDEX($1:$1,ROW($1:$1),COLUMN($I:$I)+SUM($BY15:CD15))&amp;$CK15-1&amp;":"&amp;$BW$1&amp;$CK15-1)&lt;&gt;0),0),0)</f>
        <v>#N/A</v>
      </c>
      <c r="CF15" s="88" t="e">
        <f ca="1">MATCH(TRUE,INDEX((INDIRECT(INDEX($1:$1,ROW($1:$1),COLUMN($I:$I)+SUM($BY15:CE15))&amp;$CK15-1&amp;":"&amp;$BW$1&amp;$CK15-1)&lt;&gt;0),0),0)</f>
        <v>#N/A</v>
      </c>
      <c r="CG15" s="88" t="e">
        <f ca="1">MATCH(TRUE,INDEX((INDIRECT(INDEX($1:$1,ROW($1:$1),COLUMN($I:$I)+SUM($BY15:CF15))&amp;$CK15-1&amp;":"&amp;$BW$1&amp;$CK15-1)&lt;&gt;0),0),0)</f>
        <v>#N/A</v>
      </c>
      <c r="CH15" s="88" t="e">
        <f ca="1">MATCH(TRUE,INDEX((INDIRECT(INDEX($1:$1,ROW($1:$1),COLUMN($I:$I)+SUM($BY15:CG15))&amp;$CK15-1&amp;":"&amp;$BW$1&amp;$CK15-1)&lt;&gt;0),0),0)</f>
        <v>#N/A</v>
      </c>
      <c r="CI15" s="88" t="e">
        <f ca="1">MATCH(TRUE,INDEX((INDIRECT(INDEX($1:$1,ROW($1:$1),COLUMN($I:$I)+SUM($BY15:CH15))&amp;$CK15-1&amp;":"&amp;$BW$1&amp;$CK15-1)&lt;&gt;0),0),0)</f>
        <v>#N/A</v>
      </c>
      <c r="CJ15" s="88" t="e">
        <f ca="1">MATCH(TRUE,INDEX((INDIRECT(INDEX($1:$1,ROW($1:$1),COLUMN($I:$I)+SUM($BY15:CI15))&amp;$CK15-1&amp;":"&amp;$BW$1&amp;$CK15-1)&lt;&gt;0),0),0)</f>
        <v>#N/A</v>
      </c>
      <c r="CK15" s="90">
        <f>ROW(CK15)</f>
        <v>15</v>
      </c>
    </row>
    <row r="16" spans="1:90" s="84" customFormat="1" ht="15" customHeight="1" x14ac:dyDescent="0.25">
      <c r="A16" s="704" t="s">
        <v>417</v>
      </c>
      <c r="B16" s="706" t="b">
        <f>ISERROR(MATCH(FALSE,$J17:$BW17,0))</f>
        <v>0</v>
      </c>
      <c r="C16" s="706" t="b">
        <f>IF(AND(INDEX('General Merits'!$F:$F,MATCH(A16,'General Merits'!$F:$F,0))&gt;0,VLOOKUP(A16,'General Merits'!$F:$Q,10,0)),TRUE,FALSE)</f>
        <v>0</v>
      </c>
      <c r="D16" s="708">
        <v>2</v>
      </c>
      <c r="E16" s="706">
        <f>D16*100</f>
        <v>200</v>
      </c>
      <c r="F16" s="698" t="s">
        <v>422</v>
      </c>
      <c r="G16" s="700"/>
      <c r="H16" s="700"/>
      <c r="J16" s="93" t="s">
        <v>416</v>
      </c>
      <c r="K16" s="93"/>
      <c r="L16" s="93"/>
      <c r="N16" s="85"/>
      <c r="O16" s="85"/>
      <c r="P16" s="85"/>
      <c r="Q16" s="85"/>
      <c r="R16" s="85"/>
      <c r="S16" s="85"/>
      <c r="T16" s="85"/>
      <c r="U16" s="85"/>
      <c r="V16" s="85"/>
      <c r="W16" s="86"/>
      <c r="X16" s="85"/>
      <c r="Y16" s="85"/>
      <c r="Z16" s="85"/>
      <c r="AA16" s="85"/>
      <c r="AB16" s="85"/>
      <c r="AC16" s="85"/>
      <c r="AD16" s="85"/>
      <c r="AE16" s="85"/>
      <c r="AF16" s="236"/>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702" t="str">
        <f ca="1">IF(BZ16&lt;&gt;"",BZ16,"")&amp;IF(CA16&lt;&gt;"",", "&amp;CA16,"")&amp;IF(CB16&lt;&gt;"",", "&amp;CB16,"")&amp;IF(CC16&lt;&gt;"",", "&amp;CC16,"")&amp;IF(CD16&lt;&gt;"",", "&amp;CD16,"")&amp;IF(CE16&lt;&gt;"",", "&amp;CE16,"")&amp;IF(CF16&lt;&gt;"",", "&amp;CF16,"")&amp;IF(CG16&lt;&gt;"",", "&amp;CG16,"")&amp;IF(CH16&lt;&gt;"",", "&amp;CH16,"")&amp;IF(CI16&lt;&gt;"",", "&amp;CI16,"")</f>
        <v>Quick Reactions</v>
      </c>
      <c r="BY16" s="85"/>
      <c r="BZ16" s="84" t="str">
        <f ca="1">IF(NOT(ISERROR(BZ17)),IF(COLUMN($I:$I)+SUM($BY17:BZ17)-1&lt;COLUMN($N:$N),INDEX($1:$1048576,ROW(BZ16),SUM($BZ17:BZ17)+COLUMN($I$1)-1),INDEX($3:$3,1,COLUMN($I:$I)+SUM($BY17:BZ17)-1)&amp;" ("&amp;INDEX($1:$1048576,ROW(BZ16),SUM($BZ17:BZ17)+COLUMN($I$1)-1)&amp;")"),"")</f>
        <v>Quick Reactions</v>
      </c>
      <c r="CA16" s="84" t="str">
        <f ca="1">IF(NOT(ISERROR(CA17)),IF(COLUMN($I:$I)+SUM($BY17:CA17)-1&lt;COLUMN($N:$N),INDEX($1:$1048576,ROW(CA16),SUM($BZ17:CA17)+COLUMN($I$1)-1),INDEX($3:$3,1,COLUMN($I:$I)+SUM($BY17:CA17)-1)&amp;" ("&amp;INDEX($1:$1048576,ROW(CA16),SUM($BZ17:CA17)+COLUMN($I$1)-1)&amp;")"),"")</f>
        <v/>
      </c>
      <c r="CB16" s="84" t="str">
        <f ca="1">IF(NOT(ISERROR(CB17)),IF(COLUMN($I:$I)+SUM($BY17:CB17)-1&lt;COLUMN($N:$N),INDEX($1:$1048576,ROW(CB16),SUM($BZ17:CB17)+COLUMN($I$1)-1),INDEX($3:$3,1,COLUMN($I:$I)+SUM($BY17:CB17)-1)&amp;" ("&amp;INDEX($1:$1048576,ROW(CB16),SUM($BZ17:CB17)+COLUMN($I$1)-1)&amp;")"),"")</f>
        <v/>
      </c>
      <c r="CC16" s="84" t="str">
        <f ca="1">IF(NOT(ISERROR(CC17)),IF(COLUMN($I:$I)+SUM($BY17:CC17)-1&lt;COLUMN($N:$N),INDEX($1:$1048576,ROW(CC16),SUM($BZ17:CC17)+COLUMN($I$1)-1),INDEX($3:$3,1,COLUMN($I:$I)+SUM($BY17:CC17)-1)&amp;" ("&amp;INDEX($1:$1048576,ROW(CC16),SUM($BZ17:CC17)+COLUMN($I$1)-1)&amp;")"),"")</f>
        <v/>
      </c>
      <c r="CD16" s="84" t="str">
        <f ca="1">IF(NOT(ISERROR(CD17)),IF(COLUMN($I:$I)+SUM($BY17:CD17)-1&lt;COLUMN($N:$N),INDEX($1:$1048576,ROW(CD16),SUM($BZ17:CD17)+COLUMN($I$1)-1),INDEX($3:$3,1,COLUMN($I:$I)+SUM($BY17:CD17)-1)&amp;" ("&amp;INDEX($1:$1048576,ROW(CD16),SUM($BZ17:CD17)+COLUMN($I$1)-1)&amp;")"),"")</f>
        <v/>
      </c>
      <c r="CE16" s="84" t="str">
        <f ca="1">IF(NOT(ISERROR(CE17)),IF(COLUMN($I:$I)+SUM($BY17:CE17)-1&lt;COLUMN($N:$N),INDEX($1:$1048576,ROW(CE16),SUM($BZ17:CE17)+COLUMN($I$1)-1),INDEX($3:$3,1,COLUMN($I:$I)+SUM($BY17:CE17)-1)&amp;" ("&amp;INDEX($1:$1048576,ROW(CE16),SUM($BZ17:CE17)+COLUMN($I$1)-1)&amp;")"),"")</f>
        <v/>
      </c>
      <c r="CF16" s="84" t="str">
        <f ca="1">IF(NOT(ISERROR(CF17)),IF(COLUMN($I:$I)+SUM($BY17:CF17)-1&lt;COLUMN($N:$N),INDEX($1:$1048576,ROW(CF16),SUM($BZ17:CF17)+COLUMN($I$1)-1),INDEX($3:$3,1,COLUMN($I:$I)+SUM($BY17:CF17)-1)&amp;" ("&amp;INDEX($1:$1048576,ROW(CF16),SUM($BZ17:CF17)+COLUMN($I$1)-1)&amp;")"),"")</f>
        <v/>
      </c>
      <c r="CG16" s="84" t="str">
        <f ca="1">IF(NOT(ISERROR(CG17)),IF(COLUMN($I:$I)+SUM($BY17:CG17)-1&lt;COLUMN($N:$N),INDEX($1:$1048576,ROW(CG16),SUM($BZ17:CG17)+COLUMN($I$1)-1),INDEX($3:$3,1,COLUMN($I:$I)+SUM($BY17:CG17)-1)&amp;" ("&amp;INDEX($1:$1048576,ROW(CG16),SUM($BZ17:CG17)+COLUMN($I$1)-1)&amp;")"),"")</f>
        <v/>
      </c>
      <c r="CH16" s="84" t="str">
        <f ca="1">IF(NOT(ISERROR(CH17)),IF(COLUMN($I:$I)+SUM($BY17:CH17)-1&lt;COLUMN($N:$N),INDEX($1:$1048576,ROW(CH16),SUM($BZ17:CH17)+COLUMN($I$1)-1),INDEX($3:$3,1,COLUMN($I:$I)+SUM($BY17:CH17)-1)&amp;" ("&amp;INDEX($1:$1048576,ROW(CH16),SUM($BZ17:CH17)+COLUMN($I$1)-1)&amp;")"),"")</f>
        <v/>
      </c>
      <c r="CI16" s="84" t="str">
        <f ca="1">IF(NOT(ISERROR(CI17)),IF(COLUMN($I:$I)+SUM($BY17:CI17)-1&lt;COLUMN($N:$N),INDEX($1:$1048576,ROW(CI16),SUM($BZ17:CI17)+COLUMN($I$1)-1),INDEX($3:$3,1,COLUMN($I:$I)+SUM($BY17:CI17)-1)&amp;" ("&amp;INDEX($1:$1048576,ROW(CI16),SUM($BZ17:CI17)+COLUMN($I$1)-1)&amp;")"),"")</f>
        <v/>
      </c>
      <c r="CJ16" s="84" t="str">
        <f ca="1">IF(NOT(ISERROR(CJ17)),IF(COLUMN($I:$I)+SUM($BY17:CJ17)-1&lt;COLUMN($N:$N),INDEX($1:$1048576,ROW(CJ16),SUM($BZ17:CJ17)+COLUMN($I$1)-1),INDEX($3:$3,1,COLUMN($I:$I)+SUM($BY17:CJ17)-1)&amp;" ("&amp;INDEX($1:$1048576,ROW(CJ16),SUM($BZ17:CJ17)+COLUMN($I$1)-1)&amp;")"),"")</f>
        <v/>
      </c>
      <c r="CK16" s="87"/>
    </row>
    <row r="17" spans="1:89" s="88" customFormat="1" x14ac:dyDescent="0.25">
      <c r="A17" s="705"/>
      <c r="B17" s="707"/>
      <c r="C17" s="707"/>
      <c r="D17" s="709"/>
      <c r="E17" s="707"/>
      <c r="F17" s="699"/>
      <c r="G17" s="701"/>
      <c r="H17" s="701"/>
      <c r="J17" s="92" t="b">
        <f>IF(J16&gt;0,IF(AND(INDEX('General Merits'!$F:$F,MATCH($J16,'General Merits'!$F:$F,0),1)&gt;0,VLOOKUP('Merit Data'!J16,'General Merits'!$F:$Z,COLUMN('General Merits'!$N:$N),0)),TRUE,FALSE),#N/A)</f>
        <v>0</v>
      </c>
      <c r="K17" s="92" t="e">
        <f>IF(K16&gt;0,IF(AND(INDEX('General Merits'!$F:$F,MATCH($J16,'General Merits'!$F:$F,0),1)&gt;0,VLOOKUP('Merit Data'!K16,'General Merits'!$F:$Z,COLUMN('General Merits'!$N:$N),0)),TRUE,FALSE),#N/A)</f>
        <v>#N/A</v>
      </c>
      <c r="L17" s="92" t="e">
        <f>IF(L16&gt;0,IF(AND(INDEX('General Merits'!$F:$F,MATCH($J16,'General Merits'!$F:$F,0),1)&gt;0,VLOOKUP('Merit Data'!L16,'General Merits'!$F:$Z,COLUMN('General Merits'!$N:$N),0)),TRUE,FALSE),#N/A)</f>
        <v>#N/A</v>
      </c>
      <c r="N17" s="89" t="e">
        <f>IF(STR&gt;=N16,TRUE)</f>
        <v>#REF!</v>
      </c>
      <c r="O17" s="89" t="e">
        <f>IF(AGI&gt;=O16,TRUE)</f>
        <v>#REF!</v>
      </c>
      <c r="P17" s="89" t="e">
        <f>IF(CON&gt;=P16,TRUE)</f>
        <v>#REF!</v>
      </c>
      <c r="Q17" s="89" t="e">
        <f>IF(INT&gt;=Q16,TRUE)</f>
        <v>#REF!</v>
      </c>
      <c r="R17" s="89" t="e">
        <f>IF(WIS&gt;=R16,TRUE)</f>
        <v>#REF!</v>
      </c>
      <c r="S17" s="89" t="e">
        <f>IF(FOC&gt;=S16,TRUE)</f>
        <v>#REF!</v>
      </c>
      <c r="T17" s="89" t="e">
        <f>IF(CHA&gt;=T16,TRUE)</f>
        <v>#REF!</v>
      </c>
      <c r="U17" s="89" t="e">
        <f>IF(INS&gt;=U16,TRUE)</f>
        <v>#REF!</v>
      </c>
      <c r="V17" s="89" t="e">
        <f>IF(CNV&gt;=V16,TRUE)</f>
        <v>#REF!</v>
      </c>
      <c r="W17" s="89"/>
      <c r="X17" s="89" t="e">
        <f>IF(Archery&gt;=X16,TRUE)</f>
        <v>#REF!</v>
      </c>
      <c r="Y17" s="89" t="e">
        <f>IF(Crossbows&gt;=Y16,TRUE)</f>
        <v>#REF!</v>
      </c>
      <c r="Z17" s="89" t="e">
        <f>IF(Daggers&gt;=Z16,TRUE)</f>
        <v>#REF!</v>
      </c>
      <c r="AA17" s="89" t="e">
        <f>IF(HandtoHandCombat&gt;=AA16,TRUE)</f>
        <v>#REF!</v>
      </c>
      <c r="AB17" s="89" t="e">
        <f>IF(HeavyArmor&gt;=AB16,TRUE)</f>
        <v>#REF!</v>
      </c>
      <c r="AC17" s="89" t="e">
        <f>IF(ImprovisedWeaponry&gt;=AC16,TRUE)</f>
        <v>#NAME?</v>
      </c>
      <c r="AD17" s="89" t="e">
        <f>IF(LightArmor&gt;=AD16,TRUE)</f>
        <v>#REF!</v>
      </c>
      <c r="AE17" s="89" t="e">
        <f>IF(Magicka&gt;=AE16,TRUE)</f>
        <v>#REF!</v>
      </c>
      <c r="AF17" s="89" t="e">
        <f>IF(OR(Archery&gt;=AF16,Crossbows&gt;=AF16,Daggers&gt;=AF16,HandtoHandCombat&gt;=AF16,ImprovisedWeaponry&gt;=AF16,Axes&gt;=AF16,Maces&gt;=AF16,Swords&gt;=AF16,Polearms&gt;=AF16,Staves&gt;=AF16,Throwing&gt;=AF16,TwoHandedAxes&gt;=AF16,TwoHandedMaces&gt;=AF16,TwoHandedSwords&gt;=AF16),TRUE)</f>
        <v>#REF!</v>
      </c>
      <c r="AG17" s="89" t="e">
        <f>IF(Axes&gt;=AG16,TRUE)</f>
        <v>#REF!</v>
      </c>
      <c r="AH17" s="89" t="e">
        <f>IF(Maces&gt;=AH16,TRUE)</f>
        <v>#REF!</v>
      </c>
      <c r="AI17" s="89" t="e">
        <f>IF(Swords&gt;=AI16,TRUE)</f>
        <v>#REF!</v>
      </c>
      <c r="AJ17" s="89" t="e">
        <f>IF(Polearms&gt;=AJ16,TRUE)</f>
        <v>#REF!</v>
      </c>
      <c r="AK17" s="89" t="e">
        <f>IF(Shields&gt;=AK16,TRUE)</f>
        <v>#REF!</v>
      </c>
      <c r="AL17" s="89" t="e">
        <f>IF(Staves&gt;=AL16,TRUE)</f>
        <v>#REF!</v>
      </c>
      <c r="AM17" s="89" t="e">
        <f>IF(Throwing&gt;=AM16,TRUE)</f>
        <v>#REF!</v>
      </c>
      <c r="AN17" s="89" t="e">
        <f>IF(TwoHandedAxes&gt;=AN16,TRUE)</f>
        <v>#NAME?</v>
      </c>
      <c r="AO17" s="89" t="e">
        <f>IF(TwoHandedMaces&gt;=AO16,TRUE)</f>
        <v>#NAME?</v>
      </c>
      <c r="AP17" s="89" t="e">
        <f>IF(TwoHandedSwords&gt;=AP16,TRUE)</f>
        <v>#NAME?</v>
      </c>
      <c r="AQ17" s="89"/>
      <c r="AR17" s="89" t="e">
        <f>IF(Acrobatics&gt;=AR16,TRUE)</f>
        <v>#REF!</v>
      </c>
      <c r="AS17" s="89" t="e">
        <f>IF(Appraisal&gt;=AS16,TRUE)</f>
        <v>#REF!</v>
      </c>
      <c r="AT17" s="89" t="e">
        <f>IF(Athletics&gt;=AT16,TRUE)</f>
        <v>#REF!</v>
      </c>
      <c r="AU17" s="89" t="e">
        <f>IF(Comprehension&gt;=AU16,TRUE)</f>
        <v>#REF!</v>
      </c>
      <c r="AV17" s="89" t="e">
        <f>IF(Expression&gt;=AV16,TRUE)</f>
        <v>#REF!</v>
      </c>
      <c r="AW17" s="89" t="e">
        <f>IF(Perception&gt;=AW16,TRUE)</f>
        <v>#REF!</v>
      </c>
      <c r="AX17" s="89" t="e">
        <f>IF(Security&gt;=AX16,TRUE)</f>
        <v>#REF!</v>
      </c>
      <c r="AY17" s="89" t="e">
        <f>IF(Stealth&gt;=AY16,TRUE)</f>
        <v>#REF!</v>
      </c>
      <c r="AZ17" s="89" t="e">
        <f>IF(Streetwise&gt;=AZ16,TRUE)</f>
        <v>#REF!</v>
      </c>
      <c r="BA17" s="89" t="e">
        <f>IF(Subterfuge&gt;=BA16,TRUE)</f>
        <v>#REF!</v>
      </c>
      <c r="BB17" s="89" t="e">
        <f>IF(Survival&gt;=BB16,TRUE)</f>
        <v>#REF!</v>
      </c>
      <c r="BC17" s="89"/>
      <c r="BD17" s="89" t="e">
        <f>IF(AncientDraconic&gt;=BD16,TRUE)</f>
        <v>#REF!</v>
      </c>
      <c r="BE17" s="89" t="e">
        <f>IF(AquaElven&gt;=BE16,TRUE)</f>
        <v>#REF!</v>
      </c>
      <c r="BF17" s="89" t="e">
        <f>IF(BasicElven&gt;=BF16,TRUE)</f>
        <v>#REF!</v>
      </c>
      <c r="BG17" s="89" t="e">
        <f>IF(Common&gt;=BG16,TRUE)</f>
        <v>#REF!</v>
      </c>
      <c r="BH17" s="89" t="e">
        <f>IF(DarkElven&gt;=BH16,TRUE)</f>
        <v>#REF!</v>
      </c>
      <c r="BI17" s="89" t="e">
        <f>IF(Davek&gt;=BI16,TRUE)</f>
        <v>#REF!</v>
      </c>
      <c r="BJ17" s="89" t="e">
        <f>IF(Draconic&gt;=BJ16,TRUE)</f>
        <v>#REF!</v>
      </c>
      <c r="BK17" s="89" t="e">
        <f>IF(Eulian&gt;=BK16,TRUE)</f>
        <v>#REF!</v>
      </c>
      <c r="BL17" s="89" t="e">
        <f>IF(Garonian&gt;=BL16,TRUE)</f>
        <v>#REF!</v>
      </c>
      <c r="BM17" s="89" t="e">
        <f>IF(Geovek&gt;=BM16,TRUE)</f>
        <v>#REF!</v>
      </c>
      <c r="BN17" s="89" t="e">
        <f>IF(Gnomish&gt;=BN16,TRUE)</f>
        <v>#REF!</v>
      </c>
      <c r="BO17" s="89" t="e">
        <f>IF(Goblin&gt;=BO16,TRUE)</f>
        <v>#REF!</v>
      </c>
      <c r="BP17" s="89" t="e">
        <f>IF(HighElven&gt;=BP16,TRUE)</f>
        <v>#REF!</v>
      </c>
      <c r="BQ17" s="89" t="e">
        <f>IF(Kotaba&gt;=BQ16,TRUE)</f>
        <v>#REF!</v>
      </c>
      <c r="BR17" s="89" t="e">
        <f>IF(LowerCommon&gt;=BR16,TRUE)</f>
        <v>#REF!</v>
      </c>
      <c r="BS17" s="89" t="e">
        <f>IF(OldElven&gt;=BS16,TRUE)</f>
        <v>#REF!</v>
      </c>
      <c r="BT17" s="89" t="e">
        <f>IF(Sylvan&gt;=BT16,TRUE)</f>
        <v>#REF!</v>
      </c>
      <c r="BU17" s="89" t="e">
        <f>IF(TrueDraconic&gt;=BU16,TRUE)</f>
        <v>#REF!</v>
      </c>
      <c r="BV17" s="89" t="e">
        <f>IF(Volken&gt;=BV16,TRUE)</f>
        <v>#REF!</v>
      </c>
      <c r="BW17" s="89" t="e">
        <f>IF(WoodElven&gt;=BW16,TRUE)</f>
        <v>#REF!</v>
      </c>
      <c r="BX17" s="703"/>
      <c r="BY17" s="89"/>
      <c r="BZ17" s="88">
        <f ca="1">MATCH(TRUE,INDEX((INDIRECT(INDEX($1:$1,ROW($1:$1),COLUMN($I:$I)+SUM($BY17:BY17))&amp;$CK17-1&amp;":"&amp;$BW$1&amp;$CK17-1)&lt;&gt;0),0),0)</f>
        <v>2</v>
      </c>
      <c r="CA17" s="88" t="e">
        <f ca="1">MATCH(TRUE,INDEX((INDIRECT(INDEX($1:$1,ROW($1:$1),COLUMN($I:$I)+SUM($BY17:BZ17))&amp;$CK17-1&amp;":"&amp;$BW$1&amp;$CK17-1)&lt;&gt;0),0),0)</f>
        <v>#N/A</v>
      </c>
      <c r="CB17" s="88" t="e">
        <f ca="1">MATCH(TRUE,INDEX((INDIRECT(INDEX($1:$1,ROW($1:$1),COLUMN($I:$I)+SUM($BY17:CA17))&amp;$CK17-1&amp;":"&amp;$BW$1&amp;$CK17-1)&lt;&gt;0),0),0)</f>
        <v>#N/A</v>
      </c>
      <c r="CC17" s="88" t="e">
        <f ca="1">MATCH(TRUE,INDEX((INDIRECT(INDEX($1:$1,ROW($1:$1),COLUMN($I:$I)+SUM($BY17:CB17))&amp;$CK17-1&amp;":"&amp;$BW$1&amp;$CK17-1)&lt;&gt;0),0),0)</f>
        <v>#N/A</v>
      </c>
      <c r="CD17" s="88" t="e">
        <f ca="1">MATCH(TRUE,INDEX((INDIRECT(INDEX($1:$1,ROW($1:$1),COLUMN($I:$I)+SUM($BY17:CC17))&amp;$CK17-1&amp;":"&amp;$BW$1&amp;$CK17-1)&lt;&gt;0),0),0)</f>
        <v>#N/A</v>
      </c>
      <c r="CE17" s="88" t="e">
        <f ca="1">MATCH(TRUE,INDEX((INDIRECT(INDEX($1:$1,ROW($1:$1),COLUMN($I:$I)+SUM($BY17:CD17))&amp;$CK17-1&amp;":"&amp;$BW$1&amp;$CK17-1)&lt;&gt;0),0),0)</f>
        <v>#N/A</v>
      </c>
      <c r="CF17" s="88" t="e">
        <f ca="1">MATCH(TRUE,INDEX((INDIRECT(INDEX($1:$1,ROW($1:$1),COLUMN($I:$I)+SUM($BY17:CE17))&amp;$CK17-1&amp;":"&amp;$BW$1&amp;$CK17-1)&lt;&gt;0),0),0)</f>
        <v>#N/A</v>
      </c>
      <c r="CG17" s="88" t="e">
        <f ca="1">MATCH(TRUE,INDEX((INDIRECT(INDEX($1:$1,ROW($1:$1),COLUMN($I:$I)+SUM($BY17:CF17))&amp;$CK17-1&amp;":"&amp;$BW$1&amp;$CK17-1)&lt;&gt;0),0),0)</f>
        <v>#N/A</v>
      </c>
      <c r="CH17" s="88" t="e">
        <f ca="1">MATCH(TRUE,INDEX((INDIRECT(INDEX($1:$1,ROW($1:$1),COLUMN($I:$I)+SUM($BY17:CG17))&amp;$CK17-1&amp;":"&amp;$BW$1&amp;$CK17-1)&lt;&gt;0),0),0)</f>
        <v>#N/A</v>
      </c>
      <c r="CI17" s="88" t="e">
        <f ca="1">MATCH(TRUE,INDEX((INDIRECT(INDEX($1:$1,ROW($1:$1),COLUMN($I:$I)+SUM($BY17:CH17))&amp;$CK17-1&amp;":"&amp;$BW$1&amp;$CK17-1)&lt;&gt;0),0),0)</f>
        <v>#N/A</v>
      </c>
      <c r="CJ17" s="88" t="e">
        <f ca="1">MATCH(TRUE,INDEX((INDIRECT(INDEX($1:$1,ROW($1:$1),COLUMN($I:$I)+SUM($BY17:CI17))&amp;$CK17-1&amp;":"&amp;$BW$1&amp;$CK17-1)&lt;&gt;0),0),0)</f>
        <v>#N/A</v>
      </c>
      <c r="CK17" s="90">
        <f>ROW(CK17)</f>
        <v>17</v>
      </c>
    </row>
    <row r="18" spans="1:89" s="84" customFormat="1" ht="15" customHeight="1" x14ac:dyDescent="0.25">
      <c r="A18" s="704" t="s">
        <v>418</v>
      </c>
      <c r="B18" s="706" t="b">
        <f>ISERROR(MATCH(FALSE,$J19:$BW19,0))</f>
        <v>0</v>
      </c>
      <c r="C18" s="706" t="b">
        <f>IF(AND(INDEX('General Merits'!$F:$F,MATCH(A18,'General Merits'!$F:$F,0))&gt;0,VLOOKUP(A18,'General Merits'!$F:$Q,10,0)),TRUE,FALSE)</f>
        <v>0</v>
      </c>
      <c r="D18" s="708">
        <v>3</v>
      </c>
      <c r="E18" s="706">
        <f>D18*100</f>
        <v>300</v>
      </c>
      <c r="F18" s="698" t="s">
        <v>423</v>
      </c>
      <c r="G18" s="700"/>
      <c r="H18" s="700"/>
      <c r="J18" s="93" t="s">
        <v>417</v>
      </c>
      <c r="K18" s="93"/>
      <c r="L18" s="93"/>
      <c r="N18" s="85"/>
      <c r="O18" s="85"/>
      <c r="P18" s="85"/>
      <c r="Q18" s="85"/>
      <c r="R18" s="85"/>
      <c r="S18" s="85"/>
      <c r="T18" s="85"/>
      <c r="U18" s="85"/>
      <c r="V18" s="85"/>
      <c r="W18" s="86"/>
      <c r="X18" s="85"/>
      <c r="Y18" s="85"/>
      <c r="Z18" s="85"/>
      <c r="AA18" s="85"/>
      <c r="AB18" s="85"/>
      <c r="AC18" s="85"/>
      <c r="AD18" s="85"/>
      <c r="AE18" s="85"/>
      <c r="AF18" s="236"/>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702" t="str">
        <f ca="1">IF(BZ18&lt;&gt;"",BZ18,"")&amp;IF(CA18&lt;&gt;"",", "&amp;CA18,"")&amp;IF(CB18&lt;&gt;"",", "&amp;CB18,"")&amp;IF(CC18&lt;&gt;"",", "&amp;CC18,"")&amp;IF(CD18&lt;&gt;"",", "&amp;CD18,"")&amp;IF(CE18&lt;&gt;"",", "&amp;CE18,"")&amp;IF(CF18&lt;&gt;"",", "&amp;CF18,"")&amp;IF(CG18&lt;&gt;"",", "&amp;CG18,"")&amp;IF(CH18&lt;&gt;"",", "&amp;CH18,"")&amp;IF(CI18&lt;&gt;"",", "&amp;CI18,"")</f>
        <v>Swift Reactions</v>
      </c>
      <c r="BY18" s="85"/>
      <c r="BZ18" s="84" t="str">
        <f ca="1">IF(NOT(ISERROR(BZ19)),IF(COLUMN($I:$I)+SUM($BY19:BZ19)-1&lt;COLUMN($N:$N),INDEX($1:$1048576,ROW(BZ18),SUM($BZ19:BZ19)+COLUMN($I$1)-1),INDEX($3:$3,1,COLUMN($I:$I)+SUM($BY19:BZ19)-1)&amp;" ("&amp;INDEX($1:$1048576,ROW(BZ18),SUM($BZ19:BZ19)+COLUMN($I$1)-1)&amp;")"),"")</f>
        <v>Swift Reactions</v>
      </c>
      <c r="CA18" s="84" t="str">
        <f ca="1">IF(NOT(ISERROR(CA19)),IF(COLUMN($I:$I)+SUM($BY19:CA19)-1&lt;COLUMN($N:$N),INDEX($1:$1048576,ROW(CA18),SUM($BZ19:CA19)+COLUMN($I$1)-1),INDEX($3:$3,1,COLUMN($I:$I)+SUM($BY19:CA19)-1)&amp;" ("&amp;INDEX($1:$1048576,ROW(CA18),SUM($BZ19:CA19)+COLUMN($I$1)-1)&amp;")"),"")</f>
        <v/>
      </c>
      <c r="CB18" s="84" t="str">
        <f ca="1">IF(NOT(ISERROR(CB19)),IF(COLUMN($I:$I)+SUM($BY19:CB19)-1&lt;COLUMN($N:$N),INDEX($1:$1048576,ROW(CB18),SUM($BZ19:CB19)+COLUMN($I$1)-1),INDEX($3:$3,1,COLUMN($I:$I)+SUM($BY19:CB19)-1)&amp;" ("&amp;INDEX($1:$1048576,ROW(CB18),SUM($BZ19:CB19)+COLUMN($I$1)-1)&amp;")"),"")</f>
        <v/>
      </c>
      <c r="CC18" s="84" t="str">
        <f ca="1">IF(NOT(ISERROR(CC19)),IF(COLUMN($I:$I)+SUM($BY19:CC19)-1&lt;COLUMN($N:$N),INDEX($1:$1048576,ROW(CC18),SUM($BZ19:CC19)+COLUMN($I$1)-1),INDEX($3:$3,1,COLUMN($I:$I)+SUM($BY19:CC19)-1)&amp;" ("&amp;INDEX($1:$1048576,ROW(CC18),SUM($BZ19:CC19)+COLUMN($I$1)-1)&amp;")"),"")</f>
        <v/>
      </c>
      <c r="CD18" s="84" t="str">
        <f ca="1">IF(NOT(ISERROR(CD19)),IF(COLUMN($I:$I)+SUM($BY19:CD19)-1&lt;COLUMN($N:$N),INDEX($1:$1048576,ROW(CD18),SUM($BZ19:CD19)+COLUMN($I$1)-1),INDEX($3:$3,1,COLUMN($I:$I)+SUM($BY19:CD19)-1)&amp;" ("&amp;INDEX($1:$1048576,ROW(CD18),SUM($BZ19:CD19)+COLUMN($I$1)-1)&amp;")"),"")</f>
        <v/>
      </c>
      <c r="CE18" s="84" t="str">
        <f ca="1">IF(NOT(ISERROR(CE19)),IF(COLUMN($I:$I)+SUM($BY19:CE19)-1&lt;COLUMN($N:$N),INDEX($1:$1048576,ROW(CE18),SUM($BZ19:CE19)+COLUMN($I$1)-1),INDEX($3:$3,1,COLUMN($I:$I)+SUM($BY19:CE19)-1)&amp;" ("&amp;INDEX($1:$1048576,ROW(CE18),SUM($BZ19:CE19)+COLUMN($I$1)-1)&amp;")"),"")</f>
        <v/>
      </c>
      <c r="CF18" s="84" t="str">
        <f ca="1">IF(NOT(ISERROR(CF19)),IF(COLUMN($I:$I)+SUM($BY19:CF19)-1&lt;COLUMN($N:$N),INDEX($1:$1048576,ROW(CF18),SUM($BZ19:CF19)+COLUMN($I$1)-1),INDEX($3:$3,1,COLUMN($I:$I)+SUM($BY19:CF19)-1)&amp;" ("&amp;INDEX($1:$1048576,ROW(CF18),SUM($BZ19:CF19)+COLUMN($I$1)-1)&amp;")"),"")</f>
        <v/>
      </c>
      <c r="CG18" s="84" t="str">
        <f ca="1">IF(NOT(ISERROR(CG19)),IF(COLUMN($I:$I)+SUM($BY19:CG19)-1&lt;COLUMN($N:$N),INDEX($1:$1048576,ROW(CG18),SUM($BZ19:CG19)+COLUMN($I$1)-1),INDEX($3:$3,1,COLUMN($I:$I)+SUM($BY19:CG19)-1)&amp;" ("&amp;INDEX($1:$1048576,ROW(CG18),SUM($BZ19:CG19)+COLUMN($I$1)-1)&amp;")"),"")</f>
        <v/>
      </c>
      <c r="CH18" s="84" t="str">
        <f ca="1">IF(NOT(ISERROR(CH19)),IF(COLUMN($I:$I)+SUM($BY19:CH19)-1&lt;COLUMN($N:$N),INDEX($1:$1048576,ROW(CH18),SUM($BZ19:CH19)+COLUMN($I$1)-1),INDEX($3:$3,1,COLUMN($I:$I)+SUM($BY19:CH19)-1)&amp;" ("&amp;INDEX($1:$1048576,ROW(CH18),SUM($BZ19:CH19)+COLUMN($I$1)-1)&amp;")"),"")</f>
        <v/>
      </c>
      <c r="CI18" s="84" t="str">
        <f ca="1">IF(NOT(ISERROR(CI19)),IF(COLUMN($I:$I)+SUM($BY19:CI19)-1&lt;COLUMN($N:$N),INDEX($1:$1048576,ROW(CI18),SUM($BZ19:CI19)+COLUMN($I$1)-1),INDEX($3:$3,1,COLUMN($I:$I)+SUM($BY19:CI19)-1)&amp;" ("&amp;INDEX($1:$1048576,ROW(CI18),SUM($BZ19:CI19)+COLUMN($I$1)-1)&amp;")"),"")</f>
        <v/>
      </c>
      <c r="CJ18" s="84" t="str">
        <f ca="1">IF(NOT(ISERROR(CJ19)),IF(COLUMN($I:$I)+SUM($BY19:CJ19)-1&lt;COLUMN($N:$N),INDEX($1:$1048576,ROW(CJ18),SUM($BZ19:CJ19)+COLUMN($I$1)-1),INDEX($3:$3,1,COLUMN($I:$I)+SUM($BY19:CJ19)-1)&amp;" ("&amp;INDEX($1:$1048576,ROW(CJ18),SUM($BZ19:CJ19)+COLUMN($I$1)-1)&amp;")"),"")</f>
        <v/>
      </c>
      <c r="CK18" s="87"/>
    </row>
    <row r="19" spans="1:89" s="88" customFormat="1" x14ac:dyDescent="0.25">
      <c r="A19" s="705"/>
      <c r="B19" s="707"/>
      <c r="C19" s="707"/>
      <c r="D19" s="709"/>
      <c r="E19" s="707"/>
      <c r="F19" s="699"/>
      <c r="G19" s="701"/>
      <c r="H19" s="701"/>
      <c r="J19" s="92" t="b">
        <f>IF(J18&gt;0,IF(AND(INDEX('General Merits'!$F:$F,MATCH($J18,'General Merits'!$F:$F,0),1)&gt;0,VLOOKUP('Merit Data'!J18,'General Merits'!$F:$Z,COLUMN('General Merits'!$N:$N),0)),TRUE,FALSE),#N/A)</f>
        <v>0</v>
      </c>
      <c r="K19" s="92" t="e">
        <f>IF(K18&gt;0,IF(AND(INDEX('General Merits'!$F:$F,MATCH($J18,'General Merits'!$F:$F,0),1)&gt;0,VLOOKUP('Merit Data'!K18,'General Merits'!$F:$Z,COLUMN('General Merits'!$N:$N),0)),TRUE,FALSE),#N/A)</f>
        <v>#N/A</v>
      </c>
      <c r="L19" s="92" t="e">
        <f>IF(L18&gt;0,IF(AND(INDEX('General Merits'!$F:$F,MATCH($J18,'General Merits'!$F:$F,0),1)&gt;0,VLOOKUP('Merit Data'!L18,'General Merits'!$F:$Z,COLUMN('General Merits'!$N:$N),0)),TRUE,FALSE),#N/A)</f>
        <v>#N/A</v>
      </c>
      <c r="N19" s="89" t="e">
        <f>IF(STR&gt;=N18,TRUE)</f>
        <v>#REF!</v>
      </c>
      <c r="O19" s="89" t="e">
        <f>IF(AGI&gt;=O18,TRUE)</f>
        <v>#REF!</v>
      </c>
      <c r="P19" s="89" t="e">
        <f>IF(CON&gt;=P18,TRUE)</f>
        <v>#REF!</v>
      </c>
      <c r="Q19" s="89" t="e">
        <f>IF(INT&gt;=Q18,TRUE)</f>
        <v>#REF!</v>
      </c>
      <c r="R19" s="89" t="e">
        <f>IF(WIS&gt;=R18,TRUE)</f>
        <v>#REF!</v>
      </c>
      <c r="S19" s="89" t="e">
        <f>IF(FOC&gt;=S18,TRUE)</f>
        <v>#REF!</v>
      </c>
      <c r="T19" s="89" t="e">
        <f>IF(CHA&gt;=T18,TRUE)</f>
        <v>#REF!</v>
      </c>
      <c r="U19" s="89" t="e">
        <f>IF(INS&gt;=U18,TRUE)</f>
        <v>#REF!</v>
      </c>
      <c r="V19" s="89" t="e">
        <f>IF(CNV&gt;=V18,TRUE)</f>
        <v>#REF!</v>
      </c>
      <c r="W19" s="89"/>
      <c r="X19" s="89" t="e">
        <f>IF(Archery&gt;=X18,TRUE)</f>
        <v>#REF!</v>
      </c>
      <c r="Y19" s="89" t="e">
        <f>IF(Crossbows&gt;=Y18,TRUE)</f>
        <v>#REF!</v>
      </c>
      <c r="Z19" s="89" t="e">
        <f>IF(Daggers&gt;=Z18,TRUE)</f>
        <v>#REF!</v>
      </c>
      <c r="AA19" s="89" t="e">
        <f>IF(HandtoHandCombat&gt;=AA18,TRUE)</f>
        <v>#REF!</v>
      </c>
      <c r="AB19" s="89" t="e">
        <f>IF(HeavyArmor&gt;=AB18,TRUE)</f>
        <v>#REF!</v>
      </c>
      <c r="AC19" s="89" t="e">
        <f>IF(ImprovisedWeaponry&gt;=AC18,TRUE)</f>
        <v>#NAME?</v>
      </c>
      <c r="AD19" s="89" t="e">
        <f>IF(LightArmor&gt;=AD18,TRUE)</f>
        <v>#REF!</v>
      </c>
      <c r="AE19" s="89" t="e">
        <f>IF(Magicka&gt;=AE18,TRUE)</f>
        <v>#REF!</v>
      </c>
      <c r="AF19" s="89" t="e">
        <f>IF(OR(Archery&gt;=AF18,Crossbows&gt;=AF18,Daggers&gt;=AF18,HandtoHandCombat&gt;=AF18,ImprovisedWeaponry&gt;=AF18,Axes&gt;=AF18,Maces&gt;=AF18,Swords&gt;=AF18,Polearms&gt;=AF18,Staves&gt;=AF18,Throwing&gt;=AF18,TwoHandedAxes&gt;=AF18,TwoHandedMaces&gt;=AF18,TwoHandedSwords&gt;=AF18),TRUE)</f>
        <v>#REF!</v>
      </c>
      <c r="AG19" s="89" t="e">
        <f>IF(Axes&gt;=AG18,TRUE)</f>
        <v>#REF!</v>
      </c>
      <c r="AH19" s="89" t="e">
        <f>IF(Maces&gt;=AH18,TRUE)</f>
        <v>#REF!</v>
      </c>
      <c r="AI19" s="89" t="e">
        <f>IF(Swords&gt;=AI18,TRUE)</f>
        <v>#REF!</v>
      </c>
      <c r="AJ19" s="89" t="e">
        <f>IF(Polearms&gt;=AJ18,TRUE)</f>
        <v>#REF!</v>
      </c>
      <c r="AK19" s="89" t="e">
        <f>IF(Shields&gt;=AK18,TRUE)</f>
        <v>#REF!</v>
      </c>
      <c r="AL19" s="89" t="e">
        <f>IF(Staves&gt;=AL18,TRUE)</f>
        <v>#REF!</v>
      </c>
      <c r="AM19" s="89" t="e">
        <f>IF(Throwing&gt;=AM18,TRUE)</f>
        <v>#REF!</v>
      </c>
      <c r="AN19" s="89" t="e">
        <f>IF(TwoHandedAxes&gt;=AN18,TRUE)</f>
        <v>#NAME?</v>
      </c>
      <c r="AO19" s="89" t="e">
        <f>IF(TwoHandedMaces&gt;=AO18,TRUE)</f>
        <v>#NAME?</v>
      </c>
      <c r="AP19" s="89" t="e">
        <f>IF(TwoHandedSwords&gt;=AP18,TRUE)</f>
        <v>#NAME?</v>
      </c>
      <c r="AQ19" s="89"/>
      <c r="AR19" s="89" t="e">
        <f>IF(Acrobatics&gt;=AR18,TRUE)</f>
        <v>#REF!</v>
      </c>
      <c r="AS19" s="89" t="e">
        <f>IF(Appraisal&gt;=AS18,TRUE)</f>
        <v>#REF!</v>
      </c>
      <c r="AT19" s="89" t="e">
        <f>IF(Athletics&gt;=AT18,TRUE)</f>
        <v>#REF!</v>
      </c>
      <c r="AU19" s="89" t="e">
        <f>IF(Comprehension&gt;=AU18,TRUE)</f>
        <v>#REF!</v>
      </c>
      <c r="AV19" s="89" t="e">
        <f>IF(Expression&gt;=AV18,TRUE)</f>
        <v>#REF!</v>
      </c>
      <c r="AW19" s="89" t="e">
        <f>IF(Perception&gt;=AW18,TRUE)</f>
        <v>#REF!</v>
      </c>
      <c r="AX19" s="89" t="e">
        <f>IF(Security&gt;=AX18,TRUE)</f>
        <v>#REF!</v>
      </c>
      <c r="AY19" s="89" t="e">
        <f>IF(Stealth&gt;=AY18,TRUE)</f>
        <v>#REF!</v>
      </c>
      <c r="AZ19" s="89" t="e">
        <f>IF(Streetwise&gt;=AZ18,TRUE)</f>
        <v>#REF!</v>
      </c>
      <c r="BA19" s="89" t="e">
        <f>IF(Subterfuge&gt;=BA18,TRUE)</f>
        <v>#REF!</v>
      </c>
      <c r="BB19" s="89" t="e">
        <f>IF(Survival&gt;=BB18,TRUE)</f>
        <v>#REF!</v>
      </c>
      <c r="BC19" s="89"/>
      <c r="BD19" s="89" t="e">
        <f>IF(AncientDraconic&gt;=BD18,TRUE)</f>
        <v>#REF!</v>
      </c>
      <c r="BE19" s="89" t="e">
        <f>IF(AquaElven&gt;=BE18,TRUE)</f>
        <v>#REF!</v>
      </c>
      <c r="BF19" s="89" t="e">
        <f>IF(BasicElven&gt;=BF18,TRUE)</f>
        <v>#REF!</v>
      </c>
      <c r="BG19" s="89" t="e">
        <f>IF(Common&gt;=BG18,TRUE)</f>
        <v>#REF!</v>
      </c>
      <c r="BH19" s="89" t="e">
        <f>IF(DarkElven&gt;=BH18,TRUE)</f>
        <v>#REF!</v>
      </c>
      <c r="BI19" s="89" t="e">
        <f>IF(Davek&gt;=BI18,TRUE)</f>
        <v>#REF!</v>
      </c>
      <c r="BJ19" s="89" t="e">
        <f>IF(Draconic&gt;=BJ18,TRUE)</f>
        <v>#REF!</v>
      </c>
      <c r="BK19" s="89" t="e">
        <f>IF(Eulian&gt;=BK18,TRUE)</f>
        <v>#REF!</v>
      </c>
      <c r="BL19" s="89" t="e">
        <f>IF(Garonian&gt;=BL18,TRUE)</f>
        <v>#REF!</v>
      </c>
      <c r="BM19" s="89" t="e">
        <f>IF(Geovek&gt;=BM18,TRUE)</f>
        <v>#REF!</v>
      </c>
      <c r="BN19" s="89" t="e">
        <f>IF(Gnomish&gt;=BN18,TRUE)</f>
        <v>#REF!</v>
      </c>
      <c r="BO19" s="89" t="e">
        <f>IF(Goblin&gt;=BO18,TRUE)</f>
        <v>#REF!</v>
      </c>
      <c r="BP19" s="89" t="e">
        <f>IF(HighElven&gt;=BP18,TRUE)</f>
        <v>#REF!</v>
      </c>
      <c r="BQ19" s="89" t="e">
        <f>IF(Kotaba&gt;=BQ18,TRUE)</f>
        <v>#REF!</v>
      </c>
      <c r="BR19" s="89" t="e">
        <f>IF(LowerCommon&gt;=BR18,TRUE)</f>
        <v>#REF!</v>
      </c>
      <c r="BS19" s="89" t="e">
        <f>IF(OldElven&gt;=BS18,TRUE)</f>
        <v>#REF!</v>
      </c>
      <c r="BT19" s="89" t="e">
        <f>IF(Sylvan&gt;=BT18,TRUE)</f>
        <v>#REF!</v>
      </c>
      <c r="BU19" s="89" t="e">
        <f>IF(TrueDraconic&gt;=BU18,TRUE)</f>
        <v>#REF!</v>
      </c>
      <c r="BV19" s="89" t="e">
        <f>IF(Volken&gt;=BV18,TRUE)</f>
        <v>#REF!</v>
      </c>
      <c r="BW19" s="89" t="e">
        <f>IF(WoodElven&gt;=BW18,TRUE)</f>
        <v>#REF!</v>
      </c>
      <c r="BX19" s="703"/>
      <c r="BY19" s="89"/>
      <c r="BZ19" s="88">
        <f ca="1">MATCH(TRUE,INDEX((INDIRECT(INDEX($1:$1,ROW($1:$1),COLUMN($I:$I)+SUM($BY19:BY19))&amp;$CK19-1&amp;":"&amp;$BW$1&amp;$CK19-1)&lt;&gt;0),0),0)</f>
        <v>2</v>
      </c>
      <c r="CA19" s="88" t="e">
        <f ca="1">MATCH(TRUE,INDEX((INDIRECT(INDEX($1:$1,ROW($1:$1),COLUMN($I:$I)+SUM($BY19:BZ19))&amp;$CK19-1&amp;":"&amp;$BW$1&amp;$CK19-1)&lt;&gt;0),0),0)</f>
        <v>#N/A</v>
      </c>
      <c r="CB19" s="88" t="e">
        <f ca="1">MATCH(TRUE,INDEX((INDIRECT(INDEX($1:$1,ROW($1:$1),COLUMN($I:$I)+SUM($BY19:CA19))&amp;$CK19-1&amp;":"&amp;$BW$1&amp;$CK19-1)&lt;&gt;0),0),0)</f>
        <v>#N/A</v>
      </c>
      <c r="CC19" s="88" t="e">
        <f ca="1">MATCH(TRUE,INDEX((INDIRECT(INDEX($1:$1,ROW($1:$1),COLUMN($I:$I)+SUM($BY19:CB19))&amp;$CK19-1&amp;":"&amp;$BW$1&amp;$CK19-1)&lt;&gt;0),0),0)</f>
        <v>#N/A</v>
      </c>
      <c r="CD19" s="88" t="e">
        <f ca="1">MATCH(TRUE,INDEX((INDIRECT(INDEX($1:$1,ROW($1:$1),COLUMN($I:$I)+SUM($BY19:CC19))&amp;$CK19-1&amp;":"&amp;$BW$1&amp;$CK19-1)&lt;&gt;0),0),0)</f>
        <v>#N/A</v>
      </c>
      <c r="CE19" s="88" t="e">
        <f ca="1">MATCH(TRUE,INDEX((INDIRECT(INDEX($1:$1,ROW($1:$1),COLUMN($I:$I)+SUM($BY19:CD19))&amp;$CK19-1&amp;":"&amp;$BW$1&amp;$CK19-1)&lt;&gt;0),0),0)</f>
        <v>#N/A</v>
      </c>
      <c r="CF19" s="88" t="e">
        <f ca="1">MATCH(TRUE,INDEX((INDIRECT(INDEX($1:$1,ROW($1:$1),COLUMN($I:$I)+SUM($BY19:CE19))&amp;$CK19-1&amp;":"&amp;$BW$1&amp;$CK19-1)&lt;&gt;0),0),0)</f>
        <v>#N/A</v>
      </c>
      <c r="CG19" s="88" t="e">
        <f ca="1">MATCH(TRUE,INDEX((INDIRECT(INDEX($1:$1,ROW($1:$1),COLUMN($I:$I)+SUM($BY19:CF19))&amp;$CK19-1&amp;":"&amp;$BW$1&amp;$CK19-1)&lt;&gt;0),0),0)</f>
        <v>#N/A</v>
      </c>
      <c r="CH19" s="88" t="e">
        <f ca="1">MATCH(TRUE,INDEX((INDIRECT(INDEX($1:$1,ROW($1:$1),COLUMN($I:$I)+SUM($BY19:CG19))&amp;$CK19-1&amp;":"&amp;$BW$1&amp;$CK19-1)&lt;&gt;0),0),0)</f>
        <v>#N/A</v>
      </c>
      <c r="CI19" s="88" t="e">
        <f ca="1">MATCH(TRUE,INDEX((INDIRECT(INDEX($1:$1,ROW($1:$1),COLUMN($I:$I)+SUM($BY19:CH19))&amp;$CK19-1&amp;":"&amp;$BW$1&amp;$CK19-1)&lt;&gt;0),0),0)</f>
        <v>#N/A</v>
      </c>
      <c r="CJ19" s="88" t="e">
        <f ca="1">MATCH(TRUE,INDEX((INDIRECT(INDEX($1:$1,ROW($1:$1),COLUMN($I:$I)+SUM($BY19:CI19))&amp;$CK19-1&amp;":"&amp;$BW$1&amp;$CK19-1)&lt;&gt;0),0),0)</f>
        <v>#N/A</v>
      </c>
      <c r="CK19" s="90">
        <f>ROW(CK19)</f>
        <v>19</v>
      </c>
    </row>
    <row r="20" spans="1:89" s="84" customFormat="1" ht="15" customHeight="1" x14ac:dyDescent="0.25">
      <c r="A20" s="704" t="s">
        <v>419</v>
      </c>
      <c r="B20" s="706" t="b">
        <f>ISERROR(MATCH(FALSE,$J21:$BW21,0))</f>
        <v>0</v>
      </c>
      <c r="C20" s="706" t="b">
        <f>IF(AND(INDEX('General Merits'!$F:$F,MATCH(A20,'General Merits'!$F:$F,0))&gt;0,VLOOKUP(A20,'General Merits'!$F:$Q,10,0)),TRUE,FALSE)</f>
        <v>0</v>
      </c>
      <c r="D20" s="708">
        <v>4</v>
      </c>
      <c r="E20" s="706">
        <f>D20*100</f>
        <v>400</v>
      </c>
      <c r="F20" s="698" t="s">
        <v>424</v>
      </c>
      <c r="G20" s="700"/>
      <c r="H20" s="700"/>
      <c r="J20" s="93" t="s">
        <v>418</v>
      </c>
      <c r="K20" s="93"/>
      <c r="L20" s="93"/>
      <c r="N20" s="85"/>
      <c r="O20" s="85"/>
      <c r="P20" s="85"/>
      <c r="Q20" s="85"/>
      <c r="R20" s="85"/>
      <c r="S20" s="85"/>
      <c r="T20" s="85"/>
      <c r="U20" s="85"/>
      <c r="V20" s="85"/>
      <c r="W20" s="86"/>
      <c r="X20" s="85"/>
      <c r="Y20" s="85"/>
      <c r="Z20" s="85"/>
      <c r="AA20" s="85"/>
      <c r="AB20" s="85"/>
      <c r="AC20" s="85"/>
      <c r="AD20" s="85"/>
      <c r="AE20" s="85"/>
      <c r="AF20" s="236"/>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702" t="str">
        <f ca="1">IF(BZ20&lt;&gt;"",BZ20,"")&amp;IF(CA20&lt;&gt;"",", "&amp;CA20,"")&amp;IF(CB20&lt;&gt;"",", "&amp;CB20,"")&amp;IF(CC20&lt;&gt;"",", "&amp;CC20,"")&amp;IF(CD20&lt;&gt;"",", "&amp;CD20,"")&amp;IF(CE20&lt;&gt;"",", "&amp;CE20,"")&amp;IF(CF20&lt;&gt;"",", "&amp;CF20,"")&amp;IF(CG20&lt;&gt;"",", "&amp;CG20,"")&amp;IF(CH20&lt;&gt;"",", "&amp;CH20,"")&amp;IF(CI20&lt;&gt;"",", "&amp;CI20,"")</f>
        <v>Rapid Reactions</v>
      </c>
      <c r="BY20" s="85"/>
      <c r="BZ20" s="84" t="str">
        <f ca="1">IF(NOT(ISERROR(BZ21)),IF(COLUMN($I:$I)+SUM($BY21:BZ21)-1&lt;COLUMN($N:$N),INDEX($1:$1048576,ROW(BZ20),SUM($BZ21:BZ21)+COLUMN($I$1)-1),INDEX($3:$3,1,COLUMN($I:$I)+SUM($BY21:BZ21)-1)&amp;" ("&amp;INDEX($1:$1048576,ROW(BZ20),SUM($BZ21:BZ21)+COLUMN($I$1)-1)&amp;")"),"")</f>
        <v>Rapid Reactions</v>
      </c>
      <c r="CA20" s="84" t="str">
        <f ca="1">IF(NOT(ISERROR(CA21)),IF(COLUMN($I:$I)+SUM($BY21:CA21)-1&lt;COLUMN($N:$N),INDEX($1:$1048576,ROW(CA20),SUM($BZ21:CA21)+COLUMN($I$1)-1),INDEX($3:$3,1,COLUMN($I:$I)+SUM($BY21:CA21)-1)&amp;" ("&amp;INDEX($1:$1048576,ROW(CA20),SUM($BZ21:CA21)+COLUMN($I$1)-1)&amp;")"),"")</f>
        <v/>
      </c>
      <c r="CB20" s="84" t="str">
        <f ca="1">IF(NOT(ISERROR(CB21)),IF(COLUMN($I:$I)+SUM($BY21:CB21)-1&lt;COLUMN($N:$N),INDEX($1:$1048576,ROW(CB20),SUM($BZ21:CB21)+COLUMN($I$1)-1),INDEX($3:$3,1,COLUMN($I:$I)+SUM($BY21:CB21)-1)&amp;" ("&amp;INDEX($1:$1048576,ROW(CB20),SUM($BZ21:CB21)+COLUMN($I$1)-1)&amp;")"),"")</f>
        <v/>
      </c>
      <c r="CC20" s="84" t="str">
        <f ca="1">IF(NOT(ISERROR(CC21)),IF(COLUMN($I:$I)+SUM($BY21:CC21)-1&lt;COLUMN($N:$N),INDEX($1:$1048576,ROW(CC20),SUM($BZ21:CC21)+COLUMN($I$1)-1),INDEX($3:$3,1,COLUMN($I:$I)+SUM($BY21:CC21)-1)&amp;" ("&amp;INDEX($1:$1048576,ROW(CC20),SUM($BZ21:CC21)+COLUMN($I$1)-1)&amp;")"),"")</f>
        <v/>
      </c>
      <c r="CD20" s="84" t="str">
        <f ca="1">IF(NOT(ISERROR(CD21)),IF(COLUMN($I:$I)+SUM($BY21:CD21)-1&lt;COLUMN($N:$N),INDEX($1:$1048576,ROW(CD20),SUM($BZ21:CD21)+COLUMN($I$1)-1),INDEX($3:$3,1,COLUMN($I:$I)+SUM($BY21:CD21)-1)&amp;" ("&amp;INDEX($1:$1048576,ROW(CD20),SUM($BZ21:CD21)+COLUMN($I$1)-1)&amp;")"),"")</f>
        <v/>
      </c>
      <c r="CE20" s="84" t="str">
        <f ca="1">IF(NOT(ISERROR(CE21)),IF(COLUMN($I:$I)+SUM($BY21:CE21)-1&lt;COLUMN($N:$N),INDEX($1:$1048576,ROW(CE20),SUM($BZ21:CE21)+COLUMN($I$1)-1),INDEX($3:$3,1,COLUMN($I:$I)+SUM($BY21:CE21)-1)&amp;" ("&amp;INDEX($1:$1048576,ROW(CE20),SUM($BZ21:CE21)+COLUMN($I$1)-1)&amp;")"),"")</f>
        <v/>
      </c>
      <c r="CF20" s="84" t="str">
        <f ca="1">IF(NOT(ISERROR(CF21)),IF(COLUMN($I:$I)+SUM($BY21:CF21)-1&lt;COLUMN($N:$N),INDEX($1:$1048576,ROW(CF20),SUM($BZ21:CF21)+COLUMN($I$1)-1),INDEX($3:$3,1,COLUMN($I:$I)+SUM($BY21:CF21)-1)&amp;" ("&amp;INDEX($1:$1048576,ROW(CF20),SUM($BZ21:CF21)+COLUMN($I$1)-1)&amp;")"),"")</f>
        <v/>
      </c>
      <c r="CG20" s="84" t="str">
        <f ca="1">IF(NOT(ISERROR(CG21)),IF(COLUMN($I:$I)+SUM($BY21:CG21)-1&lt;COLUMN($N:$N),INDEX($1:$1048576,ROW(CG20),SUM($BZ21:CG21)+COLUMN($I$1)-1),INDEX($3:$3,1,COLUMN($I:$I)+SUM($BY21:CG21)-1)&amp;" ("&amp;INDEX($1:$1048576,ROW(CG20),SUM($BZ21:CG21)+COLUMN($I$1)-1)&amp;")"),"")</f>
        <v/>
      </c>
      <c r="CH20" s="84" t="str">
        <f ca="1">IF(NOT(ISERROR(CH21)),IF(COLUMN($I:$I)+SUM($BY21:CH21)-1&lt;COLUMN($N:$N),INDEX($1:$1048576,ROW(CH20),SUM($BZ21:CH21)+COLUMN($I$1)-1),INDEX($3:$3,1,COLUMN($I:$I)+SUM($BY21:CH21)-1)&amp;" ("&amp;INDEX($1:$1048576,ROW(CH20),SUM($BZ21:CH21)+COLUMN($I$1)-1)&amp;")"),"")</f>
        <v/>
      </c>
      <c r="CI20" s="84" t="str">
        <f ca="1">IF(NOT(ISERROR(CI21)),IF(COLUMN($I:$I)+SUM($BY21:CI21)-1&lt;COLUMN($N:$N),INDEX($1:$1048576,ROW(CI20),SUM($BZ21:CI21)+COLUMN($I$1)-1),INDEX($3:$3,1,COLUMN($I:$I)+SUM($BY21:CI21)-1)&amp;" ("&amp;INDEX($1:$1048576,ROW(CI20),SUM($BZ21:CI21)+COLUMN($I$1)-1)&amp;")"),"")</f>
        <v/>
      </c>
      <c r="CJ20" s="84" t="str">
        <f ca="1">IF(NOT(ISERROR(CJ21)),IF(COLUMN($I:$I)+SUM($BY21:CJ21)-1&lt;COLUMN($N:$N),INDEX($1:$1048576,ROW(CJ20),SUM($BZ21:CJ21)+COLUMN($I$1)-1),INDEX($3:$3,1,COLUMN($I:$I)+SUM($BY21:CJ21)-1)&amp;" ("&amp;INDEX($1:$1048576,ROW(CJ20),SUM($BZ21:CJ21)+COLUMN($I$1)-1)&amp;")"),"")</f>
        <v/>
      </c>
      <c r="CK20" s="87"/>
    </row>
    <row r="21" spans="1:89" s="88" customFormat="1" x14ac:dyDescent="0.25">
      <c r="A21" s="705"/>
      <c r="B21" s="707"/>
      <c r="C21" s="707"/>
      <c r="D21" s="709"/>
      <c r="E21" s="707"/>
      <c r="F21" s="699"/>
      <c r="G21" s="701"/>
      <c r="H21" s="701"/>
      <c r="J21" s="92" t="b">
        <f>IF(J20&gt;0,IF(AND(INDEX('General Merits'!$F:$F,MATCH($J20,'General Merits'!$F:$F,0),1)&gt;0,VLOOKUP('Merit Data'!J20,'General Merits'!$F:$Z,COLUMN('General Merits'!$N:$N),0)),TRUE,FALSE),#N/A)</f>
        <v>0</v>
      </c>
      <c r="K21" s="92" t="e">
        <f>IF(K20&gt;0,IF(AND(INDEX('General Merits'!$F:$F,MATCH($J20,'General Merits'!$F:$F,0),1)&gt;0,VLOOKUP('Merit Data'!K20,'General Merits'!$F:$Z,COLUMN('General Merits'!$N:$N),0)),TRUE,FALSE),#N/A)</f>
        <v>#N/A</v>
      </c>
      <c r="L21" s="92" t="e">
        <f>IF(L20&gt;0,IF(AND(INDEX('General Merits'!$F:$F,MATCH($J20,'General Merits'!$F:$F,0),1)&gt;0,VLOOKUP('Merit Data'!L20,'General Merits'!$F:$Z,COLUMN('General Merits'!$N:$N),0)),TRUE,FALSE),#N/A)</f>
        <v>#N/A</v>
      </c>
      <c r="N21" s="89" t="e">
        <f>IF(STR&gt;=N20,TRUE)</f>
        <v>#REF!</v>
      </c>
      <c r="O21" s="89" t="e">
        <f>IF(AGI&gt;=O20,TRUE)</f>
        <v>#REF!</v>
      </c>
      <c r="P21" s="89" t="e">
        <f>IF(CON&gt;=P20,TRUE)</f>
        <v>#REF!</v>
      </c>
      <c r="Q21" s="89" t="e">
        <f>IF(INT&gt;=Q20,TRUE)</f>
        <v>#REF!</v>
      </c>
      <c r="R21" s="89" t="e">
        <f>IF(WIS&gt;=R20,TRUE)</f>
        <v>#REF!</v>
      </c>
      <c r="S21" s="89" t="e">
        <f>IF(FOC&gt;=S20,TRUE)</f>
        <v>#REF!</v>
      </c>
      <c r="T21" s="89" t="e">
        <f>IF(CHA&gt;=T20,TRUE)</f>
        <v>#REF!</v>
      </c>
      <c r="U21" s="89" t="e">
        <f>IF(INS&gt;=U20,TRUE)</f>
        <v>#REF!</v>
      </c>
      <c r="V21" s="89" t="e">
        <f>IF(CNV&gt;=V20,TRUE)</f>
        <v>#REF!</v>
      </c>
      <c r="W21" s="89"/>
      <c r="X21" s="89" t="e">
        <f>IF(Archery&gt;=X20,TRUE)</f>
        <v>#REF!</v>
      </c>
      <c r="Y21" s="89" t="e">
        <f>IF(Crossbows&gt;=Y20,TRUE)</f>
        <v>#REF!</v>
      </c>
      <c r="Z21" s="89" t="e">
        <f>IF(Daggers&gt;=Z20,TRUE)</f>
        <v>#REF!</v>
      </c>
      <c r="AA21" s="89" t="e">
        <f>IF(HandtoHandCombat&gt;=AA20,TRUE)</f>
        <v>#REF!</v>
      </c>
      <c r="AB21" s="89" t="e">
        <f>IF(HeavyArmor&gt;=AB20,TRUE)</f>
        <v>#REF!</v>
      </c>
      <c r="AC21" s="89" t="e">
        <f>IF(ImprovisedWeaponry&gt;=AC20,TRUE)</f>
        <v>#NAME?</v>
      </c>
      <c r="AD21" s="89" t="e">
        <f>IF(LightArmor&gt;=AD20,TRUE)</f>
        <v>#REF!</v>
      </c>
      <c r="AE21" s="89" t="e">
        <f>IF(Magicka&gt;=AE20,TRUE)</f>
        <v>#REF!</v>
      </c>
      <c r="AF21" s="89" t="e">
        <f>IF(OR(Archery&gt;=AF20,Crossbows&gt;=AF20,Daggers&gt;=AF20,HandtoHandCombat&gt;=AF20,ImprovisedWeaponry&gt;=AF20,Axes&gt;=AF20,Maces&gt;=AF20,Swords&gt;=AF20,Polearms&gt;=AF20,Staves&gt;=AF20,Throwing&gt;=AF20,TwoHandedAxes&gt;=AF20,TwoHandedMaces&gt;=AF20,TwoHandedSwords&gt;=AF20),TRUE)</f>
        <v>#REF!</v>
      </c>
      <c r="AG21" s="89" t="e">
        <f>IF(Axes&gt;=AG20,TRUE)</f>
        <v>#REF!</v>
      </c>
      <c r="AH21" s="89" t="e">
        <f>IF(Maces&gt;=AH20,TRUE)</f>
        <v>#REF!</v>
      </c>
      <c r="AI21" s="89" t="e">
        <f>IF(Swords&gt;=AI20,TRUE)</f>
        <v>#REF!</v>
      </c>
      <c r="AJ21" s="89" t="e">
        <f>IF(Polearms&gt;=AJ20,TRUE)</f>
        <v>#REF!</v>
      </c>
      <c r="AK21" s="89" t="e">
        <f>IF(Shields&gt;=AK20,TRUE)</f>
        <v>#REF!</v>
      </c>
      <c r="AL21" s="89" t="e">
        <f>IF(Staves&gt;=AL20,TRUE)</f>
        <v>#REF!</v>
      </c>
      <c r="AM21" s="89" t="e">
        <f>IF(Throwing&gt;=AM20,TRUE)</f>
        <v>#REF!</v>
      </c>
      <c r="AN21" s="89" t="e">
        <f>IF(TwoHandedAxes&gt;=AN20,TRUE)</f>
        <v>#NAME?</v>
      </c>
      <c r="AO21" s="89" t="e">
        <f>IF(TwoHandedMaces&gt;=AO20,TRUE)</f>
        <v>#NAME?</v>
      </c>
      <c r="AP21" s="89" t="e">
        <f>IF(TwoHandedSwords&gt;=AP20,TRUE)</f>
        <v>#NAME?</v>
      </c>
      <c r="AQ21" s="89"/>
      <c r="AR21" s="89" t="e">
        <f>IF(Acrobatics&gt;=AR20,TRUE)</f>
        <v>#REF!</v>
      </c>
      <c r="AS21" s="89" t="e">
        <f>IF(Appraisal&gt;=AS20,TRUE)</f>
        <v>#REF!</v>
      </c>
      <c r="AT21" s="89" t="e">
        <f>IF(Athletics&gt;=AT20,TRUE)</f>
        <v>#REF!</v>
      </c>
      <c r="AU21" s="89" t="e">
        <f>IF(Comprehension&gt;=AU20,TRUE)</f>
        <v>#REF!</v>
      </c>
      <c r="AV21" s="89" t="e">
        <f>IF(Expression&gt;=AV20,TRUE)</f>
        <v>#REF!</v>
      </c>
      <c r="AW21" s="89" t="e">
        <f>IF(Perception&gt;=AW20,TRUE)</f>
        <v>#REF!</v>
      </c>
      <c r="AX21" s="89" t="e">
        <f>IF(Security&gt;=AX20,TRUE)</f>
        <v>#REF!</v>
      </c>
      <c r="AY21" s="89" t="e">
        <f>IF(Stealth&gt;=AY20,TRUE)</f>
        <v>#REF!</v>
      </c>
      <c r="AZ21" s="89" t="e">
        <f>IF(Streetwise&gt;=AZ20,TRUE)</f>
        <v>#REF!</v>
      </c>
      <c r="BA21" s="89" t="e">
        <f>IF(Subterfuge&gt;=BA20,TRUE)</f>
        <v>#REF!</v>
      </c>
      <c r="BB21" s="89" t="e">
        <f>IF(Survival&gt;=BB20,TRUE)</f>
        <v>#REF!</v>
      </c>
      <c r="BC21" s="89"/>
      <c r="BD21" s="89" t="e">
        <f>IF(AncientDraconic&gt;=BD20,TRUE)</f>
        <v>#REF!</v>
      </c>
      <c r="BE21" s="89" t="e">
        <f>IF(AquaElven&gt;=BE20,TRUE)</f>
        <v>#REF!</v>
      </c>
      <c r="BF21" s="89" t="e">
        <f>IF(BasicElven&gt;=BF20,TRUE)</f>
        <v>#REF!</v>
      </c>
      <c r="BG21" s="89" t="e">
        <f>IF(Common&gt;=BG20,TRUE)</f>
        <v>#REF!</v>
      </c>
      <c r="BH21" s="89" t="e">
        <f>IF(DarkElven&gt;=BH20,TRUE)</f>
        <v>#REF!</v>
      </c>
      <c r="BI21" s="89" t="e">
        <f>IF(Davek&gt;=BI20,TRUE)</f>
        <v>#REF!</v>
      </c>
      <c r="BJ21" s="89" t="e">
        <f>IF(Draconic&gt;=BJ20,TRUE)</f>
        <v>#REF!</v>
      </c>
      <c r="BK21" s="89" t="e">
        <f>IF(Eulian&gt;=BK20,TRUE)</f>
        <v>#REF!</v>
      </c>
      <c r="BL21" s="89" t="e">
        <f>IF(Garonian&gt;=BL20,TRUE)</f>
        <v>#REF!</v>
      </c>
      <c r="BM21" s="89" t="e">
        <f>IF(Geovek&gt;=BM20,TRUE)</f>
        <v>#REF!</v>
      </c>
      <c r="BN21" s="89" t="e">
        <f>IF(Gnomish&gt;=BN20,TRUE)</f>
        <v>#REF!</v>
      </c>
      <c r="BO21" s="89" t="e">
        <f>IF(Goblin&gt;=BO20,TRUE)</f>
        <v>#REF!</v>
      </c>
      <c r="BP21" s="89" t="e">
        <f>IF(HighElven&gt;=BP20,TRUE)</f>
        <v>#REF!</v>
      </c>
      <c r="BQ21" s="89" t="e">
        <f>IF(Kotaba&gt;=BQ20,TRUE)</f>
        <v>#REF!</v>
      </c>
      <c r="BR21" s="89" t="e">
        <f>IF(LowerCommon&gt;=BR20,TRUE)</f>
        <v>#REF!</v>
      </c>
      <c r="BS21" s="89" t="e">
        <f>IF(OldElven&gt;=BS20,TRUE)</f>
        <v>#REF!</v>
      </c>
      <c r="BT21" s="89" t="e">
        <f>IF(Sylvan&gt;=BT20,TRUE)</f>
        <v>#REF!</v>
      </c>
      <c r="BU21" s="89" t="e">
        <f>IF(TrueDraconic&gt;=BU20,TRUE)</f>
        <v>#REF!</v>
      </c>
      <c r="BV21" s="89" t="e">
        <f>IF(Volken&gt;=BV20,TRUE)</f>
        <v>#REF!</v>
      </c>
      <c r="BW21" s="89" t="e">
        <f>IF(WoodElven&gt;=BW20,TRUE)</f>
        <v>#REF!</v>
      </c>
      <c r="BX21" s="703"/>
      <c r="BY21" s="89"/>
      <c r="BZ21" s="88">
        <f ca="1">MATCH(TRUE,INDEX((INDIRECT(INDEX($1:$1,ROW($1:$1),COLUMN($I:$I)+SUM($BY21:BY21))&amp;$CK21-1&amp;":"&amp;$BW$1&amp;$CK21-1)&lt;&gt;0),0),0)</f>
        <v>2</v>
      </c>
      <c r="CA21" s="88" t="e">
        <f ca="1">MATCH(TRUE,INDEX((INDIRECT(INDEX($1:$1,ROW($1:$1),COLUMN($I:$I)+SUM($BY21:BZ21))&amp;$CK21-1&amp;":"&amp;$BW$1&amp;$CK21-1)&lt;&gt;0),0),0)</f>
        <v>#N/A</v>
      </c>
      <c r="CB21" s="88" t="e">
        <f ca="1">MATCH(TRUE,INDEX((INDIRECT(INDEX($1:$1,ROW($1:$1),COLUMN($I:$I)+SUM($BY21:CA21))&amp;$CK21-1&amp;":"&amp;$BW$1&amp;$CK21-1)&lt;&gt;0),0),0)</f>
        <v>#N/A</v>
      </c>
      <c r="CC21" s="88" t="e">
        <f ca="1">MATCH(TRUE,INDEX((INDIRECT(INDEX($1:$1,ROW($1:$1),COLUMN($I:$I)+SUM($BY21:CB21))&amp;$CK21-1&amp;":"&amp;$BW$1&amp;$CK21-1)&lt;&gt;0),0),0)</f>
        <v>#N/A</v>
      </c>
      <c r="CD21" s="88" t="e">
        <f ca="1">MATCH(TRUE,INDEX((INDIRECT(INDEX($1:$1,ROW($1:$1),COLUMN($I:$I)+SUM($BY21:CC21))&amp;$CK21-1&amp;":"&amp;$BW$1&amp;$CK21-1)&lt;&gt;0),0),0)</f>
        <v>#N/A</v>
      </c>
      <c r="CE21" s="88" t="e">
        <f ca="1">MATCH(TRUE,INDEX((INDIRECT(INDEX($1:$1,ROW($1:$1),COLUMN($I:$I)+SUM($BY21:CD21))&amp;$CK21-1&amp;":"&amp;$BW$1&amp;$CK21-1)&lt;&gt;0),0),0)</f>
        <v>#N/A</v>
      </c>
      <c r="CF21" s="88" t="e">
        <f ca="1">MATCH(TRUE,INDEX((INDIRECT(INDEX($1:$1,ROW($1:$1),COLUMN($I:$I)+SUM($BY21:CE21))&amp;$CK21-1&amp;":"&amp;$BW$1&amp;$CK21-1)&lt;&gt;0),0),0)</f>
        <v>#N/A</v>
      </c>
      <c r="CG21" s="88" t="e">
        <f ca="1">MATCH(TRUE,INDEX((INDIRECT(INDEX($1:$1,ROW($1:$1),COLUMN($I:$I)+SUM($BY21:CF21))&amp;$CK21-1&amp;":"&amp;$BW$1&amp;$CK21-1)&lt;&gt;0),0),0)</f>
        <v>#N/A</v>
      </c>
      <c r="CH21" s="88" t="e">
        <f ca="1">MATCH(TRUE,INDEX((INDIRECT(INDEX($1:$1,ROW($1:$1),COLUMN($I:$I)+SUM($BY21:CG21))&amp;$CK21-1&amp;":"&amp;$BW$1&amp;$CK21-1)&lt;&gt;0),0),0)</f>
        <v>#N/A</v>
      </c>
      <c r="CI21" s="88" t="e">
        <f ca="1">MATCH(TRUE,INDEX((INDIRECT(INDEX($1:$1,ROW($1:$1),COLUMN($I:$I)+SUM($BY21:CH21))&amp;$CK21-1&amp;":"&amp;$BW$1&amp;$CK21-1)&lt;&gt;0),0),0)</f>
        <v>#N/A</v>
      </c>
      <c r="CJ21" s="88" t="e">
        <f ca="1">MATCH(TRUE,INDEX((INDIRECT(INDEX($1:$1,ROW($1:$1),COLUMN($I:$I)+SUM($BY21:CI21))&amp;$CK21-1&amp;":"&amp;$BW$1&amp;$CK21-1)&lt;&gt;0),0),0)</f>
        <v>#N/A</v>
      </c>
      <c r="CK21" s="90">
        <f>ROW(CK21)</f>
        <v>21</v>
      </c>
    </row>
    <row r="22" spans="1:89" s="84" customFormat="1" ht="15" customHeight="1" x14ac:dyDescent="0.25">
      <c r="A22" s="704" t="s">
        <v>420</v>
      </c>
      <c r="B22" s="706" t="b">
        <f>ISERROR(MATCH(FALSE,$J23:$BW23,0))</f>
        <v>0</v>
      </c>
      <c r="C22" s="706" t="b">
        <f>IF(AND(INDEX('General Merits'!$F:$F,MATCH(A22,'General Merits'!$F:$F,0))&gt;0,VLOOKUP(A22,'General Merits'!$F:$Q,10,0)),TRUE,FALSE)</f>
        <v>0</v>
      </c>
      <c r="D22" s="708">
        <v>4</v>
      </c>
      <c r="E22" s="706">
        <f>D22*100</f>
        <v>400</v>
      </c>
      <c r="F22" s="698" t="s">
        <v>425</v>
      </c>
      <c r="G22" s="700"/>
      <c r="H22" s="700"/>
      <c r="J22" s="93" t="s">
        <v>417</v>
      </c>
      <c r="K22" s="93"/>
      <c r="L22" s="93"/>
      <c r="N22" s="85"/>
      <c r="O22" s="85"/>
      <c r="P22" s="85"/>
      <c r="Q22" s="85"/>
      <c r="R22" s="85"/>
      <c r="S22" s="85"/>
      <c r="T22" s="85"/>
      <c r="U22" s="85"/>
      <c r="V22" s="85"/>
      <c r="W22" s="86"/>
      <c r="X22" s="85"/>
      <c r="Y22" s="85"/>
      <c r="Z22" s="85"/>
      <c r="AA22" s="85"/>
      <c r="AB22" s="85"/>
      <c r="AC22" s="85"/>
      <c r="AD22" s="85"/>
      <c r="AE22" s="85"/>
      <c r="AF22" s="236"/>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702" t="str">
        <f ca="1">IF(BZ22&lt;&gt;"",BZ22,"")&amp;IF(CA22&lt;&gt;"",", "&amp;CA22,"")&amp;IF(CB22&lt;&gt;"",", "&amp;CB22,"")&amp;IF(CC22&lt;&gt;"",", "&amp;CC22,"")&amp;IF(CD22&lt;&gt;"",", "&amp;CD22,"")&amp;IF(CE22&lt;&gt;"",", "&amp;CE22,"")&amp;IF(CF22&lt;&gt;"",", "&amp;CF22,"")&amp;IF(CG22&lt;&gt;"",", "&amp;CG22,"")&amp;IF(CH22&lt;&gt;"",", "&amp;CH22,"")&amp;IF(CI22&lt;&gt;"",", "&amp;CI22,"")</f>
        <v>Swift Reactions</v>
      </c>
      <c r="BY22" s="85"/>
      <c r="BZ22" s="84" t="str">
        <f ca="1">IF(NOT(ISERROR(BZ23)),IF(COLUMN($I:$I)+SUM($BY23:BZ23)-1&lt;COLUMN($N:$N),INDEX($1:$1048576,ROW(BZ22),SUM($BZ23:BZ23)+COLUMN($I$1)-1),INDEX($3:$3,1,COLUMN($I:$I)+SUM($BY23:BZ23)-1)&amp;" ("&amp;INDEX($1:$1048576,ROW(BZ22),SUM($BZ23:BZ23)+COLUMN($I$1)-1)&amp;")"),"")</f>
        <v>Swift Reactions</v>
      </c>
      <c r="CA22" s="84" t="str">
        <f ca="1">IF(NOT(ISERROR(CA23)),IF(COLUMN($I:$I)+SUM($BY23:CA23)-1&lt;COLUMN($N:$N),INDEX($1:$1048576,ROW(CA22),SUM($BZ23:CA23)+COLUMN($I$1)-1),INDEX($3:$3,1,COLUMN($I:$I)+SUM($BY23:CA23)-1)&amp;" ("&amp;INDEX($1:$1048576,ROW(CA22),SUM($BZ23:CA23)+COLUMN($I$1)-1)&amp;")"),"")</f>
        <v/>
      </c>
      <c r="CB22" s="84" t="str">
        <f ca="1">IF(NOT(ISERROR(CB23)),IF(COLUMN($I:$I)+SUM($BY23:CB23)-1&lt;COLUMN($N:$N),INDEX($1:$1048576,ROW(CB22),SUM($BZ23:CB23)+COLUMN($I$1)-1),INDEX($3:$3,1,COLUMN($I:$I)+SUM($BY23:CB23)-1)&amp;" ("&amp;INDEX($1:$1048576,ROW(CB22),SUM($BZ23:CB23)+COLUMN($I$1)-1)&amp;")"),"")</f>
        <v/>
      </c>
      <c r="CC22" s="84" t="str">
        <f ca="1">IF(NOT(ISERROR(CC23)),IF(COLUMN($I:$I)+SUM($BY23:CC23)-1&lt;COLUMN($N:$N),INDEX($1:$1048576,ROW(CC22),SUM($BZ23:CC23)+COLUMN($I$1)-1),INDEX($3:$3,1,COLUMN($I:$I)+SUM($BY23:CC23)-1)&amp;" ("&amp;INDEX($1:$1048576,ROW(CC22),SUM($BZ23:CC23)+COLUMN($I$1)-1)&amp;")"),"")</f>
        <v/>
      </c>
      <c r="CD22" s="84" t="str">
        <f ca="1">IF(NOT(ISERROR(CD23)),IF(COLUMN($I:$I)+SUM($BY23:CD23)-1&lt;COLUMN($N:$N),INDEX($1:$1048576,ROW(CD22),SUM($BZ23:CD23)+COLUMN($I$1)-1),INDEX($3:$3,1,COLUMN($I:$I)+SUM($BY23:CD23)-1)&amp;" ("&amp;INDEX($1:$1048576,ROW(CD22),SUM($BZ23:CD23)+COLUMN($I$1)-1)&amp;")"),"")</f>
        <v/>
      </c>
      <c r="CE22" s="84" t="str">
        <f ca="1">IF(NOT(ISERROR(CE23)),IF(COLUMN($I:$I)+SUM($BY23:CE23)-1&lt;COLUMN($N:$N),INDEX($1:$1048576,ROW(CE22),SUM($BZ23:CE23)+COLUMN($I$1)-1),INDEX($3:$3,1,COLUMN($I:$I)+SUM($BY23:CE23)-1)&amp;" ("&amp;INDEX($1:$1048576,ROW(CE22),SUM($BZ23:CE23)+COLUMN($I$1)-1)&amp;")"),"")</f>
        <v/>
      </c>
      <c r="CF22" s="84" t="str">
        <f ca="1">IF(NOT(ISERROR(CF23)),IF(COLUMN($I:$I)+SUM($BY23:CF23)-1&lt;COLUMN($N:$N),INDEX($1:$1048576,ROW(CF22),SUM($BZ23:CF23)+COLUMN($I$1)-1),INDEX($3:$3,1,COLUMN($I:$I)+SUM($BY23:CF23)-1)&amp;" ("&amp;INDEX($1:$1048576,ROW(CF22),SUM($BZ23:CF23)+COLUMN($I$1)-1)&amp;")"),"")</f>
        <v/>
      </c>
      <c r="CG22" s="84" t="str">
        <f ca="1">IF(NOT(ISERROR(CG23)),IF(COLUMN($I:$I)+SUM($BY23:CG23)-1&lt;COLUMN($N:$N),INDEX($1:$1048576,ROW(CG22),SUM($BZ23:CG23)+COLUMN($I$1)-1),INDEX($3:$3,1,COLUMN($I:$I)+SUM($BY23:CG23)-1)&amp;" ("&amp;INDEX($1:$1048576,ROW(CG22),SUM($BZ23:CG23)+COLUMN($I$1)-1)&amp;")"),"")</f>
        <v/>
      </c>
      <c r="CH22" s="84" t="str">
        <f ca="1">IF(NOT(ISERROR(CH23)),IF(COLUMN($I:$I)+SUM($BY23:CH23)-1&lt;COLUMN($N:$N),INDEX($1:$1048576,ROW(CH22),SUM($BZ23:CH23)+COLUMN($I$1)-1),INDEX($3:$3,1,COLUMN($I:$I)+SUM($BY23:CH23)-1)&amp;" ("&amp;INDEX($1:$1048576,ROW(CH22),SUM($BZ23:CH23)+COLUMN($I$1)-1)&amp;")"),"")</f>
        <v/>
      </c>
      <c r="CI22" s="84" t="str">
        <f ca="1">IF(NOT(ISERROR(CI23)),IF(COLUMN($I:$I)+SUM($BY23:CI23)-1&lt;COLUMN($N:$N),INDEX($1:$1048576,ROW(CI22),SUM($BZ23:CI23)+COLUMN($I$1)-1),INDEX($3:$3,1,COLUMN($I:$I)+SUM($BY23:CI23)-1)&amp;" ("&amp;INDEX($1:$1048576,ROW(CI22),SUM($BZ23:CI23)+COLUMN($I$1)-1)&amp;")"),"")</f>
        <v/>
      </c>
      <c r="CJ22" s="84" t="str">
        <f ca="1">IF(NOT(ISERROR(CJ23)),IF(COLUMN($I:$I)+SUM($BY23:CJ23)-1&lt;COLUMN($N:$N),INDEX($1:$1048576,ROW(CJ22),SUM($BZ23:CJ23)+COLUMN($I$1)-1),INDEX($3:$3,1,COLUMN($I:$I)+SUM($BY23:CJ23)-1)&amp;" ("&amp;INDEX($1:$1048576,ROW(CJ22),SUM($BZ23:CJ23)+COLUMN($I$1)-1)&amp;")"),"")</f>
        <v/>
      </c>
      <c r="CK22" s="87"/>
    </row>
    <row r="23" spans="1:89" s="88" customFormat="1" x14ac:dyDescent="0.25">
      <c r="A23" s="705"/>
      <c r="B23" s="707"/>
      <c r="C23" s="707"/>
      <c r="D23" s="709"/>
      <c r="E23" s="707"/>
      <c r="F23" s="699"/>
      <c r="G23" s="701"/>
      <c r="H23" s="701"/>
      <c r="J23" s="92" t="b">
        <f>IF(J22&gt;0,IF(AND(INDEX('General Merits'!$F:$F,MATCH($J22,'General Merits'!$F:$F,0),1)&gt;0,VLOOKUP('Merit Data'!J22,'General Merits'!$F:$Z,COLUMN('General Merits'!$N:$N),0)),TRUE,FALSE),#N/A)</f>
        <v>0</v>
      </c>
      <c r="K23" s="92" t="e">
        <f>IF(K22&gt;0,IF(AND(INDEX('General Merits'!$F:$F,MATCH($J22,'General Merits'!$F:$F,0),1)&gt;0,VLOOKUP('Merit Data'!K22,'General Merits'!$F:$Z,COLUMN('General Merits'!$N:$N),0)),TRUE,FALSE),#N/A)</f>
        <v>#N/A</v>
      </c>
      <c r="L23" s="92" t="e">
        <f>IF(L22&gt;0,IF(AND(INDEX('General Merits'!$F:$F,MATCH($J22,'General Merits'!$F:$F,0),1)&gt;0,VLOOKUP('Merit Data'!L22,'General Merits'!$F:$Z,COLUMN('General Merits'!$N:$N),0)),TRUE,FALSE),#N/A)</f>
        <v>#N/A</v>
      </c>
      <c r="N23" s="89" t="e">
        <f>IF(STR&gt;=N22,TRUE)</f>
        <v>#REF!</v>
      </c>
      <c r="O23" s="89" t="e">
        <f>IF(AGI&gt;=O22,TRUE)</f>
        <v>#REF!</v>
      </c>
      <c r="P23" s="89" t="e">
        <f>IF(CON&gt;=P22,TRUE)</f>
        <v>#REF!</v>
      </c>
      <c r="Q23" s="89" t="e">
        <f>IF(INT&gt;=Q22,TRUE)</f>
        <v>#REF!</v>
      </c>
      <c r="R23" s="89" t="e">
        <f>IF(WIS&gt;=R22,TRUE)</f>
        <v>#REF!</v>
      </c>
      <c r="S23" s="89" t="e">
        <f>IF(FOC&gt;=S22,TRUE)</f>
        <v>#REF!</v>
      </c>
      <c r="T23" s="89" t="e">
        <f>IF(CHA&gt;=T22,TRUE)</f>
        <v>#REF!</v>
      </c>
      <c r="U23" s="89" t="e">
        <f>IF(INS&gt;=U22,TRUE)</f>
        <v>#REF!</v>
      </c>
      <c r="V23" s="89" t="e">
        <f>IF(CNV&gt;=V22,TRUE)</f>
        <v>#REF!</v>
      </c>
      <c r="W23" s="89"/>
      <c r="X23" s="89" t="e">
        <f>IF(Archery&gt;=X22,TRUE)</f>
        <v>#REF!</v>
      </c>
      <c r="Y23" s="89" t="e">
        <f>IF(Crossbows&gt;=Y22,TRUE)</f>
        <v>#REF!</v>
      </c>
      <c r="Z23" s="89" t="e">
        <f>IF(Daggers&gt;=Z22,TRUE)</f>
        <v>#REF!</v>
      </c>
      <c r="AA23" s="89" t="e">
        <f>IF(HandtoHandCombat&gt;=AA22,TRUE)</f>
        <v>#REF!</v>
      </c>
      <c r="AB23" s="89" t="e">
        <f>IF(HeavyArmor&gt;=AB22,TRUE)</f>
        <v>#REF!</v>
      </c>
      <c r="AC23" s="89" t="e">
        <f>IF(ImprovisedWeaponry&gt;=AC22,TRUE)</f>
        <v>#NAME?</v>
      </c>
      <c r="AD23" s="89" t="e">
        <f>IF(LightArmor&gt;=AD22,TRUE)</f>
        <v>#REF!</v>
      </c>
      <c r="AE23" s="89" t="e">
        <f>IF(Magicka&gt;=AE22,TRUE)</f>
        <v>#REF!</v>
      </c>
      <c r="AF23" s="89" t="e">
        <f>IF(OR(Archery&gt;=AF22,Crossbows&gt;=AF22,Daggers&gt;=AF22,HandtoHandCombat&gt;=AF22,ImprovisedWeaponry&gt;=AF22,Axes&gt;=AF22,Maces&gt;=AF22,Swords&gt;=AF22,Polearms&gt;=AF22,Staves&gt;=AF22,Throwing&gt;=AF22,TwoHandedAxes&gt;=AF22,TwoHandedMaces&gt;=AF22,TwoHandedSwords&gt;=AF22),TRUE)</f>
        <v>#REF!</v>
      </c>
      <c r="AG23" s="89" t="e">
        <f>IF(Axes&gt;=AG22,TRUE)</f>
        <v>#REF!</v>
      </c>
      <c r="AH23" s="89" t="e">
        <f>IF(Maces&gt;=AH22,TRUE)</f>
        <v>#REF!</v>
      </c>
      <c r="AI23" s="89" t="e">
        <f>IF(Swords&gt;=AI22,TRUE)</f>
        <v>#REF!</v>
      </c>
      <c r="AJ23" s="89" t="e">
        <f>IF(Polearms&gt;=AJ22,TRUE)</f>
        <v>#REF!</v>
      </c>
      <c r="AK23" s="89" t="e">
        <f>IF(Shields&gt;=AK22,TRUE)</f>
        <v>#REF!</v>
      </c>
      <c r="AL23" s="89" t="e">
        <f>IF(Staves&gt;=AL22,TRUE)</f>
        <v>#REF!</v>
      </c>
      <c r="AM23" s="89" t="e">
        <f>IF(Throwing&gt;=AM22,TRUE)</f>
        <v>#REF!</v>
      </c>
      <c r="AN23" s="89" t="e">
        <f>IF(TwoHandedAxes&gt;=AN22,TRUE)</f>
        <v>#NAME?</v>
      </c>
      <c r="AO23" s="89" t="e">
        <f>IF(TwoHandedMaces&gt;=AO22,TRUE)</f>
        <v>#NAME?</v>
      </c>
      <c r="AP23" s="89" t="e">
        <f>IF(TwoHandedSwords&gt;=AP22,TRUE)</f>
        <v>#NAME?</v>
      </c>
      <c r="AQ23" s="89"/>
      <c r="AR23" s="89" t="e">
        <f>IF(Acrobatics&gt;=AR22,TRUE)</f>
        <v>#REF!</v>
      </c>
      <c r="AS23" s="89" t="e">
        <f>IF(Appraisal&gt;=AS22,TRUE)</f>
        <v>#REF!</v>
      </c>
      <c r="AT23" s="89" t="e">
        <f>IF(Athletics&gt;=AT22,TRUE)</f>
        <v>#REF!</v>
      </c>
      <c r="AU23" s="89" t="e">
        <f>IF(Comprehension&gt;=AU22,TRUE)</f>
        <v>#REF!</v>
      </c>
      <c r="AV23" s="89" t="e">
        <f>IF(Expression&gt;=AV22,TRUE)</f>
        <v>#REF!</v>
      </c>
      <c r="AW23" s="89" t="e">
        <f>IF(Perception&gt;=AW22,TRUE)</f>
        <v>#REF!</v>
      </c>
      <c r="AX23" s="89" t="e">
        <f>IF(Security&gt;=AX22,TRUE)</f>
        <v>#REF!</v>
      </c>
      <c r="AY23" s="89" t="e">
        <f>IF(Stealth&gt;=AY22,TRUE)</f>
        <v>#REF!</v>
      </c>
      <c r="AZ23" s="89" t="e">
        <f>IF(Streetwise&gt;=AZ22,TRUE)</f>
        <v>#REF!</v>
      </c>
      <c r="BA23" s="89" t="e">
        <f>IF(Subterfuge&gt;=BA22,TRUE)</f>
        <v>#REF!</v>
      </c>
      <c r="BB23" s="89" t="e">
        <f>IF(Survival&gt;=BB22,TRUE)</f>
        <v>#REF!</v>
      </c>
      <c r="BC23" s="89"/>
      <c r="BD23" s="89" t="e">
        <f>IF(AncientDraconic&gt;=BD22,TRUE)</f>
        <v>#REF!</v>
      </c>
      <c r="BE23" s="89" t="e">
        <f>IF(AquaElven&gt;=BE22,TRUE)</f>
        <v>#REF!</v>
      </c>
      <c r="BF23" s="89" t="e">
        <f>IF(BasicElven&gt;=BF22,TRUE)</f>
        <v>#REF!</v>
      </c>
      <c r="BG23" s="89" t="e">
        <f>IF(Common&gt;=BG22,TRUE)</f>
        <v>#REF!</v>
      </c>
      <c r="BH23" s="89" t="e">
        <f>IF(DarkElven&gt;=BH22,TRUE)</f>
        <v>#REF!</v>
      </c>
      <c r="BI23" s="89" t="e">
        <f>IF(Davek&gt;=BI22,TRUE)</f>
        <v>#REF!</v>
      </c>
      <c r="BJ23" s="89" t="e">
        <f>IF(Draconic&gt;=BJ22,TRUE)</f>
        <v>#REF!</v>
      </c>
      <c r="BK23" s="89" t="e">
        <f>IF(Eulian&gt;=BK22,TRUE)</f>
        <v>#REF!</v>
      </c>
      <c r="BL23" s="89" t="e">
        <f>IF(Garonian&gt;=BL22,TRUE)</f>
        <v>#REF!</v>
      </c>
      <c r="BM23" s="89" t="e">
        <f>IF(Geovek&gt;=BM22,TRUE)</f>
        <v>#REF!</v>
      </c>
      <c r="BN23" s="89" t="e">
        <f>IF(Gnomish&gt;=BN22,TRUE)</f>
        <v>#REF!</v>
      </c>
      <c r="BO23" s="89" t="e">
        <f>IF(Goblin&gt;=BO22,TRUE)</f>
        <v>#REF!</v>
      </c>
      <c r="BP23" s="89" t="e">
        <f>IF(HighElven&gt;=BP22,TRUE)</f>
        <v>#REF!</v>
      </c>
      <c r="BQ23" s="89" t="e">
        <f>IF(Kotaba&gt;=BQ22,TRUE)</f>
        <v>#REF!</v>
      </c>
      <c r="BR23" s="89" t="e">
        <f>IF(LowerCommon&gt;=BR22,TRUE)</f>
        <v>#REF!</v>
      </c>
      <c r="BS23" s="89" t="e">
        <f>IF(OldElven&gt;=BS22,TRUE)</f>
        <v>#REF!</v>
      </c>
      <c r="BT23" s="89" t="e">
        <f>IF(Sylvan&gt;=BT22,TRUE)</f>
        <v>#REF!</v>
      </c>
      <c r="BU23" s="89" t="e">
        <f>IF(TrueDraconic&gt;=BU22,TRUE)</f>
        <v>#REF!</v>
      </c>
      <c r="BV23" s="89" t="e">
        <f>IF(Volken&gt;=BV22,TRUE)</f>
        <v>#REF!</v>
      </c>
      <c r="BW23" s="89" t="e">
        <f>IF(WoodElven&gt;=BW22,TRUE)</f>
        <v>#REF!</v>
      </c>
      <c r="BX23" s="703"/>
      <c r="BY23" s="89"/>
      <c r="BZ23" s="88">
        <f ca="1">MATCH(TRUE,INDEX((INDIRECT(INDEX($1:$1,ROW($1:$1),COLUMN($I:$I)+SUM($BY23:BY23))&amp;$CK23-1&amp;":"&amp;$BW$1&amp;$CK23-1)&lt;&gt;0),0),0)</f>
        <v>2</v>
      </c>
      <c r="CA23" s="88" t="e">
        <f ca="1">MATCH(TRUE,INDEX((INDIRECT(INDEX($1:$1,ROW($1:$1),COLUMN($I:$I)+SUM($BY23:BZ23))&amp;$CK23-1&amp;":"&amp;$BW$1&amp;$CK23-1)&lt;&gt;0),0),0)</f>
        <v>#N/A</v>
      </c>
      <c r="CB23" s="88" t="e">
        <f ca="1">MATCH(TRUE,INDEX((INDIRECT(INDEX($1:$1,ROW($1:$1),COLUMN($I:$I)+SUM($BY23:CA23))&amp;$CK23-1&amp;":"&amp;$BW$1&amp;$CK23-1)&lt;&gt;0),0),0)</f>
        <v>#N/A</v>
      </c>
      <c r="CC23" s="88" t="e">
        <f ca="1">MATCH(TRUE,INDEX((INDIRECT(INDEX($1:$1,ROW($1:$1),COLUMN($I:$I)+SUM($BY23:CB23))&amp;$CK23-1&amp;":"&amp;$BW$1&amp;$CK23-1)&lt;&gt;0),0),0)</f>
        <v>#N/A</v>
      </c>
      <c r="CD23" s="88" t="e">
        <f ca="1">MATCH(TRUE,INDEX((INDIRECT(INDEX($1:$1,ROW($1:$1),COLUMN($I:$I)+SUM($BY23:CC23))&amp;$CK23-1&amp;":"&amp;$BW$1&amp;$CK23-1)&lt;&gt;0),0),0)</f>
        <v>#N/A</v>
      </c>
      <c r="CE23" s="88" t="e">
        <f ca="1">MATCH(TRUE,INDEX((INDIRECT(INDEX($1:$1,ROW($1:$1),COLUMN($I:$I)+SUM($BY23:CD23))&amp;$CK23-1&amp;":"&amp;$BW$1&amp;$CK23-1)&lt;&gt;0),0),0)</f>
        <v>#N/A</v>
      </c>
      <c r="CF23" s="88" t="e">
        <f ca="1">MATCH(TRUE,INDEX((INDIRECT(INDEX($1:$1,ROW($1:$1),COLUMN($I:$I)+SUM($BY23:CE23))&amp;$CK23-1&amp;":"&amp;$BW$1&amp;$CK23-1)&lt;&gt;0),0),0)</f>
        <v>#N/A</v>
      </c>
      <c r="CG23" s="88" t="e">
        <f ca="1">MATCH(TRUE,INDEX((INDIRECT(INDEX($1:$1,ROW($1:$1),COLUMN($I:$I)+SUM($BY23:CF23))&amp;$CK23-1&amp;":"&amp;$BW$1&amp;$CK23-1)&lt;&gt;0),0),0)</f>
        <v>#N/A</v>
      </c>
      <c r="CH23" s="88" t="e">
        <f ca="1">MATCH(TRUE,INDEX((INDIRECT(INDEX($1:$1,ROW($1:$1),COLUMN($I:$I)+SUM($BY23:CG23))&amp;$CK23-1&amp;":"&amp;$BW$1&amp;$CK23-1)&lt;&gt;0),0),0)</f>
        <v>#N/A</v>
      </c>
      <c r="CI23" s="88" t="e">
        <f ca="1">MATCH(TRUE,INDEX((INDIRECT(INDEX($1:$1,ROW($1:$1),COLUMN($I:$I)+SUM($BY23:CH23))&amp;$CK23-1&amp;":"&amp;$BW$1&amp;$CK23-1)&lt;&gt;0),0),0)</f>
        <v>#N/A</v>
      </c>
      <c r="CJ23" s="88" t="e">
        <f ca="1">MATCH(TRUE,INDEX((INDIRECT(INDEX($1:$1,ROW($1:$1),COLUMN($I:$I)+SUM($BY23:CI23))&amp;$CK23-1&amp;":"&amp;$BW$1&amp;$CK23-1)&lt;&gt;0),0),0)</f>
        <v>#N/A</v>
      </c>
      <c r="CK23" s="90">
        <f>ROW(CK23)</f>
        <v>23</v>
      </c>
    </row>
    <row r="24" spans="1:89" s="84" customFormat="1" ht="15" customHeight="1" x14ac:dyDescent="0.25">
      <c r="A24" s="704" t="s">
        <v>456</v>
      </c>
      <c r="B24" s="706" t="b">
        <f>ISERROR(MATCH(FALSE,$J25:$BW25,0))</f>
        <v>0</v>
      </c>
      <c r="C24" s="706" t="b">
        <f>IF(AND(INDEX('General Merits'!$F:$F,MATCH(A24,'General Merits'!$F:$F,0))&gt;0,VLOOKUP(A24,'General Merits'!$F:$Q,10,0)),TRUE,FALSE)</f>
        <v>0</v>
      </c>
      <c r="D24" s="708">
        <v>1</v>
      </c>
      <c r="E24" s="706">
        <f>D24*100</f>
        <v>100</v>
      </c>
      <c r="F24" s="698" t="s">
        <v>457</v>
      </c>
      <c r="G24" s="700"/>
      <c r="H24" s="700"/>
      <c r="J24" s="234" t="s">
        <v>417</v>
      </c>
      <c r="K24" s="234"/>
      <c r="L24" s="234"/>
      <c r="N24" s="85"/>
      <c r="O24" s="85"/>
      <c r="P24" s="85"/>
      <c r="Q24" s="85"/>
      <c r="R24" s="85">
        <v>18</v>
      </c>
      <c r="S24" s="85"/>
      <c r="T24" s="85"/>
      <c r="U24" s="85"/>
      <c r="V24" s="85"/>
      <c r="W24" s="86"/>
      <c r="X24" s="85"/>
      <c r="Y24" s="85"/>
      <c r="Z24" s="85"/>
      <c r="AA24" s="85"/>
      <c r="AB24" s="85"/>
      <c r="AC24" s="85"/>
      <c r="AD24" s="85"/>
      <c r="AE24" s="85"/>
      <c r="AF24" s="236"/>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702" t="str">
        <f ca="1">IF(BZ24&lt;&gt;"",BZ24,"")&amp;IF(CA24&lt;&gt;"",", "&amp;CA24,"")&amp;IF(CB24&lt;&gt;"",", "&amp;CB24,"")&amp;IF(CC24&lt;&gt;"",", "&amp;CC24,"")&amp;IF(CD24&lt;&gt;"",", "&amp;CD24,"")&amp;IF(CE24&lt;&gt;"",", "&amp;CE24,"")&amp;IF(CF24&lt;&gt;"",", "&amp;CF24,"")&amp;IF(CG24&lt;&gt;"",", "&amp;CG24,"")&amp;IF(CH24&lt;&gt;"",", "&amp;CH24,"")&amp;IF(CI24&lt;&gt;"",", "&amp;CI24,"")</f>
        <v>Swift Reactions, Wisdom (18)</v>
      </c>
      <c r="BY24" s="85"/>
      <c r="BZ24" s="84" t="str">
        <f ca="1">IF(NOT(ISERROR(BZ25)),IF(COLUMN($I:$I)+SUM($BY25:BZ25)-1&lt;COLUMN($N:$N),INDEX($1:$1048576,ROW(BZ24),SUM($BZ25:BZ25)+COLUMN($I$1)-1),INDEX($3:$3,1,COLUMN($I:$I)+SUM($BY25:BZ25)-1)&amp;" ("&amp;INDEX($1:$1048576,ROW(BZ24),SUM($BZ25:BZ25)+COLUMN($I$1)-1)&amp;")"),"")</f>
        <v>Swift Reactions</v>
      </c>
      <c r="CA24" s="84" t="str">
        <f ca="1">IF(NOT(ISERROR(CA25)),IF(COLUMN($I:$I)+SUM($BY25:CA25)-1&lt;COLUMN($N:$N),INDEX($1:$1048576,ROW(CA24),SUM($BZ25:CA25)+COLUMN($I$1)-1),INDEX($3:$3,1,COLUMN($I:$I)+SUM($BY25:CA25)-1)&amp;" ("&amp;INDEX($1:$1048576,ROW(CA24),SUM($BZ25:CA25)+COLUMN($I$1)-1)&amp;")"),"")</f>
        <v>Wisdom (18)</v>
      </c>
      <c r="CB24" s="84" t="str">
        <f ca="1">IF(NOT(ISERROR(CB25)),IF(COLUMN($I:$I)+SUM($BY25:CB25)-1&lt;COLUMN($N:$N),INDEX($1:$1048576,ROW(CB24),SUM($BZ25:CB25)+COLUMN($I$1)-1),INDEX($3:$3,1,COLUMN($I:$I)+SUM($BY25:CB25)-1)&amp;" ("&amp;INDEX($1:$1048576,ROW(CB24),SUM($BZ25:CB25)+COLUMN($I$1)-1)&amp;")"),"")</f>
        <v/>
      </c>
      <c r="CC24" s="84" t="str">
        <f ca="1">IF(NOT(ISERROR(CC25)),IF(COLUMN($I:$I)+SUM($BY25:CC25)-1&lt;COLUMN($N:$N),INDEX($1:$1048576,ROW(CC24),SUM($BZ25:CC25)+COLUMN($I$1)-1),INDEX($3:$3,1,COLUMN($I:$I)+SUM($BY25:CC25)-1)&amp;" ("&amp;INDEX($1:$1048576,ROW(CC24),SUM($BZ25:CC25)+COLUMN($I$1)-1)&amp;")"),"")</f>
        <v/>
      </c>
      <c r="CD24" s="84" t="str">
        <f ca="1">IF(NOT(ISERROR(CD25)),IF(COLUMN($I:$I)+SUM($BY25:CD25)-1&lt;COLUMN($N:$N),INDEX($1:$1048576,ROW(CD24),SUM($BZ25:CD25)+COLUMN($I$1)-1),INDEX($3:$3,1,COLUMN($I:$I)+SUM($BY25:CD25)-1)&amp;" ("&amp;INDEX($1:$1048576,ROW(CD24),SUM($BZ25:CD25)+COLUMN($I$1)-1)&amp;")"),"")</f>
        <v/>
      </c>
      <c r="CE24" s="84" t="str">
        <f ca="1">IF(NOT(ISERROR(CE25)),IF(COLUMN($I:$I)+SUM($BY25:CE25)-1&lt;COLUMN($N:$N),INDEX($1:$1048576,ROW(CE24),SUM($BZ25:CE25)+COLUMN($I$1)-1),INDEX($3:$3,1,COLUMN($I:$I)+SUM($BY25:CE25)-1)&amp;" ("&amp;INDEX($1:$1048576,ROW(CE24),SUM($BZ25:CE25)+COLUMN($I$1)-1)&amp;")"),"")</f>
        <v/>
      </c>
      <c r="CF24" s="84" t="str">
        <f ca="1">IF(NOT(ISERROR(CF25)),IF(COLUMN($I:$I)+SUM($BY25:CF25)-1&lt;COLUMN($N:$N),INDEX($1:$1048576,ROW(CF24),SUM($BZ25:CF25)+COLUMN($I$1)-1),INDEX($3:$3,1,COLUMN($I:$I)+SUM($BY25:CF25)-1)&amp;" ("&amp;INDEX($1:$1048576,ROW(CF24),SUM($BZ25:CF25)+COLUMN($I$1)-1)&amp;")"),"")</f>
        <v/>
      </c>
      <c r="CG24" s="84" t="str">
        <f ca="1">IF(NOT(ISERROR(CG25)),IF(COLUMN($I:$I)+SUM($BY25:CG25)-1&lt;COLUMN($N:$N),INDEX($1:$1048576,ROW(CG24),SUM($BZ25:CG25)+COLUMN($I$1)-1),INDEX($3:$3,1,COLUMN($I:$I)+SUM($BY25:CG25)-1)&amp;" ("&amp;INDEX($1:$1048576,ROW(CG24),SUM($BZ25:CG25)+COLUMN($I$1)-1)&amp;")"),"")</f>
        <v/>
      </c>
      <c r="CH24" s="84" t="str">
        <f ca="1">IF(NOT(ISERROR(CH25)),IF(COLUMN($I:$I)+SUM($BY25:CH25)-1&lt;COLUMN($N:$N),INDEX($1:$1048576,ROW(CH24),SUM($BZ25:CH25)+COLUMN($I$1)-1),INDEX($3:$3,1,COLUMN($I:$I)+SUM($BY25:CH25)-1)&amp;" ("&amp;INDEX($1:$1048576,ROW(CH24),SUM($BZ25:CH25)+COLUMN($I$1)-1)&amp;")"),"")</f>
        <v/>
      </c>
      <c r="CI24" s="84" t="str">
        <f ca="1">IF(NOT(ISERROR(CI25)),IF(COLUMN($I:$I)+SUM($BY25:CI25)-1&lt;COLUMN($N:$N),INDEX($1:$1048576,ROW(CI24),SUM($BZ25:CI25)+COLUMN($I$1)-1),INDEX($3:$3,1,COLUMN($I:$I)+SUM($BY25:CI25)-1)&amp;" ("&amp;INDEX($1:$1048576,ROW(CI24),SUM($BZ25:CI25)+COLUMN($I$1)-1)&amp;")"),"")</f>
        <v/>
      </c>
      <c r="CJ24" s="84" t="str">
        <f ca="1">IF(NOT(ISERROR(CJ25)),IF(COLUMN($I:$I)+SUM($BY25:CJ25)-1&lt;COLUMN($N:$N),INDEX($1:$1048576,ROW(CJ24),SUM($BZ25:CJ25)+COLUMN($I$1)-1),INDEX($3:$3,1,COLUMN($I:$I)+SUM($BY25:CJ25)-1)&amp;" ("&amp;INDEX($1:$1048576,ROW(CJ24),SUM($BZ25:CJ25)+COLUMN($I$1)-1)&amp;")"),"")</f>
        <v/>
      </c>
      <c r="CK24" s="87"/>
    </row>
    <row r="25" spans="1:89" s="88" customFormat="1" x14ac:dyDescent="0.25">
      <c r="A25" s="705"/>
      <c r="B25" s="707"/>
      <c r="C25" s="707"/>
      <c r="D25" s="709"/>
      <c r="E25" s="707"/>
      <c r="F25" s="699"/>
      <c r="G25" s="701"/>
      <c r="H25" s="701"/>
      <c r="J25" s="92" t="b">
        <f>IF(J24&gt;0,IF(AND(INDEX('General Merits'!$F:$F,MATCH($J24,'General Merits'!$F:$F,0),1)&gt;0,VLOOKUP('Merit Data'!J24,'General Merits'!$F:$Z,COLUMN('General Merits'!$N:$N),0)),TRUE,FALSE),#N/A)</f>
        <v>0</v>
      </c>
      <c r="K25" s="92" t="e">
        <f>IF(K24&gt;0,IF(AND(INDEX('General Merits'!$F:$F,MATCH($J24,'General Merits'!$F:$F,0),1)&gt;0,VLOOKUP('Merit Data'!K24,'General Merits'!$F:$Z,COLUMN('General Merits'!$N:$N),0)),TRUE,FALSE),#N/A)</f>
        <v>#N/A</v>
      </c>
      <c r="L25" s="92" t="e">
        <f>IF(L24&gt;0,IF(AND(INDEX('General Merits'!$F:$F,MATCH($J24,'General Merits'!$F:$F,0),1)&gt;0,VLOOKUP('Merit Data'!L24,'General Merits'!$F:$Z,COLUMN('General Merits'!$N:$N),0)),TRUE,FALSE),#N/A)</f>
        <v>#N/A</v>
      </c>
      <c r="N25" s="89" t="e">
        <f>IF(STR&gt;=N24,TRUE)</f>
        <v>#REF!</v>
      </c>
      <c r="O25" s="89" t="e">
        <f>IF(AGI&gt;=O24,TRUE)</f>
        <v>#REF!</v>
      </c>
      <c r="P25" s="89" t="e">
        <f>IF(CON&gt;=P24,TRUE)</f>
        <v>#REF!</v>
      </c>
      <c r="Q25" s="89" t="e">
        <f>IF(INT&gt;=Q24,TRUE)</f>
        <v>#REF!</v>
      </c>
      <c r="R25" s="89" t="e">
        <f>IF(WIS&gt;=R24,TRUE)</f>
        <v>#REF!</v>
      </c>
      <c r="S25" s="89" t="e">
        <f>IF(FOC&gt;=S24,TRUE)</f>
        <v>#REF!</v>
      </c>
      <c r="T25" s="89" t="e">
        <f>IF(CHA&gt;=T24,TRUE)</f>
        <v>#REF!</v>
      </c>
      <c r="U25" s="89" t="e">
        <f>IF(INS&gt;=U24,TRUE)</f>
        <v>#REF!</v>
      </c>
      <c r="V25" s="89" t="e">
        <f>IF(CNV&gt;=V24,TRUE)</f>
        <v>#REF!</v>
      </c>
      <c r="W25" s="89"/>
      <c r="X25" s="89" t="e">
        <f>IF(Archery&gt;=X24,TRUE)</f>
        <v>#REF!</v>
      </c>
      <c r="Y25" s="89" t="e">
        <f>IF(Crossbows&gt;=Y24,TRUE)</f>
        <v>#REF!</v>
      </c>
      <c r="Z25" s="89" t="e">
        <f>IF(Daggers&gt;=Z24,TRUE)</f>
        <v>#REF!</v>
      </c>
      <c r="AA25" s="89" t="e">
        <f>IF(HandtoHandCombat&gt;=AA24,TRUE)</f>
        <v>#REF!</v>
      </c>
      <c r="AB25" s="89" t="e">
        <f>IF(HeavyArmor&gt;=AB24,TRUE)</f>
        <v>#REF!</v>
      </c>
      <c r="AC25" s="89" t="e">
        <f>IF(ImprovisedWeaponry&gt;=AC24,TRUE)</f>
        <v>#NAME?</v>
      </c>
      <c r="AD25" s="89" t="e">
        <f>IF(LightArmor&gt;=AD24,TRUE)</f>
        <v>#REF!</v>
      </c>
      <c r="AE25" s="89" t="e">
        <f>IF(Magicka&gt;=AE24,TRUE)</f>
        <v>#REF!</v>
      </c>
      <c r="AF25" s="89" t="e">
        <f>IF(OR(Archery&gt;=AF24,Crossbows&gt;=AF24,Daggers&gt;=AF24,HandtoHandCombat&gt;=AF24,ImprovisedWeaponry&gt;=AF24,Axes&gt;=AF24,Maces&gt;=AF24,Swords&gt;=AF24,Polearms&gt;=AF24,Staves&gt;=AF24,Throwing&gt;=AF24,TwoHandedAxes&gt;=AF24,TwoHandedMaces&gt;=AF24,TwoHandedSwords&gt;=AF24),TRUE)</f>
        <v>#REF!</v>
      </c>
      <c r="AG25" s="89" t="e">
        <f>IF(Axes&gt;=AG24,TRUE)</f>
        <v>#REF!</v>
      </c>
      <c r="AH25" s="89" t="e">
        <f>IF(Maces&gt;=AH24,TRUE)</f>
        <v>#REF!</v>
      </c>
      <c r="AI25" s="89" t="e">
        <f>IF(Swords&gt;=AI24,TRUE)</f>
        <v>#REF!</v>
      </c>
      <c r="AJ25" s="89" t="e">
        <f>IF(Polearms&gt;=AJ24,TRUE)</f>
        <v>#REF!</v>
      </c>
      <c r="AK25" s="89" t="e">
        <f>IF(Shields&gt;=AK24,TRUE)</f>
        <v>#REF!</v>
      </c>
      <c r="AL25" s="89" t="e">
        <f>IF(Staves&gt;=AL24,TRUE)</f>
        <v>#REF!</v>
      </c>
      <c r="AM25" s="89" t="e">
        <f>IF(Throwing&gt;=AM24,TRUE)</f>
        <v>#REF!</v>
      </c>
      <c r="AN25" s="89" t="e">
        <f>IF(TwoHandedAxes&gt;=AN24,TRUE)</f>
        <v>#NAME?</v>
      </c>
      <c r="AO25" s="89" t="e">
        <f>IF(TwoHandedMaces&gt;=AO24,TRUE)</f>
        <v>#NAME?</v>
      </c>
      <c r="AP25" s="89" t="e">
        <f>IF(TwoHandedSwords&gt;=AP24,TRUE)</f>
        <v>#NAME?</v>
      </c>
      <c r="AQ25" s="89"/>
      <c r="AR25" s="89" t="e">
        <f>IF(Acrobatics&gt;=AR24,TRUE)</f>
        <v>#REF!</v>
      </c>
      <c r="AS25" s="89" t="e">
        <f>IF(Appraisal&gt;=AS24,TRUE)</f>
        <v>#REF!</v>
      </c>
      <c r="AT25" s="89" t="e">
        <f>IF(Athletics&gt;=AT24,TRUE)</f>
        <v>#REF!</v>
      </c>
      <c r="AU25" s="89" t="e">
        <f>IF(Comprehension&gt;=AU24,TRUE)</f>
        <v>#REF!</v>
      </c>
      <c r="AV25" s="89" t="e">
        <f>IF(Expression&gt;=AV24,TRUE)</f>
        <v>#REF!</v>
      </c>
      <c r="AW25" s="89" t="e">
        <f>IF(Perception&gt;=AW24,TRUE)</f>
        <v>#REF!</v>
      </c>
      <c r="AX25" s="89" t="e">
        <f>IF(Security&gt;=AX24,TRUE)</f>
        <v>#REF!</v>
      </c>
      <c r="AY25" s="89" t="e">
        <f>IF(Stealth&gt;=AY24,TRUE)</f>
        <v>#REF!</v>
      </c>
      <c r="AZ25" s="89" t="e">
        <f>IF(Streetwise&gt;=AZ24,TRUE)</f>
        <v>#REF!</v>
      </c>
      <c r="BA25" s="89" t="e">
        <f>IF(Subterfuge&gt;=BA24,TRUE)</f>
        <v>#REF!</v>
      </c>
      <c r="BB25" s="89" t="e">
        <f>IF(Survival&gt;=BB24,TRUE)</f>
        <v>#REF!</v>
      </c>
      <c r="BC25" s="89"/>
      <c r="BD25" s="89" t="e">
        <f>IF(AncientDraconic&gt;=BD24,TRUE)</f>
        <v>#REF!</v>
      </c>
      <c r="BE25" s="89" t="e">
        <f>IF(AquaElven&gt;=BE24,TRUE)</f>
        <v>#REF!</v>
      </c>
      <c r="BF25" s="89" t="e">
        <f>IF(BasicElven&gt;=BF24,TRUE)</f>
        <v>#REF!</v>
      </c>
      <c r="BG25" s="89" t="e">
        <f>IF(Common&gt;=BG24,TRUE)</f>
        <v>#REF!</v>
      </c>
      <c r="BH25" s="89" t="e">
        <f>IF(DarkElven&gt;=BH24,TRUE)</f>
        <v>#REF!</v>
      </c>
      <c r="BI25" s="89" t="e">
        <f>IF(Davek&gt;=BI24,TRUE)</f>
        <v>#REF!</v>
      </c>
      <c r="BJ25" s="89" t="e">
        <f>IF(Draconic&gt;=BJ24,TRUE)</f>
        <v>#REF!</v>
      </c>
      <c r="BK25" s="89" t="e">
        <f>IF(Eulian&gt;=BK24,TRUE)</f>
        <v>#REF!</v>
      </c>
      <c r="BL25" s="89" t="e">
        <f>IF(Garonian&gt;=BL24,TRUE)</f>
        <v>#REF!</v>
      </c>
      <c r="BM25" s="89" t="e">
        <f>IF(Geovek&gt;=BM24,TRUE)</f>
        <v>#REF!</v>
      </c>
      <c r="BN25" s="89" t="e">
        <f>IF(Gnomish&gt;=BN24,TRUE)</f>
        <v>#REF!</v>
      </c>
      <c r="BO25" s="89" t="e">
        <f>IF(Goblin&gt;=BO24,TRUE)</f>
        <v>#REF!</v>
      </c>
      <c r="BP25" s="89" t="e">
        <f>IF(HighElven&gt;=BP24,TRUE)</f>
        <v>#REF!</v>
      </c>
      <c r="BQ25" s="89" t="e">
        <f>IF(Kotaba&gt;=BQ24,TRUE)</f>
        <v>#REF!</v>
      </c>
      <c r="BR25" s="89" t="e">
        <f>IF(LowerCommon&gt;=BR24,TRUE)</f>
        <v>#REF!</v>
      </c>
      <c r="BS25" s="89" t="e">
        <f>IF(OldElven&gt;=BS24,TRUE)</f>
        <v>#REF!</v>
      </c>
      <c r="BT25" s="89" t="e">
        <f>IF(Sylvan&gt;=BT24,TRUE)</f>
        <v>#REF!</v>
      </c>
      <c r="BU25" s="89" t="e">
        <f>IF(TrueDraconic&gt;=BU24,TRUE)</f>
        <v>#REF!</v>
      </c>
      <c r="BV25" s="89" t="e">
        <f>IF(Volken&gt;=BV24,TRUE)</f>
        <v>#REF!</v>
      </c>
      <c r="BW25" s="89" t="e">
        <f>IF(WoodElven&gt;=BW24,TRUE)</f>
        <v>#REF!</v>
      </c>
      <c r="BX25" s="703"/>
      <c r="BY25" s="89"/>
      <c r="BZ25" s="88">
        <f ca="1">MATCH(TRUE,INDEX((INDIRECT(INDEX($1:$1,ROW($1:$1),COLUMN($I:$I)+SUM($BY25:BY25))&amp;$CK25-1&amp;":"&amp;$BW$1&amp;$CK25-1)&lt;&gt;0),0),0)</f>
        <v>2</v>
      </c>
      <c r="CA25" s="88">
        <f ca="1">MATCH(TRUE,INDEX((INDIRECT(INDEX($1:$1,ROW($1:$1),COLUMN($I:$I)+SUM($BY25:BZ25))&amp;$CK25-1&amp;":"&amp;$BW$1&amp;$CK25-1)&lt;&gt;0),0),0)</f>
        <v>8</v>
      </c>
      <c r="CB25" s="88" t="e">
        <f ca="1">MATCH(TRUE,INDEX((INDIRECT(INDEX($1:$1,ROW($1:$1),COLUMN($I:$I)+SUM($BY25:CA25))&amp;$CK25-1&amp;":"&amp;$BW$1&amp;$CK25-1)&lt;&gt;0),0),0)</f>
        <v>#N/A</v>
      </c>
      <c r="CC25" s="88" t="e">
        <f ca="1">MATCH(TRUE,INDEX((INDIRECT(INDEX($1:$1,ROW($1:$1),COLUMN($I:$I)+SUM($BY25:CB25))&amp;$CK25-1&amp;":"&amp;$BW$1&amp;$CK25-1)&lt;&gt;0),0),0)</f>
        <v>#N/A</v>
      </c>
      <c r="CD25" s="88" t="e">
        <f ca="1">MATCH(TRUE,INDEX((INDIRECT(INDEX($1:$1,ROW($1:$1),COLUMN($I:$I)+SUM($BY25:CC25))&amp;$CK25-1&amp;":"&amp;$BW$1&amp;$CK25-1)&lt;&gt;0),0),0)</f>
        <v>#N/A</v>
      </c>
      <c r="CE25" s="88" t="e">
        <f ca="1">MATCH(TRUE,INDEX((INDIRECT(INDEX($1:$1,ROW($1:$1),COLUMN($I:$I)+SUM($BY25:CD25))&amp;$CK25-1&amp;":"&amp;$BW$1&amp;$CK25-1)&lt;&gt;0),0),0)</f>
        <v>#N/A</v>
      </c>
      <c r="CF25" s="88" t="e">
        <f ca="1">MATCH(TRUE,INDEX((INDIRECT(INDEX($1:$1,ROW($1:$1),COLUMN($I:$I)+SUM($BY25:CE25))&amp;$CK25-1&amp;":"&amp;$BW$1&amp;$CK25-1)&lt;&gt;0),0),0)</f>
        <v>#N/A</v>
      </c>
      <c r="CG25" s="88" t="e">
        <f ca="1">MATCH(TRUE,INDEX((INDIRECT(INDEX($1:$1,ROW($1:$1),COLUMN($I:$I)+SUM($BY25:CF25))&amp;$CK25-1&amp;":"&amp;$BW$1&amp;$CK25-1)&lt;&gt;0),0),0)</f>
        <v>#N/A</v>
      </c>
      <c r="CH25" s="88" t="e">
        <f ca="1">MATCH(TRUE,INDEX((INDIRECT(INDEX($1:$1,ROW($1:$1),COLUMN($I:$I)+SUM($BY25:CG25))&amp;$CK25-1&amp;":"&amp;$BW$1&amp;$CK25-1)&lt;&gt;0),0),0)</f>
        <v>#N/A</v>
      </c>
      <c r="CI25" s="88" t="e">
        <f ca="1">MATCH(TRUE,INDEX((INDIRECT(INDEX($1:$1,ROW($1:$1),COLUMN($I:$I)+SUM($BY25:CH25))&amp;$CK25-1&amp;":"&amp;$BW$1&amp;$CK25-1)&lt;&gt;0),0),0)</f>
        <v>#N/A</v>
      </c>
      <c r="CJ25" s="88" t="e">
        <f ca="1">MATCH(TRUE,INDEX((INDIRECT(INDEX($1:$1,ROW($1:$1),COLUMN($I:$I)+SUM($BY25:CI25))&amp;$CK25-1&amp;":"&amp;$BW$1&amp;$CK25-1)&lt;&gt;0),0),0)</f>
        <v>#N/A</v>
      </c>
      <c r="CK25" s="90">
        <f>ROW(CK25)</f>
        <v>25</v>
      </c>
    </row>
    <row r="26" spans="1:89" s="84" customFormat="1" ht="15" customHeight="1" x14ac:dyDescent="0.25">
      <c r="A26" s="704" t="s">
        <v>458</v>
      </c>
      <c r="B26" s="706" t="b">
        <f>ISERROR(MATCH(FALSE,$J27:$BW27,0))</f>
        <v>0</v>
      </c>
      <c r="C26" s="706" t="b">
        <f>IF(AND(INDEX('General Merits'!$F:$F,MATCH(A26,'General Merits'!$F:$F,0))&gt;0,VLOOKUP(A26,'General Merits'!$F:$Q,10,0)),TRUE,FALSE)</f>
        <v>0</v>
      </c>
      <c r="D26" s="708">
        <v>2</v>
      </c>
      <c r="E26" s="706">
        <f>D26*100</f>
        <v>200</v>
      </c>
      <c r="F26" s="698" t="s">
        <v>459</v>
      </c>
      <c r="G26" s="700"/>
      <c r="H26" s="700"/>
      <c r="J26" s="234" t="s">
        <v>456</v>
      </c>
      <c r="K26" s="234"/>
      <c r="L26" s="234"/>
      <c r="N26" s="85"/>
      <c r="O26" s="85">
        <v>18</v>
      </c>
      <c r="P26" s="85"/>
      <c r="Q26" s="85"/>
      <c r="R26" s="85"/>
      <c r="S26" s="85"/>
      <c r="T26" s="85"/>
      <c r="U26" s="85"/>
      <c r="V26" s="85"/>
      <c r="W26" s="86"/>
      <c r="X26" s="85"/>
      <c r="Y26" s="85"/>
      <c r="Z26" s="85"/>
      <c r="AA26" s="85"/>
      <c r="AB26" s="85"/>
      <c r="AC26" s="85"/>
      <c r="AD26" s="85"/>
      <c r="AE26" s="85"/>
      <c r="AF26" s="236">
        <v>18</v>
      </c>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702" t="str">
        <f ca="1">IF(BZ26&lt;&gt;"",BZ26,"")&amp;IF(CA26&lt;&gt;"",", "&amp;CA26,"")&amp;IF(CB26&lt;&gt;"",", "&amp;CB26,"")&amp;IF(CC26&lt;&gt;"",", "&amp;CC26,"")&amp;IF(CD26&lt;&gt;"",", "&amp;CD26,"")&amp;IF(CE26&lt;&gt;"",", "&amp;CE26,"")&amp;IF(CF26&lt;&gt;"",", "&amp;CF26,"")&amp;IF(CG26&lt;&gt;"",", "&amp;CG26,"")&amp;IF(CH26&lt;&gt;"",", "&amp;CH26,"")&amp;IF(CI26&lt;&gt;"",", "&amp;CI26,"")</f>
        <v>Disarm, Agility (18), Weapon Skill (18)</v>
      </c>
      <c r="BY26" s="85"/>
      <c r="BZ26" s="84" t="str">
        <f ca="1">IF(NOT(ISERROR(BZ27)),IF(COLUMN($I:$I)+SUM($BY27:BZ27)-1&lt;COLUMN($N:$N),INDEX($1:$1048576,ROW(BZ26),SUM($BZ27:BZ27)+COLUMN($I$1)-1),INDEX($3:$3,1,COLUMN($I:$I)+SUM($BY27:BZ27)-1)&amp;" ("&amp;INDEX($1:$1048576,ROW(BZ26),SUM($BZ27:BZ27)+COLUMN($I$1)-1)&amp;")"),"")</f>
        <v>Disarm</v>
      </c>
      <c r="CA26" s="84" t="str">
        <f ca="1">IF(NOT(ISERROR(CA27)),IF(COLUMN($I:$I)+SUM($BY27:CA27)-1&lt;COLUMN($N:$N),INDEX($1:$1048576,ROW(CA26),SUM($BZ27:CA27)+COLUMN($I$1)-1),INDEX($3:$3,1,COLUMN($I:$I)+SUM($BY27:CA27)-1)&amp;" ("&amp;INDEX($1:$1048576,ROW(CA26),SUM($BZ27:CA27)+COLUMN($I$1)-1)&amp;")"),"")</f>
        <v>Agility (18)</v>
      </c>
      <c r="CB26" s="84" t="str">
        <f ca="1">IF(NOT(ISERROR(CB27)),IF(COLUMN($I:$I)+SUM($BY27:CB27)-1&lt;COLUMN($N:$N),INDEX($1:$1048576,ROW(CB26),SUM($BZ27:CB27)+COLUMN($I$1)-1),INDEX($3:$3,1,COLUMN($I:$I)+SUM($BY27:CB27)-1)&amp;" ("&amp;INDEX($1:$1048576,ROW(CB26),SUM($BZ27:CB27)+COLUMN($I$1)-1)&amp;")"),"")</f>
        <v>Weapon Skill (18)</v>
      </c>
      <c r="CC26" s="84" t="str">
        <f ca="1">IF(NOT(ISERROR(CC27)),IF(COLUMN($I:$I)+SUM($BY27:CC27)-1&lt;COLUMN($N:$N),INDEX($1:$1048576,ROW(CC26),SUM($BZ27:CC27)+COLUMN($I$1)-1),INDEX($3:$3,1,COLUMN($I:$I)+SUM($BY27:CC27)-1)&amp;" ("&amp;INDEX($1:$1048576,ROW(CC26),SUM($BZ27:CC27)+COLUMN($I$1)-1)&amp;")"),"")</f>
        <v/>
      </c>
      <c r="CD26" s="84" t="str">
        <f ca="1">IF(NOT(ISERROR(CD27)),IF(COLUMN($I:$I)+SUM($BY27:CD27)-1&lt;COLUMN($N:$N),INDEX($1:$1048576,ROW(CD26),SUM($BZ27:CD27)+COLUMN($I$1)-1),INDEX($3:$3,1,COLUMN($I:$I)+SUM($BY27:CD27)-1)&amp;" ("&amp;INDEX($1:$1048576,ROW(CD26),SUM($BZ27:CD27)+COLUMN($I$1)-1)&amp;")"),"")</f>
        <v/>
      </c>
      <c r="CE26" s="84" t="str">
        <f ca="1">IF(NOT(ISERROR(CE27)),IF(COLUMN($I:$I)+SUM($BY27:CE27)-1&lt;COLUMN($N:$N),INDEX($1:$1048576,ROW(CE26),SUM($BZ27:CE27)+COLUMN($I$1)-1),INDEX($3:$3,1,COLUMN($I:$I)+SUM($BY27:CE27)-1)&amp;" ("&amp;INDEX($1:$1048576,ROW(CE26),SUM($BZ27:CE27)+COLUMN($I$1)-1)&amp;")"),"")</f>
        <v/>
      </c>
      <c r="CF26" s="84" t="str">
        <f ca="1">IF(NOT(ISERROR(CF27)),IF(COLUMN($I:$I)+SUM($BY27:CF27)-1&lt;COLUMN($N:$N),INDEX($1:$1048576,ROW(CF26),SUM($BZ27:CF27)+COLUMN($I$1)-1),INDEX($3:$3,1,COLUMN($I:$I)+SUM($BY27:CF27)-1)&amp;" ("&amp;INDEX($1:$1048576,ROW(CF26),SUM($BZ27:CF27)+COLUMN($I$1)-1)&amp;")"),"")</f>
        <v/>
      </c>
      <c r="CG26" s="84" t="str">
        <f ca="1">IF(NOT(ISERROR(CG27)),IF(COLUMN($I:$I)+SUM($BY27:CG27)-1&lt;COLUMN($N:$N),INDEX($1:$1048576,ROW(CG26),SUM($BZ27:CG27)+COLUMN($I$1)-1),INDEX($3:$3,1,COLUMN($I:$I)+SUM($BY27:CG27)-1)&amp;" ("&amp;INDEX($1:$1048576,ROW(CG26),SUM($BZ27:CG27)+COLUMN($I$1)-1)&amp;")"),"")</f>
        <v/>
      </c>
      <c r="CH26" s="84" t="str">
        <f ca="1">IF(NOT(ISERROR(CH27)),IF(COLUMN($I:$I)+SUM($BY27:CH27)-1&lt;COLUMN($N:$N),INDEX($1:$1048576,ROW(CH26),SUM($BZ27:CH27)+COLUMN($I$1)-1),INDEX($3:$3,1,COLUMN($I:$I)+SUM($BY27:CH27)-1)&amp;" ("&amp;INDEX($1:$1048576,ROW(CH26),SUM($BZ27:CH27)+COLUMN($I$1)-1)&amp;")"),"")</f>
        <v/>
      </c>
      <c r="CI26" s="84" t="str">
        <f ca="1">IF(NOT(ISERROR(CI27)),IF(COLUMN($I:$I)+SUM($BY27:CI27)-1&lt;COLUMN($N:$N),INDEX($1:$1048576,ROW(CI26),SUM($BZ27:CI27)+COLUMN($I$1)-1),INDEX($3:$3,1,COLUMN($I:$I)+SUM($BY27:CI27)-1)&amp;" ("&amp;INDEX($1:$1048576,ROW(CI26),SUM($BZ27:CI27)+COLUMN($I$1)-1)&amp;")"),"")</f>
        <v/>
      </c>
      <c r="CJ26" s="84" t="str">
        <f ca="1">IF(NOT(ISERROR(CJ27)),IF(COLUMN($I:$I)+SUM($BY27:CJ27)-1&lt;COLUMN($N:$N),INDEX($1:$1048576,ROW(CJ26),SUM($BZ27:CJ27)+COLUMN($I$1)-1),INDEX($3:$3,1,COLUMN($I:$I)+SUM($BY27:CJ27)-1)&amp;" ("&amp;INDEX($1:$1048576,ROW(CJ26),SUM($BZ27:CJ27)+COLUMN($I$1)-1)&amp;")"),"")</f>
        <v/>
      </c>
      <c r="CK26" s="87"/>
    </row>
    <row r="27" spans="1:89" s="88" customFormat="1" x14ac:dyDescent="0.25">
      <c r="A27" s="705"/>
      <c r="B27" s="707"/>
      <c r="C27" s="707"/>
      <c r="D27" s="709"/>
      <c r="E27" s="707"/>
      <c r="F27" s="699"/>
      <c r="G27" s="701"/>
      <c r="H27" s="701"/>
      <c r="J27" s="92" t="b">
        <f>IF(J26&gt;0,IF(AND(INDEX('General Merits'!$F:$F,MATCH($J26,'General Merits'!$F:$F,0),1)&gt;0,VLOOKUP('Merit Data'!J26,'General Merits'!$F:$Z,COLUMN('General Merits'!$N:$N),0)),TRUE,FALSE),#N/A)</f>
        <v>0</v>
      </c>
      <c r="K27" s="92" t="e">
        <f>IF(K26&gt;0,IF(AND(INDEX('General Merits'!$F:$F,MATCH($J26,'General Merits'!$F:$F,0),1)&gt;0,VLOOKUP('Merit Data'!K26,'General Merits'!$F:$Z,COLUMN('General Merits'!$N:$N),0)),TRUE,FALSE),#N/A)</f>
        <v>#N/A</v>
      </c>
      <c r="L27" s="92" t="e">
        <f>IF(L26&gt;0,IF(AND(INDEX('General Merits'!$F:$F,MATCH($J26,'General Merits'!$F:$F,0),1)&gt;0,VLOOKUP('Merit Data'!L26,'General Merits'!$F:$Z,COLUMN('General Merits'!$N:$N),0)),TRUE,FALSE),#N/A)</f>
        <v>#N/A</v>
      </c>
      <c r="N27" s="89" t="e">
        <f>IF(STR&gt;=N26,TRUE)</f>
        <v>#REF!</v>
      </c>
      <c r="O27" s="89" t="e">
        <f>IF(AGI&gt;=O26,TRUE)</f>
        <v>#REF!</v>
      </c>
      <c r="P27" s="89" t="e">
        <f>IF(CON&gt;=P26,TRUE)</f>
        <v>#REF!</v>
      </c>
      <c r="Q27" s="89" t="e">
        <f>IF(INT&gt;=Q26,TRUE)</f>
        <v>#REF!</v>
      </c>
      <c r="R27" s="89" t="e">
        <f>IF(WIS&gt;=R26,TRUE)</f>
        <v>#REF!</v>
      </c>
      <c r="S27" s="89" t="e">
        <f>IF(FOC&gt;=S26,TRUE)</f>
        <v>#REF!</v>
      </c>
      <c r="T27" s="89" t="e">
        <f>IF(CHA&gt;=T26,TRUE)</f>
        <v>#REF!</v>
      </c>
      <c r="U27" s="89" t="e">
        <f>IF(INS&gt;=U26,TRUE)</f>
        <v>#REF!</v>
      </c>
      <c r="V27" s="89" t="e">
        <f>IF(CNV&gt;=V26,TRUE)</f>
        <v>#REF!</v>
      </c>
      <c r="W27" s="89"/>
      <c r="X27" s="89" t="e">
        <f>IF(Archery&gt;=X26,TRUE)</f>
        <v>#REF!</v>
      </c>
      <c r="Y27" s="89" t="e">
        <f>IF(Crossbows&gt;=Y26,TRUE)</f>
        <v>#REF!</v>
      </c>
      <c r="Z27" s="89" t="e">
        <f>IF(Daggers&gt;=Z26,TRUE)</f>
        <v>#REF!</v>
      </c>
      <c r="AA27" s="89" t="e">
        <f>IF(HandtoHandCombat&gt;=AA26,TRUE)</f>
        <v>#REF!</v>
      </c>
      <c r="AB27" s="89" t="e">
        <f>IF(HeavyArmor&gt;=AB26,TRUE)</f>
        <v>#REF!</v>
      </c>
      <c r="AC27" s="89" t="e">
        <f>IF(ImprovisedWeaponry&gt;=AC26,TRUE)</f>
        <v>#NAME?</v>
      </c>
      <c r="AD27" s="89" t="e">
        <f>IF(LightArmor&gt;=AD26,TRUE)</f>
        <v>#REF!</v>
      </c>
      <c r="AE27" s="89" t="e">
        <f>IF(Magicka&gt;=AE26,TRUE)</f>
        <v>#REF!</v>
      </c>
      <c r="AF27" s="89" t="e">
        <f>IF(OR(Archery&gt;=AF26,Crossbows&gt;=AF26,Daggers&gt;=AF26,HandtoHandCombat&gt;=AF26,ImprovisedWeaponry&gt;=AF26,Axes&gt;=AF26,Maces&gt;=AF26,Swords&gt;=AF26,Polearms&gt;=AF26,Staves&gt;=AF26,Throwing&gt;=AF26,TwoHandedAxes&gt;=AF26,TwoHandedMaces&gt;=AF26,TwoHandedSwords&gt;=AF26),TRUE)</f>
        <v>#REF!</v>
      </c>
      <c r="AG27" s="89" t="e">
        <f>IF(Axes&gt;=AG26,TRUE)</f>
        <v>#REF!</v>
      </c>
      <c r="AH27" s="89" t="e">
        <f>IF(Maces&gt;=AH26,TRUE)</f>
        <v>#REF!</v>
      </c>
      <c r="AI27" s="89" t="e">
        <f>IF(Swords&gt;=AI26,TRUE)</f>
        <v>#REF!</v>
      </c>
      <c r="AJ27" s="89" t="e">
        <f>IF(Polearms&gt;=AJ26,TRUE)</f>
        <v>#REF!</v>
      </c>
      <c r="AK27" s="89" t="e">
        <f>IF(Shields&gt;=AK26,TRUE)</f>
        <v>#REF!</v>
      </c>
      <c r="AL27" s="89" t="e">
        <f>IF(Staves&gt;=AL26,TRUE)</f>
        <v>#REF!</v>
      </c>
      <c r="AM27" s="89" t="e">
        <f>IF(Throwing&gt;=AM26,TRUE)</f>
        <v>#REF!</v>
      </c>
      <c r="AN27" s="89" t="e">
        <f>IF(TwoHandedAxes&gt;=AN26,TRUE)</f>
        <v>#NAME?</v>
      </c>
      <c r="AO27" s="89" t="e">
        <f>IF(TwoHandedMaces&gt;=AO26,TRUE)</f>
        <v>#NAME?</v>
      </c>
      <c r="AP27" s="89" t="e">
        <f>IF(TwoHandedSwords&gt;=AP26,TRUE)</f>
        <v>#NAME?</v>
      </c>
      <c r="AQ27" s="89"/>
      <c r="AR27" s="89" t="e">
        <f>IF(Acrobatics&gt;=AR26,TRUE)</f>
        <v>#REF!</v>
      </c>
      <c r="AS27" s="89" t="e">
        <f>IF(Appraisal&gt;=AS26,TRUE)</f>
        <v>#REF!</v>
      </c>
      <c r="AT27" s="89" t="e">
        <f>IF(Athletics&gt;=AT26,TRUE)</f>
        <v>#REF!</v>
      </c>
      <c r="AU27" s="89" t="e">
        <f>IF(Comprehension&gt;=AU26,TRUE)</f>
        <v>#REF!</v>
      </c>
      <c r="AV27" s="89" t="e">
        <f>IF(Expression&gt;=AV26,TRUE)</f>
        <v>#REF!</v>
      </c>
      <c r="AW27" s="89" t="e">
        <f>IF(Perception&gt;=AW26,TRUE)</f>
        <v>#REF!</v>
      </c>
      <c r="AX27" s="89" t="e">
        <f>IF(Security&gt;=AX26,TRUE)</f>
        <v>#REF!</v>
      </c>
      <c r="AY27" s="89" t="e">
        <f>IF(Stealth&gt;=AY26,TRUE)</f>
        <v>#REF!</v>
      </c>
      <c r="AZ27" s="89" t="e">
        <f>IF(Streetwise&gt;=AZ26,TRUE)</f>
        <v>#REF!</v>
      </c>
      <c r="BA27" s="89" t="e">
        <f>IF(Subterfuge&gt;=BA26,TRUE)</f>
        <v>#REF!</v>
      </c>
      <c r="BB27" s="89" t="e">
        <f>IF(Survival&gt;=BB26,TRUE)</f>
        <v>#REF!</v>
      </c>
      <c r="BC27" s="89"/>
      <c r="BD27" s="89" t="e">
        <f>IF(AncientDraconic&gt;=BD26,TRUE)</f>
        <v>#REF!</v>
      </c>
      <c r="BE27" s="89" t="e">
        <f>IF(AquaElven&gt;=BE26,TRUE)</f>
        <v>#REF!</v>
      </c>
      <c r="BF27" s="89" t="e">
        <f>IF(BasicElven&gt;=BF26,TRUE)</f>
        <v>#REF!</v>
      </c>
      <c r="BG27" s="89" t="e">
        <f>IF(Common&gt;=BG26,TRUE)</f>
        <v>#REF!</v>
      </c>
      <c r="BH27" s="89" t="e">
        <f>IF(DarkElven&gt;=BH26,TRUE)</f>
        <v>#REF!</v>
      </c>
      <c r="BI27" s="89" t="e">
        <f>IF(Davek&gt;=BI26,TRUE)</f>
        <v>#REF!</v>
      </c>
      <c r="BJ27" s="89" t="e">
        <f>IF(Draconic&gt;=BJ26,TRUE)</f>
        <v>#REF!</v>
      </c>
      <c r="BK27" s="89" t="e">
        <f>IF(Eulian&gt;=BK26,TRUE)</f>
        <v>#REF!</v>
      </c>
      <c r="BL27" s="89" t="e">
        <f>IF(Garonian&gt;=BL26,TRUE)</f>
        <v>#REF!</v>
      </c>
      <c r="BM27" s="89" t="e">
        <f>IF(Geovek&gt;=BM26,TRUE)</f>
        <v>#REF!</v>
      </c>
      <c r="BN27" s="89" t="e">
        <f>IF(Gnomish&gt;=BN26,TRUE)</f>
        <v>#REF!</v>
      </c>
      <c r="BO27" s="89" t="e">
        <f>IF(Goblin&gt;=BO26,TRUE)</f>
        <v>#REF!</v>
      </c>
      <c r="BP27" s="89" t="e">
        <f>IF(HighElven&gt;=BP26,TRUE)</f>
        <v>#REF!</v>
      </c>
      <c r="BQ27" s="89" t="e">
        <f>IF(Kotaba&gt;=BQ26,TRUE)</f>
        <v>#REF!</v>
      </c>
      <c r="BR27" s="89" t="e">
        <f>IF(LowerCommon&gt;=BR26,TRUE)</f>
        <v>#REF!</v>
      </c>
      <c r="BS27" s="89" t="e">
        <f>IF(OldElven&gt;=BS26,TRUE)</f>
        <v>#REF!</v>
      </c>
      <c r="BT27" s="89" t="e">
        <f>IF(Sylvan&gt;=BT26,TRUE)</f>
        <v>#REF!</v>
      </c>
      <c r="BU27" s="89" t="e">
        <f>IF(TrueDraconic&gt;=BU26,TRUE)</f>
        <v>#REF!</v>
      </c>
      <c r="BV27" s="89" t="e">
        <f>IF(Volken&gt;=BV26,TRUE)</f>
        <v>#REF!</v>
      </c>
      <c r="BW27" s="89" t="e">
        <f>IF(WoodElven&gt;=BW26,TRUE)</f>
        <v>#REF!</v>
      </c>
      <c r="BX27" s="703"/>
      <c r="BY27" s="89"/>
      <c r="BZ27" s="88">
        <f ca="1">MATCH(TRUE,INDEX((INDIRECT(INDEX($1:$1,ROW($1:$1),COLUMN($I:$I)+SUM($BY27:BY27))&amp;$CK27-1&amp;":"&amp;$BW$1&amp;$CK27-1)&lt;&gt;0),0),0)</f>
        <v>2</v>
      </c>
      <c r="CA27" s="88">
        <f ca="1">MATCH(TRUE,INDEX((INDIRECT(INDEX($1:$1,ROW($1:$1),COLUMN($I:$I)+SUM($BY27:BZ27))&amp;$CK27-1&amp;":"&amp;$BW$1&amp;$CK27-1)&lt;&gt;0),0),0)</f>
        <v>5</v>
      </c>
      <c r="CB27" s="88">
        <f ca="1">MATCH(TRUE,INDEX((INDIRECT(INDEX($1:$1,ROW($1:$1),COLUMN($I:$I)+SUM($BY27:CA27))&amp;$CK27-1&amp;":"&amp;$BW$1&amp;$CK27-1)&lt;&gt;0),0),0)</f>
        <v>17</v>
      </c>
      <c r="CC27" s="88" t="e">
        <f ca="1">MATCH(TRUE,INDEX((INDIRECT(INDEX($1:$1,ROW($1:$1),COLUMN($I:$I)+SUM($BY27:CB27))&amp;$CK27-1&amp;":"&amp;$BW$1&amp;$CK27-1)&lt;&gt;0),0),0)</f>
        <v>#N/A</v>
      </c>
      <c r="CD27" s="88" t="e">
        <f ca="1">MATCH(TRUE,INDEX((INDIRECT(INDEX($1:$1,ROW($1:$1),COLUMN($I:$I)+SUM($BY27:CC27))&amp;$CK27-1&amp;":"&amp;$BW$1&amp;$CK27-1)&lt;&gt;0),0),0)</f>
        <v>#N/A</v>
      </c>
      <c r="CE27" s="88" t="e">
        <f ca="1">MATCH(TRUE,INDEX((INDIRECT(INDEX($1:$1,ROW($1:$1),COLUMN($I:$I)+SUM($BY27:CD27))&amp;$CK27-1&amp;":"&amp;$BW$1&amp;$CK27-1)&lt;&gt;0),0),0)</f>
        <v>#N/A</v>
      </c>
      <c r="CF27" s="88" t="e">
        <f ca="1">MATCH(TRUE,INDEX((INDIRECT(INDEX($1:$1,ROW($1:$1),COLUMN($I:$I)+SUM($BY27:CE27))&amp;$CK27-1&amp;":"&amp;$BW$1&amp;$CK27-1)&lt;&gt;0),0),0)</f>
        <v>#N/A</v>
      </c>
      <c r="CG27" s="88" t="e">
        <f ca="1">MATCH(TRUE,INDEX((INDIRECT(INDEX($1:$1,ROW($1:$1),COLUMN($I:$I)+SUM($BY27:CF27))&amp;$CK27-1&amp;":"&amp;$BW$1&amp;$CK27-1)&lt;&gt;0),0),0)</f>
        <v>#N/A</v>
      </c>
      <c r="CH27" s="88" t="e">
        <f ca="1">MATCH(TRUE,INDEX((INDIRECT(INDEX($1:$1,ROW($1:$1),COLUMN($I:$I)+SUM($BY27:CG27))&amp;$CK27-1&amp;":"&amp;$BW$1&amp;$CK27-1)&lt;&gt;0),0),0)</f>
        <v>#N/A</v>
      </c>
      <c r="CI27" s="88" t="e">
        <f ca="1">MATCH(TRUE,INDEX((INDIRECT(INDEX($1:$1,ROW($1:$1),COLUMN($I:$I)+SUM($BY27:CH27))&amp;$CK27-1&amp;":"&amp;$BW$1&amp;$CK27-1)&lt;&gt;0),0),0)</f>
        <v>#N/A</v>
      </c>
      <c r="CJ27" s="88" t="e">
        <f ca="1">MATCH(TRUE,INDEX((INDIRECT(INDEX($1:$1,ROW($1:$1),COLUMN($I:$I)+SUM($BY27:CI27))&amp;$CK27-1&amp;":"&amp;$BW$1&amp;$CK27-1)&lt;&gt;0),0),0)</f>
        <v>#N/A</v>
      </c>
      <c r="CK27" s="90">
        <f>ROW(CK27)</f>
        <v>27</v>
      </c>
    </row>
    <row r="28" spans="1:89" s="84" customFormat="1" ht="15" customHeight="1" x14ac:dyDescent="0.25">
      <c r="A28" s="704" t="s">
        <v>461</v>
      </c>
      <c r="B28" s="706" t="b">
        <f>ISERROR(MATCH(FALSE,$J29:$BW29,0))</f>
        <v>0</v>
      </c>
      <c r="C28" s="706" t="b">
        <f>IF(AND(INDEX('General Merits'!$F:$F,MATCH(A28,'General Merits'!$F:$F,0))&gt;0,VLOOKUP(A28,'General Merits'!$F:$Q,10,0)),TRUE,FALSE)</f>
        <v>0</v>
      </c>
      <c r="D28" s="708">
        <v>2</v>
      </c>
      <c r="E28" s="706">
        <f>D28*100</f>
        <v>200</v>
      </c>
      <c r="F28" s="698" t="s">
        <v>462</v>
      </c>
      <c r="G28" s="700"/>
      <c r="H28" s="700"/>
      <c r="J28" s="237" t="s">
        <v>456</v>
      </c>
      <c r="K28" s="234"/>
      <c r="L28" s="234"/>
      <c r="N28" s="85"/>
      <c r="O28" s="85"/>
      <c r="P28" s="85"/>
      <c r="Q28" s="85"/>
      <c r="R28" s="85"/>
      <c r="S28" s="85"/>
      <c r="T28" s="85"/>
      <c r="U28" s="85"/>
      <c r="V28" s="85"/>
      <c r="W28" s="86"/>
      <c r="X28" s="85"/>
      <c r="Y28" s="85"/>
      <c r="Z28" s="85"/>
      <c r="AA28" s="85"/>
      <c r="AB28" s="85"/>
      <c r="AC28" s="85"/>
      <c r="AD28" s="85"/>
      <c r="AE28" s="85"/>
      <c r="AF28" s="236"/>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702" t="str">
        <f ca="1">IF(BZ28&lt;&gt;"",BZ28,"")&amp;IF(CA28&lt;&gt;"",", "&amp;CA28,"")&amp;IF(CB28&lt;&gt;"",", "&amp;CB28,"")&amp;IF(CC28&lt;&gt;"",", "&amp;CC28,"")&amp;IF(CD28&lt;&gt;"",", "&amp;CD28,"")&amp;IF(CE28&lt;&gt;"",", "&amp;CE28,"")&amp;IF(CF28&lt;&gt;"",", "&amp;CF28,"")&amp;IF(CG28&lt;&gt;"",", "&amp;CG28,"")&amp;IF(CH28&lt;&gt;"",", "&amp;CH28,"")&amp;IF(CI28&lt;&gt;"",", "&amp;CI28,"")</f>
        <v>Disarm</v>
      </c>
      <c r="BY28" s="85"/>
      <c r="BZ28" s="84" t="str">
        <f ca="1">IF(NOT(ISERROR(BZ29)),IF(COLUMN($I:$I)+SUM($BY29:BZ29)-1&lt;COLUMN($N:$N),INDEX($1:$1048576,ROW(BZ28),SUM($BZ29:BZ29)+COLUMN($I$1)-1),INDEX($3:$3,1,COLUMN($I:$I)+SUM($BY29:BZ29)-1)&amp;" ("&amp;INDEX($1:$1048576,ROW(BZ28),SUM($BZ29:BZ29)+COLUMN($I$1)-1)&amp;")"),"")</f>
        <v>Disarm</v>
      </c>
      <c r="CA28" s="84" t="str">
        <f ca="1">IF(NOT(ISERROR(CA29)),IF(COLUMN($I:$I)+SUM($BY29:CA29)-1&lt;COLUMN($N:$N),INDEX($1:$1048576,ROW(CA28),SUM($BZ29:CA29)+COLUMN($I$1)-1),INDEX($3:$3,1,COLUMN($I:$I)+SUM($BY29:CA29)-1)&amp;" ("&amp;INDEX($1:$1048576,ROW(CA28),SUM($BZ29:CA29)+COLUMN($I$1)-1)&amp;")"),"")</f>
        <v/>
      </c>
      <c r="CB28" s="84" t="str">
        <f ca="1">IF(NOT(ISERROR(CB29)),IF(COLUMN($I:$I)+SUM($BY29:CB29)-1&lt;COLUMN($N:$N),INDEX($1:$1048576,ROW(CB28),SUM($BZ29:CB29)+COLUMN($I$1)-1),INDEX($3:$3,1,COLUMN($I:$I)+SUM($BY29:CB29)-1)&amp;" ("&amp;INDEX($1:$1048576,ROW(CB28),SUM($BZ29:CB29)+COLUMN($I$1)-1)&amp;")"),"")</f>
        <v/>
      </c>
      <c r="CC28" s="84" t="str">
        <f ca="1">IF(NOT(ISERROR(CC29)),IF(COLUMN($I:$I)+SUM($BY29:CC29)-1&lt;COLUMN($N:$N),INDEX($1:$1048576,ROW(CC28),SUM($BZ29:CC29)+COLUMN($I$1)-1),INDEX($3:$3,1,COLUMN($I:$I)+SUM($BY29:CC29)-1)&amp;" ("&amp;INDEX($1:$1048576,ROW(CC28),SUM($BZ29:CC29)+COLUMN($I$1)-1)&amp;")"),"")</f>
        <v/>
      </c>
      <c r="CD28" s="84" t="str">
        <f ca="1">IF(NOT(ISERROR(CD29)),IF(COLUMN($I:$I)+SUM($BY29:CD29)-1&lt;COLUMN($N:$N),INDEX($1:$1048576,ROW(CD28),SUM($BZ29:CD29)+COLUMN($I$1)-1),INDEX($3:$3,1,COLUMN($I:$I)+SUM($BY29:CD29)-1)&amp;" ("&amp;INDEX($1:$1048576,ROW(CD28),SUM($BZ29:CD29)+COLUMN($I$1)-1)&amp;")"),"")</f>
        <v/>
      </c>
      <c r="CE28" s="84" t="str">
        <f ca="1">IF(NOT(ISERROR(CE29)),IF(COLUMN($I:$I)+SUM($BY29:CE29)-1&lt;COLUMN($N:$N),INDEX($1:$1048576,ROW(CE28),SUM($BZ29:CE29)+COLUMN($I$1)-1),INDEX($3:$3,1,COLUMN($I:$I)+SUM($BY29:CE29)-1)&amp;" ("&amp;INDEX($1:$1048576,ROW(CE28),SUM($BZ29:CE29)+COLUMN($I$1)-1)&amp;")"),"")</f>
        <v/>
      </c>
      <c r="CF28" s="84" t="str">
        <f ca="1">IF(NOT(ISERROR(CF29)),IF(COLUMN($I:$I)+SUM($BY29:CF29)-1&lt;COLUMN($N:$N),INDEX($1:$1048576,ROW(CF28),SUM($BZ29:CF29)+COLUMN($I$1)-1),INDEX($3:$3,1,COLUMN($I:$I)+SUM($BY29:CF29)-1)&amp;" ("&amp;INDEX($1:$1048576,ROW(CF28),SUM($BZ29:CF29)+COLUMN($I$1)-1)&amp;")"),"")</f>
        <v/>
      </c>
      <c r="CG28" s="84" t="str">
        <f ca="1">IF(NOT(ISERROR(CG29)),IF(COLUMN($I:$I)+SUM($BY29:CG29)-1&lt;COLUMN($N:$N),INDEX($1:$1048576,ROW(CG28),SUM($BZ29:CG29)+COLUMN($I$1)-1),INDEX($3:$3,1,COLUMN($I:$I)+SUM($BY29:CG29)-1)&amp;" ("&amp;INDEX($1:$1048576,ROW(CG28),SUM($BZ29:CG29)+COLUMN($I$1)-1)&amp;")"),"")</f>
        <v/>
      </c>
      <c r="CH28" s="84" t="str">
        <f ca="1">IF(NOT(ISERROR(CH29)),IF(COLUMN($I:$I)+SUM($BY29:CH29)-1&lt;COLUMN($N:$N),INDEX($1:$1048576,ROW(CH28),SUM($BZ29:CH29)+COLUMN($I$1)-1),INDEX($3:$3,1,COLUMN($I:$I)+SUM($BY29:CH29)-1)&amp;" ("&amp;INDEX($1:$1048576,ROW(CH28),SUM($BZ29:CH29)+COLUMN($I$1)-1)&amp;")"),"")</f>
        <v/>
      </c>
      <c r="CI28" s="84" t="str">
        <f ca="1">IF(NOT(ISERROR(CI29)),IF(COLUMN($I:$I)+SUM($BY29:CI29)-1&lt;COLUMN($N:$N),INDEX($1:$1048576,ROW(CI28),SUM($BZ29:CI29)+COLUMN($I$1)-1),INDEX($3:$3,1,COLUMN($I:$I)+SUM($BY29:CI29)-1)&amp;" ("&amp;INDEX($1:$1048576,ROW(CI28),SUM($BZ29:CI29)+COLUMN($I$1)-1)&amp;")"),"")</f>
        <v/>
      </c>
      <c r="CJ28" s="84" t="str">
        <f ca="1">IF(NOT(ISERROR(CJ29)),IF(COLUMN($I:$I)+SUM($BY29:CJ29)-1&lt;COLUMN($N:$N),INDEX($1:$1048576,ROW(CJ28),SUM($BZ29:CJ29)+COLUMN($I$1)-1),INDEX($3:$3,1,COLUMN($I:$I)+SUM($BY29:CJ29)-1)&amp;" ("&amp;INDEX($1:$1048576,ROW(CJ28),SUM($BZ29:CJ29)+COLUMN($I$1)-1)&amp;")"),"")</f>
        <v/>
      </c>
      <c r="CK28" s="87"/>
    </row>
    <row r="29" spans="1:89" s="88" customFormat="1" x14ac:dyDescent="0.25">
      <c r="A29" s="705"/>
      <c r="B29" s="707"/>
      <c r="C29" s="707"/>
      <c r="D29" s="709"/>
      <c r="E29" s="707"/>
      <c r="F29" s="699"/>
      <c r="G29" s="701"/>
      <c r="H29" s="701"/>
      <c r="J29" s="92" t="b">
        <f>IF(J28&gt;0,IF(AND(INDEX('General Merits'!$F:$F,MATCH($J28,'General Merits'!$F:$F,0),1)&gt;0,VLOOKUP('Merit Data'!J28,'General Merits'!$F:$Z,COLUMN('General Merits'!$N:$N),0)),TRUE,FALSE),#N/A)</f>
        <v>0</v>
      </c>
      <c r="K29" s="92" t="e">
        <f>IF(K28&gt;0,IF(AND(INDEX('General Merits'!$F:$F,MATCH($J28,'General Merits'!$F:$F,0),1)&gt;0,VLOOKUP('Merit Data'!K28,'General Merits'!$F:$Z,COLUMN('General Merits'!$N:$N),0)),TRUE,FALSE),#N/A)</f>
        <v>#N/A</v>
      </c>
      <c r="L29" s="92" t="e">
        <f>IF(L28&gt;0,IF(AND(INDEX('General Merits'!$F:$F,MATCH($J28,'General Merits'!$F:$F,0),1)&gt;0,VLOOKUP('Merit Data'!L28,'General Merits'!$F:$Z,COLUMN('General Merits'!$N:$N),0)),TRUE,FALSE),#N/A)</f>
        <v>#N/A</v>
      </c>
      <c r="N29" s="89" t="e">
        <f>IF(STR&gt;=N28,TRUE)</f>
        <v>#REF!</v>
      </c>
      <c r="O29" s="89" t="e">
        <f>IF(AGI&gt;=O28,TRUE)</f>
        <v>#REF!</v>
      </c>
      <c r="P29" s="89" t="e">
        <f>IF(CON&gt;=P28,TRUE)</f>
        <v>#REF!</v>
      </c>
      <c r="Q29" s="89" t="e">
        <f>IF(INT&gt;=Q28,TRUE)</f>
        <v>#REF!</v>
      </c>
      <c r="R29" s="89" t="e">
        <f>IF(WIS&gt;=R28,TRUE)</f>
        <v>#REF!</v>
      </c>
      <c r="S29" s="89" t="e">
        <f>IF(FOC&gt;=S28,TRUE)</f>
        <v>#REF!</v>
      </c>
      <c r="T29" s="89" t="e">
        <f>IF(CHA&gt;=T28,TRUE)</f>
        <v>#REF!</v>
      </c>
      <c r="U29" s="89" t="e">
        <f>IF(INS&gt;=U28,TRUE)</f>
        <v>#REF!</v>
      </c>
      <c r="V29" s="89" t="e">
        <f>IF(CNV&gt;=V28,TRUE)</f>
        <v>#REF!</v>
      </c>
      <c r="W29" s="89"/>
      <c r="X29" s="89" t="e">
        <f>IF(Archery&gt;=X28,TRUE)</f>
        <v>#REF!</v>
      </c>
      <c r="Y29" s="89" t="e">
        <f>IF(Crossbows&gt;=Y28,TRUE)</f>
        <v>#REF!</v>
      </c>
      <c r="Z29" s="89" t="e">
        <f>IF(Daggers&gt;=Z28,TRUE)</f>
        <v>#REF!</v>
      </c>
      <c r="AA29" s="89" t="e">
        <f>IF(HandtoHandCombat&gt;=AA28,TRUE)</f>
        <v>#REF!</v>
      </c>
      <c r="AB29" s="89" t="e">
        <f>IF(HeavyArmor&gt;=AB28,TRUE)</f>
        <v>#REF!</v>
      </c>
      <c r="AC29" s="89" t="e">
        <f>IF(ImprovisedWeaponry&gt;=AC28,TRUE)</f>
        <v>#NAME?</v>
      </c>
      <c r="AD29" s="89" t="e">
        <f>IF(LightArmor&gt;=AD28,TRUE)</f>
        <v>#REF!</v>
      </c>
      <c r="AE29" s="89" t="e">
        <f>IF(Magicka&gt;=AE28,TRUE)</f>
        <v>#REF!</v>
      </c>
      <c r="AF29" s="89" t="e">
        <f>IF(OR(Archery&gt;=AF28,Crossbows&gt;=AF28,Daggers&gt;=AF28,HandtoHandCombat&gt;=AF28,ImprovisedWeaponry&gt;=AF28,Axes&gt;=AF28,Maces&gt;=AF28,Swords&gt;=AF28,Polearms&gt;=AF28,Staves&gt;=AF28,Throwing&gt;=AF28,TwoHandedAxes&gt;=AF28,TwoHandedMaces&gt;=AF28,TwoHandedSwords&gt;=AF28),TRUE)</f>
        <v>#REF!</v>
      </c>
      <c r="AG29" s="89" t="e">
        <f>IF(Axes&gt;=AG28,TRUE)</f>
        <v>#REF!</v>
      </c>
      <c r="AH29" s="89" t="e">
        <f>IF(Maces&gt;=AH28,TRUE)</f>
        <v>#REF!</v>
      </c>
      <c r="AI29" s="89" t="e">
        <f>IF(Swords&gt;=AI28,TRUE)</f>
        <v>#REF!</v>
      </c>
      <c r="AJ29" s="89" t="e">
        <f>IF(Polearms&gt;=AJ28,TRUE)</f>
        <v>#REF!</v>
      </c>
      <c r="AK29" s="89" t="e">
        <f>IF(Shields&gt;=AK28,TRUE)</f>
        <v>#REF!</v>
      </c>
      <c r="AL29" s="89" t="e">
        <f>IF(Staves&gt;=AL28,TRUE)</f>
        <v>#REF!</v>
      </c>
      <c r="AM29" s="89" t="e">
        <f>IF(Throwing&gt;=AM28,TRUE)</f>
        <v>#REF!</v>
      </c>
      <c r="AN29" s="89" t="e">
        <f>IF(TwoHandedAxes&gt;=AN28,TRUE)</f>
        <v>#NAME?</v>
      </c>
      <c r="AO29" s="89" t="e">
        <f>IF(TwoHandedMaces&gt;=AO28,TRUE)</f>
        <v>#NAME?</v>
      </c>
      <c r="AP29" s="89" t="e">
        <f>IF(TwoHandedSwords&gt;=AP28,TRUE)</f>
        <v>#NAME?</v>
      </c>
      <c r="AQ29" s="89"/>
      <c r="AR29" s="89" t="e">
        <f>IF(Acrobatics&gt;=AR28,TRUE)</f>
        <v>#REF!</v>
      </c>
      <c r="AS29" s="89" t="e">
        <f>IF(Appraisal&gt;=AS28,TRUE)</f>
        <v>#REF!</v>
      </c>
      <c r="AT29" s="89" t="e">
        <f>IF(Athletics&gt;=AT28,TRUE)</f>
        <v>#REF!</v>
      </c>
      <c r="AU29" s="89" t="e">
        <f>IF(Comprehension&gt;=AU28,TRUE)</f>
        <v>#REF!</v>
      </c>
      <c r="AV29" s="89" t="e">
        <f>IF(Expression&gt;=AV28,TRUE)</f>
        <v>#REF!</v>
      </c>
      <c r="AW29" s="89" t="e">
        <f>IF(Perception&gt;=AW28,TRUE)</f>
        <v>#REF!</v>
      </c>
      <c r="AX29" s="89" t="e">
        <f>IF(Security&gt;=AX28,TRUE)</f>
        <v>#REF!</v>
      </c>
      <c r="AY29" s="89" t="e">
        <f>IF(Stealth&gt;=AY28,TRUE)</f>
        <v>#REF!</v>
      </c>
      <c r="AZ29" s="89" t="e">
        <f>IF(Streetwise&gt;=AZ28,TRUE)</f>
        <v>#REF!</v>
      </c>
      <c r="BA29" s="89" t="e">
        <f>IF(Subterfuge&gt;=BA28,TRUE)</f>
        <v>#REF!</v>
      </c>
      <c r="BB29" s="89" t="e">
        <f>IF(Survival&gt;=BB28,TRUE)</f>
        <v>#REF!</v>
      </c>
      <c r="BC29" s="89"/>
      <c r="BD29" s="89" t="e">
        <f>IF(AncientDraconic&gt;=BD28,TRUE)</f>
        <v>#REF!</v>
      </c>
      <c r="BE29" s="89" t="e">
        <f>IF(AquaElven&gt;=BE28,TRUE)</f>
        <v>#REF!</v>
      </c>
      <c r="BF29" s="89" t="e">
        <f>IF(BasicElven&gt;=BF28,TRUE)</f>
        <v>#REF!</v>
      </c>
      <c r="BG29" s="89" t="e">
        <f>IF(Common&gt;=BG28,TRUE)</f>
        <v>#REF!</v>
      </c>
      <c r="BH29" s="89" t="e">
        <f>IF(DarkElven&gt;=BH28,TRUE)</f>
        <v>#REF!</v>
      </c>
      <c r="BI29" s="89" t="e">
        <f>IF(Davek&gt;=BI28,TRUE)</f>
        <v>#REF!</v>
      </c>
      <c r="BJ29" s="89" t="e">
        <f>IF(Draconic&gt;=BJ28,TRUE)</f>
        <v>#REF!</v>
      </c>
      <c r="BK29" s="89" t="e">
        <f>IF(Eulian&gt;=BK28,TRUE)</f>
        <v>#REF!</v>
      </c>
      <c r="BL29" s="89" t="e">
        <f>IF(Garonian&gt;=BL28,TRUE)</f>
        <v>#REF!</v>
      </c>
      <c r="BM29" s="89" t="e">
        <f>IF(Geovek&gt;=BM28,TRUE)</f>
        <v>#REF!</v>
      </c>
      <c r="BN29" s="89" t="e">
        <f>IF(Gnomish&gt;=BN28,TRUE)</f>
        <v>#REF!</v>
      </c>
      <c r="BO29" s="89" t="e">
        <f>IF(Goblin&gt;=BO28,TRUE)</f>
        <v>#REF!</v>
      </c>
      <c r="BP29" s="89" t="e">
        <f>IF(HighElven&gt;=BP28,TRUE)</f>
        <v>#REF!</v>
      </c>
      <c r="BQ29" s="89" t="e">
        <f>IF(Kotaba&gt;=BQ28,TRUE)</f>
        <v>#REF!</v>
      </c>
      <c r="BR29" s="89" t="e">
        <f>IF(LowerCommon&gt;=BR28,TRUE)</f>
        <v>#REF!</v>
      </c>
      <c r="BS29" s="89" t="e">
        <f>IF(OldElven&gt;=BS28,TRUE)</f>
        <v>#REF!</v>
      </c>
      <c r="BT29" s="89" t="e">
        <f>IF(Sylvan&gt;=BT28,TRUE)</f>
        <v>#REF!</v>
      </c>
      <c r="BU29" s="89" t="e">
        <f>IF(TrueDraconic&gt;=BU28,TRUE)</f>
        <v>#REF!</v>
      </c>
      <c r="BV29" s="89" t="e">
        <f>IF(Volken&gt;=BV28,TRUE)</f>
        <v>#REF!</v>
      </c>
      <c r="BW29" s="89" t="e">
        <f>IF(WoodElven&gt;=BW28,TRUE)</f>
        <v>#REF!</v>
      </c>
      <c r="BX29" s="703"/>
      <c r="BY29" s="89"/>
      <c r="BZ29" s="88">
        <f ca="1">MATCH(TRUE,INDEX((INDIRECT(INDEX($1:$1,ROW($1:$1),COLUMN($I:$I)+SUM($BY29:BY29))&amp;$CK29-1&amp;":"&amp;$BW$1&amp;$CK29-1)&lt;&gt;0),0),0)</f>
        <v>2</v>
      </c>
      <c r="CA29" s="88" t="e">
        <f ca="1">MATCH(TRUE,INDEX((INDIRECT(INDEX($1:$1,ROW($1:$1),COLUMN($I:$I)+SUM($BY29:BZ29))&amp;$CK29-1&amp;":"&amp;$BW$1&amp;$CK29-1)&lt;&gt;0),0),0)</f>
        <v>#N/A</v>
      </c>
      <c r="CB29" s="88" t="e">
        <f ca="1">MATCH(TRUE,INDEX((INDIRECT(INDEX($1:$1,ROW($1:$1),COLUMN($I:$I)+SUM($BY29:CA29))&amp;$CK29-1&amp;":"&amp;$BW$1&amp;$CK29-1)&lt;&gt;0),0),0)</f>
        <v>#N/A</v>
      </c>
      <c r="CC29" s="88" t="e">
        <f ca="1">MATCH(TRUE,INDEX((INDIRECT(INDEX($1:$1,ROW($1:$1),COLUMN($I:$I)+SUM($BY29:CB29))&amp;$CK29-1&amp;":"&amp;$BW$1&amp;$CK29-1)&lt;&gt;0),0),0)</f>
        <v>#N/A</v>
      </c>
      <c r="CD29" s="88" t="e">
        <f ca="1">MATCH(TRUE,INDEX((INDIRECT(INDEX($1:$1,ROW($1:$1),COLUMN($I:$I)+SUM($BY29:CC29))&amp;$CK29-1&amp;":"&amp;$BW$1&amp;$CK29-1)&lt;&gt;0),0),0)</f>
        <v>#N/A</v>
      </c>
      <c r="CE29" s="88" t="e">
        <f ca="1">MATCH(TRUE,INDEX((INDIRECT(INDEX($1:$1,ROW($1:$1),COLUMN($I:$I)+SUM($BY29:CD29))&amp;$CK29-1&amp;":"&amp;$BW$1&amp;$CK29-1)&lt;&gt;0),0),0)</f>
        <v>#N/A</v>
      </c>
      <c r="CF29" s="88" t="e">
        <f ca="1">MATCH(TRUE,INDEX((INDIRECT(INDEX($1:$1,ROW($1:$1),COLUMN($I:$I)+SUM($BY29:CE29))&amp;$CK29-1&amp;":"&amp;$BW$1&amp;$CK29-1)&lt;&gt;0),0),0)</f>
        <v>#N/A</v>
      </c>
      <c r="CG29" s="88" t="e">
        <f ca="1">MATCH(TRUE,INDEX((INDIRECT(INDEX($1:$1,ROW($1:$1),COLUMN($I:$I)+SUM($BY29:CF29))&amp;$CK29-1&amp;":"&amp;$BW$1&amp;$CK29-1)&lt;&gt;0),0),0)</f>
        <v>#N/A</v>
      </c>
      <c r="CH29" s="88" t="e">
        <f ca="1">MATCH(TRUE,INDEX((INDIRECT(INDEX($1:$1,ROW($1:$1),COLUMN($I:$I)+SUM($BY29:CG29))&amp;$CK29-1&amp;":"&amp;$BW$1&amp;$CK29-1)&lt;&gt;0),0),0)</f>
        <v>#N/A</v>
      </c>
      <c r="CI29" s="88" t="e">
        <f ca="1">MATCH(TRUE,INDEX((INDIRECT(INDEX($1:$1,ROW($1:$1),COLUMN($I:$I)+SUM($BY29:CH29))&amp;$CK29-1&amp;":"&amp;$BW$1&amp;$CK29-1)&lt;&gt;0),0),0)</f>
        <v>#N/A</v>
      </c>
      <c r="CJ29" s="88" t="e">
        <f ca="1">MATCH(TRUE,INDEX((INDIRECT(INDEX($1:$1,ROW($1:$1),COLUMN($I:$I)+SUM($BY29:CI29))&amp;$CK29-1&amp;":"&amp;$BW$1&amp;$CK29-1)&lt;&gt;0),0),0)</f>
        <v>#N/A</v>
      </c>
      <c r="CK29" s="90">
        <f>ROW(CK29)</f>
        <v>29</v>
      </c>
    </row>
    <row r="30" spans="1:89" s="84" customFormat="1" ht="15" customHeight="1" x14ac:dyDescent="0.25">
      <c r="A30" s="704" t="s">
        <v>463</v>
      </c>
      <c r="B30" s="706" t="b">
        <f>ISERROR(MATCH(FALSE,$J31:$BW31,0))</f>
        <v>1</v>
      </c>
      <c r="C30" s="706" t="b">
        <f>IF(AND(INDEX('General Merits'!$F:$F,MATCH(A30,'General Merits'!$F:$F,0))&gt;0,VLOOKUP(A30,'General Merits'!$F:$Q,10,0)),TRUE,FALSE)</f>
        <v>0</v>
      </c>
      <c r="D30" s="708">
        <v>2</v>
      </c>
      <c r="E30" s="706">
        <f>D30*100</f>
        <v>200</v>
      </c>
      <c r="F30" s="698" t="s">
        <v>464</v>
      </c>
      <c r="G30" s="700"/>
      <c r="H30" s="700"/>
      <c r="J30" s="234"/>
      <c r="K30" s="234"/>
      <c r="L30" s="234"/>
      <c r="N30" s="85"/>
      <c r="O30" s="85">
        <v>18</v>
      </c>
      <c r="P30" s="85"/>
      <c r="Q30" s="85"/>
      <c r="R30" s="85"/>
      <c r="S30" s="85"/>
      <c r="T30" s="85"/>
      <c r="U30" s="85"/>
      <c r="V30" s="85"/>
      <c r="W30" s="86"/>
      <c r="X30" s="85"/>
      <c r="Y30" s="85"/>
      <c r="Z30" s="85"/>
      <c r="AA30" s="85"/>
      <c r="AB30" s="85"/>
      <c r="AC30" s="85"/>
      <c r="AD30" s="85"/>
      <c r="AE30" s="85"/>
      <c r="AF30" s="236"/>
      <c r="AG30" s="85"/>
      <c r="AH30" s="85"/>
      <c r="AI30" s="85"/>
      <c r="AJ30" s="85"/>
      <c r="AK30" s="85"/>
      <c r="AL30" s="85"/>
      <c r="AM30" s="85"/>
      <c r="AN30" s="85"/>
      <c r="AO30" s="85"/>
      <c r="AP30" s="85"/>
      <c r="AQ30" s="85"/>
      <c r="AR30" s="85">
        <v>8</v>
      </c>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702" t="str">
        <f ca="1">IF(BZ30&lt;&gt;"",BZ30,"")&amp;IF(CA30&lt;&gt;"",", "&amp;CA30,"")&amp;IF(CB30&lt;&gt;"",", "&amp;CB30,"")&amp;IF(CC30&lt;&gt;"",", "&amp;CC30,"")&amp;IF(CD30&lt;&gt;"",", "&amp;CD30,"")&amp;IF(CE30&lt;&gt;"",", "&amp;CE30,"")&amp;IF(CF30&lt;&gt;"",", "&amp;CF30,"")&amp;IF(CG30&lt;&gt;"",", "&amp;CG30,"")&amp;IF(CH30&lt;&gt;"",", "&amp;CH30,"")&amp;IF(CI30&lt;&gt;"",", "&amp;CI30,"")</f>
        <v>Agility (18), Acrobatics (8)</v>
      </c>
      <c r="BY30" s="85"/>
      <c r="BZ30" s="84" t="str">
        <f ca="1">IF(NOT(ISERROR(BZ31)),IF(COLUMN($I:$I)+SUM($BY31:BZ31)-1&lt;COLUMN($N:$N),INDEX($1:$1048576,ROW(BZ30),SUM($BZ31:BZ31)+COLUMN($I$1)-1),INDEX($3:$3,1,COLUMN($I:$I)+SUM($BY31:BZ31)-1)&amp;" ("&amp;INDEX($1:$1048576,ROW(BZ30),SUM($BZ31:BZ31)+COLUMN($I$1)-1)&amp;")"),"")</f>
        <v>Agility (18)</v>
      </c>
      <c r="CA30" s="84" t="str">
        <f ca="1">IF(NOT(ISERROR(CA31)),IF(COLUMN($I:$I)+SUM($BY31:CA31)-1&lt;COLUMN($N:$N),INDEX($1:$1048576,ROW(CA30),SUM($BZ31:CA31)+COLUMN($I$1)-1),INDEX($3:$3,1,COLUMN($I:$I)+SUM($BY31:CA31)-1)&amp;" ("&amp;INDEX($1:$1048576,ROW(CA30),SUM($BZ31:CA31)+COLUMN($I$1)-1)&amp;")"),"")</f>
        <v>Acrobatics (8)</v>
      </c>
      <c r="CB30" s="84" t="str">
        <f ca="1">IF(NOT(ISERROR(CB31)),IF(COLUMN($I:$I)+SUM($BY31:CB31)-1&lt;COLUMN($N:$N),INDEX($1:$1048576,ROW(CB30),SUM($BZ31:CB31)+COLUMN($I$1)-1),INDEX($3:$3,1,COLUMN($I:$I)+SUM($BY31:CB31)-1)&amp;" ("&amp;INDEX($1:$1048576,ROW(CB30),SUM($BZ31:CB31)+COLUMN($I$1)-1)&amp;")"),"")</f>
        <v/>
      </c>
      <c r="CC30" s="84" t="str">
        <f ca="1">IF(NOT(ISERROR(CC31)),IF(COLUMN($I:$I)+SUM($BY31:CC31)-1&lt;COLUMN($N:$N),INDEX($1:$1048576,ROW(CC30),SUM($BZ31:CC31)+COLUMN($I$1)-1),INDEX($3:$3,1,COLUMN($I:$I)+SUM($BY31:CC31)-1)&amp;" ("&amp;INDEX($1:$1048576,ROW(CC30),SUM($BZ31:CC31)+COLUMN($I$1)-1)&amp;")"),"")</f>
        <v/>
      </c>
      <c r="CD30" s="84" t="str">
        <f ca="1">IF(NOT(ISERROR(CD31)),IF(COLUMN($I:$I)+SUM($BY31:CD31)-1&lt;COLUMN($N:$N),INDEX($1:$1048576,ROW(CD30),SUM($BZ31:CD31)+COLUMN($I$1)-1),INDEX($3:$3,1,COLUMN($I:$I)+SUM($BY31:CD31)-1)&amp;" ("&amp;INDEX($1:$1048576,ROW(CD30),SUM($BZ31:CD31)+COLUMN($I$1)-1)&amp;")"),"")</f>
        <v/>
      </c>
      <c r="CE30" s="84" t="str">
        <f ca="1">IF(NOT(ISERROR(CE31)),IF(COLUMN($I:$I)+SUM($BY31:CE31)-1&lt;COLUMN($N:$N),INDEX($1:$1048576,ROW(CE30),SUM($BZ31:CE31)+COLUMN($I$1)-1),INDEX($3:$3,1,COLUMN($I:$I)+SUM($BY31:CE31)-1)&amp;" ("&amp;INDEX($1:$1048576,ROW(CE30),SUM($BZ31:CE31)+COLUMN($I$1)-1)&amp;")"),"")</f>
        <v/>
      </c>
      <c r="CF30" s="84" t="str">
        <f ca="1">IF(NOT(ISERROR(CF31)),IF(COLUMN($I:$I)+SUM($BY31:CF31)-1&lt;COLUMN($N:$N),INDEX($1:$1048576,ROW(CF30),SUM($BZ31:CF31)+COLUMN($I$1)-1),INDEX($3:$3,1,COLUMN($I:$I)+SUM($BY31:CF31)-1)&amp;" ("&amp;INDEX($1:$1048576,ROW(CF30),SUM($BZ31:CF31)+COLUMN($I$1)-1)&amp;")"),"")</f>
        <v/>
      </c>
      <c r="CG30" s="84" t="str">
        <f ca="1">IF(NOT(ISERROR(CG31)),IF(COLUMN($I:$I)+SUM($BY31:CG31)-1&lt;COLUMN($N:$N),INDEX($1:$1048576,ROW(CG30),SUM($BZ31:CG31)+COLUMN($I$1)-1),INDEX($3:$3,1,COLUMN($I:$I)+SUM($BY31:CG31)-1)&amp;" ("&amp;INDEX($1:$1048576,ROW(CG30),SUM($BZ31:CG31)+COLUMN($I$1)-1)&amp;")"),"")</f>
        <v/>
      </c>
      <c r="CH30" s="84" t="str">
        <f ca="1">IF(NOT(ISERROR(CH31)),IF(COLUMN($I:$I)+SUM($BY31:CH31)-1&lt;COLUMN($N:$N),INDEX($1:$1048576,ROW(CH30),SUM($BZ31:CH31)+COLUMN($I$1)-1),INDEX($3:$3,1,COLUMN($I:$I)+SUM($BY31:CH31)-1)&amp;" ("&amp;INDEX($1:$1048576,ROW(CH30),SUM($BZ31:CH31)+COLUMN($I$1)-1)&amp;")"),"")</f>
        <v/>
      </c>
      <c r="CI30" s="84" t="str">
        <f ca="1">IF(NOT(ISERROR(CI31)),IF(COLUMN($I:$I)+SUM($BY31:CI31)-1&lt;COLUMN($N:$N),INDEX($1:$1048576,ROW(CI30),SUM($BZ31:CI31)+COLUMN($I$1)-1),INDEX($3:$3,1,COLUMN($I:$I)+SUM($BY31:CI31)-1)&amp;" ("&amp;INDEX($1:$1048576,ROW(CI30),SUM($BZ31:CI31)+COLUMN($I$1)-1)&amp;")"),"")</f>
        <v/>
      </c>
      <c r="CJ30" s="84" t="str">
        <f ca="1">IF(NOT(ISERROR(CJ31)),IF(COLUMN($I:$I)+SUM($BY31:CJ31)-1&lt;COLUMN($N:$N),INDEX($1:$1048576,ROW(CJ30),SUM($BZ31:CJ31)+COLUMN($I$1)-1),INDEX($3:$3,1,COLUMN($I:$I)+SUM($BY31:CJ31)-1)&amp;" ("&amp;INDEX($1:$1048576,ROW(CJ30),SUM($BZ31:CJ31)+COLUMN($I$1)-1)&amp;")"),"")</f>
        <v/>
      </c>
      <c r="CK30" s="87"/>
    </row>
    <row r="31" spans="1:89" s="88" customFormat="1" x14ac:dyDescent="0.25">
      <c r="A31" s="705"/>
      <c r="B31" s="707"/>
      <c r="C31" s="707"/>
      <c r="D31" s="709"/>
      <c r="E31" s="707"/>
      <c r="F31" s="699"/>
      <c r="G31" s="701"/>
      <c r="H31" s="701"/>
      <c r="J31" s="92" t="e">
        <f>IF(J30&gt;0,IF(AND(INDEX('General Merits'!$F:$F,MATCH($J30,'General Merits'!$F:$F,0),1)&gt;0,VLOOKUP('Merit Data'!J30,'General Merits'!$F:$Z,COLUMN('General Merits'!$N:$N),0)),TRUE,FALSE),#N/A)</f>
        <v>#N/A</v>
      </c>
      <c r="K31" s="92" t="e">
        <f>IF(K30&gt;0,IF(AND(INDEX('General Merits'!$F:$F,MATCH($J30,'General Merits'!$F:$F,0),1)&gt;0,VLOOKUP('Merit Data'!K30,'General Merits'!$F:$Z,COLUMN('General Merits'!$N:$N),0)),TRUE,FALSE),#N/A)</f>
        <v>#N/A</v>
      </c>
      <c r="L31" s="92" t="e">
        <f>IF(L30&gt;0,IF(AND(INDEX('General Merits'!$F:$F,MATCH($J30,'General Merits'!$F:$F,0),1)&gt;0,VLOOKUP('Merit Data'!L30,'General Merits'!$F:$Z,COLUMN('General Merits'!$N:$N),0)),TRUE,FALSE),#N/A)</f>
        <v>#N/A</v>
      </c>
      <c r="N31" s="89" t="e">
        <f>IF(STR&gt;=N30,TRUE)</f>
        <v>#REF!</v>
      </c>
      <c r="O31" s="89" t="e">
        <f>IF(AGI&gt;=O30,TRUE)</f>
        <v>#REF!</v>
      </c>
      <c r="P31" s="89" t="e">
        <f>IF(CON&gt;=P30,TRUE)</f>
        <v>#REF!</v>
      </c>
      <c r="Q31" s="89" t="e">
        <f>IF(INT&gt;=Q30,TRUE)</f>
        <v>#REF!</v>
      </c>
      <c r="R31" s="89" t="e">
        <f>IF(WIS&gt;=R30,TRUE)</f>
        <v>#REF!</v>
      </c>
      <c r="S31" s="89" t="e">
        <f>IF(FOC&gt;=S30,TRUE)</f>
        <v>#REF!</v>
      </c>
      <c r="T31" s="89" t="e">
        <f>IF(CHA&gt;=T30,TRUE)</f>
        <v>#REF!</v>
      </c>
      <c r="U31" s="89" t="e">
        <f>IF(INS&gt;=U30,TRUE)</f>
        <v>#REF!</v>
      </c>
      <c r="V31" s="89" t="e">
        <f>IF(CNV&gt;=V30,TRUE)</f>
        <v>#REF!</v>
      </c>
      <c r="W31" s="89"/>
      <c r="X31" s="89" t="e">
        <f>IF(Archery&gt;=X30,TRUE)</f>
        <v>#REF!</v>
      </c>
      <c r="Y31" s="89" t="e">
        <f>IF(Crossbows&gt;=Y30,TRUE)</f>
        <v>#REF!</v>
      </c>
      <c r="Z31" s="89" t="e">
        <f>IF(Daggers&gt;=Z30,TRUE)</f>
        <v>#REF!</v>
      </c>
      <c r="AA31" s="89" t="e">
        <f>IF(HandtoHandCombat&gt;=AA30,TRUE)</f>
        <v>#REF!</v>
      </c>
      <c r="AB31" s="89" t="e">
        <f>IF(HeavyArmor&gt;=AB30,TRUE)</f>
        <v>#REF!</v>
      </c>
      <c r="AC31" s="89" t="e">
        <f>IF(ImprovisedWeaponry&gt;=AC30,TRUE)</f>
        <v>#NAME?</v>
      </c>
      <c r="AD31" s="89" t="e">
        <f>IF(LightArmor&gt;=AD30,TRUE)</f>
        <v>#REF!</v>
      </c>
      <c r="AE31" s="89" t="e">
        <f>IF(Magicka&gt;=AE30,TRUE)</f>
        <v>#REF!</v>
      </c>
      <c r="AF31" s="89" t="e">
        <f>IF(OR(Archery&gt;=AF30,Crossbows&gt;=AF30,Daggers&gt;=AF30,HandtoHandCombat&gt;=AF30,ImprovisedWeaponry&gt;=AF30,Axes&gt;=AF30,Maces&gt;=AF30,Swords&gt;=AF30,Polearms&gt;=AF30,Staves&gt;=AF30,Throwing&gt;=AF30,TwoHandedAxes&gt;=AF30,TwoHandedMaces&gt;=AF30,TwoHandedSwords&gt;=AF30),TRUE)</f>
        <v>#REF!</v>
      </c>
      <c r="AG31" s="89" t="e">
        <f>IF(Axes&gt;=AG30,TRUE)</f>
        <v>#REF!</v>
      </c>
      <c r="AH31" s="89" t="e">
        <f>IF(Maces&gt;=AH30,TRUE)</f>
        <v>#REF!</v>
      </c>
      <c r="AI31" s="89" t="e">
        <f>IF(Swords&gt;=AI30,TRUE)</f>
        <v>#REF!</v>
      </c>
      <c r="AJ31" s="89" t="e">
        <f>IF(Polearms&gt;=AJ30,TRUE)</f>
        <v>#REF!</v>
      </c>
      <c r="AK31" s="89" t="e">
        <f>IF(Shields&gt;=AK30,TRUE)</f>
        <v>#REF!</v>
      </c>
      <c r="AL31" s="89" t="e">
        <f>IF(Staves&gt;=AL30,TRUE)</f>
        <v>#REF!</v>
      </c>
      <c r="AM31" s="89" t="e">
        <f>IF(Throwing&gt;=AM30,TRUE)</f>
        <v>#REF!</v>
      </c>
      <c r="AN31" s="89" t="e">
        <f>IF(TwoHandedAxes&gt;=AN30,TRUE)</f>
        <v>#NAME?</v>
      </c>
      <c r="AO31" s="89" t="e">
        <f>IF(TwoHandedMaces&gt;=AO30,TRUE)</f>
        <v>#NAME?</v>
      </c>
      <c r="AP31" s="89" t="e">
        <f>IF(TwoHandedSwords&gt;=AP30,TRUE)</f>
        <v>#NAME?</v>
      </c>
      <c r="AQ31" s="89"/>
      <c r="AR31" s="89" t="e">
        <f>IF(Acrobatics&gt;=AR30,TRUE)</f>
        <v>#REF!</v>
      </c>
      <c r="AS31" s="89" t="e">
        <f>IF(Appraisal&gt;=AS30,TRUE)</f>
        <v>#REF!</v>
      </c>
      <c r="AT31" s="89" t="e">
        <f>IF(Athletics&gt;=AT30,TRUE)</f>
        <v>#REF!</v>
      </c>
      <c r="AU31" s="89" t="e">
        <f>IF(Comprehension&gt;=AU30,TRUE)</f>
        <v>#REF!</v>
      </c>
      <c r="AV31" s="89" t="e">
        <f>IF(Expression&gt;=AV30,TRUE)</f>
        <v>#REF!</v>
      </c>
      <c r="AW31" s="89" t="e">
        <f>IF(Perception&gt;=AW30,TRUE)</f>
        <v>#REF!</v>
      </c>
      <c r="AX31" s="89" t="e">
        <f>IF(Security&gt;=AX30,TRUE)</f>
        <v>#REF!</v>
      </c>
      <c r="AY31" s="89" t="e">
        <f>IF(Stealth&gt;=AY30,TRUE)</f>
        <v>#REF!</v>
      </c>
      <c r="AZ31" s="89" t="e">
        <f>IF(Streetwise&gt;=AZ30,TRUE)</f>
        <v>#REF!</v>
      </c>
      <c r="BA31" s="89" t="e">
        <f>IF(Subterfuge&gt;=BA30,TRUE)</f>
        <v>#REF!</v>
      </c>
      <c r="BB31" s="89" t="e">
        <f>IF(Survival&gt;=BB30,TRUE)</f>
        <v>#REF!</v>
      </c>
      <c r="BC31" s="89"/>
      <c r="BD31" s="89" t="e">
        <f>IF(AncientDraconic&gt;=BD30,TRUE)</f>
        <v>#REF!</v>
      </c>
      <c r="BE31" s="89" t="e">
        <f>IF(AquaElven&gt;=BE30,TRUE)</f>
        <v>#REF!</v>
      </c>
      <c r="BF31" s="89" t="e">
        <f>IF(BasicElven&gt;=BF30,TRUE)</f>
        <v>#REF!</v>
      </c>
      <c r="BG31" s="89" t="e">
        <f>IF(Common&gt;=BG30,TRUE)</f>
        <v>#REF!</v>
      </c>
      <c r="BH31" s="89" t="e">
        <f>IF(DarkElven&gt;=BH30,TRUE)</f>
        <v>#REF!</v>
      </c>
      <c r="BI31" s="89" t="e">
        <f>IF(Davek&gt;=BI30,TRUE)</f>
        <v>#REF!</v>
      </c>
      <c r="BJ31" s="89" t="e">
        <f>IF(Draconic&gt;=BJ30,TRUE)</f>
        <v>#REF!</v>
      </c>
      <c r="BK31" s="89" t="e">
        <f>IF(Eulian&gt;=BK30,TRUE)</f>
        <v>#REF!</v>
      </c>
      <c r="BL31" s="89" t="e">
        <f>IF(Garonian&gt;=BL30,TRUE)</f>
        <v>#REF!</v>
      </c>
      <c r="BM31" s="89" t="e">
        <f>IF(Geovek&gt;=BM30,TRUE)</f>
        <v>#REF!</v>
      </c>
      <c r="BN31" s="89" t="e">
        <f>IF(Gnomish&gt;=BN30,TRUE)</f>
        <v>#REF!</v>
      </c>
      <c r="BO31" s="89" t="e">
        <f>IF(Goblin&gt;=BO30,TRUE)</f>
        <v>#REF!</v>
      </c>
      <c r="BP31" s="89" t="e">
        <f>IF(HighElven&gt;=BP30,TRUE)</f>
        <v>#REF!</v>
      </c>
      <c r="BQ31" s="89" t="e">
        <f>IF(Kotaba&gt;=BQ30,TRUE)</f>
        <v>#REF!</v>
      </c>
      <c r="BR31" s="89" t="e">
        <f>IF(LowerCommon&gt;=BR30,TRUE)</f>
        <v>#REF!</v>
      </c>
      <c r="BS31" s="89" t="e">
        <f>IF(OldElven&gt;=BS30,TRUE)</f>
        <v>#REF!</v>
      </c>
      <c r="BT31" s="89" t="e">
        <f>IF(Sylvan&gt;=BT30,TRUE)</f>
        <v>#REF!</v>
      </c>
      <c r="BU31" s="89" t="e">
        <f>IF(TrueDraconic&gt;=BU30,TRUE)</f>
        <v>#REF!</v>
      </c>
      <c r="BV31" s="89" t="e">
        <f>IF(Volken&gt;=BV30,TRUE)</f>
        <v>#REF!</v>
      </c>
      <c r="BW31" s="89" t="e">
        <f>IF(WoodElven&gt;=BW30,TRUE)</f>
        <v>#REF!</v>
      </c>
      <c r="BX31" s="703"/>
      <c r="BY31" s="89"/>
      <c r="BZ31" s="88">
        <f ca="1">MATCH(TRUE,INDEX((INDIRECT(INDEX($1:$1,ROW($1:$1),COLUMN($I:$I)+SUM($BY31:BY31))&amp;$CK31-1&amp;":"&amp;$BW$1&amp;$CK31-1)&lt;&gt;0),0),0)</f>
        <v>7</v>
      </c>
      <c r="CA31" s="88">
        <f ca="1">MATCH(TRUE,INDEX((INDIRECT(INDEX($1:$1,ROW($1:$1),COLUMN($I:$I)+SUM($BY31:BZ31))&amp;$CK31-1&amp;":"&amp;$BW$1&amp;$CK31-1)&lt;&gt;0),0),0)</f>
        <v>29</v>
      </c>
      <c r="CB31" s="88" t="e">
        <f ca="1">MATCH(TRUE,INDEX((INDIRECT(INDEX($1:$1,ROW($1:$1),COLUMN($I:$I)+SUM($BY31:CA31))&amp;$CK31-1&amp;":"&amp;$BW$1&amp;$CK31-1)&lt;&gt;0),0),0)</f>
        <v>#N/A</v>
      </c>
      <c r="CC31" s="88" t="e">
        <f ca="1">MATCH(TRUE,INDEX((INDIRECT(INDEX($1:$1,ROW($1:$1),COLUMN($I:$I)+SUM($BY31:CB31))&amp;$CK31-1&amp;":"&amp;$BW$1&amp;$CK31-1)&lt;&gt;0),0),0)</f>
        <v>#N/A</v>
      </c>
      <c r="CD31" s="88" t="e">
        <f ca="1">MATCH(TRUE,INDEX((INDIRECT(INDEX($1:$1,ROW($1:$1),COLUMN($I:$I)+SUM($BY31:CC31))&amp;$CK31-1&amp;":"&amp;$BW$1&amp;$CK31-1)&lt;&gt;0),0),0)</f>
        <v>#N/A</v>
      </c>
      <c r="CE31" s="88" t="e">
        <f ca="1">MATCH(TRUE,INDEX((INDIRECT(INDEX($1:$1,ROW($1:$1),COLUMN($I:$I)+SUM($BY31:CD31))&amp;$CK31-1&amp;":"&amp;$BW$1&amp;$CK31-1)&lt;&gt;0),0),0)</f>
        <v>#N/A</v>
      </c>
      <c r="CF31" s="88" t="e">
        <f ca="1">MATCH(TRUE,INDEX((INDIRECT(INDEX($1:$1,ROW($1:$1),COLUMN($I:$I)+SUM($BY31:CE31))&amp;$CK31-1&amp;":"&amp;$BW$1&amp;$CK31-1)&lt;&gt;0),0),0)</f>
        <v>#N/A</v>
      </c>
      <c r="CG31" s="88" t="e">
        <f ca="1">MATCH(TRUE,INDEX((INDIRECT(INDEX($1:$1,ROW($1:$1),COLUMN($I:$I)+SUM($BY31:CF31))&amp;$CK31-1&amp;":"&amp;$BW$1&amp;$CK31-1)&lt;&gt;0),0),0)</f>
        <v>#N/A</v>
      </c>
      <c r="CH31" s="88" t="e">
        <f ca="1">MATCH(TRUE,INDEX((INDIRECT(INDEX($1:$1,ROW($1:$1),COLUMN($I:$I)+SUM($BY31:CG31))&amp;$CK31-1&amp;":"&amp;$BW$1&amp;$CK31-1)&lt;&gt;0),0),0)</f>
        <v>#N/A</v>
      </c>
      <c r="CI31" s="88" t="e">
        <f ca="1">MATCH(TRUE,INDEX((INDIRECT(INDEX($1:$1,ROW($1:$1),COLUMN($I:$I)+SUM($BY31:CH31))&amp;$CK31-1&amp;":"&amp;$BW$1&amp;$CK31-1)&lt;&gt;0),0),0)</f>
        <v>#N/A</v>
      </c>
      <c r="CJ31" s="88" t="e">
        <f ca="1">MATCH(TRUE,INDEX((INDIRECT(INDEX($1:$1,ROW($1:$1),COLUMN($I:$I)+SUM($BY31:CI31))&amp;$CK31-1&amp;":"&amp;$BW$1&amp;$CK31-1)&lt;&gt;0),0),0)</f>
        <v>#N/A</v>
      </c>
      <c r="CK31" s="90">
        <f>ROW(CK31)</f>
        <v>31</v>
      </c>
    </row>
    <row r="32" spans="1:89" s="84" customFormat="1" ht="15" customHeight="1" x14ac:dyDescent="0.25">
      <c r="A32" s="704" t="s">
        <v>465</v>
      </c>
      <c r="B32" s="706" t="b">
        <f>ISERROR(MATCH(FALSE,$J33:$BW33,0))</f>
        <v>1</v>
      </c>
      <c r="C32" s="706" t="b">
        <f>IF(AND(INDEX('General Merits'!$F:$F,MATCH(A32,'General Merits'!$F:$F,0))&gt;0,VLOOKUP(A32,'General Merits'!$F:$Q,10,0)),TRUE,FALSE)</f>
        <v>0</v>
      </c>
      <c r="D32" s="708">
        <v>2</v>
      </c>
      <c r="E32" s="706">
        <f>D32*100</f>
        <v>200</v>
      </c>
      <c r="F32" s="698" t="s">
        <v>466</v>
      </c>
      <c r="G32" s="700"/>
      <c r="H32" s="700"/>
      <c r="J32" s="235"/>
      <c r="K32" s="235"/>
      <c r="L32" s="235"/>
      <c r="N32" s="85"/>
      <c r="O32" s="85"/>
      <c r="P32" s="85"/>
      <c r="Q32" s="85"/>
      <c r="R32" s="85"/>
      <c r="S32" s="85"/>
      <c r="T32" s="85"/>
      <c r="U32" s="85">
        <v>23</v>
      </c>
      <c r="V32" s="85"/>
      <c r="W32" s="86"/>
      <c r="X32" s="85"/>
      <c r="Y32" s="85"/>
      <c r="Z32" s="85"/>
      <c r="AA32" s="85"/>
      <c r="AB32" s="85"/>
      <c r="AC32" s="85"/>
      <c r="AD32" s="85"/>
      <c r="AE32" s="85"/>
      <c r="AF32" s="236"/>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702" t="str">
        <f ca="1">IF(BZ32&lt;&gt;"",BZ32,"")&amp;IF(CA32&lt;&gt;"",", "&amp;CA32,"")&amp;IF(CB32&lt;&gt;"",", "&amp;CB32,"")&amp;IF(CC32&lt;&gt;"",", "&amp;CC32,"")&amp;IF(CD32&lt;&gt;"",", "&amp;CD32,"")&amp;IF(CE32&lt;&gt;"",", "&amp;CE32,"")&amp;IF(CF32&lt;&gt;"",", "&amp;CF32,"")&amp;IF(CG32&lt;&gt;"",", "&amp;CG32,"")&amp;IF(CH32&lt;&gt;"",", "&amp;CH32,"")&amp;IF(CI32&lt;&gt;"",", "&amp;CI32,"")</f>
        <v>23</v>
      </c>
      <c r="BY32" s="85"/>
      <c r="BZ32" s="84">
        <f ca="1">IF(NOT(ISERROR(BZ33)),IF(NOT(ISERROR(INDIRECT(SUBSTITUTE(INDEX($1:$1048576,ROW($3:$3),SUM($BZ33:BZ33)+COLUMN($I$1)-1)," ","")&amp;"Title"))),INDIRECT(SUBSTITUTE(INDEX($1:$1048576,ROW($3:$3),SUM($BZ33:BZ33)+COLUMN($I$1)-1)," ","")&amp;"Title")&amp;"("&amp;INDEX($1:$1048576,ROW(BZ32),SUM($BZ33:BZ33)+COLUMN($I$1)-1)&amp;")",INDEX($1:$1048576,ROW(BZ32),SUM($BZ33:BZ33)+COLUMN($I$1)-1)),"")</f>
        <v>23</v>
      </c>
      <c r="CA32" s="84" t="str">
        <f ca="1">IF(NOT(ISERROR(CA33)),IF(NOT(ISERROR(INDIRECT(SUBSTITUTE(INDEX($1:$1048576,ROW($3:$3),SUM($BZ33:CA33)+COLUMN($I$1)-1)," ","")&amp;"Title"))),INDIRECT(SUBSTITUTE(INDEX($1:$1048576,ROW($3:$3),SUM($BZ33:CA33)+COLUMN($I$1)-1)," ","")&amp;"Title")&amp;"("&amp;INDEX($1:$1048576,ROW(CA32),SUM($BZ33:CA33)+COLUMN($I$1)-1)&amp;")",INDEX($1:$1048576,ROW(CA32),SUM($BZ33:CA33)+COLUMN($I$1)-1)),"")</f>
        <v/>
      </c>
      <c r="CB32" s="84" t="str">
        <f ca="1">IF(NOT(ISERROR(CB33)),IF(NOT(ISERROR(INDIRECT(SUBSTITUTE(INDEX($1:$1048576,ROW($3:$3),SUM($BZ33:CB33)+COLUMN($I$1)-1)," ","")&amp;"Title"))),INDIRECT(SUBSTITUTE(INDEX($1:$1048576,ROW($3:$3),SUM($BZ33:CB33)+COLUMN($I$1)-1)," ","")&amp;"Title")&amp;"("&amp;INDEX($1:$1048576,ROW(CB32),SUM($BZ33:CB33)+COLUMN($I$1)-1)&amp;")",INDEX($1:$1048576,ROW(CB32),SUM($BZ33:CB33)+COLUMN($I$1)-1)),"")</f>
        <v/>
      </c>
      <c r="CC32" s="84" t="str">
        <f ca="1">IF(NOT(ISERROR(CC33)),IF(NOT(ISERROR(INDIRECT(SUBSTITUTE(INDEX($1:$1048576,ROW($3:$3),SUM($BZ33:CC33)+COLUMN($I$1)-1)," ","")&amp;"Title"))),INDIRECT(SUBSTITUTE(INDEX($1:$1048576,ROW($3:$3),SUM($BZ33:CC33)+COLUMN($I$1)-1)," ","")&amp;"Title")&amp;"("&amp;INDEX($1:$1048576,ROW(CC32),SUM($BZ33:CC33)+COLUMN($I$1)-1)&amp;")",INDEX($1:$1048576,ROW(CC32),SUM($BZ33:CC33)+COLUMN($I$1)-1)),"")</f>
        <v/>
      </c>
      <c r="CD32" s="84" t="str">
        <f ca="1">IF(NOT(ISERROR(CD33)),IF(NOT(ISERROR(INDIRECT(SUBSTITUTE(INDEX($1:$1048576,ROW($3:$3),SUM($BZ33:CD33)+COLUMN($I$1)-1)," ","")&amp;"Title"))),INDIRECT(SUBSTITUTE(INDEX($1:$1048576,ROW($3:$3),SUM($BZ33:CD33)+COLUMN($I$1)-1)," ","")&amp;"Title")&amp;"("&amp;INDEX($1:$1048576,ROW(CD32),SUM($BZ33:CD33)+COLUMN($I$1)-1)&amp;")",INDEX($1:$1048576,ROW(CD32),SUM($BZ33:CD33)+COLUMN($I$1)-1)),"")</f>
        <v/>
      </c>
      <c r="CE32" s="84" t="str">
        <f ca="1">IF(NOT(ISERROR(CE33)),IF(NOT(ISERROR(INDIRECT(SUBSTITUTE(INDEX($1:$1048576,ROW($3:$3),SUM($BZ33:CE33)+COLUMN($I$1)-1)," ","")&amp;"Title"))),INDIRECT(SUBSTITUTE(INDEX($1:$1048576,ROW($3:$3),SUM($BZ33:CE33)+COLUMN($I$1)-1)," ","")&amp;"Title")&amp;"("&amp;INDEX($1:$1048576,ROW(CE32),SUM($BZ33:CE33)+COLUMN($I$1)-1)&amp;")",INDEX($1:$1048576,ROW(CE32),SUM($BZ33:CE33)+COLUMN($I$1)-1)),"")</f>
        <v/>
      </c>
      <c r="CF32" s="84" t="str">
        <f ca="1">IF(NOT(ISERROR(CF33)),IF(NOT(ISERROR(INDIRECT(SUBSTITUTE(INDEX($1:$1048576,ROW($3:$3),SUM($BZ33:CF33)+COLUMN($I$1)-1)," ","")&amp;"Title"))),INDIRECT(SUBSTITUTE(INDEX($1:$1048576,ROW($3:$3),SUM($BZ33:CF33)+COLUMN($I$1)-1)," ","")&amp;"Title")&amp;"("&amp;INDEX($1:$1048576,ROW(CF32),SUM($BZ33:CF33)+COLUMN($I$1)-1)&amp;")",INDEX($1:$1048576,ROW(CF32),SUM($BZ33:CF33)+COLUMN($I$1)-1)),"")</f>
        <v/>
      </c>
      <c r="CG32" s="84" t="str">
        <f ca="1">IF(NOT(ISERROR(CG33)),IF(NOT(ISERROR(INDIRECT(SUBSTITUTE(INDEX($1:$1048576,ROW($3:$3),SUM($BZ33:CG33)+COLUMN($I$1)-1)," ","")&amp;"Title"))),INDIRECT(SUBSTITUTE(INDEX($1:$1048576,ROW($3:$3),SUM($BZ33:CG33)+COLUMN($I$1)-1)," ","")&amp;"Title")&amp;"("&amp;INDEX($1:$1048576,ROW(CG32),SUM($BZ33:CG33)+COLUMN($I$1)-1)&amp;")",INDEX($1:$1048576,ROW(CG32),SUM($BZ33:CG33)+COLUMN($I$1)-1)),"")</f>
        <v/>
      </c>
      <c r="CH32" s="84" t="str">
        <f ca="1">IF(NOT(ISERROR(CH33)),IF(NOT(ISERROR(INDIRECT(SUBSTITUTE(INDEX($1:$1048576,ROW($3:$3),SUM($BZ33:CH33)+COLUMN($I$1)-1)," ","")&amp;"Title"))),INDIRECT(SUBSTITUTE(INDEX($1:$1048576,ROW($3:$3),SUM($BZ33:CH33)+COLUMN($I$1)-1)," ","")&amp;"Title")&amp;"("&amp;INDEX($1:$1048576,ROW(CH32),SUM($BZ33:CH33)+COLUMN($I$1)-1)&amp;")",INDEX($1:$1048576,ROW(CH32),SUM($BZ33:CH33)+COLUMN($I$1)-1)),"")</f>
        <v/>
      </c>
      <c r="CI32" s="84" t="str">
        <f ca="1">IF(NOT(ISERROR(CI33)),IF(NOT(ISERROR(INDIRECT(SUBSTITUTE(INDEX($1:$1048576,ROW($3:$3),SUM($BZ33:CI33)+COLUMN($I$1)-1)," ","")&amp;"Title"))),INDIRECT(SUBSTITUTE(INDEX($1:$1048576,ROW($3:$3),SUM($BZ33:CI33)+COLUMN($I$1)-1)," ","")&amp;"Title")&amp;"("&amp;INDEX($1:$1048576,ROW(CI32),SUM($BZ33:CI33)+COLUMN($I$1)-1)&amp;")",INDEX($1:$1048576,ROW(CI32),SUM($BZ33:CI33)+COLUMN($I$1)-1)),"")</f>
        <v/>
      </c>
      <c r="CJ32" s="84" t="str">
        <f ca="1">IF(NOT(ISERROR(CJ33)),IF(NOT(ISERROR(INDIRECT(SUBSTITUTE(INDEX($1:$1048576,ROW($3:$3),SUM($BZ33:CJ33)+COLUMN($I$1)-1)," ","")&amp;"Title"))),INDIRECT(SUBSTITUTE(INDEX($1:$1048576,ROW($3:$3),SUM($BZ33:CJ33)+COLUMN($I$1)-1)," ","")&amp;"Title")&amp;"("&amp;INDEX($1:$1048576,ROW(CJ32),SUM($BZ33:CJ33)+COLUMN($I$1)-1)&amp;")",INDEX($1:$1048576,ROW(CJ32),SUM($BZ33:CJ33)+COLUMN($I$1)-1)),"")</f>
        <v/>
      </c>
      <c r="CK32" s="87"/>
    </row>
    <row r="33" spans="1:89" s="88" customFormat="1" x14ac:dyDescent="0.25">
      <c r="A33" s="705"/>
      <c r="B33" s="707"/>
      <c r="C33" s="707"/>
      <c r="D33" s="709"/>
      <c r="E33" s="707"/>
      <c r="F33" s="699"/>
      <c r="G33" s="701"/>
      <c r="H33" s="701"/>
      <c r="J33" s="92" t="e">
        <f>IF(J32&gt;0,IF(AND(INDEX('General Merits'!$F:$F,MATCH($J32,'General Merits'!$F:$F,0),1)&gt;0,VLOOKUP('Merit Data'!J32,'General Merits'!$F:$Z,COLUMN('General Merits'!$N:$N),0)),TRUE,FALSE),#N/A)</f>
        <v>#N/A</v>
      </c>
      <c r="K33" s="92" t="e">
        <f>IF(K32&gt;0,IF(AND(INDEX('General Merits'!$F:$F,MATCH($J32,'General Merits'!$F:$F,0),1)&gt;0,VLOOKUP('Merit Data'!K32,'General Merits'!$F:$Z,COLUMN('General Merits'!$N:$N),0)),TRUE,FALSE),#N/A)</f>
        <v>#N/A</v>
      </c>
      <c r="L33" s="92" t="e">
        <f>IF(L32&gt;0,IF(AND(INDEX('General Merits'!$F:$F,MATCH($J32,'General Merits'!$F:$F,0),1)&gt;0,VLOOKUP('Merit Data'!L32,'General Merits'!$F:$Z,COLUMN('General Merits'!$N:$N),0)),TRUE,FALSE),#N/A)</f>
        <v>#N/A</v>
      </c>
      <c r="N33" s="89" t="e">
        <f>IF(STR&gt;=N32,TRUE)</f>
        <v>#REF!</v>
      </c>
      <c r="O33" s="89" t="e">
        <f>IF(AGI&gt;=O32,TRUE)</f>
        <v>#REF!</v>
      </c>
      <c r="P33" s="89" t="e">
        <f>IF(CON&gt;=P32,TRUE)</f>
        <v>#REF!</v>
      </c>
      <c r="Q33" s="89" t="e">
        <f>IF(INT&gt;=Q32,TRUE)</f>
        <v>#REF!</v>
      </c>
      <c r="R33" s="89" t="e">
        <f>IF(WIS&gt;=R32,TRUE)</f>
        <v>#REF!</v>
      </c>
      <c r="S33" s="89" t="e">
        <f>IF(FOC&gt;=S32,TRUE)</f>
        <v>#REF!</v>
      </c>
      <c r="T33" s="89" t="e">
        <f>IF(CHA&gt;=T32,TRUE)</f>
        <v>#REF!</v>
      </c>
      <c r="U33" s="89" t="e">
        <f>IF(INS&gt;=U32,TRUE)</f>
        <v>#REF!</v>
      </c>
      <c r="V33" s="89" t="e">
        <f>IF(CNV&gt;=V32,TRUE)</f>
        <v>#REF!</v>
      </c>
      <c r="W33" s="89"/>
      <c r="X33" s="89" t="e">
        <f>IF(Archery&gt;=X32,TRUE)</f>
        <v>#REF!</v>
      </c>
      <c r="Y33" s="89" t="e">
        <f>IF(Crossbows&gt;=Y32,TRUE)</f>
        <v>#REF!</v>
      </c>
      <c r="Z33" s="89" t="e">
        <f>IF(Daggers&gt;=Z32,TRUE)</f>
        <v>#REF!</v>
      </c>
      <c r="AA33" s="89" t="e">
        <f>IF(HandtoHandCombat&gt;=AA32,TRUE)</f>
        <v>#REF!</v>
      </c>
      <c r="AB33" s="89" t="e">
        <f>IF(HeavyArmor&gt;=AB32,TRUE)</f>
        <v>#REF!</v>
      </c>
      <c r="AC33" s="89" t="e">
        <f>IF(ImprovisedWeaponry&gt;=AC32,TRUE)</f>
        <v>#NAME?</v>
      </c>
      <c r="AD33" s="89" t="e">
        <f>IF(LightArmor&gt;=AD32,TRUE)</f>
        <v>#REF!</v>
      </c>
      <c r="AE33" s="89" t="e">
        <f>IF(Magicka&gt;=AE32,TRUE)</f>
        <v>#REF!</v>
      </c>
      <c r="AF33" s="89" t="e">
        <f>IF(OR(Archery&gt;=AF32,Crossbows&gt;=AF32,Daggers&gt;=AF32,HandtoHandCombat&gt;=AF32,ImprovisedWeaponry&gt;=AF32,Axes&gt;=AF32,Maces&gt;=AF32,Swords&gt;=AF32,Polearms&gt;=AF32,Staves&gt;=AF32,Throwing&gt;=AF32,TwoHandedAxes&gt;=AF32,TwoHandedMaces&gt;=AF32,TwoHandedSwords&gt;=AF32),TRUE)</f>
        <v>#REF!</v>
      </c>
      <c r="AG33" s="89" t="e">
        <f>IF(Axes&gt;=AG32,TRUE)</f>
        <v>#REF!</v>
      </c>
      <c r="AH33" s="89" t="e">
        <f>IF(Maces&gt;=AH32,TRUE)</f>
        <v>#REF!</v>
      </c>
      <c r="AI33" s="89" t="e">
        <f>IF(Swords&gt;=AI32,TRUE)</f>
        <v>#REF!</v>
      </c>
      <c r="AJ33" s="89" t="e">
        <f>IF(Polearms&gt;=AJ32,TRUE)</f>
        <v>#REF!</v>
      </c>
      <c r="AK33" s="89" t="e">
        <f>IF(Shields&gt;=AK32,TRUE)</f>
        <v>#REF!</v>
      </c>
      <c r="AL33" s="89" t="e">
        <f>IF(Staves&gt;=AL32,TRUE)</f>
        <v>#REF!</v>
      </c>
      <c r="AM33" s="89" t="e">
        <f>IF(Throwing&gt;=AM32,TRUE)</f>
        <v>#REF!</v>
      </c>
      <c r="AN33" s="89" t="e">
        <f>IF(TwoHandedAxes&gt;=AN32,TRUE)</f>
        <v>#NAME?</v>
      </c>
      <c r="AO33" s="89" t="e">
        <f>IF(TwoHandedMaces&gt;=AO32,TRUE)</f>
        <v>#NAME?</v>
      </c>
      <c r="AP33" s="89" t="e">
        <f>IF(TwoHandedSwords&gt;=AP32,TRUE)</f>
        <v>#NAME?</v>
      </c>
      <c r="AQ33" s="89"/>
      <c r="AR33" s="89" t="e">
        <f>IF(Acrobatics&gt;=AR32,TRUE)</f>
        <v>#REF!</v>
      </c>
      <c r="AS33" s="89" t="e">
        <f>IF(Appraisal&gt;=AS32,TRUE)</f>
        <v>#REF!</v>
      </c>
      <c r="AT33" s="89" t="e">
        <f>IF(Athletics&gt;=AT32,TRUE)</f>
        <v>#REF!</v>
      </c>
      <c r="AU33" s="89" t="e">
        <f>IF(Comprehension&gt;=AU32,TRUE)</f>
        <v>#REF!</v>
      </c>
      <c r="AV33" s="89" t="e">
        <f>IF(Expression&gt;=AV32,TRUE)</f>
        <v>#REF!</v>
      </c>
      <c r="AW33" s="89" t="e">
        <f>IF(Perception&gt;=AW32,TRUE)</f>
        <v>#REF!</v>
      </c>
      <c r="AX33" s="89" t="e">
        <f>IF(Security&gt;=AX32,TRUE)</f>
        <v>#REF!</v>
      </c>
      <c r="AY33" s="89" t="e">
        <f>IF(Stealth&gt;=AY32,TRUE)</f>
        <v>#REF!</v>
      </c>
      <c r="AZ33" s="89" t="e">
        <f>IF(Streetwise&gt;=AZ32,TRUE)</f>
        <v>#REF!</v>
      </c>
      <c r="BA33" s="89" t="e">
        <f>IF(Subterfuge&gt;=BA32,TRUE)</f>
        <v>#REF!</v>
      </c>
      <c r="BB33" s="89" t="e">
        <f>IF(Survival&gt;=BB32,TRUE)</f>
        <v>#REF!</v>
      </c>
      <c r="BC33" s="89"/>
      <c r="BD33" s="89" t="e">
        <f>IF(AncientDraconic&gt;=BD32,TRUE)</f>
        <v>#REF!</v>
      </c>
      <c r="BE33" s="89" t="e">
        <f>IF(AquaElven&gt;=BE32,TRUE)</f>
        <v>#REF!</v>
      </c>
      <c r="BF33" s="89" t="e">
        <f>IF(BasicElven&gt;=BF32,TRUE)</f>
        <v>#REF!</v>
      </c>
      <c r="BG33" s="89" t="e">
        <f>IF(Common&gt;=BG32,TRUE)</f>
        <v>#REF!</v>
      </c>
      <c r="BH33" s="89" t="e">
        <f>IF(DarkElven&gt;=BH32,TRUE)</f>
        <v>#REF!</v>
      </c>
      <c r="BI33" s="89" t="e">
        <f>IF(Davek&gt;=BI32,TRUE)</f>
        <v>#REF!</v>
      </c>
      <c r="BJ33" s="89" t="e">
        <f>IF(Draconic&gt;=BJ32,TRUE)</f>
        <v>#REF!</v>
      </c>
      <c r="BK33" s="89" t="e">
        <f>IF(Eulian&gt;=BK32,TRUE)</f>
        <v>#REF!</v>
      </c>
      <c r="BL33" s="89" t="e">
        <f>IF(Garonian&gt;=BL32,TRUE)</f>
        <v>#REF!</v>
      </c>
      <c r="BM33" s="89" t="e">
        <f>IF(Geovek&gt;=BM32,TRUE)</f>
        <v>#REF!</v>
      </c>
      <c r="BN33" s="89" t="e">
        <f>IF(Gnomish&gt;=BN32,TRUE)</f>
        <v>#REF!</v>
      </c>
      <c r="BO33" s="89" t="e">
        <f>IF(Goblin&gt;=BO32,TRUE)</f>
        <v>#REF!</v>
      </c>
      <c r="BP33" s="89" t="e">
        <f>IF(HighElven&gt;=BP32,TRUE)</f>
        <v>#REF!</v>
      </c>
      <c r="BQ33" s="89" t="e">
        <f>IF(Kotaba&gt;=BQ32,TRUE)</f>
        <v>#REF!</v>
      </c>
      <c r="BR33" s="89" t="e">
        <f>IF(LowerCommon&gt;=BR32,TRUE)</f>
        <v>#REF!</v>
      </c>
      <c r="BS33" s="89" t="e">
        <f>IF(OldElven&gt;=BS32,TRUE)</f>
        <v>#REF!</v>
      </c>
      <c r="BT33" s="89" t="e">
        <f>IF(Sylvan&gt;=BT32,TRUE)</f>
        <v>#REF!</v>
      </c>
      <c r="BU33" s="89" t="e">
        <f>IF(TrueDraconic&gt;=BU32,TRUE)</f>
        <v>#REF!</v>
      </c>
      <c r="BV33" s="89" t="e">
        <f>IF(Volken&gt;=BV32,TRUE)</f>
        <v>#REF!</v>
      </c>
      <c r="BW33" s="89" t="e">
        <f>IF(WoodElven&gt;=BW32,TRUE)</f>
        <v>#REF!</v>
      </c>
      <c r="BX33" s="703"/>
      <c r="BY33" s="89"/>
      <c r="BZ33" s="88">
        <f ca="1">MATCH(TRUE,INDEX((INDIRECT(CHAR(CODE($I$1)+SUM($BY33:BY33))&amp;$CK33-1&amp;":"&amp;$BW$1&amp;$CK33-1)&lt;&gt;0),0),0)</f>
        <v>13</v>
      </c>
      <c r="CA33" s="88" t="e">
        <f ca="1">MATCH(TRUE,INDEX((INDIRECT(CHAR(CODE($I$1)+SUM($BY33:BZ33))&amp;$CK33-1&amp;":"&amp;$BW$1&amp;$CK33-1)&lt;&gt;0),0),0)</f>
        <v>#N/A</v>
      </c>
      <c r="CB33" s="88" t="e">
        <f ca="1">MATCH(TRUE,INDEX((INDIRECT(CHAR(CODE($I$1)+SUM($BY33:CA33))&amp;$CK33-1&amp;":"&amp;$BW$1&amp;$CK33-1)&lt;&gt;0),0),0)</f>
        <v>#N/A</v>
      </c>
      <c r="CC33" s="88" t="e">
        <f ca="1">MATCH(TRUE,INDEX((INDIRECT(CHAR(CODE($I$1)+SUM($BY33:CB33))&amp;$CK33-1&amp;":"&amp;$BW$1&amp;$CK33-1)&lt;&gt;0),0),0)</f>
        <v>#N/A</v>
      </c>
      <c r="CD33" s="88" t="e">
        <f ca="1">MATCH(TRUE,INDEX((INDIRECT(CHAR(CODE($I$1)+SUM($BY33:CC33))&amp;$CK33-1&amp;":"&amp;$BW$1&amp;$CK33-1)&lt;&gt;0),0),0)</f>
        <v>#N/A</v>
      </c>
      <c r="CE33" s="88" t="e">
        <f ca="1">MATCH(TRUE,INDEX((INDIRECT(CHAR(CODE($I$1)+SUM($BY33:CD33))&amp;$CK33-1&amp;":"&amp;$BW$1&amp;$CK33-1)&lt;&gt;0),0),0)</f>
        <v>#N/A</v>
      </c>
      <c r="CF33" s="88" t="e">
        <f ca="1">MATCH(TRUE,INDEX((INDIRECT(CHAR(CODE($I$1)+SUM($BY33:CE33))&amp;$CK33-1&amp;":"&amp;$BW$1&amp;$CK33-1)&lt;&gt;0),0),0)</f>
        <v>#N/A</v>
      </c>
      <c r="CG33" s="88" t="e">
        <f ca="1">MATCH(TRUE,INDEX((INDIRECT(CHAR(CODE($I$1)+SUM($BY33:CF33))&amp;$CK33-1&amp;":"&amp;$BW$1&amp;$CK33-1)&lt;&gt;0),0),0)</f>
        <v>#N/A</v>
      </c>
      <c r="CH33" s="88" t="e">
        <f ca="1">MATCH(TRUE,INDEX((INDIRECT(CHAR(CODE($I$1)+SUM($BY33:CG33))&amp;$CK33-1&amp;":"&amp;$BW$1&amp;$CK33-1)&lt;&gt;0),0),0)</f>
        <v>#N/A</v>
      </c>
      <c r="CI33" s="88" t="e">
        <f ca="1">MATCH(TRUE,INDEX((INDIRECT(CHAR(CODE($I$1)+SUM($BY33:CH33))&amp;$CK33-1&amp;":"&amp;$BW$1&amp;$CK33-1)&lt;&gt;0),0),0)</f>
        <v>#N/A</v>
      </c>
      <c r="CJ33" s="88" t="e">
        <f ca="1">MATCH(TRUE,INDEX((INDIRECT(CHAR(CODE($I$1)+SUM($BY33:CI33))&amp;$CK33-1&amp;":"&amp;$BW$1&amp;$CK33-1)&lt;&gt;0),0),0)</f>
        <v>#N/A</v>
      </c>
      <c r="CK33" s="90">
        <f>ROW(CK33)</f>
        <v>33</v>
      </c>
    </row>
    <row r="34" spans="1:89" s="84" customFormat="1" ht="15" customHeight="1" x14ac:dyDescent="0.25">
      <c r="A34" s="704" t="s">
        <v>467</v>
      </c>
      <c r="B34" s="706" t="b">
        <f>ISERROR(MATCH(FALSE,$J35:$BW35,0))</f>
        <v>1</v>
      </c>
      <c r="C34" s="706" t="b">
        <f>IF(AND(INDEX('General Merits'!$F:$F,MATCH(A34,'General Merits'!$F:$F,0))&gt;0,VLOOKUP(A34,'General Merits'!$F:$Q,10,0)),TRUE,FALSE)</f>
        <v>0</v>
      </c>
      <c r="D34" s="708">
        <v>2</v>
      </c>
      <c r="E34" s="706">
        <f>D34*100</f>
        <v>200</v>
      </c>
      <c r="F34" s="698" t="s">
        <v>468</v>
      </c>
      <c r="G34" s="700"/>
      <c r="H34" s="700"/>
      <c r="J34" s="235"/>
      <c r="K34" s="235"/>
      <c r="L34" s="235"/>
      <c r="N34" s="85"/>
      <c r="O34" s="85">
        <v>23</v>
      </c>
      <c r="P34" s="85"/>
      <c r="Q34" s="85"/>
      <c r="R34" s="85"/>
      <c r="S34" s="85"/>
      <c r="T34" s="85"/>
      <c r="U34" s="85"/>
      <c r="V34" s="85"/>
      <c r="W34" s="86"/>
      <c r="X34" s="85"/>
      <c r="Y34" s="85"/>
      <c r="Z34" s="85"/>
      <c r="AA34" s="85"/>
      <c r="AB34" s="85"/>
      <c r="AC34" s="85"/>
      <c r="AD34" s="85"/>
      <c r="AE34" s="85"/>
      <c r="AF34" s="236"/>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702" t="str">
        <f ca="1">IF(BZ34&lt;&gt;"",BZ34,"")&amp;IF(CA34&lt;&gt;"",", "&amp;CA34,"")&amp;IF(CB34&lt;&gt;"",", "&amp;CB34,"")&amp;IF(CC34&lt;&gt;"",", "&amp;CC34,"")&amp;IF(CD34&lt;&gt;"",", "&amp;CD34,"")&amp;IF(CE34&lt;&gt;"",", "&amp;CE34,"")&amp;IF(CF34&lt;&gt;"",", "&amp;CF34,"")&amp;IF(CG34&lt;&gt;"",", "&amp;CG34,"")&amp;IF(CH34&lt;&gt;"",", "&amp;CH34,"")&amp;IF(CI34&lt;&gt;"",", "&amp;CI34,"")</f>
        <v>23</v>
      </c>
      <c r="BY34" s="85"/>
      <c r="BZ34" s="84">
        <f ca="1">IF(NOT(ISERROR(BZ35)),IF(NOT(ISERROR(INDIRECT(SUBSTITUTE(INDEX($1:$1048576,ROW($3:$3),SUM($BZ35:BZ35)+COLUMN($I$1)-1)," ","")&amp;"Title"))),INDIRECT(SUBSTITUTE(INDEX($1:$1048576,ROW($3:$3),SUM($BZ35:BZ35)+COLUMN($I$1)-1)," ","")&amp;"Title")&amp;"("&amp;INDEX($1:$1048576,ROW(BZ34),SUM($BZ35:BZ35)+COLUMN($I$1)-1)&amp;")",INDEX($1:$1048576,ROW(BZ34),SUM($BZ35:BZ35)+COLUMN($I$1)-1)),"")</f>
        <v>23</v>
      </c>
      <c r="CA34" s="84" t="str">
        <f ca="1">IF(NOT(ISERROR(CA35)),IF(NOT(ISERROR(INDIRECT(SUBSTITUTE(INDEX($1:$1048576,ROW($3:$3),SUM($BZ35:CA35)+COLUMN($I$1)-1)," ","")&amp;"Title"))),INDIRECT(SUBSTITUTE(INDEX($1:$1048576,ROW($3:$3),SUM($BZ35:CA35)+COLUMN($I$1)-1)," ","")&amp;"Title")&amp;"("&amp;INDEX($1:$1048576,ROW(CA34),SUM($BZ35:CA35)+COLUMN($I$1)-1)&amp;")",INDEX($1:$1048576,ROW(CA34),SUM($BZ35:CA35)+COLUMN($I$1)-1)),"")</f>
        <v/>
      </c>
      <c r="CB34" s="84" t="str">
        <f ca="1">IF(NOT(ISERROR(CB35)),IF(NOT(ISERROR(INDIRECT(SUBSTITUTE(INDEX($1:$1048576,ROW($3:$3),SUM($BZ35:CB35)+COLUMN($I$1)-1)," ","")&amp;"Title"))),INDIRECT(SUBSTITUTE(INDEX($1:$1048576,ROW($3:$3),SUM($BZ35:CB35)+COLUMN($I$1)-1)," ","")&amp;"Title")&amp;"("&amp;INDEX($1:$1048576,ROW(CB34),SUM($BZ35:CB35)+COLUMN($I$1)-1)&amp;")",INDEX($1:$1048576,ROW(CB34),SUM($BZ35:CB35)+COLUMN($I$1)-1)),"")</f>
        <v/>
      </c>
      <c r="CC34" s="84" t="str">
        <f ca="1">IF(NOT(ISERROR(CC35)),IF(NOT(ISERROR(INDIRECT(SUBSTITUTE(INDEX($1:$1048576,ROW($3:$3),SUM($BZ35:CC35)+COLUMN($I$1)-1)," ","")&amp;"Title"))),INDIRECT(SUBSTITUTE(INDEX($1:$1048576,ROW($3:$3),SUM($BZ35:CC35)+COLUMN($I$1)-1)," ","")&amp;"Title")&amp;"("&amp;INDEX($1:$1048576,ROW(CC34),SUM($BZ35:CC35)+COLUMN($I$1)-1)&amp;")",INDEX($1:$1048576,ROW(CC34),SUM($BZ35:CC35)+COLUMN($I$1)-1)),"")</f>
        <v/>
      </c>
      <c r="CD34" s="84" t="str">
        <f ca="1">IF(NOT(ISERROR(CD35)),IF(NOT(ISERROR(INDIRECT(SUBSTITUTE(INDEX($1:$1048576,ROW($3:$3),SUM($BZ35:CD35)+COLUMN($I$1)-1)," ","")&amp;"Title"))),INDIRECT(SUBSTITUTE(INDEX($1:$1048576,ROW($3:$3),SUM($BZ35:CD35)+COLUMN($I$1)-1)," ","")&amp;"Title")&amp;"("&amp;INDEX($1:$1048576,ROW(CD34),SUM($BZ35:CD35)+COLUMN($I$1)-1)&amp;")",INDEX($1:$1048576,ROW(CD34),SUM($BZ35:CD35)+COLUMN($I$1)-1)),"")</f>
        <v/>
      </c>
      <c r="CE34" s="84" t="str">
        <f ca="1">IF(NOT(ISERROR(CE35)),IF(NOT(ISERROR(INDIRECT(SUBSTITUTE(INDEX($1:$1048576,ROW($3:$3),SUM($BZ35:CE35)+COLUMN($I$1)-1)," ","")&amp;"Title"))),INDIRECT(SUBSTITUTE(INDEX($1:$1048576,ROW($3:$3),SUM($BZ35:CE35)+COLUMN($I$1)-1)," ","")&amp;"Title")&amp;"("&amp;INDEX($1:$1048576,ROW(CE34),SUM($BZ35:CE35)+COLUMN($I$1)-1)&amp;")",INDEX($1:$1048576,ROW(CE34),SUM($BZ35:CE35)+COLUMN($I$1)-1)),"")</f>
        <v/>
      </c>
      <c r="CF34" s="84" t="str">
        <f ca="1">IF(NOT(ISERROR(CF35)),IF(NOT(ISERROR(INDIRECT(SUBSTITUTE(INDEX($1:$1048576,ROW($3:$3),SUM($BZ35:CF35)+COLUMN($I$1)-1)," ","")&amp;"Title"))),INDIRECT(SUBSTITUTE(INDEX($1:$1048576,ROW($3:$3),SUM($BZ35:CF35)+COLUMN($I$1)-1)," ","")&amp;"Title")&amp;"("&amp;INDEX($1:$1048576,ROW(CF34),SUM($BZ35:CF35)+COLUMN($I$1)-1)&amp;")",INDEX($1:$1048576,ROW(CF34),SUM($BZ35:CF35)+COLUMN($I$1)-1)),"")</f>
        <v/>
      </c>
      <c r="CG34" s="84" t="str">
        <f ca="1">IF(NOT(ISERROR(CG35)),IF(NOT(ISERROR(INDIRECT(SUBSTITUTE(INDEX($1:$1048576,ROW($3:$3),SUM($BZ35:CG35)+COLUMN($I$1)-1)," ","")&amp;"Title"))),INDIRECT(SUBSTITUTE(INDEX($1:$1048576,ROW($3:$3),SUM($BZ35:CG35)+COLUMN($I$1)-1)," ","")&amp;"Title")&amp;"("&amp;INDEX($1:$1048576,ROW(CG34),SUM($BZ35:CG35)+COLUMN($I$1)-1)&amp;")",INDEX($1:$1048576,ROW(CG34),SUM($BZ35:CG35)+COLUMN($I$1)-1)),"")</f>
        <v/>
      </c>
      <c r="CH34" s="84" t="str">
        <f ca="1">IF(NOT(ISERROR(CH35)),IF(NOT(ISERROR(INDIRECT(SUBSTITUTE(INDEX($1:$1048576,ROW($3:$3),SUM($BZ35:CH35)+COLUMN($I$1)-1)," ","")&amp;"Title"))),INDIRECT(SUBSTITUTE(INDEX($1:$1048576,ROW($3:$3),SUM($BZ35:CH35)+COLUMN($I$1)-1)," ","")&amp;"Title")&amp;"("&amp;INDEX($1:$1048576,ROW(CH34),SUM($BZ35:CH35)+COLUMN($I$1)-1)&amp;")",INDEX($1:$1048576,ROW(CH34),SUM($BZ35:CH35)+COLUMN($I$1)-1)),"")</f>
        <v/>
      </c>
      <c r="CI34" s="84" t="str">
        <f ca="1">IF(NOT(ISERROR(CI35)),IF(NOT(ISERROR(INDIRECT(SUBSTITUTE(INDEX($1:$1048576,ROW($3:$3),SUM($BZ35:CI35)+COLUMN($I$1)-1)," ","")&amp;"Title"))),INDIRECT(SUBSTITUTE(INDEX($1:$1048576,ROW($3:$3),SUM($BZ35:CI35)+COLUMN($I$1)-1)," ","")&amp;"Title")&amp;"("&amp;INDEX($1:$1048576,ROW(CI34),SUM($BZ35:CI35)+COLUMN($I$1)-1)&amp;")",INDEX($1:$1048576,ROW(CI34),SUM($BZ35:CI35)+COLUMN($I$1)-1)),"")</f>
        <v/>
      </c>
      <c r="CJ34" s="84" t="str">
        <f ca="1">IF(NOT(ISERROR(CJ35)),IF(NOT(ISERROR(INDIRECT(SUBSTITUTE(INDEX($1:$1048576,ROW($3:$3),SUM($BZ35:CJ35)+COLUMN($I$1)-1)," ","")&amp;"Title"))),INDIRECT(SUBSTITUTE(INDEX($1:$1048576,ROW($3:$3),SUM($BZ35:CJ35)+COLUMN($I$1)-1)," ","")&amp;"Title")&amp;"("&amp;INDEX($1:$1048576,ROW(CJ34),SUM($BZ35:CJ35)+COLUMN($I$1)-1)&amp;")",INDEX($1:$1048576,ROW(CJ34),SUM($BZ35:CJ35)+COLUMN($I$1)-1)),"")</f>
        <v/>
      </c>
      <c r="CK34" s="87"/>
    </row>
    <row r="35" spans="1:89" s="88" customFormat="1" x14ac:dyDescent="0.25">
      <c r="A35" s="705"/>
      <c r="B35" s="707"/>
      <c r="C35" s="707"/>
      <c r="D35" s="709"/>
      <c r="E35" s="707"/>
      <c r="F35" s="699"/>
      <c r="G35" s="701"/>
      <c r="H35" s="701"/>
      <c r="J35" s="92" t="e">
        <f>IF(J34&gt;0,IF(AND(INDEX('General Merits'!$F:$F,MATCH($J34,'General Merits'!$F:$F,0),1)&gt;0,VLOOKUP('Merit Data'!J34,'General Merits'!$F:$Z,COLUMN('General Merits'!$N:$N),0)),TRUE,FALSE),#N/A)</f>
        <v>#N/A</v>
      </c>
      <c r="K35" s="92" t="e">
        <f>IF(K34&gt;0,IF(AND(INDEX('General Merits'!$F:$F,MATCH($J34,'General Merits'!$F:$F,0),1)&gt;0,VLOOKUP('Merit Data'!K34,'General Merits'!$F:$Z,COLUMN('General Merits'!$N:$N),0)),TRUE,FALSE),#N/A)</f>
        <v>#N/A</v>
      </c>
      <c r="L35" s="92" t="e">
        <f>IF(L34&gt;0,IF(AND(INDEX('General Merits'!$F:$F,MATCH($J34,'General Merits'!$F:$F,0),1)&gt;0,VLOOKUP('Merit Data'!L34,'General Merits'!$F:$Z,COLUMN('General Merits'!$N:$N),0)),TRUE,FALSE),#N/A)</f>
        <v>#N/A</v>
      </c>
      <c r="N35" s="89" t="e">
        <f>IF(STR&gt;=N34,TRUE)</f>
        <v>#REF!</v>
      </c>
      <c r="O35" s="89" t="e">
        <f>IF(AGI&gt;=O34,TRUE)</f>
        <v>#REF!</v>
      </c>
      <c r="P35" s="89" t="e">
        <f>IF(CON&gt;=P34,TRUE)</f>
        <v>#REF!</v>
      </c>
      <c r="Q35" s="89" t="e">
        <f>IF(INT&gt;=Q34,TRUE)</f>
        <v>#REF!</v>
      </c>
      <c r="R35" s="89" t="e">
        <f>IF(WIS&gt;=R34,TRUE)</f>
        <v>#REF!</v>
      </c>
      <c r="S35" s="89" t="e">
        <f>IF(FOC&gt;=S34,TRUE)</f>
        <v>#REF!</v>
      </c>
      <c r="T35" s="89" t="e">
        <f>IF(CHA&gt;=T34,TRUE)</f>
        <v>#REF!</v>
      </c>
      <c r="U35" s="89" t="e">
        <f>IF(INS&gt;=U34,TRUE)</f>
        <v>#REF!</v>
      </c>
      <c r="V35" s="89" t="e">
        <f>IF(CNV&gt;=V34,TRUE)</f>
        <v>#REF!</v>
      </c>
      <c r="W35" s="89"/>
      <c r="X35" s="89" t="e">
        <f>IF(Archery&gt;=X34,TRUE)</f>
        <v>#REF!</v>
      </c>
      <c r="Y35" s="89" t="e">
        <f>IF(Crossbows&gt;=Y34,TRUE)</f>
        <v>#REF!</v>
      </c>
      <c r="Z35" s="89" t="e">
        <f>IF(Daggers&gt;=Z34,TRUE)</f>
        <v>#REF!</v>
      </c>
      <c r="AA35" s="89" t="e">
        <f>IF(HandtoHandCombat&gt;=AA34,TRUE)</f>
        <v>#REF!</v>
      </c>
      <c r="AB35" s="89" t="e">
        <f>IF(HeavyArmor&gt;=AB34,TRUE)</f>
        <v>#REF!</v>
      </c>
      <c r="AC35" s="89" t="e">
        <f>IF(ImprovisedWeaponry&gt;=AC34,TRUE)</f>
        <v>#NAME?</v>
      </c>
      <c r="AD35" s="89" t="e">
        <f>IF(LightArmor&gt;=AD34,TRUE)</f>
        <v>#REF!</v>
      </c>
      <c r="AE35" s="89" t="e">
        <f>IF(Magicka&gt;=AE34,TRUE)</f>
        <v>#REF!</v>
      </c>
      <c r="AF35" s="89" t="e">
        <f>IF(OR(Archery&gt;=AF34,Crossbows&gt;=AF34,Daggers&gt;=AF34,HandtoHandCombat&gt;=AF34,ImprovisedWeaponry&gt;=AF34,Axes&gt;=AF34,Maces&gt;=AF34,Swords&gt;=AF34,Polearms&gt;=AF34,Staves&gt;=AF34,Throwing&gt;=AF34,TwoHandedAxes&gt;=AF34,TwoHandedMaces&gt;=AF34,TwoHandedSwords&gt;=AF34),TRUE)</f>
        <v>#REF!</v>
      </c>
      <c r="AG35" s="89" t="e">
        <f>IF(Axes&gt;=AG34,TRUE)</f>
        <v>#REF!</v>
      </c>
      <c r="AH35" s="89" t="e">
        <f>IF(Maces&gt;=AH34,TRUE)</f>
        <v>#REF!</v>
      </c>
      <c r="AI35" s="89" t="e">
        <f>IF(Swords&gt;=AI34,TRUE)</f>
        <v>#REF!</v>
      </c>
      <c r="AJ35" s="89" t="e">
        <f>IF(Polearms&gt;=AJ34,TRUE)</f>
        <v>#REF!</v>
      </c>
      <c r="AK35" s="89" t="e">
        <f>IF(Shields&gt;=AK34,TRUE)</f>
        <v>#REF!</v>
      </c>
      <c r="AL35" s="89" t="e">
        <f>IF(Staves&gt;=AL34,TRUE)</f>
        <v>#REF!</v>
      </c>
      <c r="AM35" s="89" t="e">
        <f>IF(Throwing&gt;=AM34,TRUE)</f>
        <v>#REF!</v>
      </c>
      <c r="AN35" s="89" t="e">
        <f>IF(TwoHandedAxes&gt;=AN34,TRUE)</f>
        <v>#NAME?</v>
      </c>
      <c r="AO35" s="89" t="e">
        <f>IF(TwoHandedMaces&gt;=AO34,TRUE)</f>
        <v>#NAME?</v>
      </c>
      <c r="AP35" s="89" t="e">
        <f>IF(TwoHandedSwords&gt;=AP34,TRUE)</f>
        <v>#NAME?</v>
      </c>
      <c r="AQ35" s="89"/>
      <c r="AR35" s="89" t="e">
        <f>IF(Acrobatics&gt;=AR34,TRUE)</f>
        <v>#REF!</v>
      </c>
      <c r="AS35" s="89" t="e">
        <f>IF(Appraisal&gt;=AS34,TRUE)</f>
        <v>#REF!</v>
      </c>
      <c r="AT35" s="89" t="e">
        <f>IF(Athletics&gt;=AT34,TRUE)</f>
        <v>#REF!</v>
      </c>
      <c r="AU35" s="89" t="e">
        <f>IF(Comprehension&gt;=AU34,TRUE)</f>
        <v>#REF!</v>
      </c>
      <c r="AV35" s="89" t="e">
        <f>IF(Expression&gt;=AV34,TRUE)</f>
        <v>#REF!</v>
      </c>
      <c r="AW35" s="89" t="e">
        <f>IF(Perception&gt;=AW34,TRUE)</f>
        <v>#REF!</v>
      </c>
      <c r="AX35" s="89" t="e">
        <f>IF(Security&gt;=AX34,TRUE)</f>
        <v>#REF!</v>
      </c>
      <c r="AY35" s="89" t="e">
        <f>IF(Stealth&gt;=AY34,TRUE)</f>
        <v>#REF!</v>
      </c>
      <c r="AZ35" s="89" t="e">
        <f>IF(Streetwise&gt;=AZ34,TRUE)</f>
        <v>#REF!</v>
      </c>
      <c r="BA35" s="89" t="e">
        <f>IF(Subterfuge&gt;=BA34,TRUE)</f>
        <v>#REF!</v>
      </c>
      <c r="BB35" s="89" t="e">
        <f>IF(Survival&gt;=BB34,TRUE)</f>
        <v>#REF!</v>
      </c>
      <c r="BC35" s="89"/>
      <c r="BD35" s="89" t="e">
        <f>IF(AncientDraconic&gt;=BD34,TRUE)</f>
        <v>#REF!</v>
      </c>
      <c r="BE35" s="89" t="e">
        <f>IF(AquaElven&gt;=BE34,TRUE)</f>
        <v>#REF!</v>
      </c>
      <c r="BF35" s="89" t="e">
        <f>IF(BasicElven&gt;=BF34,TRUE)</f>
        <v>#REF!</v>
      </c>
      <c r="BG35" s="89" t="e">
        <f>IF(Common&gt;=BG34,TRUE)</f>
        <v>#REF!</v>
      </c>
      <c r="BH35" s="89" t="e">
        <f>IF(DarkElven&gt;=BH34,TRUE)</f>
        <v>#REF!</v>
      </c>
      <c r="BI35" s="89" t="e">
        <f>IF(Davek&gt;=BI34,TRUE)</f>
        <v>#REF!</v>
      </c>
      <c r="BJ35" s="89" t="e">
        <f>IF(Draconic&gt;=BJ34,TRUE)</f>
        <v>#REF!</v>
      </c>
      <c r="BK35" s="89" t="e">
        <f>IF(Eulian&gt;=BK34,TRUE)</f>
        <v>#REF!</v>
      </c>
      <c r="BL35" s="89" t="e">
        <f>IF(Garonian&gt;=BL34,TRUE)</f>
        <v>#REF!</v>
      </c>
      <c r="BM35" s="89" t="e">
        <f>IF(Geovek&gt;=BM34,TRUE)</f>
        <v>#REF!</v>
      </c>
      <c r="BN35" s="89" t="e">
        <f>IF(Gnomish&gt;=BN34,TRUE)</f>
        <v>#REF!</v>
      </c>
      <c r="BO35" s="89" t="e">
        <f>IF(Goblin&gt;=BO34,TRUE)</f>
        <v>#REF!</v>
      </c>
      <c r="BP35" s="89" t="e">
        <f>IF(HighElven&gt;=BP34,TRUE)</f>
        <v>#REF!</v>
      </c>
      <c r="BQ35" s="89" t="e">
        <f>IF(Kotaba&gt;=BQ34,TRUE)</f>
        <v>#REF!</v>
      </c>
      <c r="BR35" s="89" t="e">
        <f>IF(LowerCommon&gt;=BR34,TRUE)</f>
        <v>#REF!</v>
      </c>
      <c r="BS35" s="89" t="e">
        <f>IF(OldElven&gt;=BS34,TRUE)</f>
        <v>#REF!</v>
      </c>
      <c r="BT35" s="89" t="e">
        <f>IF(Sylvan&gt;=BT34,TRUE)</f>
        <v>#REF!</v>
      </c>
      <c r="BU35" s="89" t="e">
        <f>IF(TrueDraconic&gt;=BU34,TRUE)</f>
        <v>#REF!</v>
      </c>
      <c r="BV35" s="89" t="e">
        <f>IF(Volken&gt;=BV34,TRUE)</f>
        <v>#REF!</v>
      </c>
      <c r="BW35" s="89" t="e">
        <f>IF(WoodElven&gt;=BW34,TRUE)</f>
        <v>#REF!</v>
      </c>
      <c r="BX35" s="703"/>
      <c r="BY35" s="89"/>
      <c r="BZ35" s="88">
        <f ca="1">MATCH(TRUE,INDEX((INDIRECT(CHAR(CODE($I$1)+SUM($BY35:BY35))&amp;$CK35-1&amp;":"&amp;$BW$1&amp;$CK35-1)&lt;&gt;0),0),0)</f>
        <v>7</v>
      </c>
      <c r="CA35" s="88" t="e">
        <f ca="1">MATCH(TRUE,INDEX((INDIRECT(CHAR(CODE($I$1)+SUM($BY35:BZ35))&amp;$CK35-1&amp;":"&amp;$BW$1&amp;$CK35-1)&lt;&gt;0),0),0)</f>
        <v>#N/A</v>
      </c>
      <c r="CB35" s="88" t="e">
        <f ca="1">MATCH(TRUE,INDEX((INDIRECT(CHAR(CODE($I$1)+SUM($BY35:CA35))&amp;$CK35-1&amp;":"&amp;$BW$1&amp;$CK35-1)&lt;&gt;0),0),0)</f>
        <v>#N/A</v>
      </c>
      <c r="CC35" s="88" t="e">
        <f ca="1">MATCH(TRUE,INDEX((INDIRECT(CHAR(CODE($I$1)+SUM($BY35:CB35))&amp;$CK35-1&amp;":"&amp;$BW$1&amp;$CK35-1)&lt;&gt;0),0),0)</f>
        <v>#N/A</v>
      </c>
      <c r="CD35" s="88" t="e">
        <f ca="1">MATCH(TRUE,INDEX((INDIRECT(CHAR(CODE($I$1)+SUM($BY35:CC35))&amp;$CK35-1&amp;":"&amp;$BW$1&amp;$CK35-1)&lt;&gt;0),0),0)</f>
        <v>#N/A</v>
      </c>
      <c r="CE35" s="88" t="e">
        <f ca="1">MATCH(TRUE,INDEX((INDIRECT(CHAR(CODE($I$1)+SUM($BY35:CD35))&amp;$CK35-1&amp;":"&amp;$BW$1&amp;$CK35-1)&lt;&gt;0),0),0)</f>
        <v>#N/A</v>
      </c>
      <c r="CF35" s="88" t="e">
        <f ca="1">MATCH(TRUE,INDEX((INDIRECT(CHAR(CODE($I$1)+SUM($BY35:CE35))&amp;$CK35-1&amp;":"&amp;$BW$1&amp;$CK35-1)&lt;&gt;0),0),0)</f>
        <v>#N/A</v>
      </c>
      <c r="CG35" s="88" t="e">
        <f ca="1">MATCH(TRUE,INDEX((INDIRECT(CHAR(CODE($I$1)+SUM($BY35:CF35))&amp;$CK35-1&amp;":"&amp;$BW$1&amp;$CK35-1)&lt;&gt;0),0),0)</f>
        <v>#N/A</v>
      </c>
      <c r="CH35" s="88" t="e">
        <f ca="1">MATCH(TRUE,INDEX((INDIRECT(CHAR(CODE($I$1)+SUM($BY35:CG35))&amp;$CK35-1&amp;":"&amp;$BW$1&amp;$CK35-1)&lt;&gt;0),0),0)</f>
        <v>#N/A</v>
      </c>
      <c r="CI35" s="88" t="e">
        <f ca="1">MATCH(TRUE,INDEX((INDIRECT(CHAR(CODE($I$1)+SUM($BY35:CH35))&amp;$CK35-1&amp;":"&amp;$BW$1&amp;$CK35-1)&lt;&gt;0),0),0)</f>
        <v>#N/A</v>
      </c>
      <c r="CJ35" s="88" t="e">
        <f ca="1">MATCH(TRUE,INDEX((INDIRECT(CHAR(CODE($I$1)+SUM($BY35:CI35))&amp;$CK35-1&amp;":"&amp;$BW$1&amp;$CK35-1)&lt;&gt;0),0),0)</f>
        <v>#N/A</v>
      </c>
      <c r="CK35" s="90">
        <f>ROW(CK35)</f>
        <v>35</v>
      </c>
    </row>
    <row r="36" spans="1:89" s="84" customFormat="1" ht="15" customHeight="1" x14ac:dyDescent="0.25">
      <c r="A36" s="704" t="s">
        <v>469</v>
      </c>
      <c r="B36" s="706" t="b">
        <f>ISERROR(MATCH(FALSE,$J37:$BW37,0))</f>
        <v>0</v>
      </c>
      <c r="C36" s="706" t="b">
        <f>IF(AND(INDEX('General Merits'!$F:$F,MATCH(A36,'General Merits'!$F:$F,0))&gt;0,VLOOKUP(A36,'General Merits'!$F:$Q,10,0)),TRUE,FALSE)</f>
        <v>0</v>
      </c>
      <c r="D36" s="708">
        <v>3</v>
      </c>
      <c r="E36" s="706">
        <f>D36*100</f>
        <v>300</v>
      </c>
      <c r="F36" s="698" t="s">
        <v>470</v>
      </c>
      <c r="G36" s="700"/>
      <c r="H36" s="700"/>
      <c r="J36" s="235" t="s">
        <v>463</v>
      </c>
      <c r="K36" s="235" t="s">
        <v>465</v>
      </c>
      <c r="L36" s="235" t="s">
        <v>467</v>
      </c>
      <c r="N36" s="85"/>
      <c r="O36" s="85"/>
      <c r="P36" s="85"/>
      <c r="Q36" s="85"/>
      <c r="R36" s="85"/>
      <c r="S36" s="85"/>
      <c r="T36" s="85"/>
      <c r="U36" s="85"/>
      <c r="V36" s="85"/>
      <c r="W36" s="86"/>
      <c r="X36" s="85"/>
      <c r="Y36" s="85"/>
      <c r="Z36" s="85"/>
      <c r="AA36" s="85"/>
      <c r="AB36" s="85"/>
      <c r="AC36" s="85"/>
      <c r="AD36" s="85"/>
      <c r="AE36" s="85"/>
      <c r="AF36" s="236"/>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702" t="str">
        <f ca="1">IF(BZ36&lt;&gt;"",BZ36,"")&amp;IF(CA36&lt;&gt;"",", "&amp;CA36,"")&amp;IF(CB36&lt;&gt;"",", "&amp;CB36,"")&amp;IF(CC36&lt;&gt;"",", "&amp;CC36,"")&amp;IF(CD36&lt;&gt;"",", "&amp;CD36,"")&amp;IF(CE36&lt;&gt;"",", "&amp;CE36,"")&amp;IF(CF36&lt;&gt;"",", "&amp;CF36,"")&amp;IF(CG36&lt;&gt;"",", "&amp;CG36,"")&amp;IF(CH36&lt;&gt;"",", "&amp;CH36,"")&amp;IF(CI36&lt;&gt;"",", "&amp;CI36,"")</f>
        <v>Evasion, Uncanny Dodge, Lightning Reactions</v>
      </c>
      <c r="BY36" s="85"/>
      <c r="BZ36" s="84" t="str">
        <f ca="1">IF(NOT(ISERROR(BZ37)),IF(NOT(ISERROR(INDIRECT(SUBSTITUTE(INDEX($1:$1048576,ROW($3:$3),SUM($BZ37:BZ37)+COLUMN($I$1)-1)," ","")&amp;"Title"))),INDIRECT(SUBSTITUTE(INDEX($1:$1048576,ROW($3:$3),SUM($BZ37:BZ37)+COLUMN($I$1)-1)," ","")&amp;"Title")&amp;"("&amp;INDEX($1:$1048576,ROW(BZ36),SUM($BZ37:BZ37)+COLUMN($I$1)-1)&amp;")",INDEX($1:$1048576,ROW(BZ36),SUM($BZ37:BZ37)+COLUMN($I$1)-1)),"")</f>
        <v>Evasion</v>
      </c>
      <c r="CA36" s="84" t="str">
        <f ca="1">IF(NOT(ISERROR(CA37)),IF(NOT(ISERROR(INDIRECT(SUBSTITUTE(INDEX($1:$1048576,ROW($3:$3),SUM($BZ37:CA37)+COLUMN($I$1)-1)," ","")&amp;"Title"))),INDIRECT(SUBSTITUTE(INDEX($1:$1048576,ROW($3:$3),SUM($BZ37:CA37)+COLUMN($I$1)-1)," ","")&amp;"Title")&amp;"("&amp;INDEX($1:$1048576,ROW(CA36),SUM($BZ37:CA37)+COLUMN($I$1)-1)&amp;")",INDEX($1:$1048576,ROW(CA36),SUM($BZ37:CA37)+COLUMN($I$1)-1)),"")</f>
        <v>Uncanny Dodge</v>
      </c>
      <c r="CB36" s="84" t="str">
        <f ca="1">IF(NOT(ISERROR(CB37)),IF(NOT(ISERROR(INDIRECT(SUBSTITUTE(INDEX($1:$1048576,ROW($3:$3),SUM($BZ37:CB37)+COLUMN($I$1)-1)," ","")&amp;"Title"))),INDIRECT(SUBSTITUTE(INDEX($1:$1048576,ROW($3:$3),SUM($BZ37:CB37)+COLUMN($I$1)-1)," ","")&amp;"Title")&amp;"("&amp;INDEX($1:$1048576,ROW(CB36),SUM($BZ37:CB37)+COLUMN($I$1)-1)&amp;")",INDEX($1:$1048576,ROW(CB36),SUM($BZ37:CB37)+COLUMN($I$1)-1)),"")</f>
        <v>Lightning Reactions</v>
      </c>
      <c r="CC36" s="84" t="str">
        <f ca="1">IF(NOT(ISERROR(CC37)),IF(NOT(ISERROR(INDIRECT(SUBSTITUTE(INDEX($1:$1048576,ROW($3:$3),SUM($BZ37:CC37)+COLUMN($I$1)-1)," ","")&amp;"Title"))),INDIRECT(SUBSTITUTE(INDEX($1:$1048576,ROW($3:$3),SUM($BZ37:CC37)+COLUMN($I$1)-1)," ","")&amp;"Title")&amp;"("&amp;INDEX($1:$1048576,ROW(CC36),SUM($BZ37:CC37)+COLUMN($I$1)-1)&amp;")",INDEX($1:$1048576,ROW(CC36),SUM($BZ37:CC37)+COLUMN($I$1)-1)),"")</f>
        <v/>
      </c>
      <c r="CD36" s="84" t="str">
        <f ca="1">IF(NOT(ISERROR(CD37)),IF(NOT(ISERROR(INDIRECT(SUBSTITUTE(INDEX($1:$1048576,ROW($3:$3),SUM($BZ37:CD37)+COLUMN($I$1)-1)," ","")&amp;"Title"))),INDIRECT(SUBSTITUTE(INDEX($1:$1048576,ROW($3:$3),SUM($BZ37:CD37)+COLUMN($I$1)-1)," ","")&amp;"Title")&amp;"("&amp;INDEX($1:$1048576,ROW(CD36),SUM($BZ37:CD37)+COLUMN($I$1)-1)&amp;")",INDEX($1:$1048576,ROW(CD36),SUM($BZ37:CD37)+COLUMN($I$1)-1)),"")</f>
        <v/>
      </c>
      <c r="CE36" s="84" t="str">
        <f ca="1">IF(NOT(ISERROR(CE37)),IF(NOT(ISERROR(INDIRECT(SUBSTITUTE(INDEX($1:$1048576,ROW($3:$3),SUM($BZ37:CE37)+COLUMN($I$1)-1)," ","")&amp;"Title"))),INDIRECT(SUBSTITUTE(INDEX($1:$1048576,ROW($3:$3),SUM($BZ37:CE37)+COLUMN($I$1)-1)," ","")&amp;"Title")&amp;"("&amp;INDEX($1:$1048576,ROW(CE36),SUM($BZ37:CE37)+COLUMN($I$1)-1)&amp;")",INDEX($1:$1048576,ROW(CE36),SUM($BZ37:CE37)+COLUMN($I$1)-1)),"")</f>
        <v/>
      </c>
      <c r="CF36" s="84" t="str">
        <f ca="1">IF(NOT(ISERROR(CF37)),IF(NOT(ISERROR(INDIRECT(SUBSTITUTE(INDEX($1:$1048576,ROW($3:$3),SUM($BZ37:CF37)+COLUMN($I$1)-1)," ","")&amp;"Title"))),INDIRECT(SUBSTITUTE(INDEX($1:$1048576,ROW($3:$3),SUM($BZ37:CF37)+COLUMN($I$1)-1)," ","")&amp;"Title")&amp;"("&amp;INDEX($1:$1048576,ROW(CF36),SUM($BZ37:CF37)+COLUMN($I$1)-1)&amp;")",INDEX($1:$1048576,ROW(CF36),SUM($BZ37:CF37)+COLUMN($I$1)-1)),"")</f>
        <v/>
      </c>
      <c r="CG36" s="84" t="str">
        <f ca="1">IF(NOT(ISERROR(CG37)),IF(NOT(ISERROR(INDIRECT(SUBSTITUTE(INDEX($1:$1048576,ROW($3:$3),SUM($BZ37:CG37)+COLUMN($I$1)-1)," ","")&amp;"Title"))),INDIRECT(SUBSTITUTE(INDEX($1:$1048576,ROW($3:$3),SUM($BZ37:CG37)+COLUMN($I$1)-1)," ","")&amp;"Title")&amp;"("&amp;INDEX($1:$1048576,ROW(CG36),SUM($BZ37:CG37)+COLUMN($I$1)-1)&amp;")",INDEX($1:$1048576,ROW(CG36),SUM($BZ37:CG37)+COLUMN($I$1)-1)),"")</f>
        <v/>
      </c>
      <c r="CH36" s="84" t="str">
        <f ca="1">IF(NOT(ISERROR(CH37)),IF(NOT(ISERROR(INDIRECT(SUBSTITUTE(INDEX($1:$1048576,ROW($3:$3),SUM($BZ37:CH37)+COLUMN($I$1)-1)," ","")&amp;"Title"))),INDIRECT(SUBSTITUTE(INDEX($1:$1048576,ROW($3:$3),SUM($BZ37:CH37)+COLUMN($I$1)-1)," ","")&amp;"Title")&amp;"("&amp;INDEX($1:$1048576,ROW(CH36),SUM($BZ37:CH37)+COLUMN($I$1)-1)&amp;")",INDEX($1:$1048576,ROW(CH36),SUM($BZ37:CH37)+COLUMN($I$1)-1)),"")</f>
        <v/>
      </c>
      <c r="CI36" s="84" t="str">
        <f ca="1">IF(NOT(ISERROR(CI37)),IF(NOT(ISERROR(INDIRECT(SUBSTITUTE(INDEX($1:$1048576,ROW($3:$3),SUM($BZ37:CI37)+COLUMN($I$1)-1)," ","")&amp;"Title"))),INDIRECT(SUBSTITUTE(INDEX($1:$1048576,ROW($3:$3),SUM($BZ37:CI37)+COLUMN($I$1)-1)," ","")&amp;"Title")&amp;"("&amp;INDEX($1:$1048576,ROW(CI36),SUM($BZ37:CI37)+COLUMN($I$1)-1)&amp;")",INDEX($1:$1048576,ROW(CI36),SUM($BZ37:CI37)+COLUMN($I$1)-1)),"")</f>
        <v/>
      </c>
      <c r="CJ36" s="84" t="str">
        <f ca="1">IF(NOT(ISERROR(CJ37)),IF(NOT(ISERROR(INDIRECT(SUBSTITUTE(INDEX($1:$1048576,ROW($3:$3),SUM($BZ37:CJ37)+COLUMN($I$1)-1)," ","")&amp;"Title"))),INDIRECT(SUBSTITUTE(INDEX($1:$1048576,ROW($3:$3),SUM($BZ37:CJ37)+COLUMN($I$1)-1)," ","")&amp;"Title")&amp;"("&amp;INDEX($1:$1048576,ROW(CJ36),SUM($BZ37:CJ37)+COLUMN($I$1)-1)&amp;")",INDEX($1:$1048576,ROW(CJ36),SUM($BZ37:CJ37)+COLUMN($I$1)-1)),"")</f>
        <v/>
      </c>
      <c r="CK36" s="87"/>
    </row>
    <row r="37" spans="1:89" s="88" customFormat="1" x14ac:dyDescent="0.25">
      <c r="A37" s="705"/>
      <c r="B37" s="707"/>
      <c r="C37" s="707"/>
      <c r="D37" s="709"/>
      <c r="E37" s="707"/>
      <c r="F37" s="699"/>
      <c r="G37" s="701"/>
      <c r="H37" s="701"/>
      <c r="J37" s="92" t="b">
        <f>IF(J36&gt;0,IF(AND(INDEX('General Merits'!$F:$F,MATCH($J36,'General Merits'!$F:$F,0),1)&gt;0,VLOOKUP('Merit Data'!J36,'General Merits'!$F:$Z,COLUMN('General Merits'!$N:$N),0)),TRUE,FALSE),#N/A)</f>
        <v>0</v>
      </c>
      <c r="K37" s="92" t="b">
        <f>IF(K36&gt;0,IF(AND(INDEX('General Merits'!$F:$F,MATCH($J36,'General Merits'!$F:$F,0),1)&gt;0,VLOOKUP('Merit Data'!K36,'General Merits'!$F:$Z,COLUMN('General Merits'!$N:$N),0)),TRUE,FALSE),#N/A)</f>
        <v>0</v>
      </c>
      <c r="L37" s="92" t="b">
        <f>IF(L36&gt;0,IF(AND(INDEX('General Merits'!$F:$F,MATCH($J36,'General Merits'!$F:$F,0),1)&gt;0,VLOOKUP('Merit Data'!L36,'General Merits'!$F:$Z,COLUMN('General Merits'!$N:$N),0)),TRUE,FALSE),#N/A)</f>
        <v>0</v>
      </c>
      <c r="N37" s="89" t="e">
        <f>IF(STR&gt;=N36,TRUE)</f>
        <v>#REF!</v>
      </c>
      <c r="O37" s="89" t="e">
        <f>IF(AGI&gt;=O36,TRUE)</f>
        <v>#REF!</v>
      </c>
      <c r="P37" s="89" t="e">
        <f>IF(CON&gt;=P36,TRUE)</f>
        <v>#REF!</v>
      </c>
      <c r="Q37" s="89" t="e">
        <f>IF(INT&gt;=Q36,TRUE)</f>
        <v>#REF!</v>
      </c>
      <c r="R37" s="89" t="e">
        <f>IF(WIS&gt;=R36,TRUE)</f>
        <v>#REF!</v>
      </c>
      <c r="S37" s="89" t="e">
        <f>IF(FOC&gt;=S36,TRUE)</f>
        <v>#REF!</v>
      </c>
      <c r="T37" s="89" t="e">
        <f>IF(CHA&gt;=T36,TRUE)</f>
        <v>#REF!</v>
      </c>
      <c r="U37" s="89" t="e">
        <f>IF(INS&gt;=U36,TRUE)</f>
        <v>#REF!</v>
      </c>
      <c r="V37" s="89" t="e">
        <f>IF(CNV&gt;=V36,TRUE)</f>
        <v>#REF!</v>
      </c>
      <c r="W37" s="89"/>
      <c r="X37" s="89" t="e">
        <f>IF(Archery&gt;=X36,TRUE)</f>
        <v>#REF!</v>
      </c>
      <c r="Y37" s="89" t="e">
        <f>IF(Crossbows&gt;=Y36,TRUE)</f>
        <v>#REF!</v>
      </c>
      <c r="Z37" s="89" t="e">
        <f>IF(Daggers&gt;=Z36,TRUE)</f>
        <v>#REF!</v>
      </c>
      <c r="AA37" s="89" t="e">
        <f>IF(HandtoHandCombat&gt;=AA36,TRUE)</f>
        <v>#REF!</v>
      </c>
      <c r="AB37" s="89" t="e">
        <f>IF(HeavyArmor&gt;=AB36,TRUE)</f>
        <v>#REF!</v>
      </c>
      <c r="AC37" s="89" t="e">
        <f>IF(ImprovisedWeaponry&gt;=AC36,TRUE)</f>
        <v>#NAME?</v>
      </c>
      <c r="AD37" s="89" t="e">
        <f>IF(LightArmor&gt;=AD36,TRUE)</f>
        <v>#REF!</v>
      </c>
      <c r="AE37" s="89" t="e">
        <f>IF(Magicka&gt;=AE36,TRUE)</f>
        <v>#REF!</v>
      </c>
      <c r="AF37" s="89" t="e">
        <f>IF(OR(Archery&gt;=AF36,Crossbows&gt;=AF36,Daggers&gt;=AF36,HandtoHandCombat&gt;=AF36,ImprovisedWeaponry&gt;=AF36,Axes&gt;=AF36,Maces&gt;=AF36,Swords&gt;=AF36,Polearms&gt;=AF36,Staves&gt;=AF36,Throwing&gt;=AF36,TwoHandedAxes&gt;=AF36,TwoHandedMaces&gt;=AF36,TwoHandedSwords&gt;=AF36),TRUE)</f>
        <v>#REF!</v>
      </c>
      <c r="AG37" s="89" t="e">
        <f>IF(Axes&gt;=AG36,TRUE)</f>
        <v>#REF!</v>
      </c>
      <c r="AH37" s="89" t="e">
        <f>IF(Maces&gt;=AH36,TRUE)</f>
        <v>#REF!</v>
      </c>
      <c r="AI37" s="89" t="e">
        <f>IF(Swords&gt;=AI36,TRUE)</f>
        <v>#REF!</v>
      </c>
      <c r="AJ37" s="89" t="e">
        <f>IF(Polearms&gt;=AJ36,TRUE)</f>
        <v>#REF!</v>
      </c>
      <c r="AK37" s="89" t="e">
        <f>IF(Shields&gt;=AK36,TRUE)</f>
        <v>#REF!</v>
      </c>
      <c r="AL37" s="89" t="e">
        <f>IF(Staves&gt;=AL36,TRUE)</f>
        <v>#REF!</v>
      </c>
      <c r="AM37" s="89" t="e">
        <f>IF(Throwing&gt;=AM36,TRUE)</f>
        <v>#REF!</v>
      </c>
      <c r="AN37" s="89" t="e">
        <f>IF(TwoHandedAxes&gt;=AN36,TRUE)</f>
        <v>#NAME?</v>
      </c>
      <c r="AO37" s="89" t="e">
        <f>IF(TwoHandedMaces&gt;=AO36,TRUE)</f>
        <v>#NAME?</v>
      </c>
      <c r="AP37" s="89" t="e">
        <f>IF(TwoHandedSwords&gt;=AP36,TRUE)</f>
        <v>#NAME?</v>
      </c>
      <c r="AQ37" s="89"/>
      <c r="AR37" s="89" t="e">
        <f>IF(Acrobatics&gt;=AR36,TRUE)</f>
        <v>#REF!</v>
      </c>
      <c r="AS37" s="89" t="e">
        <f>IF(Appraisal&gt;=AS36,TRUE)</f>
        <v>#REF!</v>
      </c>
      <c r="AT37" s="89" t="e">
        <f>IF(Athletics&gt;=AT36,TRUE)</f>
        <v>#REF!</v>
      </c>
      <c r="AU37" s="89" t="e">
        <f>IF(Comprehension&gt;=AU36,TRUE)</f>
        <v>#REF!</v>
      </c>
      <c r="AV37" s="89" t="e">
        <f>IF(Expression&gt;=AV36,TRUE)</f>
        <v>#REF!</v>
      </c>
      <c r="AW37" s="89" t="e">
        <f>IF(Perception&gt;=AW36,TRUE)</f>
        <v>#REF!</v>
      </c>
      <c r="AX37" s="89" t="e">
        <f>IF(Security&gt;=AX36,TRUE)</f>
        <v>#REF!</v>
      </c>
      <c r="AY37" s="89" t="e">
        <f>IF(Stealth&gt;=AY36,TRUE)</f>
        <v>#REF!</v>
      </c>
      <c r="AZ37" s="89" t="e">
        <f>IF(Streetwise&gt;=AZ36,TRUE)</f>
        <v>#REF!</v>
      </c>
      <c r="BA37" s="89" t="e">
        <f>IF(Subterfuge&gt;=BA36,TRUE)</f>
        <v>#REF!</v>
      </c>
      <c r="BB37" s="89" t="e">
        <f>IF(Survival&gt;=BB36,TRUE)</f>
        <v>#REF!</v>
      </c>
      <c r="BC37" s="89"/>
      <c r="BD37" s="89" t="e">
        <f>IF(AncientDraconic&gt;=BD36,TRUE)</f>
        <v>#REF!</v>
      </c>
      <c r="BE37" s="89" t="e">
        <f>IF(AquaElven&gt;=BE36,TRUE)</f>
        <v>#REF!</v>
      </c>
      <c r="BF37" s="89" t="e">
        <f>IF(BasicElven&gt;=BF36,TRUE)</f>
        <v>#REF!</v>
      </c>
      <c r="BG37" s="89" t="e">
        <f>IF(Common&gt;=BG36,TRUE)</f>
        <v>#REF!</v>
      </c>
      <c r="BH37" s="89" t="e">
        <f>IF(DarkElven&gt;=BH36,TRUE)</f>
        <v>#REF!</v>
      </c>
      <c r="BI37" s="89" t="e">
        <f>IF(Davek&gt;=BI36,TRUE)</f>
        <v>#REF!</v>
      </c>
      <c r="BJ37" s="89" t="e">
        <f>IF(Draconic&gt;=BJ36,TRUE)</f>
        <v>#REF!</v>
      </c>
      <c r="BK37" s="89" t="e">
        <f>IF(Eulian&gt;=BK36,TRUE)</f>
        <v>#REF!</v>
      </c>
      <c r="BL37" s="89" t="e">
        <f>IF(Garonian&gt;=BL36,TRUE)</f>
        <v>#REF!</v>
      </c>
      <c r="BM37" s="89" t="e">
        <f>IF(Geovek&gt;=BM36,TRUE)</f>
        <v>#REF!</v>
      </c>
      <c r="BN37" s="89" t="e">
        <f>IF(Gnomish&gt;=BN36,TRUE)</f>
        <v>#REF!</v>
      </c>
      <c r="BO37" s="89" t="e">
        <f>IF(Goblin&gt;=BO36,TRUE)</f>
        <v>#REF!</v>
      </c>
      <c r="BP37" s="89" t="e">
        <f>IF(HighElven&gt;=BP36,TRUE)</f>
        <v>#REF!</v>
      </c>
      <c r="BQ37" s="89" t="e">
        <f>IF(Kotaba&gt;=BQ36,TRUE)</f>
        <v>#REF!</v>
      </c>
      <c r="BR37" s="89" t="e">
        <f>IF(LowerCommon&gt;=BR36,TRUE)</f>
        <v>#REF!</v>
      </c>
      <c r="BS37" s="89" t="e">
        <f>IF(OldElven&gt;=BS36,TRUE)</f>
        <v>#REF!</v>
      </c>
      <c r="BT37" s="89" t="e">
        <f>IF(Sylvan&gt;=BT36,TRUE)</f>
        <v>#REF!</v>
      </c>
      <c r="BU37" s="89" t="e">
        <f>IF(TrueDraconic&gt;=BU36,TRUE)</f>
        <v>#REF!</v>
      </c>
      <c r="BV37" s="89" t="e">
        <f>IF(Volken&gt;=BV36,TRUE)</f>
        <v>#REF!</v>
      </c>
      <c r="BW37" s="89" t="e">
        <f>IF(WoodElven&gt;=BW36,TRUE)</f>
        <v>#REF!</v>
      </c>
      <c r="BX37" s="703"/>
      <c r="BY37" s="89"/>
      <c r="BZ37" s="88">
        <f ca="1">MATCH(TRUE,INDEX((INDIRECT(CHAR(CODE($I$1)+SUM($BY37:BY37))&amp;$CK37-1&amp;":"&amp;$BW$1&amp;$CK37-1)&lt;&gt;0),0),0)</f>
        <v>2</v>
      </c>
      <c r="CA37" s="88">
        <f ca="1">MATCH(TRUE,INDEX((INDIRECT(CHAR(CODE($I$1)+SUM($BY37:BZ37))&amp;$CK37-1&amp;":"&amp;$BW$1&amp;$CK37-1)&lt;&gt;0),0),0)</f>
        <v>1</v>
      </c>
      <c r="CB37" s="88">
        <f ca="1">MATCH(TRUE,INDEX((INDIRECT(CHAR(CODE($I$1)+SUM($BY37:CA37))&amp;$CK37-1&amp;":"&amp;$BW$1&amp;$CK37-1)&lt;&gt;0),0),0)</f>
        <v>1</v>
      </c>
      <c r="CC37" s="88" t="e">
        <f ca="1">MATCH(TRUE,INDEX((INDIRECT(CHAR(CODE($I$1)+SUM($BY37:CB37))&amp;$CK37-1&amp;":"&amp;$BW$1&amp;$CK37-1)&lt;&gt;0),0),0)</f>
        <v>#N/A</v>
      </c>
      <c r="CD37" s="88" t="e">
        <f ca="1">MATCH(TRUE,INDEX((INDIRECT(CHAR(CODE($I$1)+SUM($BY37:CC37))&amp;$CK37-1&amp;":"&amp;$BW$1&amp;$CK37-1)&lt;&gt;0),0),0)</f>
        <v>#N/A</v>
      </c>
      <c r="CE37" s="88" t="e">
        <f ca="1">MATCH(TRUE,INDEX((INDIRECT(CHAR(CODE($I$1)+SUM($BY37:CD37))&amp;$CK37-1&amp;":"&amp;$BW$1&amp;$CK37-1)&lt;&gt;0),0),0)</f>
        <v>#N/A</v>
      </c>
      <c r="CF37" s="88" t="e">
        <f ca="1">MATCH(TRUE,INDEX((INDIRECT(CHAR(CODE($I$1)+SUM($BY37:CE37))&amp;$CK37-1&amp;":"&amp;$BW$1&amp;$CK37-1)&lt;&gt;0),0),0)</f>
        <v>#N/A</v>
      </c>
      <c r="CG37" s="88" t="e">
        <f ca="1">MATCH(TRUE,INDEX((INDIRECT(CHAR(CODE($I$1)+SUM($BY37:CF37))&amp;$CK37-1&amp;":"&amp;$BW$1&amp;$CK37-1)&lt;&gt;0),0),0)</f>
        <v>#N/A</v>
      </c>
      <c r="CH37" s="88" t="e">
        <f ca="1">MATCH(TRUE,INDEX((INDIRECT(CHAR(CODE($I$1)+SUM($BY37:CG37))&amp;$CK37-1&amp;":"&amp;$BW$1&amp;$CK37-1)&lt;&gt;0),0),0)</f>
        <v>#N/A</v>
      </c>
      <c r="CI37" s="88" t="e">
        <f ca="1">MATCH(TRUE,INDEX((INDIRECT(CHAR(CODE($I$1)+SUM($BY37:CH37))&amp;$CK37-1&amp;":"&amp;$BW$1&amp;$CK37-1)&lt;&gt;0),0),0)</f>
        <v>#N/A</v>
      </c>
      <c r="CJ37" s="88" t="e">
        <f ca="1">MATCH(TRUE,INDEX((INDIRECT(CHAR(CODE($I$1)+SUM($BY37:CI37))&amp;$CK37-1&amp;":"&amp;$BW$1&amp;$CK37-1)&lt;&gt;0),0),0)</f>
        <v>#N/A</v>
      </c>
      <c r="CK37" s="90">
        <f>ROW(CK37)</f>
        <v>37</v>
      </c>
    </row>
    <row r="38" spans="1:89" s="84" customFormat="1" ht="15" customHeight="1" x14ac:dyDescent="0.25">
      <c r="A38" s="704" t="s">
        <v>471</v>
      </c>
      <c r="B38" s="706" t="b">
        <f>ISERROR(MATCH(FALSE,$J39:$BW39,0))</f>
        <v>1</v>
      </c>
      <c r="C38" s="706" t="b">
        <f>IF(AND(INDEX('General Merits'!$F:$F,MATCH(A38,'General Merits'!$F:$F,0))&gt;0,VLOOKUP(A38,'General Merits'!$F:$Q,10,0)),TRUE,FALSE)</f>
        <v>0</v>
      </c>
      <c r="D38" s="708">
        <v>2</v>
      </c>
      <c r="E38" s="706">
        <f>D38*100</f>
        <v>200</v>
      </c>
      <c r="F38" s="698" t="s">
        <v>472</v>
      </c>
      <c r="G38" s="700"/>
      <c r="H38" s="700"/>
      <c r="J38" s="235"/>
      <c r="K38" s="235"/>
      <c r="L38" s="235"/>
      <c r="N38" s="85"/>
      <c r="O38" s="85"/>
      <c r="P38" s="85"/>
      <c r="Q38" s="85">
        <v>18</v>
      </c>
      <c r="R38" s="85"/>
      <c r="S38" s="85"/>
      <c r="T38" s="85"/>
      <c r="U38" s="85"/>
      <c r="V38" s="85"/>
      <c r="W38" s="86"/>
      <c r="X38" s="85"/>
      <c r="Y38" s="85"/>
      <c r="Z38" s="85"/>
      <c r="AA38" s="85"/>
      <c r="AB38" s="85"/>
      <c r="AC38" s="85"/>
      <c r="AD38" s="85"/>
      <c r="AE38" s="85"/>
      <c r="AF38" s="236">
        <v>18</v>
      </c>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702" t="str">
        <f ca="1">IF(BZ38&lt;&gt;"",BZ38,"")&amp;IF(CA38&lt;&gt;"",", "&amp;CA38,"")&amp;IF(CB38&lt;&gt;"",", "&amp;CB38,"")&amp;IF(CC38&lt;&gt;"",", "&amp;CC38,"")&amp;IF(CD38&lt;&gt;"",", "&amp;CD38,"")&amp;IF(CE38&lt;&gt;"",", "&amp;CE38,"")&amp;IF(CF38&lt;&gt;"",", "&amp;CF38,"")&amp;IF(CG38&lt;&gt;"",", "&amp;CG38,"")&amp;IF(CH38&lt;&gt;"",", "&amp;CH38,"")&amp;IF(CI38&lt;&gt;"",", "&amp;CI38,"")</f>
        <v>18, 18, 0, 0, 0, 0, 0, 0, 0, 0</v>
      </c>
      <c r="BY38" s="85"/>
      <c r="BZ38" s="84">
        <f ca="1">IF(NOT(ISERROR(BZ39)),IF(NOT(ISERROR(INDIRECT(SUBSTITUTE(INDEX($1:$1048576,ROW($3:$3),SUM($BZ39:BZ39)+COLUMN($I$1)-1)," ","")&amp;"Title"))),INDIRECT(SUBSTITUTE(INDEX($1:$1048576,ROW($3:$3),SUM($BZ39:BZ39)+COLUMN($I$1)-1)," ","")&amp;"Title")&amp;"("&amp;INDEX($1:$1048576,ROW(BZ38),SUM($BZ39:BZ39)+COLUMN($I$1)-1)&amp;")",INDEX($1:$1048576,ROW(BZ38),SUM($BZ39:BZ39)+COLUMN($I$1)-1)),"")</f>
        <v>18</v>
      </c>
      <c r="CA38" s="84">
        <f ca="1">IF(NOT(ISERROR(CA39)),IF(NOT(ISERROR(INDIRECT(SUBSTITUTE(INDEX($1:$1048576,ROW($3:$3),SUM($BZ39:CA39)+COLUMN($I$1)-1)," ","")&amp;"Title"))),INDIRECT(SUBSTITUTE(INDEX($1:$1048576,ROW($3:$3),SUM($BZ39:CA39)+COLUMN($I$1)-1)," ","")&amp;"Title")&amp;"("&amp;INDEX($1:$1048576,ROW(CA38),SUM($BZ39:CA39)+COLUMN($I$1)-1)&amp;")",INDEX($1:$1048576,ROW(CA38),SUM($BZ39:CA39)+COLUMN($I$1)-1)),"")</f>
        <v>18</v>
      </c>
      <c r="CB38" s="84">
        <f ca="1">IF(NOT(ISERROR(CB39)),IF(NOT(ISERROR(INDIRECT(SUBSTITUTE(INDEX($1:$1048576,ROW($3:$3),SUM($BZ39:CB39)+COLUMN($I$1)-1)," ","")&amp;"Title"))),INDIRECT(SUBSTITUTE(INDEX($1:$1048576,ROW($3:$3),SUM($BZ39:CB39)+COLUMN($I$1)-1)," ","")&amp;"Title")&amp;"("&amp;INDEX($1:$1048576,ROW(CB38),SUM($BZ39:CB39)+COLUMN($I$1)-1)&amp;")",INDEX($1:$1048576,ROW(CB38),SUM($BZ39:CB39)+COLUMN($I$1)-1)),"")</f>
        <v>0</v>
      </c>
      <c r="CC38" s="84">
        <f ca="1">IF(NOT(ISERROR(CC39)),IF(NOT(ISERROR(INDIRECT(SUBSTITUTE(INDEX($1:$1048576,ROW($3:$3),SUM($BZ39:CC39)+COLUMN($I$1)-1)," ","")&amp;"Title"))),INDIRECT(SUBSTITUTE(INDEX($1:$1048576,ROW($3:$3),SUM($BZ39:CC39)+COLUMN($I$1)-1)," ","")&amp;"Title")&amp;"("&amp;INDEX($1:$1048576,ROW(CC38),SUM($BZ39:CC39)+COLUMN($I$1)-1)&amp;")",INDEX($1:$1048576,ROW(CC38),SUM($BZ39:CC39)+COLUMN($I$1)-1)),"")</f>
        <v>0</v>
      </c>
      <c r="CD38" s="84">
        <f ca="1">IF(NOT(ISERROR(CD39)),IF(NOT(ISERROR(INDIRECT(SUBSTITUTE(INDEX($1:$1048576,ROW($3:$3),SUM($BZ39:CD39)+COLUMN($I$1)-1)," ","")&amp;"Title"))),INDIRECT(SUBSTITUTE(INDEX($1:$1048576,ROW($3:$3),SUM($BZ39:CD39)+COLUMN($I$1)-1)," ","")&amp;"Title")&amp;"("&amp;INDEX($1:$1048576,ROW(CD38),SUM($BZ39:CD39)+COLUMN($I$1)-1)&amp;")",INDEX($1:$1048576,ROW(CD38),SUM($BZ39:CD39)+COLUMN($I$1)-1)),"")</f>
        <v>0</v>
      </c>
      <c r="CE38" s="84">
        <f ca="1">IF(NOT(ISERROR(CE39)),IF(NOT(ISERROR(INDIRECT(SUBSTITUTE(INDEX($1:$1048576,ROW($3:$3),SUM($BZ39:CE39)+COLUMN($I$1)-1)," ","")&amp;"Title"))),INDIRECT(SUBSTITUTE(INDEX($1:$1048576,ROW($3:$3),SUM($BZ39:CE39)+COLUMN($I$1)-1)," ","")&amp;"Title")&amp;"("&amp;INDEX($1:$1048576,ROW(CE38),SUM($BZ39:CE39)+COLUMN($I$1)-1)&amp;")",INDEX($1:$1048576,ROW(CE38),SUM($BZ39:CE39)+COLUMN($I$1)-1)),"")</f>
        <v>0</v>
      </c>
      <c r="CF38" s="84">
        <f ca="1">IF(NOT(ISERROR(CF39)),IF(NOT(ISERROR(INDIRECT(SUBSTITUTE(INDEX($1:$1048576,ROW($3:$3),SUM($BZ39:CF39)+COLUMN($I$1)-1)," ","")&amp;"Title"))),INDIRECT(SUBSTITUTE(INDEX($1:$1048576,ROW($3:$3),SUM($BZ39:CF39)+COLUMN($I$1)-1)," ","")&amp;"Title")&amp;"("&amp;INDEX($1:$1048576,ROW(CF38),SUM($BZ39:CF39)+COLUMN($I$1)-1)&amp;")",INDEX($1:$1048576,ROW(CF38),SUM($BZ39:CF39)+COLUMN($I$1)-1)),"")</f>
        <v>0</v>
      </c>
      <c r="CG38" s="84">
        <f ca="1">IF(NOT(ISERROR(CG39)),IF(NOT(ISERROR(INDIRECT(SUBSTITUTE(INDEX($1:$1048576,ROW($3:$3),SUM($BZ39:CG39)+COLUMN($I$1)-1)," ","")&amp;"Title"))),INDIRECT(SUBSTITUTE(INDEX($1:$1048576,ROW($3:$3),SUM($BZ39:CG39)+COLUMN($I$1)-1)," ","")&amp;"Title")&amp;"("&amp;INDEX($1:$1048576,ROW(CG38),SUM($BZ39:CG39)+COLUMN($I$1)-1)&amp;")",INDEX($1:$1048576,ROW(CG38),SUM($BZ39:CG39)+COLUMN($I$1)-1)),"")</f>
        <v>0</v>
      </c>
      <c r="CH38" s="84">
        <f ca="1">IF(NOT(ISERROR(CH39)),IF(NOT(ISERROR(INDIRECT(SUBSTITUTE(INDEX($1:$1048576,ROW($3:$3),SUM($BZ39:CH39)+COLUMN($I$1)-1)," ","")&amp;"Title"))),INDIRECT(SUBSTITUTE(INDEX($1:$1048576,ROW($3:$3),SUM($BZ39:CH39)+COLUMN($I$1)-1)," ","")&amp;"Title")&amp;"("&amp;INDEX($1:$1048576,ROW(CH38),SUM($BZ39:CH39)+COLUMN($I$1)-1)&amp;")",INDEX($1:$1048576,ROW(CH38),SUM($BZ39:CH39)+COLUMN($I$1)-1)),"")</f>
        <v>0</v>
      </c>
      <c r="CI38" s="84">
        <f ca="1">IF(NOT(ISERROR(CI39)),IF(NOT(ISERROR(INDIRECT(SUBSTITUTE(INDEX($1:$1048576,ROW($3:$3),SUM($BZ39:CI39)+COLUMN($I$1)-1)," ","")&amp;"Title"))),INDIRECT(SUBSTITUTE(INDEX($1:$1048576,ROW($3:$3),SUM($BZ39:CI39)+COLUMN($I$1)-1)," ","")&amp;"Title")&amp;"("&amp;INDEX($1:$1048576,ROW(CI38),SUM($BZ39:CI39)+COLUMN($I$1)-1)&amp;")",INDEX($1:$1048576,ROW(CI38),SUM($BZ39:CI39)+COLUMN($I$1)-1)),"")</f>
        <v>0</v>
      </c>
      <c r="CJ38" s="84" t="str">
        <f ca="1">IF(NOT(ISERROR(CJ39)),IF(NOT(ISERROR(INDIRECT(SUBSTITUTE(INDEX($1:$1048576,ROW($3:$3),SUM($BZ39:CJ39)+COLUMN($I$1)-1)," ","")&amp;"Title"))),INDIRECT(SUBSTITUTE(INDEX($1:$1048576,ROW($3:$3),SUM($BZ39:CJ39)+COLUMN($I$1)-1)," ","")&amp;"Title")&amp;"("&amp;INDEX($1:$1048576,ROW(CJ38),SUM($BZ39:CJ39)+COLUMN($I$1)-1)&amp;")",INDEX($1:$1048576,ROW(CJ38),SUM($BZ39:CJ39)+COLUMN($I$1)-1)),"")</f>
        <v/>
      </c>
      <c r="CK38" s="87"/>
    </row>
    <row r="39" spans="1:89" s="88" customFormat="1" x14ac:dyDescent="0.25">
      <c r="A39" s="705"/>
      <c r="B39" s="707"/>
      <c r="C39" s="707"/>
      <c r="D39" s="709"/>
      <c r="E39" s="707"/>
      <c r="F39" s="699"/>
      <c r="G39" s="701"/>
      <c r="H39" s="701"/>
      <c r="J39" s="92" t="e">
        <f>IF(J38&gt;0,IF(AND(INDEX('General Merits'!$F:$F,MATCH($J38,'General Merits'!$F:$F,0),1)&gt;0,VLOOKUP('Merit Data'!J38,'General Merits'!$F:$Z,COLUMN('General Merits'!$N:$N),0)),TRUE,FALSE),#N/A)</f>
        <v>#N/A</v>
      </c>
      <c r="K39" s="92" t="e">
        <f>IF(K38&gt;0,IF(AND(INDEX('General Merits'!$F:$F,MATCH($J38,'General Merits'!$F:$F,0),1)&gt;0,VLOOKUP('Merit Data'!K38,'General Merits'!$F:$Z,COLUMN('General Merits'!$N:$N),0)),TRUE,FALSE),#N/A)</f>
        <v>#N/A</v>
      </c>
      <c r="L39" s="92" t="e">
        <f>IF(L38&gt;0,IF(AND(INDEX('General Merits'!$F:$F,MATCH($J38,'General Merits'!$F:$F,0),1)&gt;0,VLOOKUP('Merit Data'!L38,'General Merits'!$F:$Z,COLUMN('General Merits'!$N:$N),0)),TRUE,FALSE),#N/A)</f>
        <v>#N/A</v>
      </c>
      <c r="N39" s="89" t="e">
        <f>IF(STR&gt;=N38,TRUE)</f>
        <v>#REF!</v>
      </c>
      <c r="O39" s="89" t="e">
        <f>IF(AGI&gt;=O38,TRUE)</f>
        <v>#REF!</v>
      </c>
      <c r="P39" s="89" t="e">
        <f>IF(CON&gt;=P38,TRUE)</f>
        <v>#REF!</v>
      </c>
      <c r="Q39" s="89" t="e">
        <f>IF(INT&gt;=Q38,TRUE)</f>
        <v>#REF!</v>
      </c>
      <c r="R39" s="89" t="e">
        <f>IF(WIS&gt;=R38,TRUE)</f>
        <v>#REF!</v>
      </c>
      <c r="S39" s="89" t="e">
        <f>IF(FOC&gt;=S38,TRUE)</f>
        <v>#REF!</v>
      </c>
      <c r="T39" s="89" t="e">
        <f>IF(CHA&gt;=T38,TRUE)</f>
        <v>#REF!</v>
      </c>
      <c r="U39" s="89" t="e">
        <f>IF(INS&gt;=U38,TRUE)</f>
        <v>#REF!</v>
      </c>
      <c r="V39" s="89" t="e">
        <f>IF(CNV&gt;=V38,TRUE)</f>
        <v>#REF!</v>
      </c>
      <c r="W39" s="89"/>
      <c r="X39" s="89" t="e">
        <f>IF(Archery&gt;=X38,TRUE)</f>
        <v>#REF!</v>
      </c>
      <c r="Y39" s="89" t="e">
        <f>IF(Crossbows&gt;=Y38,TRUE)</f>
        <v>#REF!</v>
      </c>
      <c r="Z39" s="89" t="e">
        <f>IF(Daggers&gt;=Z38,TRUE)</f>
        <v>#REF!</v>
      </c>
      <c r="AA39" s="89" t="e">
        <f>IF(HandtoHandCombat&gt;=AA38,TRUE)</f>
        <v>#REF!</v>
      </c>
      <c r="AB39" s="89" t="e">
        <f>IF(HeavyArmor&gt;=AB38,TRUE)</f>
        <v>#REF!</v>
      </c>
      <c r="AC39" s="89" t="e">
        <f>IF(ImprovisedWeaponry&gt;=AC38,TRUE)</f>
        <v>#NAME?</v>
      </c>
      <c r="AD39" s="89" t="e">
        <f>IF(LightArmor&gt;=AD38,TRUE)</f>
        <v>#REF!</v>
      </c>
      <c r="AE39" s="89" t="e">
        <f>IF(Magicka&gt;=AE38,TRUE)</f>
        <v>#REF!</v>
      </c>
      <c r="AF39" s="89" t="e">
        <f>IF(OR(Archery&gt;=AF38,Crossbows&gt;=AF38,Daggers&gt;=AF38,HandtoHandCombat&gt;=AF38,ImprovisedWeaponry&gt;=AF38,Axes&gt;=AF38,Maces&gt;=AF38,Swords&gt;=AF38,Polearms&gt;=AF38,Staves&gt;=AF38,Throwing&gt;=AF38,TwoHandedAxes&gt;=AF38,TwoHandedMaces&gt;=AF38,TwoHandedSwords&gt;=AF38),TRUE)</f>
        <v>#REF!</v>
      </c>
      <c r="AG39" s="89" t="e">
        <f>IF(Axes&gt;=AG38,TRUE)</f>
        <v>#REF!</v>
      </c>
      <c r="AH39" s="89" t="e">
        <f>IF(Maces&gt;=AH38,TRUE)</f>
        <v>#REF!</v>
      </c>
      <c r="AI39" s="89" t="e">
        <f>IF(Swords&gt;=AI38,TRUE)</f>
        <v>#REF!</v>
      </c>
      <c r="AJ39" s="89" t="e">
        <f>IF(Polearms&gt;=AJ38,TRUE)</f>
        <v>#REF!</v>
      </c>
      <c r="AK39" s="89" t="e">
        <f>IF(Shields&gt;=AK38,TRUE)</f>
        <v>#REF!</v>
      </c>
      <c r="AL39" s="89" t="e">
        <f>IF(Staves&gt;=AL38,TRUE)</f>
        <v>#REF!</v>
      </c>
      <c r="AM39" s="89" t="e">
        <f>IF(Throwing&gt;=AM38,TRUE)</f>
        <v>#REF!</v>
      </c>
      <c r="AN39" s="89" t="e">
        <f>IF(TwoHandedAxes&gt;=AN38,TRUE)</f>
        <v>#NAME?</v>
      </c>
      <c r="AO39" s="89" t="e">
        <f>IF(TwoHandedMaces&gt;=AO38,TRUE)</f>
        <v>#NAME?</v>
      </c>
      <c r="AP39" s="89" t="e">
        <f>IF(TwoHandedSwords&gt;=AP38,TRUE)</f>
        <v>#NAME?</v>
      </c>
      <c r="AQ39" s="89"/>
      <c r="AR39" s="89" t="e">
        <f>IF(Acrobatics&gt;=AR38,TRUE)</f>
        <v>#REF!</v>
      </c>
      <c r="AS39" s="89" t="e">
        <f>IF(Appraisal&gt;=AS38,TRUE)</f>
        <v>#REF!</v>
      </c>
      <c r="AT39" s="89" t="e">
        <f>IF(Athletics&gt;=AT38,TRUE)</f>
        <v>#REF!</v>
      </c>
      <c r="AU39" s="89" t="e">
        <f>IF(Comprehension&gt;=AU38,TRUE)</f>
        <v>#REF!</v>
      </c>
      <c r="AV39" s="89" t="e">
        <f>IF(Expression&gt;=AV38,TRUE)</f>
        <v>#REF!</v>
      </c>
      <c r="AW39" s="89" t="e">
        <f>IF(Perception&gt;=AW38,TRUE)</f>
        <v>#REF!</v>
      </c>
      <c r="AX39" s="89" t="e">
        <f>IF(Security&gt;=AX38,TRUE)</f>
        <v>#REF!</v>
      </c>
      <c r="AY39" s="89" t="e">
        <f>IF(Stealth&gt;=AY38,TRUE)</f>
        <v>#REF!</v>
      </c>
      <c r="AZ39" s="89" t="e">
        <f>IF(Streetwise&gt;=AZ38,TRUE)</f>
        <v>#REF!</v>
      </c>
      <c r="BA39" s="89" t="e">
        <f>IF(Subterfuge&gt;=BA38,TRUE)</f>
        <v>#REF!</v>
      </c>
      <c r="BB39" s="89" t="e">
        <f>IF(Survival&gt;=BB38,TRUE)</f>
        <v>#REF!</v>
      </c>
      <c r="BC39" s="89"/>
      <c r="BD39" s="89" t="e">
        <f>IF(AncientDraconic&gt;=BD38,TRUE)</f>
        <v>#REF!</v>
      </c>
      <c r="BE39" s="89" t="e">
        <f>IF(AquaElven&gt;=BE38,TRUE)</f>
        <v>#REF!</v>
      </c>
      <c r="BF39" s="89" t="e">
        <f>IF(BasicElven&gt;=BF38,TRUE)</f>
        <v>#REF!</v>
      </c>
      <c r="BG39" s="89" t="e">
        <f>IF(Common&gt;=BG38,TRUE)</f>
        <v>#REF!</v>
      </c>
      <c r="BH39" s="89" t="e">
        <f>IF(DarkElven&gt;=BH38,TRUE)</f>
        <v>#REF!</v>
      </c>
      <c r="BI39" s="89" t="e">
        <f>IF(Davek&gt;=BI38,TRUE)</f>
        <v>#REF!</v>
      </c>
      <c r="BJ39" s="89" t="e">
        <f>IF(Draconic&gt;=BJ38,TRUE)</f>
        <v>#REF!</v>
      </c>
      <c r="BK39" s="89" t="e">
        <f>IF(Eulian&gt;=BK38,TRUE)</f>
        <v>#REF!</v>
      </c>
      <c r="BL39" s="89" t="e">
        <f>IF(Garonian&gt;=BL38,TRUE)</f>
        <v>#REF!</v>
      </c>
      <c r="BM39" s="89" t="e">
        <f>IF(Geovek&gt;=BM38,TRUE)</f>
        <v>#REF!</v>
      </c>
      <c r="BN39" s="89" t="e">
        <f>IF(Gnomish&gt;=BN38,TRUE)</f>
        <v>#REF!</v>
      </c>
      <c r="BO39" s="89" t="e">
        <f>IF(Goblin&gt;=BO38,TRUE)</f>
        <v>#REF!</v>
      </c>
      <c r="BP39" s="89" t="e">
        <f>IF(HighElven&gt;=BP38,TRUE)</f>
        <v>#REF!</v>
      </c>
      <c r="BQ39" s="89" t="e">
        <f>IF(Kotaba&gt;=BQ38,TRUE)</f>
        <v>#REF!</v>
      </c>
      <c r="BR39" s="89" t="e">
        <f>IF(LowerCommon&gt;=BR38,TRUE)</f>
        <v>#REF!</v>
      </c>
      <c r="BS39" s="89" t="e">
        <f>IF(OldElven&gt;=BS38,TRUE)</f>
        <v>#REF!</v>
      </c>
      <c r="BT39" s="89" t="e">
        <f>IF(Sylvan&gt;=BT38,TRUE)</f>
        <v>#REF!</v>
      </c>
      <c r="BU39" s="89" t="e">
        <f>IF(TrueDraconic&gt;=BU38,TRUE)</f>
        <v>#REF!</v>
      </c>
      <c r="BV39" s="89" t="e">
        <f>IF(Volken&gt;=BV38,TRUE)</f>
        <v>#REF!</v>
      </c>
      <c r="BW39" s="89" t="e">
        <f>IF(WoodElven&gt;=BW38,TRUE)</f>
        <v>#REF!</v>
      </c>
      <c r="BX39" s="703"/>
      <c r="BY39" s="89"/>
      <c r="BZ39" s="88">
        <f ca="1">MATCH(TRUE,INDEX((INDIRECT(CHAR(CODE($I$1)+SUM($BY39:BY39))&amp;$CK39-1&amp;":"&amp;$BW$1&amp;$CK39-1)&lt;&gt;0),0),0)</f>
        <v>9</v>
      </c>
      <c r="CA39" s="88">
        <f ca="1">MATCH(TRUE,INDEX((INDIRECT(CHAR(CODE($I$1)+SUM($BY39:BZ39))&amp;$CK39-1&amp;":"&amp;$BW$1&amp;$CK39-1)&lt;&gt;0),0),0)</f>
        <v>15</v>
      </c>
      <c r="CB39" s="88">
        <f ca="1">MATCH(TRUE,INDEX((INDIRECT(CHAR(CODE($I$1)+SUM($BY39:CA39))&amp;$CK39-1&amp;":"&amp;$BW$1&amp;$CK39-1)&lt;&gt;0),0),0)</f>
        <v>1</v>
      </c>
      <c r="CC39" s="88">
        <f ca="1">MATCH(TRUE,INDEX((INDIRECT(CHAR(CODE($I$1)+SUM($BY39:CB39))&amp;$CK39-1&amp;":"&amp;$BW$1&amp;$CK39-1)&lt;&gt;0),0),0)</f>
        <v>1</v>
      </c>
      <c r="CD39" s="88">
        <f ca="1">MATCH(TRUE,INDEX((INDIRECT(CHAR(CODE($I$1)+SUM($BY39:CC39))&amp;$CK39-1&amp;":"&amp;$BW$1&amp;$CK39-1)&lt;&gt;0),0),0)</f>
        <v>1</v>
      </c>
      <c r="CE39" s="88">
        <f ca="1">MATCH(TRUE,INDEX((INDIRECT(CHAR(CODE($I$1)+SUM($BY39:CD39))&amp;$CK39-1&amp;":"&amp;$BW$1&amp;$CK39-1)&lt;&gt;0),0),0)</f>
        <v>1</v>
      </c>
      <c r="CF39" s="88">
        <f ca="1">MATCH(TRUE,INDEX((INDIRECT(CHAR(CODE($I$1)+SUM($BY39:CE39))&amp;$CK39-1&amp;":"&amp;$BW$1&amp;$CK39-1)&lt;&gt;0),0),0)</f>
        <v>1</v>
      </c>
      <c r="CG39" s="88">
        <f ca="1">MATCH(TRUE,INDEX((INDIRECT(CHAR(CODE($I$1)+SUM($BY39:CF39))&amp;$CK39-1&amp;":"&amp;$BW$1&amp;$CK39-1)&lt;&gt;0),0),0)</f>
        <v>1</v>
      </c>
      <c r="CH39" s="88">
        <f ca="1">MATCH(TRUE,INDEX((INDIRECT(CHAR(CODE($I$1)+SUM($BY39:CG39))&amp;$CK39-1&amp;":"&amp;$BW$1&amp;$CK39-1)&lt;&gt;0),0),0)</f>
        <v>11</v>
      </c>
      <c r="CI39" s="88">
        <f ca="1">MATCH(TRUE,INDEX((INDIRECT(CHAR(CODE($I$1)+SUM($BY39:CH39))&amp;$CK39-1&amp;":"&amp;$BW$1&amp;$CK39-1)&lt;&gt;0),0),0)</f>
        <v>15</v>
      </c>
      <c r="CJ39" s="88" t="e">
        <f ca="1">MATCH(TRUE,INDEX((INDIRECT(CHAR(CODE($I$1)+SUM($BY39:CI39))&amp;$CK39-1&amp;":"&amp;$BW$1&amp;$CK39-1)&lt;&gt;0),0),0)</f>
        <v>#REF!</v>
      </c>
      <c r="CK39" s="90">
        <f>ROW(CK39)</f>
        <v>39</v>
      </c>
    </row>
    <row r="40" spans="1:89" s="84" customFormat="1" ht="15" customHeight="1" x14ac:dyDescent="0.25">
      <c r="A40" s="704" t="s">
        <v>473</v>
      </c>
      <c r="B40" s="706" t="b">
        <f>ISERROR(MATCH(FALSE,$J41:$BW41,0))</f>
        <v>0</v>
      </c>
      <c r="C40" s="706" t="b">
        <f>IF(AND(INDEX('General Merits'!$F:$F,MATCH(A40,'General Merits'!$F:$F,0))&gt;0,VLOOKUP(A40,'General Merits'!$F:$Q,10,0)),TRUE,FALSE)</f>
        <v>0</v>
      </c>
      <c r="D40" s="708">
        <v>2</v>
      </c>
      <c r="E40" s="706">
        <f>D40*100</f>
        <v>200</v>
      </c>
      <c r="F40" s="698" t="s">
        <v>474</v>
      </c>
      <c r="G40" s="700"/>
      <c r="H40" s="700"/>
      <c r="J40" s="235" t="s">
        <v>471</v>
      </c>
      <c r="K40" s="235"/>
      <c r="L40" s="235"/>
      <c r="N40" s="85"/>
      <c r="O40" s="85"/>
      <c r="P40" s="85"/>
      <c r="Q40" s="85"/>
      <c r="R40" s="85"/>
      <c r="S40" s="85"/>
      <c r="T40" s="85"/>
      <c r="U40" s="85"/>
      <c r="V40" s="85"/>
      <c r="W40" s="86"/>
      <c r="X40" s="85"/>
      <c r="Y40" s="85"/>
      <c r="Z40" s="85"/>
      <c r="AA40" s="85"/>
      <c r="AB40" s="85"/>
      <c r="AC40" s="85"/>
      <c r="AD40" s="85"/>
      <c r="AE40" s="85"/>
      <c r="AF40" s="236"/>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702" t="str">
        <f ca="1">IF(BZ40&lt;&gt;"",BZ40,"")&amp;IF(CA40&lt;&gt;"",", "&amp;CA40,"")&amp;IF(CB40&lt;&gt;"",", "&amp;CB40,"")&amp;IF(CC40&lt;&gt;"",", "&amp;CC40,"")&amp;IF(CD40&lt;&gt;"",", "&amp;CD40,"")&amp;IF(CE40&lt;&gt;"",", "&amp;CE40,"")&amp;IF(CF40&lt;&gt;"",", "&amp;CF40,"")&amp;IF(CG40&lt;&gt;"",", "&amp;CG40,"")&amp;IF(CH40&lt;&gt;"",", "&amp;CH40,"")&amp;IF(CI40&lt;&gt;"",", "&amp;CI40,"")</f>
        <v>Parry</v>
      </c>
      <c r="BY40" s="85"/>
      <c r="BZ40" s="84" t="str">
        <f ca="1">IF(NOT(ISERROR(BZ41)),IF(NOT(ISERROR(INDIRECT(SUBSTITUTE(INDEX($1:$1048576,ROW($3:$3),SUM($BZ41:BZ41)+COLUMN($I$1)-1)," ","")&amp;"Title"))),INDIRECT(SUBSTITUTE(INDEX($1:$1048576,ROW($3:$3),SUM($BZ41:BZ41)+COLUMN($I$1)-1)," ","")&amp;"Title")&amp;"("&amp;INDEX($1:$1048576,ROW(BZ40),SUM($BZ41:BZ41)+COLUMN($I$1)-1)&amp;")",INDEX($1:$1048576,ROW(BZ40),SUM($BZ41:BZ41)+COLUMN($I$1)-1)),"")</f>
        <v>Parry</v>
      </c>
      <c r="CA40" s="84" t="str">
        <f ca="1">IF(NOT(ISERROR(CA41)),IF(NOT(ISERROR(INDIRECT(SUBSTITUTE(INDEX($1:$1048576,ROW($3:$3),SUM($BZ41:CA41)+COLUMN($I$1)-1)," ","")&amp;"Title"))),INDIRECT(SUBSTITUTE(INDEX($1:$1048576,ROW($3:$3),SUM($BZ41:CA41)+COLUMN($I$1)-1)," ","")&amp;"Title")&amp;"("&amp;INDEX($1:$1048576,ROW(CA40),SUM($BZ41:CA41)+COLUMN($I$1)-1)&amp;")",INDEX($1:$1048576,ROW(CA40),SUM($BZ41:CA41)+COLUMN($I$1)-1)),"")</f>
        <v/>
      </c>
      <c r="CB40" s="84" t="str">
        <f ca="1">IF(NOT(ISERROR(CB41)),IF(NOT(ISERROR(INDIRECT(SUBSTITUTE(INDEX($1:$1048576,ROW($3:$3),SUM($BZ41:CB41)+COLUMN($I$1)-1)," ","")&amp;"Title"))),INDIRECT(SUBSTITUTE(INDEX($1:$1048576,ROW($3:$3),SUM($BZ41:CB41)+COLUMN($I$1)-1)," ","")&amp;"Title")&amp;"("&amp;INDEX($1:$1048576,ROW(CB40),SUM($BZ41:CB41)+COLUMN($I$1)-1)&amp;")",INDEX($1:$1048576,ROW(CB40),SUM($BZ41:CB41)+COLUMN($I$1)-1)),"")</f>
        <v/>
      </c>
      <c r="CC40" s="84" t="str">
        <f ca="1">IF(NOT(ISERROR(CC41)),IF(NOT(ISERROR(INDIRECT(SUBSTITUTE(INDEX($1:$1048576,ROW($3:$3),SUM($BZ41:CC41)+COLUMN($I$1)-1)," ","")&amp;"Title"))),INDIRECT(SUBSTITUTE(INDEX($1:$1048576,ROW($3:$3),SUM($BZ41:CC41)+COLUMN($I$1)-1)," ","")&amp;"Title")&amp;"("&amp;INDEX($1:$1048576,ROW(CC40),SUM($BZ41:CC41)+COLUMN($I$1)-1)&amp;")",INDEX($1:$1048576,ROW(CC40),SUM($BZ41:CC41)+COLUMN($I$1)-1)),"")</f>
        <v/>
      </c>
      <c r="CD40" s="84" t="str">
        <f ca="1">IF(NOT(ISERROR(CD41)),IF(NOT(ISERROR(INDIRECT(SUBSTITUTE(INDEX($1:$1048576,ROW($3:$3),SUM($BZ41:CD41)+COLUMN($I$1)-1)," ","")&amp;"Title"))),INDIRECT(SUBSTITUTE(INDEX($1:$1048576,ROW($3:$3),SUM($BZ41:CD41)+COLUMN($I$1)-1)," ","")&amp;"Title")&amp;"("&amp;INDEX($1:$1048576,ROW(CD40),SUM($BZ41:CD41)+COLUMN($I$1)-1)&amp;")",INDEX($1:$1048576,ROW(CD40),SUM($BZ41:CD41)+COLUMN($I$1)-1)),"")</f>
        <v/>
      </c>
      <c r="CE40" s="84" t="str">
        <f ca="1">IF(NOT(ISERROR(CE41)),IF(NOT(ISERROR(INDIRECT(SUBSTITUTE(INDEX($1:$1048576,ROW($3:$3),SUM($BZ41:CE41)+COLUMN($I$1)-1)," ","")&amp;"Title"))),INDIRECT(SUBSTITUTE(INDEX($1:$1048576,ROW($3:$3),SUM($BZ41:CE41)+COLUMN($I$1)-1)," ","")&amp;"Title")&amp;"("&amp;INDEX($1:$1048576,ROW(CE40),SUM($BZ41:CE41)+COLUMN($I$1)-1)&amp;")",INDEX($1:$1048576,ROW(CE40),SUM($BZ41:CE41)+COLUMN($I$1)-1)),"")</f>
        <v/>
      </c>
      <c r="CF40" s="84" t="str">
        <f ca="1">IF(NOT(ISERROR(CF41)),IF(NOT(ISERROR(INDIRECT(SUBSTITUTE(INDEX($1:$1048576,ROW($3:$3),SUM($BZ41:CF41)+COLUMN($I$1)-1)," ","")&amp;"Title"))),INDIRECT(SUBSTITUTE(INDEX($1:$1048576,ROW($3:$3),SUM($BZ41:CF41)+COLUMN($I$1)-1)," ","")&amp;"Title")&amp;"("&amp;INDEX($1:$1048576,ROW(CF40),SUM($BZ41:CF41)+COLUMN($I$1)-1)&amp;")",INDEX($1:$1048576,ROW(CF40),SUM($BZ41:CF41)+COLUMN($I$1)-1)),"")</f>
        <v/>
      </c>
      <c r="CG40" s="84" t="str">
        <f ca="1">IF(NOT(ISERROR(CG41)),IF(NOT(ISERROR(INDIRECT(SUBSTITUTE(INDEX($1:$1048576,ROW($3:$3),SUM($BZ41:CG41)+COLUMN($I$1)-1)," ","")&amp;"Title"))),INDIRECT(SUBSTITUTE(INDEX($1:$1048576,ROW($3:$3),SUM($BZ41:CG41)+COLUMN($I$1)-1)," ","")&amp;"Title")&amp;"("&amp;INDEX($1:$1048576,ROW(CG40),SUM($BZ41:CG41)+COLUMN($I$1)-1)&amp;")",INDEX($1:$1048576,ROW(CG40),SUM($BZ41:CG41)+COLUMN($I$1)-1)),"")</f>
        <v/>
      </c>
      <c r="CH40" s="84" t="str">
        <f ca="1">IF(NOT(ISERROR(CH41)),IF(NOT(ISERROR(INDIRECT(SUBSTITUTE(INDEX($1:$1048576,ROW($3:$3),SUM($BZ41:CH41)+COLUMN($I$1)-1)," ","")&amp;"Title"))),INDIRECT(SUBSTITUTE(INDEX($1:$1048576,ROW($3:$3),SUM($BZ41:CH41)+COLUMN($I$1)-1)," ","")&amp;"Title")&amp;"("&amp;INDEX($1:$1048576,ROW(CH40),SUM($BZ41:CH41)+COLUMN($I$1)-1)&amp;")",INDEX($1:$1048576,ROW(CH40),SUM($BZ41:CH41)+COLUMN($I$1)-1)),"")</f>
        <v/>
      </c>
      <c r="CI40" s="84" t="str">
        <f ca="1">IF(NOT(ISERROR(CI41)),IF(NOT(ISERROR(INDIRECT(SUBSTITUTE(INDEX($1:$1048576,ROW($3:$3),SUM($BZ41:CI41)+COLUMN($I$1)-1)," ","")&amp;"Title"))),INDIRECT(SUBSTITUTE(INDEX($1:$1048576,ROW($3:$3),SUM($BZ41:CI41)+COLUMN($I$1)-1)," ","")&amp;"Title")&amp;"("&amp;INDEX($1:$1048576,ROW(CI40),SUM($BZ41:CI41)+COLUMN($I$1)-1)&amp;")",INDEX($1:$1048576,ROW(CI40),SUM($BZ41:CI41)+COLUMN($I$1)-1)),"")</f>
        <v/>
      </c>
      <c r="CJ40" s="84" t="str">
        <f ca="1">IF(NOT(ISERROR(CJ41)),IF(NOT(ISERROR(INDIRECT(SUBSTITUTE(INDEX($1:$1048576,ROW($3:$3),SUM($BZ41:CJ41)+COLUMN($I$1)-1)," ","")&amp;"Title"))),INDIRECT(SUBSTITUTE(INDEX($1:$1048576,ROW($3:$3),SUM($BZ41:CJ41)+COLUMN($I$1)-1)," ","")&amp;"Title")&amp;"("&amp;INDEX($1:$1048576,ROW(CJ40),SUM($BZ41:CJ41)+COLUMN($I$1)-1)&amp;")",INDEX($1:$1048576,ROW(CJ40),SUM($BZ41:CJ41)+COLUMN($I$1)-1)),"")</f>
        <v/>
      </c>
      <c r="CK40" s="87"/>
    </row>
    <row r="41" spans="1:89" s="88" customFormat="1" x14ac:dyDescent="0.25">
      <c r="A41" s="705"/>
      <c r="B41" s="707"/>
      <c r="C41" s="707"/>
      <c r="D41" s="709"/>
      <c r="E41" s="707"/>
      <c r="F41" s="699"/>
      <c r="G41" s="701"/>
      <c r="H41" s="701"/>
      <c r="J41" s="92" t="b">
        <f>IF(J40&gt;0,IF(AND(INDEX('General Merits'!$F:$F,MATCH($J40,'General Merits'!$F:$F,0),1)&gt;0,VLOOKUP('Merit Data'!J40,'General Merits'!$F:$Z,COLUMN('General Merits'!$N:$N),0)),TRUE,FALSE),#N/A)</f>
        <v>0</v>
      </c>
      <c r="K41" s="92" t="e">
        <f>IF(K40&gt;0,IF(AND(INDEX('General Merits'!$F:$F,MATCH($J40,'General Merits'!$F:$F,0),1)&gt;0,VLOOKUP('Merit Data'!K40,'General Merits'!$F:$Z,COLUMN('General Merits'!$N:$N),0)),TRUE,FALSE),#N/A)</f>
        <v>#N/A</v>
      </c>
      <c r="L41" s="92" t="e">
        <f>IF(L40&gt;0,IF(AND(INDEX('General Merits'!$F:$F,MATCH($J40,'General Merits'!$F:$F,0),1)&gt;0,VLOOKUP('Merit Data'!L40,'General Merits'!$F:$Z,COLUMN('General Merits'!$N:$N),0)),TRUE,FALSE),#N/A)</f>
        <v>#N/A</v>
      </c>
      <c r="N41" s="89" t="e">
        <f>IF(STR&gt;=N40,TRUE)</f>
        <v>#REF!</v>
      </c>
      <c r="O41" s="89" t="e">
        <f>IF(AGI&gt;=O40,TRUE)</f>
        <v>#REF!</v>
      </c>
      <c r="P41" s="89" t="e">
        <f>IF(CON&gt;=P40,TRUE)</f>
        <v>#REF!</v>
      </c>
      <c r="Q41" s="89" t="e">
        <f>IF(INT&gt;=Q40,TRUE)</f>
        <v>#REF!</v>
      </c>
      <c r="R41" s="89" t="e">
        <f>IF(WIS&gt;=R40,TRUE)</f>
        <v>#REF!</v>
      </c>
      <c r="S41" s="89" t="e">
        <f>IF(FOC&gt;=S40,TRUE)</f>
        <v>#REF!</v>
      </c>
      <c r="T41" s="89" t="e">
        <f>IF(CHA&gt;=T40,TRUE)</f>
        <v>#REF!</v>
      </c>
      <c r="U41" s="89" t="e">
        <f>IF(INS&gt;=U40,TRUE)</f>
        <v>#REF!</v>
      </c>
      <c r="V41" s="89" t="e">
        <f>IF(CNV&gt;=V40,TRUE)</f>
        <v>#REF!</v>
      </c>
      <c r="W41" s="89"/>
      <c r="X41" s="89" t="e">
        <f>IF(Archery&gt;=X40,TRUE)</f>
        <v>#REF!</v>
      </c>
      <c r="Y41" s="89" t="e">
        <f>IF(Crossbows&gt;=Y40,TRUE)</f>
        <v>#REF!</v>
      </c>
      <c r="Z41" s="89" t="e">
        <f>IF(Daggers&gt;=Z40,TRUE)</f>
        <v>#REF!</v>
      </c>
      <c r="AA41" s="89" t="e">
        <f>IF(HandtoHandCombat&gt;=AA40,TRUE)</f>
        <v>#REF!</v>
      </c>
      <c r="AB41" s="89" t="e">
        <f>IF(HeavyArmor&gt;=AB40,TRUE)</f>
        <v>#REF!</v>
      </c>
      <c r="AC41" s="89" t="e">
        <f>IF(ImprovisedWeaponry&gt;=AC40,TRUE)</f>
        <v>#NAME?</v>
      </c>
      <c r="AD41" s="89" t="e">
        <f>IF(LightArmor&gt;=AD40,TRUE)</f>
        <v>#REF!</v>
      </c>
      <c r="AE41" s="89" t="e">
        <f>IF(Magicka&gt;=AE40,TRUE)</f>
        <v>#REF!</v>
      </c>
      <c r="AF41" s="89" t="e">
        <f>IF(OR(Archery&gt;=AF40,Crossbows&gt;=AF40,Daggers&gt;=AF40,HandtoHandCombat&gt;=AF40,ImprovisedWeaponry&gt;=AF40,Axes&gt;=AF40,Maces&gt;=AF40,Swords&gt;=AF40,Polearms&gt;=AF40,Staves&gt;=AF40,Throwing&gt;=AF40,TwoHandedAxes&gt;=AF40,TwoHandedMaces&gt;=AF40,TwoHandedSwords&gt;=AF40),TRUE)</f>
        <v>#REF!</v>
      </c>
      <c r="AG41" s="89" t="e">
        <f>IF(Axes&gt;=AG40,TRUE)</f>
        <v>#REF!</v>
      </c>
      <c r="AH41" s="89" t="e">
        <f>IF(Maces&gt;=AH40,TRUE)</f>
        <v>#REF!</v>
      </c>
      <c r="AI41" s="89" t="e">
        <f>IF(Swords&gt;=AI40,TRUE)</f>
        <v>#REF!</v>
      </c>
      <c r="AJ41" s="89" t="e">
        <f>IF(Polearms&gt;=AJ40,TRUE)</f>
        <v>#REF!</v>
      </c>
      <c r="AK41" s="89" t="e">
        <f>IF(Shields&gt;=AK40,TRUE)</f>
        <v>#REF!</v>
      </c>
      <c r="AL41" s="89" t="e">
        <f>IF(Staves&gt;=AL40,TRUE)</f>
        <v>#REF!</v>
      </c>
      <c r="AM41" s="89" t="e">
        <f>IF(Throwing&gt;=AM40,TRUE)</f>
        <v>#REF!</v>
      </c>
      <c r="AN41" s="89" t="e">
        <f>IF(TwoHandedAxes&gt;=AN40,TRUE)</f>
        <v>#NAME?</v>
      </c>
      <c r="AO41" s="89" t="e">
        <f>IF(TwoHandedMaces&gt;=AO40,TRUE)</f>
        <v>#NAME?</v>
      </c>
      <c r="AP41" s="89" t="e">
        <f>IF(TwoHandedSwords&gt;=AP40,TRUE)</f>
        <v>#NAME?</v>
      </c>
      <c r="AQ41" s="89"/>
      <c r="AR41" s="89" t="e">
        <f>IF(Acrobatics&gt;=AR40,TRUE)</f>
        <v>#REF!</v>
      </c>
      <c r="AS41" s="89" t="e">
        <f>IF(Appraisal&gt;=AS40,TRUE)</f>
        <v>#REF!</v>
      </c>
      <c r="AT41" s="89" t="e">
        <f>IF(Athletics&gt;=AT40,TRUE)</f>
        <v>#REF!</v>
      </c>
      <c r="AU41" s="89" t="e">
        <f>IF(Comprehension&gt;=AU40,TRUE)</f>
        <v>#REF!</v>
      </c>
      <c r="AV41" s="89" t="e">
        <f>IF(Expression&gt;=AV40,TRUE)</f>
        <v>#REF!</v>
      </c>
      <c r="AW41" s="89" t="e">
        <f>IF(Perception&gt;=AW40,TRUE)</f>
        <v>#REF!</v>
      </c>
      <c r="AX41" s="89" t="e">
        <f>IF(Security&gt;=AX40,TRUE)</f>
        <v>#REF!</v>
      </c>
      <c r="AY41" s="89" t="e">
        <f>IF(Stealth&gt;=AY40,TRUE)</f>
        <v>#REF!</v>
      </c>
      <c r="AZ41" s="89" t="e">
        <f>IF(Streetwise&gt;=AZ40,TRUE)</f>
        <v>#REF!</v>
      </c>
      <c r="BA41" s="89" t="e">
        <f>IF(Subterfuge&gt;=BA40,TRUE)</f>
        <v>#REF!</v>
      </c>
      <c r="BB41" s="89" t="e">
        <f>IF(Survival&gt;=BB40,TRUE)</f>
        <v>#REF!</v>
      </c>
      <c r="BC41" s="89"/>
      <c r="BD41" s="89" t="e">
        <f>IF(AncientDraconic&gt;=BD40,TRUE)</f>
        <v>#REF!</v>
      </c>
      <c r="BE41" s="89" t="e">
        <f>IF(AquaElven&gt;=BE40,TRUE)</f>
        <v>#REF!</v>
      </c>
      <c r="BF41" s="89" t="e">
        <f>IF(BasicElven&gt;=BF40,TRUE)</f>
        <v>#REF!</v>
      </c>
      <c r="BG41" s="89" t="e">
        <f>IF(Common&gt;=BG40,TRUE)</f>
        <v>#REF!</v>
      </c>
      <c r="BH41" s="89" t="e">
        <f>IF(DarkElven&gt;=BH40,TRUE)</f>
        <v>#REF!</v>
      </c>
      <c r="BI41" s="89" t="e">
        <f>IF(Davek&gt;=BI40,TRUE)</f>
        <v>#REF!</v>
      </c>
      <c r="BJ41" s="89" t="e">
        <f>IF(Draconic&gt;=BJ40,TRUE)</f>
        <v>#REF!</v>
      </c>
      <c r="BK41" s="89" t="e">
        <f>IF(Eulian&gt;=BK40,TRUE)</f>
        <v>#REF!</v>
      </c>
      <c r="BL41" s="89" t="e">
        <f>IF(Garonian&gt;=BL40,TRUE)</f>
        <v>#REF!</v>
      </c>
      <c r="BM41" s="89" t="e">
        <f>IF(Geovek&gt;=BM40,TRUE)</f>
        <v>#REF!</v>
      </c>
      <c r="BN41" s="89" t="e">
        <f>IF(Gnomish&gt;=BN40,TRUE)</f>
        <v>#REF!</v>
      </c>
      <c r="BO41" s="89" t="e">
        <f>IF(Goblin&gt;=BO40,TRUE)</f>
        <v>#REF!</v>
      </c>
      <c r="BP41" s="89" t="e">
        <f>IF(HighElven&gt;=BP40,TRUE)</f>
        <v>#REF!</v>
      </c>
      <c r="BQ41" s="89" t="e">
        <f>IF(Kotaba&gt;=BQ40,TRUE)</f>
        <v>#REF!</v>
      </c>
      <c r="BR41" s="89" t="e">
        <f>IF(LowerCommon&gt;=BR40,TRUE)</f>
        <v>#REF!</v>
      </c>
      <c r="BS41" s="89" t="e">
        <f>IF(OldElven&gt;=BS40,TRUE)</f>
        <v>#REF!</v>
      </c>
      <c r="BT41" s="89" t="e">
        <f>IF(Sylvan&gt;=BT40,TRUE)</f>
        <v>#REF!</v>
      </c>
      <c r="BU41" s="89" t="e">
        <f>IF(TrueDraconic&gt;=BU40,TRUE)</f>
        <v>#REF!</v>
      </c>
      <c r="BV41" s="89" t="e">
        <f>IF(Volken&gt;=BV40,TRUE)</f>
        <v>#REF!</v>
      </c>
      <c r="BW41" s="89" t="e">
        <f>IF(WoodElven&gt;=BW40,TRUE)</f>
        <v>#REF!</v>
      </c>
      <c r="BX41" s="703"/>
      <c r="BY41" s="89"/>
      <c r="BZ41" s="88">
        <f ca="1">MATCH(TRUE,INDEX((INDIRECT(CHAR(CODE($I$1)+SUM($BY41:BY41))&amp;$CK41-1&amp;":"&amp;$BW$1&amp;$CK41-1)&lt;&gt;0),0),0)</f>
        <v>2</v>
      </c>
      <c r="CA41" s="88" t="e">
        <f ca="1">MATCH(TRUE,INDEX((INDIRECT(CHAR(CODE($I$1)+SUM($BY41:BZ41))&amp;$CK41-1&amp;":"&amp;$BW$1&amp;$CK41-1)&lt;&gt;0),0),0)</f>
        <v>#N/A</v>
      </c>
      <c r="CB41" s="88" t="e">
        <f ca="1">MATCH(TRUE,INDEX((INDIRECT(CHAR(CODE($I$1)+SUM($BY41:CA41))&amp;$CK41-1&amp;":"&amp;$BW$1&amp;$CK41-1)&lt;&gt;0),0),0)</f>
        <v>#N/A</v>
      </c>
      <c r="CC41" s="88" t="e">
        <f ca="1">MATCH(TRUE,INDEX((INDIRECT(CHAR(CODE($I$1)+SUM($BY41:CB41))&amp;$CK41-1&amp;":"&amp;$BW$1&amp;$CK41-1)&lt;&gt;0),0),0)</f>
        <v>#N/A</v>
      </c>
      <c r="CD41" s="88" t="e">
        <f ca="1">MATCH(TRUE,INDEX((INDIRECT(CHAR(CODE($I$1)+SUM($BY41:CC41))&amp;$CK41-1&amp;":"&amp;$BW$1&amp;$CK41-1)&lt;&gt;0),0),0)</f>
        <v>#N/A</v>
      </c>
      <c r="CE41" s="88" t="e">
        <f ca="1">MATCH(TRUE,INDEX((INDIRECT(CHAR(CODE($I$1)+SUM($BY41:CD41))&amp;$CK41-1&amp;":"&amp;$BW$1&amp;$CK41-1)&lt;&gt;0),0),0)</f>
        <v>#N/A</v>
      </c>
      <c r="CF41" s="88" t="e">
        <f ca="1">MATCH(TRUE,INDEX((INDIRECT(CHAR(CODE($I$1)+SUM($BY41:CE41))&amp;$CK41-1&amp;":"&amp;$BW$1&amp;$CK41-1)&lt;&gt;0),0),0)</f>
        <v>#N/A</v>
      </c>
      <c r="CG41" s="88" t="e">
        <f ca="1">MATCH(TRUE,INDEX((INDIRECT(CHAR(CODE($I$1)+SUM($BY41:CF41))&amp;$CK41-1&amp;":"&amp;$BW$1&amp;$CK41-1)&lt;&gt;0),0),0)</f>
        <v>#N/A</v>
      </c>
      <c r="CH41" s="88" t="e">
        <f ca="1">MATCH(TRUE,INDEX((INDIRECT(CHAR(CODE($I$1)+SUM($BY41:CG41))&amp;$CK41-1&amp;":"&amp;$BW$1&amp;$CK41-1)&lt;&gt;0),0),0)</f>
        <v>#N/A</v>
      </c>
      <c r="CI41" s="88" t="e">
        <f ca="1">MATCH(TRUE,INDEX((INDIRECT(CHAR(CODE($I$1)+SUM($BY41:CH41))&amp;$CK41-1&amp;":"&amp;$BW$1&amp;$CK41-1)&lt;&gt;0),0),0)</f>
        <v>#N/A</v>
      </c>
      <c r="CJ41" s="88" t="e">
        <f ca="1">MATCH(TRUE,INDEX((INDIRECT(CHAR(CODE($I$1)+SUM($BY41:CI41))&amp;$CK41-1&amp;":"&amp;$BW$1&amp;$CK41-1)&lt;&gt;0),0),0)</f>
        <v>#N/A</v>
      </c>
      <c r="CK41" s="90">
        <f>ROW(CK41)</f>
        <v>41</v>
      </c>
    </row>
    <row r="42" spans="1:89" s="84" customFormat="1" ht="15" customHeight="1" x14ac:dyDescent="0.25">
      <c r="A42" s="704" t="s">
        <v>475</v>
      </c>
      <c r="B42" s="706" t="b">
        <f>ISERROR(MATCH(FALSE,$J43:$BW43,0))</f>
        <v>1</v>
      </c>
      <c r="C42" s="706" t="b">
        <f>IF(AND(INDEX('General Merits'!$F:$F,MATCH(A42,'General Merits'!$F:$F,0))&gt;0,VLOOKUP(A42,'General Merits'!$F:$Q,10,0)),TRUE,FALSE)</f>
        <v>0</v>
      </c>
      <c r="D42" s="708">
        <v>1</v>
      </c>
      <c r="E42" s="706">
        <f>D42*100</f>
        <v>100</v>
      </c>
      <c r="F42" s="698" t="s">
        <v>476</v>
      </c>
      <c r="G42" s="700"/>
      <c r="H42" s="700"/>
      <c r="J42" s="235"/>
      <c r="K42" s="235"/>
      <c r="L42" s="235"/>
      <c r="N42" s="85"/>
      <c r="O42" s="85"/>
      <c r="P42" s="85"/>
      <c r="Q42" s="85"/>
      <c r="R42" s="85"/>
      <c r="S42" s="85"/>
      <c r="T42" s="85"/>
      <c r="U42" s="85"/>
      <c r="V42" s="85"/>
      <c r="W42" s="86"/>
      <c r="X42" s="85"/>
      <c r="Y42" s="85"/>
      <c r="Z42" s="85"/>
      <c r="AA42" s="85"/>
      <c r="AB42" s="85"/>
      <c r="AC42" s="85"/>
      <c r="AD42" s="85"/>
      <c r="AE42" s="85"/>
      <c r="AF42" s="236"/>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702" t="str">
        <f ca="1">IF(BZ42&lt;&gt;"",BZ42,"")&amp;IF(CA42&lt;&gt;"",", "&amp;CA42,"")&amp;IF(CB42&lt;&gt;"",", "&amp;CB42,"")&amp;IF(CC42&lt;&gt;"",", "&amp;CC42,"")&amp;IF(CD42&lt;&gt;"",", "&amp;CD42,"")&amp;IF(CE42&lt;&gt;"",", "&amp;CE42,"")&amp;IF(CF42&lt;&gt;"",", "&amp;CF42,"")&amp;IF(CG42&lt;&gt;"",", "&amp;CG42,"")&amp;IF(CH42&lt;&gt;"",", "&amp;CH42,"")&amp;IF(CI42&lt;&gt;"",", "&amp;CI42,"")</f>
        <v/>
      </c>
      <c r="BY42" s="85"/>
      <c r="BZ42" s="84" t="str">
        <f ca="1">IF(NOT(ISERROR(BZ43)),IF(NOT(ISERROR(INDIRECT(SUBSTITUTE(INDEX($1:$1048576,ROW($3:$3),SUM($BZ43:BZ43)+COLUMN($I$1)-1)," ","")&amp;"Title"))),INDIRECT(SUBSTITUTE(INDEX($1:$1048576,ROW($3:$3),SUM($BZ43:BZ43)+COLUMN($I$1)-1)," ","")&amp;"Title")&amp;"("&amp;INDEX($1:$1048576,ROW(BZ42),SUM($BZ43:BZ43)+COLUMN($I$1)-1)&amp;")",INDEX($1:$1048576,ROW(BZ42),SUM($BZ43:BZ43)+COLUMN($I$1)-1)),"")</f>
        <v/>
      </c>
      <c r="CA42" s="84" t="str">
        <f ca="1">IF(NOT(ISERROR(CA43)),IF(NOT(ISERROR(INDIRECT(SUBSTITUTE(INDEX($1:$1048576,ROW($3:$3),SUM($BZ43:CA43)+COLUMN($I$1)-1)," ","")&amp;"Title"))),INDIRECT(SUBSTITUTE(INDEX($1:$1048576,ROW($3:$3),SUM($BZ43:CA43)+COLUMN($I$1)-1)," ","")&amp;"Title")&amp;"("&amp;INDEX($1:$1048576,ROW(CA42),SUM($BZ43:CA43)+COLUMN($I$1)-1)&amp;")",INDEX($1:$1048576,ROW(CA42),SUM($BZ43:CA43)+COLUMN($I$1)-1)),"")</f>
        <v/>
      </c>
      <c r="CB42" s="84" t="str">
        <f ca="1">IF(NOT(ISERROR(CB43)),IF(NOT(ISERROR(INDIRECT(SUBSTITUTE(INDEX($1:$1048576,ROW($3:$3),SUM($BZ43:CB43)+COLUMN($I$1)-1)," ","")&amp;"Title"))),INDIRECT(SUBSTITUTE(INDEX($1:$1048576,ROW($3:$3),SUM($BZ43:CB43)+COLUMN($I$1)-1)," ","")&amp;"Title")&amp;"("&amp;INDEX($1:$1048576,ROW(CB42),SUM($BZ43:CB43)+COLUMN($I$1)-1)&amp;")",INDEX($1:$1048576,ROW(CB42),SUM($BZ43:CB43)+COLUMN($I$1)-1)),"")</f>
        <v/>
      </c>
      <c r="CC42" s="84" t="str">
        <f ca="1">IF(NOT(ISERROR(CC43)),IF(NOT(ISERROR(INDIRECT(SUBSTITUTE(INDEX($1:$1048576,ROW($3:$3),SUM($BZ43:CC43)+COLUMN($I$1)-1)," ","")&amp;"Title"))),INDIRECT(SUBSTITUTE(INDEX($1:$1048576,ROW($3:$3),SUM($BZ43:CC43)+COLUMN($I$1)-1)," ","")&amp;"Title")&amp;"("&amp;INDEX($1:$1048576,ROW(CC42),SUM($BZ43:CC43)+COLUMN($I$1)-1)&amp;")",INDEX($1:$1048576,ROW(CC42),SUM($BZ43:CC43)+COLUMN($I$1)-1)),"")</f>
        <v/>
      </c>
      <c r="CD42" s="84" t="str">
        <f ca="1">IF(NOT(ISERROR(CD43)),IF(NOT(ISERROR(INDIRECT(SUBSTITUTE(INDEX($1:$1048576,ROW($3:$3),SUM($BZ43:CD43)+COLUMN($I$1)-1)," ","")&amp;"Title"))),INDIRECT(SUBSTITUTE(INDEX($1:$1048576,ROW($3:$3),SUM($BZ43:CD43)+COLUMN($I$1)-1)," ","")&amp;"Title")&amp;"("&amp;INDEX($1:$1048576,ROW(CD42),SUM($BZ43:CD43)+COLUMN($I$1)-1)&amp;")",INDEX($1:$1048576,ROW(CD42),SUM($BZ43:CD43)+COLUMN($I$1)-1)),"")</f>
        <v/>
      </c>
      <c r="CE42" s="84" t="str">
        <f ca="1">IF(NOT(ISERROR(CE43)),IF(NOT(ISERROR(INDIRECT(SUBSTITUTE(INDEX($1:$1048576,ROW($3:$3),SUM($BZ43:CE43)+COLUMN($I$1)-1)," ","")&amp;"Title"))),INDIRECT(SUBSTITUTE(INDEX($1:$1048576,ROW($3:$3),SUM($BZ43:CE43)+COLUMN($I$1)-1)," ","")&amp;"Title")&amp;"("&amp;INDEX($1:$1048576,ROW(CE42),SUM($BZ43:CE43)+COLUMN($I$1)-1)&amp;")",INDEX($1:$1048576,ROW(CE42),SUM($BZ43:CE43)+COLUMN($I$1)-1)),"")</f>
        <v/>
      </c>
      <c r="CF42" s="84" t="str">
        <f ca="1">IF(NOT(ISERROR(CF43)),IF(NOT(ISERROR(INDIRECT(SUBSTITUTE(INDEX($1:$1048576,ROW($3:$3),SUM($BZ43:CF43)+COLUMN($I$1)-1)," ","")&amp;"Title"))),INDIRECT(SUBSTITUTE(INDEX($1:$1048576,ROW($3:$3),SUM($BZ43:CF43)+COLUMN($I$1)-1)," ","")&amp;"Title")&amp;"("&amp;INDEX($1:$1048576,ROW(CF42),SUM($BZ43:CF43)+COLUMN($I$1)-1)&amp;")",INDEX($1:$1048576,ROW(CF42),SUM($BZ43:CF43)+COLUMN($I$1)-1)),"")</f>
        <v/>
      </c>
      <c r="CG42" s="84" t="str">
        <f ca="1">IF(NOT(ISERROR(CG43)),IF(NOT(ISERROR(INDIRECT(SUBSTITUTE(INDEX($1:$1048576,ROW($3:$3),SUM($BZ43:CG43)+COLUMN($I$1)-1)," ","")&amp;"Title"))),INDIRECT(SUBSTITUTE(INDEX($1:$1048576,ROW($3:$3),SUM($BZ43:CG43)+COLUMN($I$1)-1)," ","")&amp;"Title")&amp;"("&amp;INDEX($1:$1048576,ROW(CG42),SUM($BZ43:CG43)+COLUMN($I$1)-1)&amp;")",INDEX($1:$1048576,ROW(CG42),SUM($BZ43:CG43)+COLUMN($I$1)-1)),"")</f>
        <v/>
      </c>
      <c r="CH42" s="84" t="str">
        <f ca="1">IF(NOT(ISERROR(CH43)),IF(NOT(ISERROR(INDIRECT(SUBSTITUTE(INDEX($1:$1048576,ROW($3:$3),SUM($BZ43:CH43)+COLUMN($I$1)-1)," ","")&amp;"Title"))),INDIRECT(SUBSTITUTE(INDEX($1:$1048576,ROW($3:$3),SUM($BZ43:CH43)+COLUMN($I$1)-1)," ","")&amp;"Title")&amp;"("&amp;INDEX($1:$1048576,ROW(CH42),SUM($BZ43:CH43)+COLUMN($I$1)-1)&amp;")",INDEX($1:$1048576,ROW(CH42),SUM($BZ43:CH43)+COLUMN($I$1)-1)),"")</f>
        <v/>
      </c>
      <c r="CI42" s="84" t="str">
        <f ca="1">IF(NOT(ISERROR(CI43)),IF(NOT(ISERROR(INDIRECT(SUBSTITUTE(INDEX($1:$1048576,ROW($3:$3),SUM($BZ43:CI43)+COLUMN($I$1)-1)," ","")&amp;"Title"))),INDIRECT(SUBSTITUTE(INDEX($1:$1048576,ROW($3:$3),SUM($BZ43:CI43)+COLUMN($I$1)-1)," ","")&amp;"Title")&amp;"("&amp;INDEX($1:$1048576,ROW(CI42),SUM($BZ43:CI43)+COLUMN($I$1)-1)&amp;")",INDEX($1:$1048576,ROW(CI42),SUM($BZ43:CI43)+COLUMN($I$1)-1)),"")</f>
        <v/>
      </c>
      <c r="CJ42" s="84" t="str">
        <f ca="1">IF(NOT(ISERROR(CJ43)),IF(NOT(ISERROR(INDIRECT(SUBSTITUTE(INDEX($1:$1048576,ROW($3:$3),SUM($BZ43:CJ43)+COLUMN($I$1)-1)," ","")&amp;"Title"))),INDIRECT(SUBSTITUTE(INDEX($1:$1048576,ROW($3:$3),SUM($BZ43:CJ43)+COLUMN($I$1)-1)," ","")&amp;"Title")&amp;"("&amp;INDEX($1:$1048576,ROW(CJ42),SUM($BZ43:CJ43)+COLUMN($I$1)-1)&amp;")",INDEX($1:$1048576,ROW(CJ42),SUM($BZ43:CJ43)+COLUMN($I$1)-1)),"")</f>
        <v/>
      </c>
      <c r="CK42" s="87"/>
    </row>
    <row r="43" spans="1:89" s="88" customFormat="1" x14ac:dyDescent="0.25">
      <c r="A43" s="705"/>
      <c r="B43" s="707"/>
      <c r="C43" s="707"/>
      <c r="D43" s="709"/>
      <c r="E43" s="707"/>
      <c r="F43" s="699"/>
      <c r="G43" s="701"/>
      <c r="H43" s="701"/>
      <c r="J43" s="92" t="e">
        <f>IF(J42&gt;0,IF(AND(INDEX('General Merits'!$F:$F,MATCH($J42,'General Merits'!$F:$F,0),1)&gt;0,VLOOKUP('Merit Data'!J42,'General Merits'!$F:$Z,COLUMN('General Merits'!$N:$N),0)),TRUE,FALSE),#N/A)</f>
        <v>#N/A</v>
      </c>
      <c r="K43" s="92" t="e">
        <f>IF(K42&gt;0,IF(AND(INDEX('General Merits'!$F:$F,MATCH($J42,'General Merits'!$F:$F,0),1)&gt;0,VLOOKUP('Merit Data'!K42,'General Merits'!$F:$Z,COLUMN('General Merits'!$N:$N),0)),TRUE,FALSE),#N/A)</f>
        <v>#N/A</v>
      </c>
      <c r="L43" s="92" t="e">
        <f>IF(L42&gt;0,IF(AND(INDEX('General Merits'!$F:$F,MATCH($J42,'General Merits'!$F:$F,0),1)&gt;0,VLOOKUP('Merit Data'!L42,'General Merits'!$F:$Z,COLUMN('General Merits'!$N:$N),0)),TRUE,FALSE),#N/A)</f>
        <v>#N/A</v>
      </c>
      <c r="N43" s="89" t="e">
        <f>IF(STR&gt;=N42,TRUE)</f>
        <v>#REF!</v>
      </c>
      <c r="O43" s="89" t="e">
        <f>IF(AGI&gt;=O42,TRUE)</f>
        <v>#REF!</v>
      </c>
      <c r="P43" s="89" t="e">
        <f>IF(CON&gt;=P42,TRUE)</f>
        <v>#REF!</v>
      </c>
      <c r="Q43" s="89" t="e">
        <f>IF(INT&gt;=Q42,TRUE)</f>
        <v>#REF!</v>
      </c>
      <c r="R43" s="89" t="e">
        <f>IF(WIS&gt;=R42,TRUE)</f>
        <v>#REF!</v>
      </c>
      <c r="S43" s="89" t="e">
        <f>IF(FOC&gt;=S42,TRUE)</f>
        <v>#REF!</v>
      </c>
      <c r="T43" s="89" t="e">
        <f>IF(CHA&gt;=T42,TRUE)</f>
        <v>#REF!</v>
      </c>
      <c r="U43" s="89" t="e">
        <f>IF(INS&gt;=U42,TRUE)</f>
        <v>#REF!</v>
      </c>
      <c r="V43" s="89" t="e">
        <f>IF(CNV&gt;=V42,TRUE)</f>
        <v>#REF!</v>
      </c>
      <c r="W43" s="89"/>
      <c r="X43" s="89" t="e">
        <f>IF(Archery&gt;=X42,TRUE)</f>
        <v>#REF!</v>
      </c>
      <c r="Y43" s="89" t="e">
        <f>IF(Crossbows&gt;=Y42,TRUE)</f>
        <v>#REF!</v>
      </c>
      <c r="Z43" s="89" t="e">
        <f>IF(Daggers&gt;=Z42,TRUE)</f>
        <v>#REF!</v>
      </c>
      <c r="AA43" s="89" t="e">
        <f>IF(HandtoHandCombat&gt;=AA42,TRUE)</f>
        <v>#REF!</v>
      </c>
      <c r="AB43" s="89" t="e">
        <f>IF(HeavyArmor&gt;=AB42,TRUE)</f>
        <v>#REF!</v>
      </c>
      <c r="AC43" s="89" t="e">
        <f>IF(ImprovisedWeaponry&gt;=AC42,TRUE)</f>
        <v>#NAME?</v>
      </c>
      <c r="AD43" s="89" t="e">
        <f>IF(LightArmor&gt;=AD42,TRUE)</f>
        <v>#REF!</v>
      </c>
      <c r="AE43" s="89" t="e">
        <f>IF(Magicka&gt;=AE42,TRUE)</f>
        <v>#REF!</v>
      </c>
      <c r="AF43" s="89" t="e">
        <f>IF(OR(Archery&gt;=AF42,Crossbows&gt;=AF42,Daggers&gt;=AF42,HandtoHandCombat&gt;=AF42,ImprovisedWeaponry&gt;=AF42,Axes&gt;=AF42,Maces&gt;=AF42,Swords&gt;=AF42,Polearms&gt;=AF42,Staves&gt;=AF42,Throwing&gt;=AF42,TwoHandedAxes&gt;=AF42,TwoHandedMaces&gt;=AF42,TwoHandedSwords&gt;=AF42),TRUE)</f>
        <v>#REF!</v>
      </c>
      <c r="AG43" s="89" t="e">
        <f>IF(Axes&gt;=AG42,TRUE)</f>
        <v>#REF!</v>
      </c>
      <c r="AH43" s="89" t="e">
        <f>IF(Maces&gt;=AH42,TRUE)</f>
        <v>#REF!</v>
      </c>
      <c r="AI43" s="89" t="e">
        <f>IF(Swords&gt;=AI42,TRUE)</f>
        <v>#REF!</v>
      </c>
      <c r="AJ43" s="89" t="e">
        <f>IF(Polearms&gt;=AJ42,TRUE)</f>
        <v>#REF!</v>
      </c>
      <c r="AK43" s="89" t="e">
        <f>IF(Shields&gt;=AK42,TRUE)</f>
        <v>#REF!</v>
      </c>
      <c r="AL43" s="89" t="e">
        <f>IF(Staves&gt;=AL42,TRUE)</f>
        <v>#REF!</v>
      </c>
      <c r="AM43" s="89" t="e">
        <f>IF(Throwing&gt;=AM42,TRUE)</f>
        <v>#REF!</v>
      </c>
      <c r="AN43" s="89" t="e">
        <f>IF(TwoHandedAxes&gt;=AN42,TRUE)</f>
        <v>#NAME?</v>
      </c>
      <c r="AO43" s="89" t="e">
        <f>IF(TwoHandedMaces&gt;=AO42,TRUE)</f>
        <v>#NAME?</v>
      </c>
      <c r="AP43" s="89" t="e">
        <f>IF(TwoHandedSwords&gt;=AP42,TRUE)</f>
        <v>#NAME?</v>
      </c>
      <c r="AQ43" s="89"/>
      <c r="AR43" s="89" t="e">
        <f>IF(Acrobatics&gt;=AR42,TRUE)</f>
        <v>#REF!</v>
      </c>
      <c r="AS43" s="89" t="e">
        <f>IF(Appraisal&gt;=AS42,TRUE)</f>
        <v>#REF!</v>
      </c>
      <c r="AT43" s="89" t="e">
        <f>IF(Athletics&gt;=AT42,TRUE)</f>
        <v>#REF!</v>
      </c>
      <c r="AU43" s="89" t="e">
        <f>IF(Comprehension&gt;=AU42,TRUE)</f>
        <v>#REF!</v>
      </c>
      <c r="AV43" s="89" t="e">
        <f>IF(Expression&gt;=AV42,TRUE)</f>
        <v>#REF!</v>
      </c>
      <c r="AW43" s="89" t="e">
        <f>IF(Perception&gt;=AW42,TRUE)</f>
        <v>#REF!</v>
      </c>
      <c r="AX43" s="89" t="e">
        <f>IF(Security&gt;=AX42,TRUE)</f>
        <v>#REF!</v>
      </c>
      <c r="AY43" s="89" t="e">
        <f>IF(Stealth&gt;=AY42,TRUE)</f>
        <v>#REF!</v>
      </c>
      <c r="AZ43" s="89" t="e">
        <f>IF(Streetwise&gt;=AZ42,TRUE)</f>
        <v>#REF!</v>
      </c>
      <c r="BA43" s="89" t="e">
        <f>IF(Subterfuge&gt;=BA42,TRUE)</f>
        <v>#REF!</v>
      </c>
      <c r="BB43" s="89" t="e">
        <f>IF(Survival&gt;=BB42,TRUE)</f>
        <v>#REF!</v>
      </c>
      <c r="BC43" s="89"/>
      <c r="BD43" s="89" t="e">
        <f>IF(AncientDraconic&gt;=BD42,TRUE)</f>
        <v>#REF!</v>
      </c>
      <c r="BE43" s="89" t="e">
        <f>IF(AquaElven&gt;=BE42,TRUE)</f>
        <v>#REF!</v>
      </c>
      <c r="BF43" s="89" t="e">
        <f>IF(BasicElven&gt;=BF42,TRUE)</f>
        <v>#REF!</v>
      </c>
      <c r="BG43" s="89" t="e">
        <f>IF(Common&gt;=BG42,TRUE)</f>
        <v>#REF!</v>
      </c>
      <c r="BH43" s="89" t="e">
        <f>IF(DarkElven&gt;=BH42,TRUE)</f>
        <v>#REF!</v>
      </c>
      <c r="BI43" s="89" t="e">
        <f>IF(Davek&gt;=BI42,TRUE)</f>
        <v>#REF!</v>
      </c>
      <c r="BJ43" s="89" t="e">
        <f>IF(Draconic&gt;=BJ42,TRUE)</f>
        <v>#REF!</v>
      </c>
      <c r="BK43" s="89" t="e">
        <f>IF(Eulian&gt;=BK42,TRUE)</f>
        <v>#REF!</v>
      </c>
      <c r="BL43" s="89" t="e">
        <f>IF(Garonian&gt;=BL42,TRUE)</f>
        <v>#REF!</v>
      </c>
      <c r="BM43" s="89" t="e">
        <f>IF(Geovek&gt;=BM42,TRUE)</f>
        <v>#REF!</v>
      </c>
      <c r="BN43" s="89" t="e">
        <f>IF(Gnomish&gt;=BN42,TRUE)</f>
        <v>#REF!</v>
      </c>
      <c r="BO43" s="89" t="e">
        <f>IF(Goblin&gt;=BO42,TRUE)</f>
        <v>#REF!</v>
      </c>
      <c r="BP43" s="89" t="e">
        <f>IF(HighElven&gt;=BP42,TRUE)</f>
        <v>#REF!</v>
      </c>
      <c r="BQ43" s="89" t="e">
        <f>IF(Kotaba&gt;=BQ42,TRUE)</f>
        <v>#REF!</v>
      </c>
      <c r="BR43" s="89" t="e">
        <f>IF(LowerCommon&gt;=BR42,TRUE)</f>
        <v>#REF!</v>
      </c>
      <c r="BS43" s="89" t="e">
        <f>IF(OldElven&gt;=BS42,TRUE)</f>
        <v>#REF!</v>
      </c>
      <c r="BT43" s="89" t="e">
        <f>IF(Sylvan&gt;=BT42,TRUE)</f>
        <v>#REF!</v>
      </c>
      <c r="BU43" s="89" t="e">
        <f>IF(TrueDraconic&gt;=BU42,TRUE)</f>
        <v>#REF!</v>
      </c>
      <c r="BV43" s="89" t="e">
        <f>IF(Volken&gt;=BV42,TRUE)</f>
        <v>#REF!</v>
      </c>
      <c r="BW43" s="89" t="e">
        <f>IF(WoodElven&gt;=BW42,TRUE)</f>
        <v>#REF!</v>
      </c>
      <c r="BX43" s="703"/>
      <c r="BY43" s="89"/>
      <c r="BZ43" s="88" t="e">
        <f ca="1">MATCH(TRUE,INDEX((INDIRECT(CHAR(CODE($I$1)+SUM($BY43:BY43))&amp;$CK43-1&amp;":"&amp;$BW$1&amp;$CK43-1)&lt;&gt;0),0),0)</f>
        <v>#N/A</v>
      </c>
      <c r="CA43" s="88" t="e">
        <f ca="1">MATCH(TRUE,INDEX((INDIRECT(CHAR(CODE($I$1)+SUM($BY43:BZ43))&amp;$CK43-1&amp;":"&amp;$BW$1&amp;$CK43-1)&lt;&gt;0),0),0)</f>
        <v>#N/A</v>
      </c>
      <c r="CB43" s="88" t="e">
        <f ca="1">MATCH(TRUE,INDEX((INDIRECT(CHAR(CODE($I$1)+SUM($BY43:CA43))&amp;$CK43-1&amp;":"&amp;$BW$1&amp;$CK43-1)&lt;&gt;0),0),0)</f>
        <v>#N/A</v>
      </c>
      <c r="CC43" s="88" t="e">
        <f ca="1">MATCH(TRUE,INDEX((INDIRECT(CHAR(CODE($I$1)+SUM($BY43:CB43))&amp;$CK43-1&amp;":"&amp;$BW$1&amp;$CK43-1)&lt;&gt;0),0),0)</f>
        <v>#N/A</v>
      </c>
      <c r="CD43" s="88" t="e">
        <f ca="1">MATCH(TRUE,INDEX((INDIRECT(CHAR(CODE($I$1)+SUM($BY43:CC43))&amp;$CK43-1&amp;":"&amp;$BW$1&amp;$CK43-1)&lt;&gt;0),0),0)</f>
        <v>#N/A</v>
      </c>
      <c r="CE43" s="88" t="e">
        <f ca="1">MATCH(TRUE,INDEX((INDIRECT(CHAR(CODE($I$1)+SUM($BY43:CD43))&amp;$CK43-1&amp;":"&amp;$BW$1&amp;$CK43-1)&lt;&gt;0),0),0)</f>
        <v>#N/A</v>
      </c>
      <c r="CF43" s="88" t="e">
        <f ca="1">MATCH(TRUE,INDEX((INDIRECT(CHAR(CODE($I$1)+SUM($BY43:CE43))&amp;$CK43-1&amp;":"&amp;$BW$1&amp;$CK43-1)&lt;&gt;0),0),0)</f>
        <v>#N/A</v>
      </c>
      <c r="CG43" s="88" t="e">
        <f ca="1">MATCH(TRUE,INDEX((INDIRECT(CHAR(CODE($I$1)+SUM($BY43:CF43))&amp;$CK43-1&amp;":"&amp;$BW$1&amp;$CK43-1)&lt;&gt;0),0),0)</f>
        <v>#N/A</v>
      </c>
      <c r="CH43" s="88" t="e">
        <f ca="1">MATCH(TRUE,INDEX((INDIRECT(CHAR(CODE($I$1)+SUM($BY43:CG43))&amp;$CK43-1&amp;":"&amp;$BW$1&amp;$CK43-1)&lt;&gt;0),0),0)</f>
        <v>#N/A</v>
      </c>
      <c r="CI43" s="88" t="e">
        <f ca="1">MATCH(TRUE,INDEX((INDIRECT(CHAR(CODE($I$1)+SUM($BY43:CH43))&amp;$CK43-1&amp;":"&amp;$BW$1&amp;$CK43-1)&lt;&gt;0),0),0)</f>
        <v>#N/A</v>
      </c>
      <c r="CJ43" s="88" t="e">
        <f ca="1">MATCH(TRUE,INDEX((INDIRECT(CHAR(CODE($I$1)+SUM($BY43:CI43))&amp;$CK43-1&amp;":"&amp;$BW$1&amp;$CK43-1)&lt;&gt;0),0),0)</f>
        <v>#N/A</v>
      </c>
      <c r="CK43" s="90">
        <f>ROW(CK43)</f>
        <v>43</v>
      </c>
    </row>
    <row r="44" spans="1:89" s="84" customFormat="1" ht="15" customHeight="1" x14ac:dyDescent="0.25">
      <c r="A44" s="704" t="s">
        <v>477</v>
      </c>
      <c r="B44" s="706" t="b">
        <f>ISERROR(MATCH(FALSE,$J45:$BW45,0))</f>
        <v>1</v>
      </c>
      <c r="C44" s="706" t="b">
        <f>IF(AND(INDEX('General Merits'!$F:$F,MATCH(A44,'General Merits'!$F:$F,0))&gt;0,VLOOKUP(A44,'General Merits'!$F:$Q,10,0)),TRUE,FALSE)</f>
        <v>0</v>
      </c>
      <c r="D44" s="708">
        <v>1</v>
      </c>
      <c r="E44" s="706">
        <f>D44*100</f>
        <v>100</v>
      </c>
      <c r="F44" s="698" t="s">
        <v>478</v>
      </c>
      <c r="G44" s="700"/>
      <c r="H44" s="700"/>
      <c r="J44" s="235"/>
      <c r="K44" s="235"/>
      <c r="L44" s="235"/>
      <c r="N44" s="85"/>
      <c r="O44" s="85">
        <v>18</v>
      </c>
      <c r="P44" s="85"/>
      <c r="Q44" s="85"/>
      <c r="R44" s="85"/>
      <c r="S44" s="85"/>
      <c r="T44" s="85"/>
      <c r="U44" s="85"/>
      <c r="V44" s="85"/>
      <c r="W44" s="86"/>
      <c r="X44" s="85"/>
      <c r="Y44" s="85"/>
      <c r="Z44" s="85"/>
      <c r="AA44" s="85"/>
      <c r="AB44" s="85"/>
      <c r="AC44" s="85"/>
      <c r="AD44" s="85"/>
      <c r="AE44" s="85"/>
      <c r="AF44" s="236"/>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702" t="str">
        <f ca="1">IF(BZ44&lt;&gt;"",BZ44,"")&amp;IF(CA44&lt;&gt;"",", "&amp;CA44,"")&amp;IF(CB44&lt;&gt;"",", "&amp;CB44,"")&amp;IF(CC44&lt;&gt;"",", "&amp;CC44,"")&amp;IF(CD44&lt;&gt;"",", "&amp;CD44,"")&amp;IF(CE44&lt;&gt;"",", "&amp;CE44,"")&amp;IF(CF44&lt;&gt;"",", "&amp;CF44,"")&amp;IF(CG44&lt;&gt;"",", "&amp;CG44,"")&amp;IF(CH44&lt;&gt;"",", "&amp;CH44,"")&amp;IF(CI44&lt;&gt;"",", "&amp;CI44,"")</f>
        <v>Agility (18)</v>
      </c>
      <c r="BY44" s="85"/>
      <c r="BZ44" s="84" t="str">
        <f ca="1">IF(NOT(ISERROR(BZ45)),IF(COLUMN($I:$I)+SUM($BY45:BZ45)-1&lt;COLUMN($N:$N),INDEX($1:$1048576,ROW(BZ44),SUM($BZ45:BZ45)+COLUMN($I$1)-1),INDEX($3:$3,1,COLUMN($I:$I)+SUM($BY45:BZ45)-1)&amp;" ("&amp;INDEX($1:$1048576,ROW(BZ44),SUM($BZ45:BZ45)+COLUMN($I$1)-1)&amp;")"),"")</f>
        <v>Agility (18)</v>
      </c>
      <c r="CA44" s="84" t="str">
        <f ca="1">IF(NOT(ISERROR(CA45)),IF(COLUMN($I:$I)+SUM($BY45:CA45)-1&lt;COLUMN($N:$N),INDEX($1:$1048576,ROW(CA44),SUM($BZ45:CA45)+COLUMN($I$1)-1),INDEX($3:$3,1,COLUMN($I:$I)+SUM($BY45:CA45)-1)&amp;" ("&amp;INDEX($1:$1048576,ROW(CA44),SUM($BZ45:CA45)+COLUMN($I$1)-1)&amp;")"),"")</f>
        <v/>
      </c>
      <c r="CB44" s="84" t="str">
        <f ca="1">IF(NOT(ISERROR(CB45)),IF(COLUMN($I:$I)+SUM($BY45:CB45)-1&lt;COLUMN($N:$N),INDEX($1:$1048576,ROW(CB44),SUM($BZ45:CB45)+COLUMN($I$1)-1),INDEX($3:$3,1,COLUMN($I:$I)+SUM($BY45:CB45)-1)&amp;" ("&amp;INDEX($1:$1048576,ROW(CB44),SUM($BZ45:CB45)+COLUMN($I$1)-1)&amp;")"),"")</f>
        <v/>
      </c>
      <c r="CC44" s="84" t="str">
        <f ca="1">IF(NOT(ISERROR(CC45)),IF(COLUMN($I:$I)+SUM($BY45:CC45)-1&lt;COLUMN($N:$N),INDEX($1:$1048576,ROW(CC44),SUM($BZ45:CC45)+COLUMN($I$1)-1),INDEX($3:$3,1,COLUMN($I:$I)+SUM($BY45:CC45)-1)&amp;" ("&amp;INDEX($1:$1048576,ROW(CC44),SUM($BZ45:CC45)+COLUMN($I$1)-1)&amp;")"),"")</f>
        <v/>
      </c>
      <c r="CD44" s="84" t="str">
        <f ca="1">IF(NOT(ISERROR(CD45)),IF(COLUMN($I:$I)+SUM($BY45:CD45)-1&lt;COLUMN($N:$N),INDEX($1:$1048576,ROW(CD44),SUM($BZ45:CD45)+COLUMN($I$1)-1),INDEX($3:$3,1,COLUMN($I:$I)+SUM($BY45:CD45)-1)&amp;" ("&amp;INDEX($1:$1048576,ROW(CD44),SUM($BZ45:CD45)+COLUMN($I$1)-1)&amp;")"),"")</f>
        <v/>
      </c>
      <c r="CE44" s="84" t="str">
        <f ca="1">IF(NOT(ISERROR(CE45)),IF(COLUMN($I:$I)+SUM($BY45:CE45)-1&lt;COLUMN($N:$N),INDEX($1:$1048576,ROW(CE44),SUM($BZ45:CE45)+COLUMN($I$1)-1),INDEX($3:$3,1,COLUMN($I:$I)+SUM($BY45:CE45)-1)&amp;" ("&amp;INDEX($1:$1048576,ROW(CE44),SUM($BZ45:CE45)+COLUMN($I$1)-1)&amp;")"),"")</f>
        <v/>
      </c>
      <c r="CF44" s="84" t="str">
        <f ca="1">IF(NOT(ISERROR(CF45)),IF(COLUMN($I:$I)+SUM($BY45:CF45)-1&lt;COLUMN($N:$N),INDEX($1:$1048576,ROW(CF44),SUM($BZ45:CF45)+COLUMN($I$1)-1),INDEX($3:$3,1,COLUMN($I:$I)+SUM($BY45:CF45)-1)&amp;" ("&amp;INDEX($1:$1048576,ROW(CF44),SUM($BZ45:CF45)+COLUMN($I$1)-1)&amp;")"),"")</f>
        <v/>
      </c>
      <c r="CG44" s="84" t="str">
        <f ca="1">IF(NOT(ISERROR(CG45)),IF(COLUMN($I:$I)+SUM($BY45:CG45)-1&lt;COLUMN($N:$N),INDEX($1:$1048576,ROW(CG44),SUM($BZ45:CG45)+COLUMN($I$1)-1),INDEX($3:$3,1,COLUMN($I:$I)+SUM($BY45:CG45)-1)&amp;" ("&amp;INDEX($1:$1048576,ROW(CG44),SUM($BZ45:CG45)+COLUMN($I$1)-1)&amp;")"),"")</f>
        <v/>
      </c>
      <c r="CH44" s="84" t="str">
        <f ca="1">IF(NOT(ISERROR(CH45)),IF(COLUMN($I:$I)+SUM($BY45:CH45)-1&lt;COLUMN($N:$N),INDEX($1:$1048576,ROW(CH44),SUM($BZ45:CH45)+COLUMN($I$1)-1),INDEX($3:$3,1,COLUMN($I:$I)+SUM($BY45:CH45)-1)&amp;" ("&amp;INDEX($1:$1048576,ROW(CH44),SUM($BZ45:CH45)+COLUMN($I$1)-1)&amp;")"),"")</f>
        <v/>
      </c>
      <c r="CI44" s="84" t="str">
        <f ca="1">IF(NOT(ISERROR(CI45)),IF(COLUMN($I:$I)+SUM($BY45:CI45)-1&lt;COLUMN($N:$N),INDEX($1:$1048576,ROW(CI44),SUM($BZ45:CI45)+COLUMN($I$1)-1),INDEX($3:$3,1,COLUMN($I:$I)+SUM($BY45:CI45)-1)&amp;" ("&amp;INDEX($1:$1048576,ROW(CI44),SUM($BZ45:CI45)+COLUMN($I$1)-1)&amp;")"),"")</f>
        <v/>
      </c>
      <c r="CJ44" s="84" t="str">
        <f ca="1">IF(NOT(ISERROR(CJ45)),IF(COLUMN($I:$I)+SUM($BY45:CJ45)-1&lt;COLUMN($N:$N),INDEX($1:$1048576,ROW(CJ44),SUM($BZ45:CJ45)+COLUMN($I$1)-1),INDEX($3:$3,1,COLUMN($I:$I)+SUM($BY45:CJ45)-1)&amp;" ("&amp;INDEX($1:$1048576,ROW(CJ44),SUM($BZ45:CJ45)+COLUMN($I$1)-1)&amp;")"),"")</f>
        <v/>
      </c>
      <c r="CK44" s="87"/>
    </row>
    <row r="45" spans="1:89" s="88" customFormat="1" x14ac:dyDescent="0.25">
      <c r="A45" s="705"/>
      <c r="B45" s="707"/>
      <c r="C45" s="707"/>
      <c r="D45" s="709"/>
      <c r="E45" s="707"/>
      <c r="F45" s="699"/>
      <c r="G45" s="701"/>
      <c r="H45" s="701"/>
      <c r="J45" s="92" t="e">
        <f>IF(J44&gt;0,IF(AND(INDEX('General Merits'!$F:$F,MATCH($J44,'General Merits'!$F:$F,0),1)&gt;0,VLOOKUP('Merit Data'!J44,'General Merits'!$F:$Z,COLUMN('General Merits'!$N:$N),0)),TRUE,FALSE),#N/A)</f>
        <v>#N/A</v>
      </c>
      <c r="K45" s="92" t="e">
        <f>IF(K44&gt;0,IF(AND(INDEX('General Merits'!$F:$F,MATCH($J44,'General Merits'!$F:$F,0),1)&gt;0,VLOOKUP('Merit Data'!K44,'General Merits'!$F:$Z,COLUMN('General Merits'!$N:$N),0)),TRUE,FALSE),#N/A)</f>
        <v>#N/A</v>
      </c>
      <c r="L45" s="92" t="e">
        <f>IF(L44&gt;0,IF(AND(INDEX('General Merits'!$F:$F,MATCH($J44,'General Merits'!$F:$F,0),1)&gt;0,VLOOKUP('Merit Data'!L44,'General Merits'!$F:$Z,COLUMN('General Merits'!$N:$N),0)),TRUE,FALSE),#N/A)</f>
        <v>#N/A</v>
      </c>
      <c r="N45" s="89" t="e">
        <f>IF(STR&gt;=N44,TRUE)</f>
        <v>#REF!</v>
      </c>
      <c r="O45" s="89" t="e">
        <f>IF(AGI&gt;=O44,TRUE)</f>
        <v>#REF!</v>
      </c>
      <c r="P45" s="89" t="e">
        <f>IF(CON&gt;=P44,TRUE)</f>
        <v>#REF!</v>
      </c>
      <c r="Q45" s="89" t="e">
        <f>IF(INT&gt;=Q44,TRUE)</f>
        <v>#REF!</v>
      </c>
      <c r="R45" s="89" t="e">
        <f>IF(WIS&gt;=R44,TRUE)</f>
        <v>#REF!</v>
      </c>
      <c r="S45" s="89" t="e">
        <f>IF(FOC&gt;=S44,TRUE)</f>
        <v>#REF!</v>
      </c>
      <c r="T45" s="89" t="e">
        <f>IF(CHA&gt;=T44,TRUE)</f>
        <v>#REF!</v>
      </c>
      <c r="U45" s="89" t="e">
        <f>IF(INS&gt;=U44,TRUE)</f>
        <v>#REF!</v>
      </c>
      <c r="V45" s="89" t="e">
        <f>IF(CNV&gt;=V44,TRUE)</f>
        <v>#REF!</v>
      </c>
      <c r="W45" s="89"/>
      <c r="X45" s="89" t="e">
        <f>IF(Archery&gt;=X44,TRUE)</f>
        <v>#REF!</v>
      </c>
      <c r="Y45" s="89" t="e">
        <f>IF(Crossbows&gt;=Y44,TRUE)</f>
        <v>#REF!</v>
      </c>
      <c r="Z45" s="89" t="e">
        <f>IF(Daggers&gt;=Z44,TRUE)</f>
        <v>#REF!</v>
      </c>
      <c r="AA45" s="89" t="e">
        <f>IF(HandtoHandCombat&gt;=AA44,TRUE)</f>
        <v>#REF!</v>
      </c>
      <c r="AB45" s="89" t="e">
        <f>IF(HeavyArmor&gt;=AB44,TRUE)</f>
        <v>#REF!</v>
      </c>
      <c r="AC45" s="89" t="e">
        <f>IF(ImprovisedWeaponry&gt;=AC44,TRUE)</f>
        <v>#NAME?</v>
      </c>
      <c r="AD45" s="89" t="e">
        <f>IF(LightArmor&gt;=AD44,TRUE)</f>
        <v>#REF!</v>
      </c>
      <c r="AE45" s="89" t="e">
        <f>IF(Magicka&gt;=AE44,TRUE)</f>
        <v>#REF!</v>
      </c>
      <c r="AF45" s="89" t="e">
        <f>IF(OR(Archery&gt;=AF44,Crossbows&gt;=AF44,Daggers&gt;=AF44,HandtoHandCombat&gt;=AF44,ImprovisedWeaponry&gt;=AF44,Axes&gt;=AF44,Maces&gt;=AF44,Swords&gt;=AF44,Polearms&gt;=AF44,Staves&gt;=AF44,Throwing&gt;=AF44,TwoHandedAxes&gt;=AF44,TwoHandedMaces&gt;=AF44,TwoHandedSwords&gt;=AF44),TRUE)</f>
        <v>#REF!</v>
      </c>
      <c r="AG45" s="89" t="e">
        <f>IF(Axes&gt;=AG44,TRUE)</f>
        <v>#REF!</v>
      </c>
      <c r="AH45" s="89" t="e">
        <f>IF(Maces&gt;=AH44,TRUE)</f>
        <v>#REF!</v>
      </c>
      <c r="AI45" s="89" t="e">
        <f>IF(Swords&gt;=AI44,TRUE)</f>
        <v>#REF!</v>
      </c>
      <c r="AJ45" s="89" t="e">
        <f>IF(Polearms&gt;=AJ44,TRUE)</f>
        <v>#REF!</v>
      </c>
      <c r="AK45" s="89" t="e">
        <f>IF(Shields&gt;=AK44,TRUE)</f>
        <v>#REF!</v>
      </c>
      <c r="AL45" s="89" t="e">
        <f>IF(Staves&gt;=AL44,TRUE)</f>
        <v>#REF!</v>
      </c>
      <c r="AM45" s="89" t="e">
        <f>IF(Throwing&gt;=AM44,TRUE)</f>
        <v>#REF!</v>
      </c>
      <c r="AN45" s="89" t="e">
        <f>IF(TwoHandedAxes&gt;=AN44,TRUE)</f>
        <v>#NAME?</v>
      </c>
      <c r="AO45" s="89" t="e">
        <f>IF(TwoHandedMaces&gt;=AO44,TRUE)</f>
        <v>#NAME?</v>
      </c>
      <c r="AP45" s="89" t="e">
        <f>IF(TwoHandedSwords&gt;=AP44,TRUE)</f>
        <v>#NAME?</v>
      </c>
      <c r="AQ45" s="89"/>
      <c r="AR45" s="89" t="e">
        <f>IF(Acrobatics&gt;=AR44,TRUE)</f>
        <v>#REF!</v>
      </c>
      <c r="AS45" s="89" t="e">
        <f>IF(Appraisal&gt;=AS44,TRUE)</f>
        <v>#REF!</v>
      </c>
      <c r="AT45" s="89" t="e">
        <f>IF(Athletics&gt;=AT44,TRUE)</f>
        <v>#REF!</v>
      </c>
      <c r="AU45" s="89" t="e">
        <f>IF(Comprehension&gt;=AU44,TRUE)</f>
        <v>#REF!</v>
      </c>
      <c r="AV45" s="89" t="e">
        <f>IF(Expression&gt;=AV44,TRUE)</f>
        <v>#REF!</v>
      </c>
      <c r="AW45" s="89" t="e">
        <f>IF(Perception&gt;=AW44,TRUE)</f>
        <v>#REF!</v>
      </c>
      <c r="AX45" s="89" t="e">
        <f>IF(Security&gt;=AX44,TRUE)</f>
        <v>#REF!</v>
      </c>
      <c r="AY45" s="89" t="e">
        <f>IF(Stealth&gt;=AY44,TRUE)</f>
        <v>#REF!</v>
      </c>
      <c r="AZ45" s="89" t="e">
        <f>IF(Streetwise&gt;=AZ44,TRUE)</f>
        <v>#REF!</v>
      </c>
      <c r="BA45" s="89" t="e">
        <f>IF(Subterfuge&gt;=BA44,TRUE)</f>
        <v>#REF!</v>
      </c>
      <c r="BB45" s="89" t="e">
        <f>IF(Survival&gt;=BB44,TRUE)</f>
        <v>#REF!</v>
      </c>
      <c r="BC45" s="89"/>
      <c r="BD45" s="89" t="e">
        <f>IF(AncientDraconic&gt;=BD44,TRUE)</f>
        <v>#REF!</v>
      </c>
      <c r="BE45" s="89" t="e">
        <f>IF(AquaElven&gt;=BE44,TRUE)</f>
        <v>#REF!</v>
      </c>
      <c r="BF45" s="89" t="e">
        <f>IF(BasicElven&gt;=BF44,TRUE)</f>
        <v>#REF!</v>
      </c>
      <c r="BG45" s="89" t="e">
        <f>IF(Common&gt;=BG44,TRUE)</f>
        <v>#REF!</v>
      </c>
      <c r="BH45" s="89" t="e">
        <f>IF(DarkElven&gt;=BH44,TRUE)</f>
        <v>#REF!</v>
      </c>
      <c r="BI45" s="89" t="e">
        <f>IF(Davek&gt;=BI44,TRUE)</f>
        <v>#REF!</v>
      </c>
      <c r="BJ45" s="89" t="e">
        <f>IF(Draconic&gt;=BJ44,TRUE)</f>
        <v>#REF!</v>
      </c>
      <c r="BK45" s="89" t="e">
        <f>IF(Eulian&gt;=BK44,TRUE)</f>
        <v>#REF!</v>
      </c>
      <c r="BL45" s="89" t="e">
        <f>IF(Garonian&gt;=BL44,TRUE)</f>
        <v>#REF!</v>
      </c>
      <c r="BM45" s="89" t="e">
        <f>IF(Geovek&gt;=BM44,TRUE)</f>
        <v>#REF!</v>
      </c>
      <c r="BN45" s="89" t="e">
        <f>IF(Gnomish&gt;=BN44,TRUE)</f>
        <v>#REF!</v>
      </c>
      <c r="BO45" s="89" t="e">
        <f>IF(Goblin&gt;=BO44,TRUE)</f>
        <v>#REF!</v>
      </c>
      <c r="BP45" s="89" t="e">
        <f>IF(HighElven&gt;=BP44,TRUE)</f>
        <v>#REF!</v>
      </c>
      <c r="BQ45" s="89" t="e">
        <f>IF(Kotaba&gt;=BQ44,TRUE)</f>
        <v>#REF!</v>
      </c>
      <c r="BR45" s="89" t="e">
        <f>IF(LowerCommon&gt;=BR44,TRUE)</f>
        <v>#REF!</v>
      </c>
      <c r="BS45" s="89" t="e">
        <f>IF(OldElven&gt;=BS44,TRUE)</f>
        <v>#REF!</v>
      </c>
      <c r="BT45" s="89" t="e">
        <f>IF(Sylvan&gt;=BT44,TRUE)</f>
        <v>#REF!</v>
      </c>
      <c r="BU45" s="89" t="e">
        <f>IF(TrueDraconic&gt;=BU44,TRUE)</f>
        <v>#REF!</v>
      </c>
      <c r="BV45" s="89" t="e">
        <f>IF(Volken&gt;=BV44,TRUE)</f>
        <v>#REF!</v>
      </c>
      <c r="BW45" s="89" t="e">
        <f>IF(WoodElven&gt;=BW44,TRUE)</f>
        <v>#REF!</v>
      </c>
      <c r="BX45" s="703"/>
      <c r="BY45" s="89"/>
      <c r="BZ45" s="88">
        <f ca="1">MATCH(TRUE,INDEX((INDIRECT(INDEX($1:$1,ROW($1:$1),COLUMN($I:$I)+SUM($BY45:BY45))&amp;$CK45-1&amp;":"&amp;$BW$1&amp;$CK45-1)&lt;&gt;0),0),0)</f>
        <v>7</v>
      </c>
      <c r="CA45" s="88" t="e">
        <f ca="1">MATCH(TRUE,INDEX((INDIRECT(INDEX($1:$1,ROW($1:$1),COLUMN($I:$I)+SUM($BY45:BZ45))&amp;$CK45-1&amp;":"&amp;$BW$1&amp;$CK45-1)&lt;&gt;0),0),0)</f>
        <v>#N/A</v>
      </c>
      <c r="CB45" s="88" t="e">
        <f ca="1">MATCH(TRUE,INDEX((INDIRECT(INDEX($1:$1,ROW($1:$1),COLUMN($I:$I)+SUM($BY45:CA45))&amp;$CK45-1&amp;":"&amp;$BW$1&amp;$CK45-1)&lt;&gt;0),0),0)</f>
        <v>#N/A</v>
      </c>
      <c r="CC45" s="88" t="e">
        <f ca="1">MATCH(TRUE,INDEX((INDIRECT(INDEX($1:$1,ROW($1:$1),COLUMN($I:$I)+SUM($BY45:CB45))&amp;$CK45-1&amp;":"&amp;$BW$1&amp;$CK45-1)&lt;&gt;0),0),0)</f>
        <v>#N/A</v>
      </c>
      <c r="CD45" s="88" t="e">
        <f ca="1">MATCH(TRUE,INDEX((INDIRECT(INDEX($1:$1,ROW($1:$1),COLUMN($I:$I)+SUM($BY45:CC45))&amp;$CK45-1&amp;":"&amp;$BW$1&amp;$CK45-1)&lt;&gt;0),0),0)</f>
        <v>#N/A</v>
      </c>
      <c r="CE45" s="88" t="e">
        <f ca="1">MATCH(TRUE,INDEX((INDIRECT(INDEX($1:$1,ROW($1:$1),COLUMN($I:$I)+SUM($BY45:CD45))&amp;$CK45-1&amp;":"&amp;$BW$1&amp;$CK45-1)&lt;&gt;0),0),0)</f>
        <v>#N/A</v>
      </c>
      <c r="CF45" s="88" t="e">
        <f ca="1">MATCH(TRUE,INDEX((INDIRECT(INDEX($1:$1,ROW($1:$1),COLUMN($I:$I)+SUM($BY45:CE45))&amp;$CK45-1&amp;":"&amp;$BW$1&amp;$CK45-1)&lt;&gt;0),0),0)</f>
        <v>#N/A</v>
      </c>
      <c r="CG45" s="88" t="e">
        <f ca="1">MATCH(TRUE,INDEX((INDIRECT(INDEX($1:$1,ROW($1:$1),COLUMN($I:$I)+SUM($BY45:CF45))&amp;$CK45-1&amp;":"&amp;$BW$1&amp;$CK45-1)&lt;&gt;0),0),0)</f>
        <v>#N/A</v>
      </c>
      <c r="CH45" s="88" t="e">
        <f ca="1">MATCH(TRUE,INDEX((INDIRECT(INDEX($1:$1,ROW($1:$1),COLUMN($I:$I)+SUM($BY45:CG45))&amp;$CK45-1&amp;":"&amp;$BW$1&amp;$CK45-1)&lt;&gt;0),0),0)</f>
        <v>#N/A</v>
      </c>
      <c r="CI45" s="88" t="e">
        <f ca="1">MATCH(TRUE,INDEX((INDIRECT(INDEX($1:$1,ROW($1:$1),COLUMN($I:$I)+SUM($BY45:CH45))&amp;$CK45-1&amp;":"&amp;$BW$1&amp;$CK45-1)&lt;&gt;0),0),0)</f>
        <v>#N/A</v>
      </c>
      <c r="CJ45" s="88" t="e">
        <f ca="1">MATCH(TRUE,INDEX((INDIRECT(INDEX($1:$1,ROW($1:$1),COLUMN($I:$I)+SUM($BY45:CI45))&amp;$CK45-1&amp;":"&amp;$BW$1&amp;$CK45-1)&lt;&gt;0),0),0)</f>
        <v>#N/A</v>
      </c>
      <c r="CK45" s="90">
        <f>ROW(CK45)</f>
        <v>45</v>
      </c>
    </row>
    <row r="46" spans="1:89" s="84" customFormat="1" ht="15" customHeight="1" x14ac:dyDescent="0.25">
      <c r="A46" s="704" t="s">
        <v>479</v>
      </c>
      <c r="B46" s="706" t="b">
        <f>ISERROR(MATCH(FALSE,$J47:$BW47,0))</f>
        <v>1</v>
      </c>
      <c r="C46" s="706" t="b">
        <f>IF(AND(INDEX('General Merits'!$F:$F,MATCH(A46,'General Merits'!$F:$F,0))&gt;0,VLOOKUP(A46,'General Merits'!$F:$Q,10,0)),TRUE,FALSE)</f>
        <v>0</v>
      </c>
      <c r="D46" s="708">
        <v>1</v>
      </c>
      <c r="E46" s="706">
        <f>D46*100</f>
        <v>100</v>
      </c>
      <c r="F46" s="698" t="s">
        <v>480</v>
      </c>
      <c r="G46" s="700"/>
      <c r="H46" s="700"/>
      <c r="J46" s="235"/>
      <c r="K46" s="235"/>
      <c r="L46" s="235"/>
      <c r="N46" s="85"/>
      <c r="O46" s="85">
        <v>18</v>
      </c>
      <c r="P46" s="85"/>
      <c r="Q46" s="85"/>
      <c r="R46" s="85"/>
      <c r="S46" s="85"/>
      <c r="T46" s="85"/>
      <c r="U46" s="85"/>
      <c r="V46" s="85"/>
      <c r="W46" s="86"/>
      <c r="X46" s="85"/>
      <c r="Y46" s="85"/>
      <c r="Z46" s="85"/>
      <c r="AA46" s="85"/>
      <c r="AB46" s="85"/>
      <c r="AC46" s="85"/>
      <c r="AD46" s="85"/>
      <c r="AE46" s="85"/>
      <c r="AF46" s="236"/>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702" t="str">
        <f ca="1">IF(BZ46&lt;&gt;"",BZ46,"")&amp;IF(CA46&lt;&gt;"",", "&amp;CA46,"")&amp;IF(CB46&lt;&gt;"",", "&amp;CB46,"")&amp;IF(CC46&lt;&gt;"",", "&amp;CC46,"")&amp;IF(CD46&lt;&gt;"",", "&amp;CD46,"")&amp;IF(CE46&lt;&gt;"",", "&amp;CE46,"")&amp;IF(CF46&lt;&gt;"",", "&amp;CF46,"")&amp;IF(CG46&lt;&gt;"",", "&amp;CG46,"")&amp;IF(CH46&lt;&gt;"",", "&amp;CH46,"")&amp;IF(CI46&lt;&gt;"",", "&amp;CI46,"")</f>
        <v>Agility (18)</v>
      </c>
      <c r="BY46" s="85"/>
      <c r="BZ46" s="84" t="str">
        <f ca="1">IF(NOT(ISERROR(BZ47)),IF(COLUMN($I:$I)+SUM($BY47:BZ47)-1&lt;COLUMN($N:$N),INDEX($1:$1048576,ROW(BZ46),SUM($BZ47:BZ47)+COLUMN($I$1)-1),INDEX($3:$3,1,COLUMN($I:$I)+SUM($BY47:BZ47)-1)&amp;" ("&amp;INDEX($1:$1048576,ROW(BZ46),SUM($BZ47:BZ47)+COLUMN($I$1)-1)&amp;")"),"")</f>
        <v>Agility (18)</v>
      </c>
      <c r="CA46" s="84" t="str">
        <f ca="1">IF(NOT(ISERROR(CA47)),IF(COLUMN($I:$I)+SUM($BY47:CA47)-1&lt;COLUMN($N:$N),INDEX($1:$1048576,ROW(CA46),SUM($BZ47:CA47)+COLUMN($I$1)-1),INDEX($3:$3,1,COLUMN($I:$I)+SUM($BY47:CA47)-1)&amp;" ("&amp;INDEX($1:$1048576,ROW(CA46),SUM($BZ47:CA47)+COLUMN($I$1)-1)&amp;")"),"")</f>
        <v/>
      </c>
      <c r="CB46" s="84" t="str">
        <f ca="1">IF(NOT(ISERROR(CB47)),IF(COLUMN($I:$I)+SUM($BY47:CB47)-1&lt;COLUMN($N:$N),INDEX($1:$1048576,ROW(CB46),SUM($BZ47:CB47)+COLUMN($I$1)-1),INDEX($3:$3,1,COLUMN($I:$I)+SUM($BY47:CB47)-1)&amp;" ("&amp;INDEX($1:$1048576,ROW(CB46),SUM($BZ47:CB47)+COLUMN($I$1)-1)&amp;")"),"")</f>
        <v/>
      </c>
      <c r="CC46" s="84" t="str">
        <f ca="1">IF(NOT(ISERROR(CC47)),IF(COLUMN($I:$I)+SUM($BY47:CC47)-1&lt;COLUMN($N:$N),INDEX($1:$1048576,ROW(CC46),SUM($BZ47:CC47)+COLUMN($I$1)-1),INDEX($3:$3,1,COLUMN($I:$I)+SUM($BY47:CC47)-1)&amp;" ("&amp;INDEX($1:$1048576,ROW(CC46),SUM($BZ47:CC47)+COLUMN($I$1)-1)&amp;")"),"")</f>
        <v/>
      </c>
      <c r="CD46" s="84" t="str">
        <f ca="1">IF(NOT(ISERROR(CD47)),IF(COLUMN($I:$I)+SUM($BY47:CD47)-1&lt;COLUMN($N:$N),INDEX($1:$1048576,ROW(CD46),SUM($BZ47:CD47)+COLUMN($I$1)-1),INDEX($3:$3,1,COLUMN($I:$I)+SUM($BY47:CD47)-1)&amp;" ("&amp;INDEX($1:$1048576,ROW(CD46),SUM($BZ47:CD47)+COLUMN($I$1)-1)&amp;")"),"")</f>
        <v/>
      </c>
      <c r="CE46" s="84" t="str">
        <f ca="1">IF(NOT(ISERROR(CE47)),IF(COLUMN($I:$I)+SUM($BY47:CE47)-1&lt;COLUMN($N:$N),INDEX($1:$1048576,ROW(CE46),SUM($BZ47:CE47)+COLUMN($I$1)-1),INDEX($3:$3,1,COLUMN($I:$I)+SUM($BY47:CE47)-1)&amp;" ("&amp;INDEX($1:$1048576,ROW(CE46),SUM($BZ47:CE47)+COLUMN($I$1)-1)&amp;")"),"")</f>
        <v/>
      </c>
      <c r="CF46" s="84" t="str">
        <f ca="1">IF(NOT(ISERROR(CF47)),IF(COLUMN($I:$I)+SUM($BY47:CF47)-1&lt;COLUMN($N:$N),INDEX($1:$1048576,ROW(CF46),SUM($BZ47:CF47)+COLUMN($I$1)-1),INDEX($3:$3,1,COLUMN($I:$I)+SUM($BY47:CF47)-1)&amp;" ("&amp;INDEX($1:$1048576,ROW(CF46),SUM($BZ47:CF47)+COLUMN($I$1)-1)&amp;")"),"")</f>
        <v/>
      </c>
      <c r="CG46" s="84" t="str">
        <f ca="1">IF(NOT(ISERROR(CG47)),IF(COLUMN($I:$I)+SUM($BY47:CG47)-1&lt;COLUMN($N:$N),INDEX($1:$1048576,ROW(CG46),SUM($BZ47:CG47)+COLUMN($I$1)-1),INDEX($3:$3,1,COLUMN($I:$I)+SUM($BY47:CG47)-1)&amp;" ("&amp;INDEX($1:$1048576,ROW(CG46),SUM($BZ47:CG47)+COLUMN($I$1)-1)&amp;")"),"")</f>
        <v/>
      </c>
      <c r="CH46" s="84" t="str">
        <f ca="1">IF(NOT(ISERROR(CH47)),IF(COLUMN($I:$I)+SUM($BY47:CH47)-1&lt;COLUMN($N:$N),INDEX($1:$1048576,ROW(CH46),SUM($BZ47:CH47)+COLUMN($I$1)-1),INDEX($3:$3,1,COLUMN($I:$I)+SUM($BY47:CH47)-1)&amp;" ("&amp;INDEX($1:$1048576,ROW(CH46),SUM($BZ47:CH47)+COLUMN($I$1)-1)&amp;")"),"")</f>
        <v/>
      </c>
      <c r="CI46" s="84" t="str">
        <f ca="1">IF(NOT(ISERROR(CI47)),IF(COLUMN($I:$I)+SUM($BY47:CI47)-1&lt;COLUMN($N:$N),INDEX($1:$1048576,ROW(CI46),SUM($BZ47:CI47)+COLUMN($I$1)-1),INDEX($3:$3,1,COLUMN($I:$I)+SUM($BY47:CI47)-1)&amp;" ("&amp;INDEX($1:$1048576,ROW(CI46),SUM($BZ47:CI47)+COLUMN($I$1)-1)&amp;")"),"")</f>
        <v/>
      </c>
      <c r="CJ46" s="84" t="str">
        <f ca="1">IF(NOT(ISERROR(CJ47)),IF(COLUMN($I:$I)+SUM($BY47:CJ47)-1&lt;COLUMN($N:$N),INDEX($1:$1048576,ROW(CJ46),SUM($BZ47:CJ47)+COLUMN($I$1)-1),INDEX($3:$3,1,COLUMN($I:$I)+SUM($BY47:CJ47)-1)&amp;" ("&amp;INDEX($1:$1048576,ROW(CJ46),SUM($BZ47:CJ47)+COLUMN($I$1)-1)&amp;")"),"")</f>
        <v/>
      </c>
      <c r="CK46" s="87"/>
    </row>
    <row r="47" spans="1:89" s="88" customFormat="1" x14ac:dyDescent="0.25">
      <c r="A47" s="705"/>
      <c r="B47" s="707"/>
      <c r="C47" s="707"/>
      <c r="D47" s="709"/>
      <c r="E47" s="707"/>
      <c r="F47" s="699"/>
      <c r="G47" s="701"/>
      <c r="H47" s="701"/>
      <c r="J47" s="92" t="e">
        <f>IF(J46&gt;0,IF(AND(INDEX('General Merits'!$F:$F,MATCH($J46,'General Merits'!$F:$F,0),1)&gt;0,VLOOKUP('Merit Data'!J46,'General Merits'!$F:$Z,COLUMN('General Merits'!$N:$N),0)),TRUE,FALSE),#N/A)</f>
        <v>#N/A</v>
      </c>
      <c r="K47" s="92" t="e">
        <f>IF(K46&gt;0,IF(AND(INDEX('General Merits'!$F:$F,MATCH($J46,'General Merits'!$F:$F,0),1)&gt;0,VLOOKUP('Merit Data'!K46,'General Merits'!$F:$Z,COLUMN('General Merits'!$N:$N),0)),TRUE,FALSE),#N/A)</f>
        <v>#N/A</v>
      </c>
      <c r="L47" s="92" t="e">
        <f>IF(L46&gt;0,IF(AND(INDEX('General Merits'!$F:$F,MATCH($J46,'General Merits'!$F:$F,0),1)&gt;0,VLOOKUP('Merit Data'!L46,'General Merits'!$F:$Z,COLUMN('General Merits'!$N:$N),0)),TRUE,FALSE),#N/A)</f>
        <v>#N/A</v>
      </c>
      <c r="N47" s="89" t="e">
        <f>IF(STR&gt;=N46,TRUE)</f>
        <v>#REF!</v>
      </c>
      <c r="O47" s="89" t="e">
        <f>IF(AGI&gt;=O46,TRUE)</f>
        <v>#REF!</v>
      </c>
      <c r="P47" s="89" t="e">
        <f>IF(CON&gt;=P46,TRUE)</f>
        <v>#REF!</v>
      </c>
      <c r="Q47" s="89" t="e">
        <f>IF(INT&gt;=Q46,TRUE)</f>
        <v>#REF!</v>
      </c>
      <c r="R47" s="89" t="e">
        <f>IF(WIS&gt;=R46,TRUE)</f>
        <v>#REF!</v>
      </c>
      <c r="S47" s="89" t="e">
        <f>IF(FOC&gt;=S46,TRUE)</f>
        <v>#REF!</v>
      </c>
      <c r="T47" s="89" t="e">
        <f>IF(CHA&gt;=T46,TRUE)</f>
        <v>#REF!</v>
      </c>
      <c r="U47" s="89" t="e">
        <f>IF(INS&gt;=U46,TRUE)</f>
        <v>#REF!</v>
      </c>
      <c r="V47" s="89" t="e">
        <f>IF(CNV&gt;=V46,TRUE)</f>
        <v>#REF!</v>
      </c>
      <c r="W47" s="89"/>
      <c r="X47" s="89" t="e">
        <f>IF(Archery&gt;=X46,TRUE)</f>
        <v>#REF!</v>
      </c>
      <c r="Y47" s="89" t="e">
        <f>IF(Crossbows&gt;=Y46,TRUE)</f>
        <v>#REF!</v>
      </c>
      <c r="Z47" s="89" t="e">
        <f>IF(Daggers&gt;=Z46,TRUE)</f>
        <v>#REF!</v>
      </c>
      <c r="AA47" s="89" t="e">
        <f>IF(HandtoHandCombat&gt;=AA46,TRUE)</f>
        <v>#REF!</v>
      </c>
      <c r="AB47" s="89" t="e">
        <f>IF(HeavyArmor&gt;=AB46,TRUE)</f>
        <v>#REF!</v>
      </c>
      <c r="AC47" s="89" t="e">
        <f>IF(ImprovisedWeaponry&gt;=AC46,TRUE)</f>
        <v>#NAME?</v>
      </c>
      <c r="AD47" s="89" t="e">
        <f>IF(LightArmor&gt;=AD46,TRUE)</f>
        <v>#REF!</v>
      </c>
      <c r="AE47" s="89" t="e">
        <f>IF(Magicka&gt;=AE46,TRUE)</f>
        <v>#REF!</v>
      </c>
      <c r="AF47" s="89" t="e">
        <f>IF(OR(Archery&gt;=AF46,Crossbows&gt;=AF46,Daggers&gt;=AF46,HandtoHandCombat&gt;=AF46,ImprovisedWeaponry&gt;=AF46,Axes&gt;=AF46,Maces&gt;=AF46,Swords&gt;=AF46,Polearms&gt;=AF46,Staves&gt;=AF46,Throwing&gt;=AF46,TwoHandedAxes&gt;=AF46,TwoHandedMaces&gt;=AF46,TwoHandedSwords&gt;=AF46),TRUE)</f>
        <v>#REF!</v>
      </c>
      <c r="AG47" s="89" t="e">
        <f>IF(Axes&gt;=AG46,TRUE)</f>
        <v>#REF!</v>
      </c>
      <c r="AH47" s="89" t="e">
        <f>IF(Maces&gt;=AH46,TRUE)</f>
        <v>#REF!</v>
      </c>
      <c r="AI47" s="89" t="e">
        <f>IF(Swords&gt;=AI46,TRUE)</f>
        <v>#REF!</v>
      </c>
      <c r="AJ47" s="89" t="e">
        <f>IF(Polearms&gt;=AJ46,TRUE)</f>
        <v>#REF!</v>
      </c>
      <c r="AK47" s="89" t="e">
        <f>IF(Shields&gt;=AK46,TRUE)</f>
        <v>#REF!</v>
      </c>
      <c r="AL47" s="89" t="e">
        <f>IF(Staves&gt;=AL46,TRUE)</f>
        <v>#REF!</v>
      </c>
      <c r="AM47" s="89" t="e">
        <f>IF(Throwing&gt;=AM46,TRUE)</f>
        <v>#REF!</v>
      </c>
      <c r="AN47" s="89" t="e">
        <f>IF(TwoHandedAxes&gt;=AN46,TRUE)</f>
        <v>#NAME?</v>
      </c>
      <c r="AO47" s="89" t="e">
        <f>IF(TwoHandedMaces&gt;=AO46,TRUE)</f>
        <v>#NAME?</v>
      </c>
      <c r="AP47" s="89" t="e">
        <f>IF(TwoHandedSwords&gt;=AP46,TRUE)</f>
        <v>#NAME?</v>
      </c>
      <c r="AQ47" s="89"/>
      <c r="AR47" s="89" t="e">
        <f>IF(Acrobatics&gt;=AR46,TRUE)</f>
        <v>#REF!</v>
      </c>
      <c r="AS47" s="89" t="e">
        <f>IF(Appraisal&gt;=AS46,TRUE)</f>
        <v>#REF!</v>
      </c>
      <c r="AT47" s="89" t="e">
        <f>IF(Athletics&gt;=AT46,TRUE)</f>
        <v>#REF!</v>
      </c>
      <c r="AU47" s="89" t="e">
        <f>IF(Comprehension&gt;=AU46,TRUE)</f>
        <v>#REF!</v>
      </c>
      <c r="AV47" s="89" t="e">
        <f>IF(Expression&gt;=AV46,TRUE)</f>
        <v>#REF!</v>
      </c>
      <c r="AW47" s="89" t="e">
        <f>IF(Perception&gt;=AW46,TRUE)</f>
        <v>#REF!</v>
      </c>
      <c r="AX47" s="89" t="e">
        <f>IF(Security&gt;=AX46,TRUE)</f>
        <v>#REF!</v>
      </c>
      <c r="AY47" s="89" t="e">
        <f>IF(Stealth&gt;=AY46,TRUE)</f>
        <v>#REF!</v>
      </c>
      <c r="AZ47" s="89" t="e">
        <f>IF(Streetwise&gt;=AZ46,TRUE)</f>
        <v>#REF!</v>
      </c>
      <c r="BA47" s="89" t="e">
        <f>IF(Subterfuge&gt;=BA46,TRUE)</f>
        <v>#REF!</v>
      </c>
      <c r="BB47" s="89" t="e">
        <f>IF(Survival&gt;=BB46,TRUE)</f>
        <v>#REF!</v>
      </c>
      <c r="BC47" s="89"/>
      <c r="BD47" s="89" t="e">
        <f>IF(AncientDraconic&gt;=BD46,TRUE)</f>
        <v>#REF!</v>
      </c>
      <c r="BE47" s="89" t="e">
        <f>IF(AquaElven&gt;=BE46,TRUE)</f>
        <v>#REF!</v>
      </c>
      <c r="BF47" s="89" t="e">
        <f>IF(BasicElven&gt;=BF46,TRUE)</f>
        <v>#REF!</v>
      </c>
      <c r="BG47" s="89" t="e">
        <f>IF(Common&gt;=BG46,TRUE)</f>
        <v>#REF!</v>
      </c>
      <c r="BH47" s="89" t="e">
        <f>IF(DarkElven&gt;=BH46,TRUE)</f>
        <v>#REF!</v>
      </c>
      <c r="BI47" s="89" t="e">
        <f>IF(Davek&gt;=BI46,TRUE)</f>
        <v>#REF!</v>
      </c>
      <c r="BJ47" s="89" t="e">
        <f>IF(Draconic&gt;=BJ46,TRUE)</f>
        <v>#REF!</v>
      </c>
      <c r="BK47" s="89" t="e">
        <f>IF(Eulian&gt;=BK46,TRUE)</f>
        <v>#REF!</v>
      </c>
      <c r="BL47" s="89" t="e">
        <f>IF(Garonian&gt;=BL46,TRUE)</f>
        <v>#REF!</v>
      </c>
      <c r="BM47" s="89" t="e">
        <f>IF(Geovek&gt;=BM46,TRUE)</f>
        <v>#REF!</v>
      </c>
      <c r="BN47" s="89" t="e">
        <f>IF(Gnomish&gt;=BN46,TRUE)</f>
        <v>#REF!</v>
      </c>
      <c r="BO47" s="89" t="e">
        <f>IF(Goblin&gt;=BO46,TRUE)</f>
        <v>#REF!</v>
      </c>
      <c r="BP47" s="89" t="e">
        <f>IF(HighElven&gt;=BP46,TRUE)</f>
        <v>#REF!</v>
      </c>
      <c r="BQ47" s="89" t="e">
        <f>IF(Kotaba&gt;=BQ46,TRUE)</f>
        <v>#REF!</v>
      </c>
      <c r="BR47" s="89" t="e">
        <f>IF(LowerCommon&gt;=BR46,TRUE)</f>
        <v>#REF!</v>
      </c>
      <c r="BS47" s="89" t="e">
        <f>IF(OldElven&gt;=BS46,TRUE)</f>
        <v>#REF!</v>
      </c>
      <c r="BT47" s="89" t="e">
        <f>IF(Sylvan&gt;=BT46,TRUE)</f>
        <v>#REF!</v>
      </c>
      <c r="BU47" s="89" t="e">
        <f>IF(TrueDraconic&gt;=BU46,TRUE)</f>
        <v>#REF!</v>
      </c>
      <c r="BV47" s="89" t="e">
        <f>IF(Volken&gt;=BV46,TRUE)</f>
        <v>#REF!</v>
      </c>
      <c r="BW47" s="89" t="e">
        <f>IF(WoodElven&gt;=BW46,TRUE)</f>
        <v>#REF!</v>
      </c>
      <c r="BX47" s="703"/>
      <c r="BY47" s="89"/>
      <c r="BZ47" s="88">
        <f ca="1">MATCH(TRUE,INDEX((INDIRECT(INDEX($1:$1,ROW($1:$1),COLUMN($I:$I)+SUM($BY47:BY47))&amp;$CK47-1&amp;":"&amp;$BW$1&amp;$CK47-1)&lt;&gt;0),0),0)</f>
        <v>7</v>
      </c>
      <c r="CA47" s="88" t="e">
        <f ca="1">MATCH(TRUE,INDEX((INDIRECT(INDEX($1:$1,ROW($1:$1),COLUMN($I:$I)+SUM($BY47:BZ47))&amp;$CK47-1&amp;":"&amp;$BW$1&amp;$CK47-1)&lt;&gt;0),0),0)</f>
        <v>#N/A</v>
      </c>
      <c r="CB47" s="88" t="e">
        <f ca="1">MATCH(TRUE,INDEX((INDIRECT(INDEX($1:$1,ROW($1:$1),COLUMN($I:$I)+SUM($BY47:CA47))&amp;$CK47-1&amp;":"&amp;$BW$1&amp;$CK47-1)&lt;&gt;0),0),0)</f>
        <v>#N/A</v>
      </c>
      <c r="CC47" s="88" t="e">
        <f ca="1">MATCH(TRUE,INDEX((INDIRECT(INDEX($1:$1,ROW($1:$1),COLUMN($I:$I)+SUM($BY47:CB47))&amp;$CK47-1&amp;":"&amp;$BW$1&amp;$CK47-1)&lt;&gt;0),0),0)</f>
        <v>#N/A</v>
      </c>
      <c r="CD47" s="88" t="e">
        <f ca="1">MATCH(TRUE,INDEX((INDIRECT(INDEX($1:$1,ROW($1:$1),COLUMN($I:$I)+SUM($BY47:CC47))&amp;$CK47-1&amp;":"&amp;$BW$1&amp;$CK47-1)&lt;&gt;0),0),0)</f>
        <v>#N/A</v>
      </c>
      <c r="CE47" s="88" t="e">
        <f ca="1">MATCH(TRUE,INDEX((INDIRECT(INDEX($1:$1,ROW($1:$1),COLUMN($I:$I)+SUM($BY47:CD47))&amp;$CK47-1&amp;":"&amp;$BW$1&amp;$CK47-1)&lt;&gt;0),0),0)</f>
        <v>#N/A</v>
      </c>
      <c r="CF47" s="88" t="e">
        <f ca="1">MATCH(TRUE,INDEX((INDIRECT(INDEX($1:$1,ROW($1:$1),COLUMN($I:$I)+SUM($BY47:CE47))&amp;$CK47-1&amp;":"&amp;$BW$1&amp;$CK47-1)&lt;&gt;0),0),0)</f>
        <v>#N/A</v>
      </c>
      <c r="CG47" s="88" t="e">
        <f ca="1">MATCH(TRUE,INDEX((INDIRECT(INDEX($1:$1,ROW($1:$1),COLUMN($I:$I)+SUM($BY47:CF47))&amp;$CK47-1&amp;":"&amp;$BW$1&amp;$CK47-1)&lt;&gt;0),0),0)</f>
        <v>#N/A</v>
      </c>
      <c r="CH47" s="88" t="e">
        <f ca="1">MATCH(TRUE,INDEX((INDIRECT(INDEX($1:$1,ROW($1:$1),COLUMN($I:$I)+SUM($BY47:CG47))&amp;$CK47-1&amp;":"&amp;$BW$1&amp;$CK47-1)&lt;&gt;0),0),0)</f>
        <v>#N/A</v>
      </c>
      <c r="CI47" s="88" t="e">
        <f ca="1">MATCH(TRUE,INDEX((INDIRECT(INDEX($1:$1,ROW($1:$1),COLUMN($I:$I)+SUM($BY47:CH47))&amp;$CK47-1&amp;":"&amp;$BW$1&amp;$CK47-1)&lt;&gt;0),0),0)</f>
        <v>#N/A</v>
      </c>
      <c r="CJ47" s="88" t="e">
        <f ca="1">MATCH(TRUE,INDEX((INDIRECT(INDEX($1:$1,ROW($1:$1),COLUMN($I:$I)+SUM($BY47:CI47))&amp;$CK47-1&amp;":"&amp;$BW$1&amp;$CK47-1)&lt;&gt;0),0),0)</f>
        <v>#N/A</v>
      </c>
      <c r="CK47" s="90">
        <f>ROW(CK47)</f>
        <v>47</v>
      </c>
    </row>
    <row r="48" spans="1:89" s="84" customFormat="1" ht="15" customHeight="1" x14ac:dyDescent="0.25">
      <c r="A48" s="704" t="s">
        <v>481</v>
      </c>
      <c r="B48" s="706" t="b">
        <f>ISERROR(MATCH(FALSE,$J49:$BW49,0))</f>
        <v>0</v>
      </c>
      <c r="C48" s="706" t="b">
        <f>IF(AND(INDEX('General Merits'!$F:$F,MATCH(A48,'General Merits'!$F:$F,0))&gt;0,VLOOKUP(A48,'General Merits'!$F:$Q,10,0)),TRUE,FALSE)</f>
        <v>0</v>
      </c>
      <c r="D48" s="708">
        <v>2</v>
      </c>
      <c r="E48" s="706">
        <f>D48*100</f>
        <v>200</v>
      </c>
      <c r="F48" s="698" t="s">
        <v>484</v>
      </c>
      <c r="G48" s="700"/>
      <c r="H48" s="700"/>
      <c r="J48" s="235" t="s">
        <v>477</v>
      </c>
      <c r="K48" s="235" t="s">
        <v>479</v>
      </c>
      <c r="L48" s="235"/>
      <c r="N48" s="85"/>
      <c r="O48" s="85"/>
      <c r="P48" s="85"/>
      <c r="Q48" s="85"/>
      <c r="R48" s="85"/>
      <c r="S48" s="85"/>
      <c r="T48" s="85"/>
      <c r="U48" s="85"/>
      <c r="V48" s="85"/>
      <c r="W48" s="86"/>
      <c r="X48" s="85"/>
      <c r="Y48" s="85"/>
      <c r="Z48" s="85"/>
      <c r="AA48" s="85"/>
      <c r="AB48" s="85"/>
      <c r="AC48" s="85"/>
      <c r="AD48" s="85"/>
      <c r="AE48" s="85"/>
      <c r="AF48" s="236"/>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702" t="str">
        <f ca="1">IF(BZ48&lt;&gt;"",BZ48,"")&amp;IF(CA48&lt;&gt;"",", "&amp;CA48,"")&amp;IF(CB48&lt;&gt;"",", "&amp;CB48,"")&amp;IF(CC48&lt;&gt;"",", "&amp;CC48,"")&amp;IF(CD48&lt;&gt;"",", "&amp;CD48,"")&amp;IF(CE48&lt;&gt;"",", "&amp;CE48,"")&amp;IF(CF48&lt;&gt;"",", "&amp;CF48,"")&amp;IF(CG48&lt;&gt;"",", "&amp;CG48,"")&amp;IF(CH48&lt;&gt;"",", "&amp;CH48,"")&amp;IF(CI48&lt;&gt;"",", "&amp;CI48,"")</f>
        <v>Dual Wield, Off-Hand Accuracy</v>
      </c>
      <c r="BY48" s="85"/>
      <c r="BZ48" s="84" t="str">
        <f ca="1">IF(NOT(ISERROR(BZ49)),IF(COLUMN($I:$I)+SUM($BY49:BZ49)-1&lt;COLUMN($N:$N),INDEX($1:$1048576,ROW(BZ48),SUM($BZ49:BZ49)+COLUMN($I$1)-1),INDEX($3:$3,1,COLUMN($I:$I)+SUM($BY49:BZ49)-1)&amp;" ("&amp;INDEX($1:$1048576,ROW(BZ48),SUM($BZ49:BZ49)+COLUMN($I$1)-1)&amp;")"),"")</f>
        <v>Dual Wield</v>
      </c>
      <c r="CA48" s="84" t="str">
        <f ca="1">IF(NOT(ISERROR(CA49)),IF(COLUMN($I:$I)+SUM($BY49:CA49)-1&lt;COLUMN($N:$N),INDEX($1:$1048576,ROW(CA48),SUM($BZ49:CA49)+COLUMN($I$1)-1),INDEX($3:$3,1,COLUMN($I:$I)+SUM($BY49:CA49)-1)&amp;" ("&amp;INDEX($1:$1048576,ROW(CA48),SUM($BZ49:CA49)+COLUMN($I$1)-1)&amp;")"),"")</f>
        <v>Off-Hand Accuracy</v>
      </c>
      <c r="CB48" s="84" t="str">
        <f ca="1">IF(NOT(ISERROR(CB49)),IF(COLUMN($I:$I)+SUM($BY49:CB49)-1&lt;COLUMN($N:$N),INDEX($1:$1048576,ROW(CB48),SUM($BZ49:CB49)+COLUMN($I$1)-1),INDEX($3:$3,1,COLUMN($I:$I)+SUM($BY49:CB49)-1)&amp;" ("&amp;INDEX($1:$1048576,ROW(CB48),SUM($BZ49:CB49)+COLUMN($I$1)-1)&amp;")"),"")</f>
        <v/>
      </c>
      <c r="CC48" s="84" t="str">
        <f ca="1">IF(NOT(ISERROR(CC49)),IF(COLUMN($I:$I)+SUM($BY49:CC49)-1&lt;COLUMN($N:$N),INDEX($1:$1048576,ROW(CC48),SUM($BZ49:CC49)+COLUMN($I$1)-1),INDEX($3:$3,1,COLUMN($I:$I)+SUM($BY49:CC49)-1)&amp;" ("&amp;INDEX($1:$1048576,ROW(CC48),SUM($BZ49:CC49)+COLUMN($I$1)-1)&amp;")"),"")</f>
        <v/>
      </c>
      <c r="CD48" s="84" t="str">
        <f ca="1">IF(NOT(ISERROR(CD49)),IF(COLUMN($I:$I)+SUM($BY49:CD49)-1&lt;COLUMN($N:$N),INDEX($1:$1048576,ROW(CD48),SUM($BZ49:CD49)+COLUMN($I$1)-1),INDEX($3:$3,1,COLUMN($I:$I)+SUM($BY49:CD49)-1)&amp;" ("&amp;INDEX($1:$1048576,ROW(CD48),SUM($BZ49:CD49)+COLUMN($I$1)-1)&amp;")"),"")</f>
        <v/>
      </c>
      <c r="CE48" s="84" t="str">
        <f ca="1">IF(NOT(ISERROR(CE49)),IF(COLUMN($I:$I)+SUM($BY49:CE49)-1&lt;COLUMN($N:$N),INDEX($1:$1048576,ROW(CE48),SUM($BZ49:CE49)+COLUMN($I$1)-1),INDEX($3:$3,1,COLUMN($I:$I)+SUM($BY49:CE49)-1)&amp;" ("&amp;INDEX($1:$1048576,ROW(CE48),SUM($BZ49:CE49)+COLUMN($I$1)-1)&amp;")"),"")</f>
        <v/>
      </c>
      <c r="CF48" s="84" t="str">
        <f ca="1">IF(NOT(ISERROR(CF49)),IF(COLUMN($I:$I)+SUM($BY49:CF49)-1&lt;COLUMN($N:$N),INDEX($1:$1048576,ROW(CF48),SUM($BZ49:CF49)+COLUMN($I$1)-1),INDEX($3:$3,1,COLUMN($I:$I)+SUM($BY49:CF49)-1)&amp;" ("&amp;INDEX($1:$1048576,ROW(CF48),SUM($BZ49:CF49)+COLUMN($I$1)-1)&amp;")"),"")</f>
        <v/>
      </c>
      <c r="CG48" s="84" t="str">
        <f ca="1">IF(NOT(ISERROR(CG49)),IF(COLUMN($I:$I)+SUM($BY49:CG49)-1&lt;COLUMN($N:$N),INDEX($1:$1048576,ROW(CG48),SUM($BZ49:CG49)+COLUMN($I$1)-1),INDEX($3:$3,1,COLUMN($I:$I)+SUM($BY49:CG49)-1)&amp;" ("&amp;INDEX($1:$1048576,ROW(CG48),SUM($BZ49:CG49)+COLUMN($I$1)-1)&amp;")"),"")</f>
        <v/>
      </c>
      <c r="CH48" s="84" t="str">
        <f ca="1">IF(NOT(ISERROR(CH49)),IF(COLUMN($I:$I)+SUM($BY49:CH49)-1&lt;COLUMN($N:$N),INDEX($1:$1048576,ROW(CH48),SUM($BZ49:CH49)+COLUMN($I$1)-1),INDEX($3:$3,1,COLUMN($I:$I)+SUM($BY49:CH49)-1)&amp;" ("&amp;INDEX($1:$1048576,ROW(CH48),SUM($BZ49:CH49)+COLUMN($I$1)-1)&amp;")"),"")</f>
        <v/>
      </c>
      <c r="CI48" s="84" t="str">
        <f ca="1">IF(NOT(ISERROR(CI49)),IF(COLUMN($I:$I)+SUM($BY49:CI49)-1&lt;COLUMN($N:$N),INDEX($1:$1048576,ROW(CI48),SUM($BZ49:CI49)+COLUMN($I$1)-1),INDEX($3:$3,1,COLUMN($I:$I)+SUM($BY49:CI49)-1)&amp;" ("&amp;INDEX($1:$1048576,ROW(CI48),SUM($BZ49:CI49)+COLUMN($I$1)-1)&amp;")"),"")</f>
        <v/>
      </c>
      <c r="CJ48" s="84" t="str">
        <f ca="1">IF(NOT(ISERROR(CJ49)),IF(COLUMN($I:$I)+SUM($BY49:CJ49)-1&lt;COLUMN($N:$N),INDEX($1:$1048576,ROW(CJ48),SUM($BZ49:CJ49)+COLUMN($I$1)-1),INDEX($3:$3,1,COLUMN($I:$I)+SUM($BY49:CJ49)-1)&amp;" ("&amp;INDEX($1:$1048576,ROW(CJ48),SUM($BZ49:CJ49)+COLUMN($I$1)-1)&amp;")"),"")</f>
        <v/>
      </c>
      <c r="CK48" s="87"/>
    </row>
    <row r="49" spans="1:89" s="88" customFormat="1" x14ac:dyDescent="0.25">
      <c r="A49" s="705"/>
      <c r="B49" s="707"/>
      <c r="C49" s="707"/>
      <c r="D49" s="709"/>
      <c r="E49" s="707"/>
      <c r="F49" s="699"/>
      <c r="G49" s="701"/>
      <c r="H49" s="701"/>
      <c r="J49" s="92" t="b">
        <f>IF(J48&gt;0,IF(AND(INDEX('General Merits'!$F:$F,MATCH($J48,'General Merits'!$F:$F,0),1)&gt;0,VLOOKUP('Merit Data'!J48,'General Merits'!$F:$Z,COLUMN('General Merits'!$N:$N),0)),TRUE,FALSE),#N/A)</f>
        <v>0</v>
      </c>
      <c r="K49" s="92" t="b">
        <f>IF(K48&gt;0,IF(AND(INDEX('General Merits'!$F:$F,MATCH($J48,'General Merits'!$F:$F,0),1)&gt;0,VLOOKUP('Merit Data'!K48,'General Merits'!$F:$Z,COLUMN('General Merits'!$N:$N),0)),TRUE,FALSE),#N/A)</f>
        <v>0</v>
      </c>
      <c r="L49" s="92" t="e">
        <f>IF(L48&gt;0,IF(AND(INDEX('General Merits'!$F:$F,MATCH($J48,'General Merits'!$F:$F,0),1)&gt;0,VLOOKUP('Merit Data'!L48,'General Merits'!$F:$Z,COLUMN('General Merits'!$N:$N),0)),TRUE,FALSE),#N/A)</f>
        <v>#N/A</v>
      </c>
      <c r="N49" s="89" t="e">
        <f>IF(STR&gt;=N48,TRUE)</f>
        <v>#REF!</v>
      </c>
      <c r="O49" s="89" t="e">
        <f>IF(AGI&gt;=O48,TRUE)</f>
        <v>#REF!</v>
      </c>
      <c r="P49" s="89" t="e">
        <f>IF(CON&gt;=P48,TRUE)</f>
        <v>#REF!</v>
      </c>
      <c r="Q49" s="89" t="e">
        <f>IF(INT&gt;=Q48,TRUE)</f>
        <v>#REF!</v>
      </c>
      <c r="R49" s="89" t="e">
        <f>IF(WIS&gt;=R48,TRUE)</f>
        <v>#REF!</v>
      </c>
      <c r="S49" s="89" t="e">
        <f>IF(FOC&gt;=S48,TRUE)</f>
        <v>#REF!</v>
      </c>
      <c r="T49" s="89" t="e">
        <f>IF(CHA&gt;=T48,TRUE)</f>
        <v>#REF!</v>
      </c>
      <c r="U49" s="89" t="e">
        <f>IF(INS&gt;=U48,TRUE)</f>
        <v>#REF!</v>
      </c>
      <c r="V49" s="89" t="e">
        <f>IF(CNV&gt;=V48,TRUE)</f>
        <v>#REF!</v>
      </c>
      <c r="W49" s="89"/>
      <c r="X49" s="89" t="e">
        <f>IF(Archery&gt;=X48,TRUE)</f>
        <v>#REF!</v>
      </c>
      <c r="Y49" s="89" t="e">
        <f>IF(Crossbows&gt;=Y48,TRUE)</f>
        <v>#REF!</v>
      </c>
      <c r="Z49" s="89" t="e">
        <f>IF(Daggers&gt;=Z48,TRUE)</f>
        <v>#REF!</v>
      </c>
      <c r="AA49" s="89" t="e">
        <f>IF(HandtoHandCombat&gt;=AA48,TRUE)</f>
        <v>#REF!</v>
      </c>
      <c r="AB49" s="89" t="e">
        <f>IF(HeavyArmor&gt;=AB48,TRUE)</f>
        <v>#REF!</v>
      </c>
      <c r="AC49" s="89" t="e">
        <f>IF(ImprovisedWeaponry&gt;=AC48,TRUE)</f>
        <v>#NAME?</v>
      </c>
      <c r="AD49" s="89" t="e">
        <f>IF(LightArmor&gt;=AD48,TRUE)</f>
        <v>#REF!</v>
      </c>
      <c r="AE49" s="89" t="e">
        <f>IF(Magicka&gt;=AE48,TRUE)</f>
        <v>#REF!</v>
      </c>
      <c r="AF49" s="89" t="e">
        <f>IF(OR(Archery&gt;=AF48,Crossbows&gt;=AF48,Daggers&gt;=AF48,HandtoHandCombat&gt;=AF48,ImprovisedWeaponry&gt;=AF48,Axes&gt;=AF48,Maces&gt;=AF48,Swords&gt;=AF48,Polearms&gt;=AF48,Staves&gt;=AF48,Throwing&gt;=AF48,TwoHandedAxes&gt;=AF48,TwoHandedMaces&gt;=AF48,TwoHandedSwords&gt;=AF48),TRUE)</f>
        <v>#REF!</v>
      </c>
      <c r="AG49" s="89" t="e">
        <f>IF(Axes&gt;=AG48,TRUE)</f>
        <v>#REF!</v>
      </c>
      <c r="AH49" s="89" t="e">
        <f>IF(Maces&gt;=AH48,TRUE)</f>
        <v>#REF!</v>
      </c>
      <c r="AI49" s="89" t="e">
        <f>IF(Swords&gt;=AI48,TRUE)</f>
        <v>#REF!</v>
      </c>
      <c r="AJ49" s="89" t="e">
        <f>IF(Polearms&gt;=AJ48,TRUE)</f>
        <v>#REF!</v>
      </c>
      <c r="AK49" s="89" t="e">
        <f>IF(Shields&gt;=AK48,TRUE)</f>
        <v>#REF!</v>
      </c>
      <c r="AL49" s="89" t="e">
        <f>IF(Staves&gt;=AL48,TRUE)</f>
        <v>#REF!</v>
      </c>
      <c r="AM49" s="89" t="e">
        <f>IF(Throwing&gt;=AM48,TRUE)</f>
        <v>#REF!</v>
      </c>
      <c r="AN49" s="89" t="e">
        <f>IF(TwoHandedAxes&gt;=AN48,TRUE)</f>
        <v>#NAME?</v>
      </c>
      <c r="AO49" s="89" t="e">
        <f>IF(TwoHandedMaces&gt;=AO48,TRUE)</f>
        <v>#NAME?</v>
      </c>
      <c r="AP49" s="89" t="e">
        <f>IF(TwoHandedSwords&gt;=AP48,TRUE)</f>
        <v>#NAME?</v>
      </c>
      <c r="AQ49" s="89"/>
      <c r="AR49" s="89" t="e">
        <f>IF(Acrobatics&gt;=AR48,TRUE)</f>
        <v>#REF!</v>
      </c>
      <c r="AS49" s="89" t="e">
        <f>IF(Appraisal&gt;=AS48,TRUE)</f>
        <v>#REF!</v>
      </c>
      <c r="AT49" s="89" t="e">
        <f>IF(Athletics&gt;=AT48,TRUE)</f>
        <v>#REF!</v>
      </c>
      <c r="AU49" s="89" t="e">
        <f>IF(Comprehension&gt;=AU48,TRUE)</f>
        <v>#REF!</v>
      </c>
      <c r="AV49" s="89" t="e">
        <f>IF(Expression&gt;=AV48,TRUE)</f>
        <v>#REF!</v>
      </c>
      <c r="AW49" s="89" t="e">
        <f>IF(Perception&gt;=AW48,TRUE)</f>
        <v>#REF!</v>
      </c>
      <c r="AX49" s="89" t="e">
        <f>IF(Security&gt;=AX48,TRUE)</f>
        <v>#REF!</v>
      </c>
      <c r="AY49" s="89" t="e">
        <f>IF(Stealth&gt;=AY48,TRUE)</f>
        <v>#REF!</v>
      </c>
      <c r="AZ49" s="89" t="e">
        <f>IF(Streetwise&gt;=AZ48,TRUE)</f>
        <v>#REF!</v>
      </c>
      <c r="BA49" s="89" t="e">
        <f>IF(Subterfuge&gt;=BA48,TRUE)</f>
        <v>#REF!</v>
      </c>
      <c r="BB49" s="89" t="e">
        <f>IF(Survival&gt;=BB48,TRUE)</f>
        <v>#REF!</v>
      </c>
      <c r="BC49" s="89"/>
      <c r="BD49" s="89" t="e">
        <f>IF(AncientDraconic&gt;=BD48,TRUE)</f>
        <v>#REF!</v>
      </c>
      <c r="BE49" s="89" t="e">
        <f>IF(AquaElven&gt;=BE48,TRUE)</f>
        <v>#REF!</v>
      </c>
      <c r="BF49" s="89" t="e">
        <f>IF(BasicElven&gt;=BF48,TRUE)</f>
        <v>#REF!</v>
      </c>
      <c r="BG49" s="89" t="e">
        <f>IF(Common&gt;=BG48,TRUE)</f>
        <v>#REF!</v>
      </c>
      <c r="BH49" s="89" t="e">
        <f>IF(DarkElven&gt;=BH48,TRUE)</f>
        <v>#REF!</v>
      </c>
      <c r="BI49" s="89" t="e">
        <f>IF(Davek&gt;=BI48,TRUE)</f>
        <v>#REF!</v>
      </c>
      <c r="BJ49" s="89" t="e">
        <f>IF(Draconic&gt;=BJ48,TRUE)</f>
        <v>#REF!</v>
      </c>
      <c r="BK49" s="89" t="e">
        <f>IF(Eulian&gt;=BK48,TRUE)</f>
        <v>#REF!</v>
      </c>
      <c r="BL49" s="89" t="e">
        <f>IF(Garonian&gt;=BL48,TRUE)</f>
        <v>#REF!</v>
      </c>
      <c r="BM49" s="89" t="e">
        <f>IF(Geovek&gt;=BM48,TRUE)</f>
        <v>#REF!</v>
      </c>
      <c r="BN49" s="89" t="e">
        <f>IF(Gnomish&gt;=BN48,TRUE)</f>
        <v>#REF!</v>
      </c>
      <c r="BO49" s="89" t="e">
        <f>IF(Goblin&gt;=BO48,TRUE)</f>
        <v>#REF!</v>
      </c>
      <c r="BP49" s="89" t="e">
        <f>IF(HighElven&gt;=BP48,TRUE)</f>
        <v>#REF!</v>
      </c>
      <c r="BQ49" s="89" t="e">
        <f>IF(Kotaba&gt;=BQ48,TRUE)</f>
        <v>#REF!</v>
      </c>
      <c r="BR49" s="89" t="e">
        <f>IF(LowerCommon&gt;=BR48,TRUE)</f>
        <v>#REF!</v>
      </c>
      <c r="BS49" s="89" t="e">
        <f>IF(OldElven&gt;=BS48,TRUE)</f>
        <v>#REF!</v>
      </c>
      <c r="BT49" s="89" t="e">
        <f>IF(Sylvan&gt;=BT48,TRUE)</f>
        <v>#REF!</v>
      </c>
      <c r="BU49" s="89" t="e">
        <f>IF(TrueDraconic&gt;=BU48,TRUE)</f>
        <v>#REF!</v>
      </c>
      <c r="BV49" s="89" t="e">
        <f>IF(Volken&gt;=BV48,TRUE)</f>
        <v>#REF!</v>
      </c>
      <c r="BW49" s="89" t="e">
        <f>IF(WoodElven&gt;=BW48,TRUE)</f>
        <v>#REF!</v>
      </c>
      <c r="BX49" s="703"/>
      <c r="BY49" s="89"/>
      <c r="BZ49" s="88">
        <f ca="1">MATCH(TRUE,INDEX((INDIRECT(INDEX($1:$1,ROW($1:$1),COLUMN($I:$I)+SUM($BY49:BY49))&amp;$CK49-1&amp;":"&amp;$BW$1&amp;$CK49-1)&lt;&gt;0),0),0)</f>
        <v>2</v>
      </c>
      <c r="CA49" s="88">
        <f ca="1">MATCH(TRUE,INDEX((INDIRECT(INDEX($1:$1,ROW($1:$1),COLUMN($I:$I)+SUM($BY49:BZ49))&amp;$CK49-1&amp;":"&amp;$BW$1&amp;$CK49-1)&lt;&gt;0),0),0)</f>
        <v>1</v>
      </c>
      <c r="CB49" s="88" t="e">
        <f ca="1">MATCH(TRUE,INDEX((INDIRECT(INDEX($1:$1,ROW($1:$1),COLUMN($I:$I)+SUM($BY49:CA49))&amp;$CK49-1&amp;":"&amp;$BW$1&amp;$CK49-1)&lt;&gt;0),0),0)</f>
        <v>#N/A</v>
      </c>
      <c r="CC49" s="88" t="e">
        <f ca="1">MATCH(TRUE,INDEX((INDIRECT(INDEX($1:$1,ROW($1:$1),COLUMN($I:$I)+SUM($BY49:CB49))&amp;$CK49-1&amp;":"&amp;$BW$1&amp;$CK49-1)&lt;&gt;0),0),0)</f>
        <v>#N/A</v>
      </c>
      <c r="CD49" s="88" t="e">
        <f ca="1">MATCH(TRUE,INDEX((INDIRECT(INDEX($1:$1,ROW($1:$1),COLUMN($I:$I)+SUM($BY49:CC49))&amp;$CK49-1&amp;":"&amp;$BW$1&amp;$CK49-1)&lt;&gt;0),0),0)</f>
        <v>#N/A</v>
      </c>
      <c r="CE49" s="88" t="e">
        <f ca="1">MATCH(TRUE,INDEX((INDIRECT(INDEX($1:$1,ROW($1:$1),COLUMN($I:$I)+SUM($BY49:CD49))&amp;$CK49-1&amp;":"&amp;$BW$1&amp;$CK49-1)&lt;&gt;0),0),0)</f>
        <v>#N/A</v>
      </c>
      <c r="CF49" s="88" t="e">
        <f ca="1">MATCH(TRUE,INDEX((INDIRECT(INDEX($1:$1,ROW($1:$1),COLUMN($I:$I)+SUM($BY49:CE49))&amp;$CK49-1&amp;":"&amp;$BW$1&amp;$CK49-1)&lt;&gt;0),0),0)</f>
        <v>#N/A</v>
      </c>
      <c r="CG49" s="88" t="e">
        <f ca="1">MATCH(TRUE,INDEX((INDIRECT(INDEX($1:$1,ROW($1:$1),COLUMN($I:$I)+SUM($BY49:CF49))&amp;$CK49-1&amp;":"&amp;$BW$1&amp;$CK49-1)&lt;&gt;0),0),0)</f>
        <v>#N/A</v>
      </c>
      <c r="CH49" s="88" t="e">
        <f ca="1">MATCH(TRUE,INDEX((INDIRECT(INDEX($1:$1,ROW($1:$1),COLUMN($I:$I)+SUM($BY49:CG49))&amp;$CK49-1&amp;":"&amp;$BW$1&amp;$CK49-1)&lt;&gt;0),0),0)</f>
        <v>#N/A</v>
      </c>
      <c r="CI49" s="88" t="e">
        <f ca="1">MATCH(TRUE,INDEX((INDIRECT(INDEX($1:$1,ROW($1:$1),COLUMN($I:$I)+SUM($BY49:CH49))&amp;$CK49-1&amp;":"&amp;$BW$1&amp;$CK49-1)&lt;&gt;0),0),0)</f>
        <v>#N/A</v>
      </c>
      <c r="CJ49" s="88" t="e">
        <f ca="1">MATCH(TRUE,INDEX((INDIRECT(INDEX($1:$1,ROW($1:$1),COLUMN($I:$I)+SUM($BY49:CI49))&amp;$CK49-1&amp;":"&amp;$BW$1&amp;$CK49-1)&lt;&gt;0),0),0)</f>
        <v>#N/A</v>
      </c>
      <c r="CK49" s="90">
        <f>ROW(CK49)</f>
        <v>49</v>
      </c>
    </row>
    <row r="50" spans="1:89" s="84" customFormat="1" ht="15" customHeight="1" x14ac:dyDescent="0.25">
      <c r="A50" s="704" t="s">
        <v>482</v>
      </c>
      <c r="B50" s="706" t="b">
        <f>ISERROR(MATCH(FALSE,$J51:$BW51,0))</f>
        <v>1</v>
      </c>
      <c r="C50" s="706" t="b">
        <f>IF(AND(INDEX('General Merits'!$F:$F,MATCH(A50,'General Merits'!$F:$F,0))&gt;0,VLOOKUP(A50,'General Merits'!$F:$Q,10,0)),TRUE,FALSE)</f>
        <v>0</v>
      </c>
      <c r="D50" s="708">
        <v>3</v>
      </c>
      <c r="E50" s="706">
        <f>D50*100</f>
        <v>300</v>
      </c>
      <c r="F50" s="698" t="s">
        <v>483</v>
      </c>
      <c r="G50" s="700"/>
      <c r="H50" s="700"/>
      <c r="J50" s="235"/>
      <c r="K50" s="235"/>
      <c r="L50" s="235"/>
      <c r="N50" s="85"/>
      <c r="O50" s="85"/>
      <c r="P50" s="85"/>
      <c r="Q50" s="85"/>
      <c r="R50" s="85"/>
      <c r="S50" s="85"/>
      <c r="T50" s="85"/>
      <c r="U50" s="85"/>
      <c r="V50" s="85"/>
      <c r="W50" s="86"/>
      <c r="X50" s="85"/>
      <c r="Y50" s="85"/>
      <c r="Z50" s="85"/>
      <c r="AA50" s="85"/>
      <c r="AB50" s="85"/>
      <c r="AC50" s="85"/>
      <c r="AD50" s="85"/>
      <c r="AE50" s="85"/>
      <c r="AF50" s="236"/>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702" t="str">
        <f ca="1">IF(BZ50&lt;&gt;"",BZ50,"")&amp;IF(CA50&lt;&gt;"",", "&amp;CA50,"")&amp;IF(CB50&lt;&gt;"",", "&amp;CB50,"")&amp;IF(CC50&lt;&gt;"",", "&amp;CC50,"")&amp;IF(CD50&lt;&gt;"",", "&amp;CD50,"")&amp;IF(CE50&lt;&gt;"",", "&amp;CE50,"")&amp;IF(CF50&lt;&gt;"",", "&amp;CF50,"")&amp;IF(CG50&lt;&gt;"",", "&amp;CG50,"")&amp;IF(CH50&lt;&gt;"",", "&amp;CH50,"")&amp;IF(CI50&lt;&gt;"",", "&amp;CI50,"")</f>
        <v/>
      </c>
      <c r="BY50" s="85"/>
      <c r="BZ50" s="84" t="str">
        <f ca="1">IF(NOT(ISERROR(BZ51)),IF(COLUMN($I:$I)+SUM($BY51:BZ51)-1&lt;COLUMN($N:$N),INDEX($1:$1048576,ROW(BZ50),SUM($BZ51:BZ51)+COLUMN($I$1)-1),INDEX($3:$3,1,COLUMN($I:$I)+SUM($BY51:BZ51)-1)&amp;" ("&amp;INDEX($1:$1048576,ROW(BZ50),SUM($BZ51:BZ51)+COLUMN($I$1)-1)&amp;")"),"")</f>
        <v/>
      </c>
      <c r="CA50" s="84" t="str">
        <f ca="1">IF(NOT(ISERROR(CA51)),IF(COLUMN($I:$I)+SUM($BY51:CA51)-1&lt;COLUMN($N:$N),INDEX($1:$1048576,ROW(CA50),SUM($BZ51:CA51)+COLUMN($I$1)-1),INDEX($3:$3,1,COLUMN($I:$I)+SUM($BY51:CA51)-1)&amp;" ("&amp;INDEX($1:$1048576,ROW(CA50),SUM($BZ51:CA51)+COLUMN($I$1)-1)&amp;")"),"")</f>
        <v/>
      </c>
      <c r="CB50" s="84" t="str">
        <f ca="1">IF(NOT(ISERROR(CB51)),IF(COLUMN($I:$I)+SUM($BY51:CB51)-1&lt;COLUMN($N:$N),INDEX($1:$1048576,ROW(CB50),SUM($BZ51:CB51)+COLUMN($I$1)-1),INDEX($3:$3,1,COLUMN($I:$I)+SUM($BY51:CB51)-1)&amp;" ("&amp;INDEX($1:$1048576,ROW(CB50),SUM($BZ51:CB51)+COLUMN($I$1)-1)&amp;")"),"")</f>
        <v/>
      </c>
      <c r="CC50" s="84" t="str">
        <f ca="1">IF(NOT(ISERROR(CC51)),IF(COLUMN($I:$I)+SUM($BY51:CC51)-1&lt;COLUMN($N:$N),INDEX($1:$1048576,ROW(CC50),SUM($BZ51:CC51)+COLUMN($I$1)-1),INDEX($3:$3,1,COLUMN($I:$I)+SUM($BY51:CC51)-1)&amp;" ("&amp;INDEX($1:$1048576,ROW(CC50),SUM($BZ51:CC51)+COLUMN($I$1)-1)&amp;")"),"")</f>
        <v/>
      </c>
      <c r="CD50" s="84" t="str">
        <f ca="1">IF(NOT(ISERROR(CD51)),IF(COLUMN($I:$I)+SUM($BY51:CD51)-1&lt;COLUMN($N:$N),INDEX($1:$1048576,ROW(CD50),SUM($BZ51:CD51)+COLUMN($I$1)-1),INDEX($3:$3,1,COLUMN($I:$I)+SUM($BY51:CD51)-1)&amp;" ("&amp;INDEX($1:$1048576,ROW(CD50),SUM($BZ51:CD51)+COLUMN($I$1)-1)&amp;")"),"")</f>
        <v/>
      </c>
      <c r="CE50" s="84" t="str">
        <f ca="1">IF(NOT(ISERROR(CE51)),IF(COLUMN($I:$I)+SUM($BY51:CE51)-1&lt;COLUMN($N:$N),INDEX($1:$1048576,ROW(CE50),SUM($BZ51:CE51)+COLUMN($I$1)-1),INDEX($3:$3,1,COLUMN($I:$I)+SUM($BY51:CE51)-1)&amp;" ("&amp;INDEX($1:$1048576,ROW(CE50),SUM($BZ51:CE51)+COLUMN($I$1)-1)&amp;")"),"")</f>
        <v/>
      </c>
      <c r="CF50" s="84" t="str">
        <f ca="1">IF(NOT(ISERROR(CF51)),IF(COLUMN($I:$I)+SUM($BY51:CF51)-1&lt;COLUMN($N:$N),INDEX($1:$1048576,ROW(CF50),SUM($BZ51:CF51)+COLUMN($I$1)-1),INDEX($3:$3,1,COLUMN($I:$I)+SUM($BY51:CF51)-1)&amp;" ("&amp;INDEX($1:$1048576,ROW(CF50),SUM($BZ51:CF51)+COLUMN($I$1)-1)&amp;")"),"")</f>
        <v/>
      </c>
      <c r="CG50" s="84" t="str">
        <f ca="1">IF(NOT(ISERROR(CG51)),IF(COLUMN($I:$I)+SUM($BY51:CG51)-1&lt;COLUMN($N:$N),INDEX($1:$1048576,ROW(CG50),SUM($BZ51:CG51)+COLUMN($I$1)-1),INDEX($3:$3,1,COLUMN($I:$I)+SUM($BY51:CG51)-1)&amp;" ("&amp;INDEX($1:$1048576,ROW(CG50),SUM($BZ51:CG51)+COLUMN($I$1)-1)&amp;")"),"")</f>
        <v/>
      </c>
      <c r="CH50" s="84" t="str">
        <f ca="1">IF(NOT(ISERROR(CH51)),IF(COLUMN($I:$I)+SUM($BY51:CH51)-1&lt;COLUMN($N:$N),INDEX($1:$1048576,ROW(CH50),SUM($BZ51:CH51)+COLUMN($I$1)-1),INDEX($3:$3,1,COLUMN($I:$I)+SUM($BY51:CH51)-1)&amp;" ("&amp;INDEX($1:$1048576,ROW(CH50),SUM($BZ51:CH51)+COLUMN($I$1)-1)&amp;")"),"")</f>
        <v/>
      </c>
      <c r="CI50" s="84" t="str">
        <f ca="1">IF(NOT(ISERROR(CI51)),IF(COLUMN($I:$I)+SUM($BY51:CI51)-1&lt;COLUMN($N:$N),INDEX($1:$1048576,ROW(CI50),SUM($BZ51:CI51)+COLUMN($I$1)-1),INDEX($3:$3,1,COLUMN($I:$I)+SUM($BY51:CI51)-1)&amp;" ("&amp;INDEX($1:$1048576,ROW(CI50),SUM($BZ51:CI51)+COLUMN($I$1)-1)&amp;")"),"")</f>
        <v/>
      </c>
      <c r="CJ50" s="84" t="str">
        <f ca="1">IF(NOT(ISERROR(CJ51)),IF(COLUMN($I:$I)+SUM($BY51:CJ51)-1&lt;COLUMN($N:$N),INDEX($1:$1048576,ROW(CJ50),SUM($BZ51:CJ51)+COLUMN($I$1)-1),INDEX($3:$3,1,COLUMN($I:$I)+SUM($BY51:CJ51)-1)&amp;" ("&amp;INDEX($1:$1048576,ROW(CJ50),SUM($BZ51:CJ51)+COLUMN($I$1)-1)&amp;")"),"")</f>
        <v/>
      </c>
      <c r="CK50" s="87"/>
    </row>
    <row r="51" spans="1:89" s="88" customFormat="1" x14ac:dyDescent="0.25">
      <c r="A51" s="705"/>
      <c r="B51" s="707"/>
      <c r="C51" s="707"/>
      <c r="D51" s="709"/>
      <c r="E51" s="707"/>
      <c r="F51" s="699"/>
      <c r="G51" s="701"/>
      <c r="H51" s="701"/>
      <c r="J51" s="92" t="e">
        <f>IF(J50&gt;0,IF(AND(INDEX('General Merits'!$F:$F,MATCH($J50,'General Merits'!$F:$F,0),1)&gt;0,VLOOKUP('Merit Data'!J50,'General Merits'!$F:$Z,COLUMN('General Merits'!$N:$N),0)),TRUE,FALSE),#N/A)</f>
        <v>#N/A</v>
      </c>
      <c r="K51" s="92" t="e">
        <f>IF(K50&gt;0,IF(AND(INDEX('General Merits'!$F:$F,MATCH($J50,'General Merits'!$F:$F,0),1)&gt;0,VLOOKUP('Merit Data'!K50,'General Merits'!$F:$Z,COLUMN('General Merits'!$N:$N),0)),TRUE,FALSE),#N/A)</f>
        <v>#N/A</v>
      </c>
      <c r="L51" s="92" t="e">
        <f>IF(L50&gt;0,IF(AND(INDEX('General Merits'!$F:$F,MATCH($J50,'General Merits'!$F:$F,0),1)&gt;0,VLOOKUP('Merit Data'!L50,'General Merits'!$F:$Z,COLUMN('General Merits'!$N:$N),0)),TRUE,FALSE),#N/A)</f>
        <v>#N/A</v>
      </c>
      <c r="N51" s="89" t="e">
        <f>IF(STR&gt;=N50,TRUE)</f>
        <v>#REF!</v>
      </c>
      <c r="O51" s="89" t="e">
        <f>IF(AGI&gt;=O50,TRUE)</f>
        <v>#REF!</v>
      </c>
      <c r="P51" s="89" t="e">
        <f>IF(CON&gt;=P50,TRUE)</f>
        <v>#REF!</v>
      </c>
      <c r="Q51" s="89" t="e">
        <f>IF(INT&gt;=Q50,TRUE)</f>
        <v>#REF!</v>
      </c>
      <c r="R51" s="89" t="e">
        <f>IF(WIS&gt;=R50,TRUE)</f>
        <v>#REF!</v>
      </c>
      <c r="S51" s="89" t="e">
        <f>IF(FOC&gt;=S50,TRUE)</f>
        <v>#REF!</v>
      </c>
      <c r="T51" s="89" t="e">
        <f>IF(CHA&gt;=T50,TRUE)</f>
        <v>#REF!</v>
      </c>
      <c r="U51" s="89" t="e">
        <f>IF(INS&gt;=U50,TRUE)</f>
        <v>#REF!</v>
      </c>
      <c r="V51" s="89" t="e">
        <f>IF(CNV&gt;=V50,TRUE)</f>
        <v>#REF!</v>
      </c>
      <c r="W51" s="89"/>
      <c r="X51" s="89" t="e">
        <f>IF(Archery&gt;=X50,TRUE)</f>
        <v>#REF!</v>
      </c>
      <c r="Y51" s="89" t="e">
        <f>IF(Crossbows&gt;=Y50,TRUE)</f>
        <v>#REF!</v>
      </c>
      <c r="Z51" s="89" t="e">
        <f>IF(Daggers&gt;=Z50,TRUE)</f>
        <v>#REF!</v>
      </c>
      <c r="AA51" s="89" t="e">
        <f>IF(HandtoHandCombat&gt;=AA50,TRUE)</f>
        <v>#REF!</v>
      </c>
      <c r="AB51" s="89" t="e">
        <f>IF(HeavyArmor&gt;=AB50,TRUE)</f>
        <v>#REF!</v>
      </c>
      <c r="AC51" s="89" t="e">
        <f>IF(ImprovisedWeaponry&gt;=AC50,TRUE)</f>
        <v>#NAME?</v>
      </c>
      <c r="AD51" s="89" t="e">
        <f>IF(LightArmor&gt;=AD50,TRUE)</f>
        <v>#REF!</v>
      </c>
      <c r="AE51" s="89" t="e">
        <f>IF(Magicka&gt;=AE50,TRUE)</f>
        <v>#REF!</v>
      </c>
      <c r="AF51" s="89" t="e">
        <f>IF(OR(Archery&gt;=AF50,Crossbows&gt;=AF50,Daggers&gt;=AF50,HandtoHandCombat&gt;=AF50,ImprovisedWeaponry&gt;=AF50,Axes&gt;=AF50,Maces&gt;=AF50,Swords&gt;=AF50,Polearms&gt;=AF50,Staves&gt;=AF50,Throwing&gt;=AF50,TwoHandedAxes&gt;=AF50,TwoHandedMaces&gt;=AF50,TwoHandedSwords&gt;=AF50),TRUE)</f>
        <v>#REF!</v>
      </c>
      <c r="AG51" s="89" t="e">
        <f>IF(Axes&gt;=AG50,TRUE)</f>
        <v>#REF!</v>
      </c>
      <c r="AH51" s="89" t="e">
        <f>IF(Maces&gt;=AH50,TRUE)</f>
        <v>#REF!</v>
      </c>
      <c r="AI51" s="89" t="e">
        <f>IF(Swords&gt;=AI50,TRUE)</f>
        <v>#REF!</v>
      </c>
      <c r="AJ51" s="89" t="e">
        <f>IF(Polearms&gt;=AJ50,TRUE)</f>
        <v>#REF!</v>
      </c>
      <c r="AK51" s="89" t="e">
        <f>IF(Shields&gt;=AK50,TRUE)</f>
        <v>#REF!</v>
      </c>
      <c r="AL51" s="89" t="e">
        <f>IF(Staves&gt;=AL50,TRUE)</f>
        <v>#REF!</v>
      </c>
      <c r="AM51" s="89" t="e">
        <f>IF(Throwing&gt;=AM50,TRUE)</f>
        <v>#REF!</v>
      </c>
      <c r="AN51" s="89" t="e">
        <f>IF(TwoHandedAxes&gt;=AN50,TRUE)</f>
        <v>#NAME?</v>
      </c>
      <c r="AO51" s="89" t="e">
        <f>IF(TwoHandedMaces&gt;=AO50,TRUE)</f>
        <v>#NAME?</v>
      </c>
      <c r="AP51" s="89" t="e">
        <f>IF(TwoHandedSwords&gt;=AP50,TRUE)</f>
        <v>#NAME?</v>
      </c>
      <c r="AQ51" s="89"/>
      <c r="AR51" s="89" t="e">
        <f>IF(Acrobatics&gt;=AR50,TRUE)</f>
        <v>#REF!</v>
      </c>
      <c r="AS51" s="89" t="e">
        <f>IF(Appraisal&gt;=AS50,TRUE)</f>
        <v>#REF!</v>
      </c>
      <c r="AT51" s="89" t="e">
        <f>IF(Athletics&gt;=AT50,TRUE)</f>
        <v>#REF!</v>
      </c>
      <c r="AU51" s="89" t="e">
        <f>IF(Comprehension&gt;=AU50,TRUE)</f>
        <v>#REF!</v>
      </c>
      <c r="AV51" s="89" t="e">
        <f>IF(Expression&gt;=AV50,TRUE)</f>
        <v>#REF!</v>
      </c>
      <c r="AW51" s="89" t="e">
        <f>IF(Perception&gt;=AW50,TRUE)</f>
        <v>#REF!</v>
      </c>
      <c r="AX51" s="89" t="e">
        <f>IF(Security&gt;=AX50,TRUE)</f>
        <v>#REF!</v>
      </c>
      <c r="AY51" s="89" t="e">
        <f>IF(Stealth&gt;=AY50,TRUE)</f>
        <v>#REF!</v>
      </c>
      <c r="AZ51" s="89" t="e">
        <f>IF(Streetwise&gt;=AZ50,TRUE)</f>
        <v>#REF!</v>
      </c>
      <c r="BA51" s="89" t="e">
        <f>IF(Subterfuge&gt;=BA50,TRUE)</f>
        <v>#REF!</v>
      </c>
      <c r="BB51" s="89" t="e">
        <f>IF(Survival&gt;=BB50,TRUE)</f>
        <v>#REF!</v>
      </c>
      <c r="BC51" s="89"/>
      <c r="BD51" s="89" t="e">
        <f>IF(AncientDraconic&gt;=BD50,TRUE)</f>
        <v>#REF!</v>
      </c>
      <c r="BE51" s="89" t="e">
        <f>IF(AquaElven&gt;=BE50,TRUE)</f>
        <v>#REF!</v>
      </c>
      <c r="BF51" s="89" t="e">
        <f>IF(BasicElven&gt;=BF50,TRUE)</f>
        <v>#REF!</v>
      </c>
      <c r="BG51" s="89" t="e">
        <f>IF(Common&gt;=BG50,TRUE)</f>
        <v>#REF!</v>
      </c>
      <c r="BH51" s="89" t="e">
        <f>IF(DarkElven&gt;=BH50,TRUE)</f>
        <v>#REF!</v>
      </c>
      <c r="BI51" s="89" t="e">
        <f>IF(Davek&gt;=BI50,TRUE)</f>
        <v>#REF!</v>
      </c>
      <c r="BJ51" s="89" t="e">
        <f>IF(Draconic&gt;=BJ50,TRUE)</f>
        <v>#REF!</v>
      </c>
      <c r="BK51" s="89" t="e">
        <f>IF(Eulian&gt;=BK50,TRUE)</f>
        <v>#REF!</v>
      </c>
      <c r="BL51" s="89" t="e">
        <f>IF(Garonian&gt;=BL50,TRUE)</f>
        <v>#REF!</v>
      </c>
      <c r="BM51" s="89" t="e">
        <f>IF(Geovek&gt;=BM50,TRUE)</f>
        <v>#REF!</v>
      </c>
      <c r="BN51" s="89" t="e">
        <f>IF(Gnomish&gt;=BN50,TRUE)</f>
        <v>#REF!</v>
      </c>
      <c r="BO51" s="89" t="e">
        <f>IF(Goblin&gt;=BO50,TRUE)</f>
        <v>#REF!</v>
      </c>
      <c r="BP51" s="89" t="e">
        <f>IF(HighElven&gt;=BP50,TRUE)</f>
        <v>#REF!</v>
      </c>
      <c r="BQ51" s="89" t="e">
        <f>IF(Kotaba&gt;=BQ50,TRUE)</f>
        <v>#REF!</v>
      </c>
      <c r="BR51" s="89" t="e">
        <f>IF(LowerCommon&gt;=BR50,TRUE)</f>
        <v>#REF!</v>
      </c>
      <c r="BS51" s="89" t="e">
        <f>IF(OldElven&gt;=BS50,TRUE)</f>
        <v>#REF!</v>
      </c>
      <c r="BT51" s="89" t="e">
        <f>IF(Sylvan&gt;=BT50,TRUE)</f>
        <v>#REF!</v>
      </c>
      <c r="BU51" s="89" t="e">
        <f>IF(TrueDraconic&gt;=BU50,TRUE)</f>
        <v>#REF!</v>
      </c>
      <c r="BV51" s="89" t="e">
        <f>IF(Volken&gt;=BV50,TRUE)</f>
        <v>#REF!</v>
      </c>
      <c r="BW51" s="89" t="e">
        <f>IF(WoodElven&gt;=BW50,TRUE)</f>
        <v>#REF!</v>
      </c>
      <c r="BX51" s="703"/>
      <c r="BY51" s="89"/>
      <c r="BZ51" s="88" t="e">
        <f ca="1">MATCH(TRUE,INDEX((INDIRECT(INDEX($1:$1,ROW($1:$1),COLUMN($I:$I)+SUM($BY51:BY51))&amp;$CK51-1&amp;":"&amp;$BW$1&amp;$CK51-1)&lt;&gt;0),0),0)</f>
        <v>#N/A</v>
      </c>
      <c r="CA51" s="88" t="e">
        <f ca="1">MATCH(TRUE,INDEX((INDIRECT(INDEX($1:$1,ROW($1:$1),COLUMN($I:$I)+SUM($BY51:BZ51))&amp;$CK51-1&amp;":"&amp;$BW$1&amp;$CK51-1)&lt;&gt;0),0),0)</f>
        <v>#N/A</v>
      </c>
      <c r="CB51" s="88" t="e">
        <f ca="1">MATCH(TRUE,INDEX((INDIRECT(INDEX($1:$1,ROW($1:$1),COLUMN($I:$I)+SUM($BY51:CA51))&amp;$CK51-1&amp;":"&amp;$BW$1&amp;$CK51-1)&lt;&gt;0),0),0)</f>
        <v>#N/A</v>
      </c>
      <c r="CC51" s="88" t="e">
        <f ca="1">MATCH(TRUE,INDEX((INDIRECT(INDEX($1:$1,ROW($1:$1),COLUMN($I:$I)+SUM($BY51:CB51))&amp;$CK51-1&amp;":"&amp;$BW$1&amp;$CK51-1)&lt;&gt;0),0),0)</f>
        <v>#N/A</v>
      </c>
      <c r="CD51" s="88" t="e">
        <f ca="1">MATCH(TRUE,INDEX((INDIRECT(INDEX($1:$1,ROW($1:$1),COLUMN($I:$I)+SUM($BY51:CC51))&amp;$CK51-1&amp;":"&amp;$BW$1&amp;$CK51-1)&lt;&gt;0),0),0)</f>
        <v>#N/A</v>
      </c>
      <c r="CE51" s="88" t="e">
        <f ca="1">MATCH(TRUE,INDEX((INDIRECT(INDEX($1:$1,ROW($1:$1),COLUMN($I:$I)+SUM($BY51:CD51))&amp;$CK51-1&amp;":"&amp;$BW$1&amp;$CK51-1)&lt;&gt;0),0),0)</f>
        <v>#N/A</v>
      </c>
      <c r="CF51" s="88" t="e">
        <f ca="1">MATCH(TRUE,INDEX((INDIRECT(INDEX($1:$1,ROW($1:$1),COLUMN($I:$I)+SUM($BY51:CE51))&amp;$CK51-1&amp;":"&amp;$BW$1&amp;$CK51-1)&lt;&gt;0),0),0)</f>
        <v>#N/A</v>
      </c>
      <c r="CG51" s="88" t="e">
        <f ca="1">MATCH(TRUE,INDEX((INDIRECT(INDEX($1:$1,ROW($1:$1),COLUMN($I:$I)+SUM($BY51:CF51))&amp;$CK51-1&amp;":"&amp;$BW$1&amp;$CK51-1)&lt;&gt;0),0),0)</f>
        <v>#N/A</v>
      </c>
      <c r="CH51" s="88" t="e">
        <f ca="1">MATCH(TRUE,INDEX((INDIRECT(INDEX($1:$1,ROW($1:$1),COLUMN($I:$I)+SUM($BY51:CG51))&amp;$CK51-1&amp;":"&amp;$BW$1&amp;$CK51-1)&lt;&gt;0),0),0)</f>
        <v>#N/A</v>
      </c>
      <c r="CI51" s="88" t="e">
        <f ca="1">MATCH(TRUE,INDEX((INDIRECT(INDEX($1:$1,ROW($1:$1),COLUMN($I:$I)+SUM($BY51:CH51))&amp;$CK51-1&amp;":"&amp;$BW$1&amp;$CK51-1)&lt;&gt;0),0),0)</f>
        <v>#N/A</v>
      </c>
      <c r="CJ51" s="88" t="e">
        <f ca="1">MATCH(TRUE,INDEX((INDIRECT(INDEX($1:$1,ROW($1:$1),COLUMN($I:$I)+SUM($BY51:CI51))&amp;$CK51-1&amp;":"&amp;$BW$1&amp;$CK51-1)&lt;&gt;0),0),0)</f>
        <v>#N/A</v>
      </c>
      <c r="CK51" s="90">
        <f>ROW(CK51)</f>
        <v>51</v>
      </c>
    </row>
    <row r="52" spans="1:89" s="84" customFormat="1" ht="15" customHeight="1" x14ac:dyDescent="0.25">
      <c r="A52" s="704" t="s">
        <v>485</v>
      </c>
      <c r="B52" s="706" t="b">
        <f>ISERROR(MATCH(FALSE,$J53:$BW53,0))</f>
        <v>1</v>
      </c>
      <c r="C52" s="706" t="b">
        <f>IF(AND(INDEX('General Merits'!$F:$F,MATCH(A52,'General Merits'!$F:$F,0))&gt;0,VLOOKUP(A52,'General Merits'!$F:$Q,10,0)),TRUE,FALSE)</f>
        <v>0</v>
      </c>
      <c r="D52" s="708">
        <v>3</v>
      </c>
      <c r="E52" s="706">
        <f>D52*100</f>
        <v>300</v>
      </c>
      <c r="F52" s="698" t="s">
        <v>486</v>
      </c>
      <c r="G52" s="700"/>
      <c r="H52" s="700"/>
      <c r="J52" s="235"/>
      <c r="K52" s="235"/>
      <c r="L52" s="235"/>
      <c r="N52" s="85"/>
      <c r="O52" s="85"/>
      <c r="P52" s="85"/>
      <c r="Q52" s="85"/>
      <c r="R52" s="85"/>
      <c r="S52" s="85"/>
      <c r="T52" s="85"/>
      <c r="U52" s="85"/>
      <c r="V52" s="85"/>
      <c r="W52" s="86"/>
      <c r="X52" s="85"/>
      <c r="Y52" s="85"/>
      <c r="Z52" s="85"/>
      <c r="AA52" s="85"/>
      <c r="AB52" s="85"/>
      <c r="AC52" s="85"/>
      <c r="AD52" s="85"/>
      <c r="AE52" s="85"/>
      <c r="AF52" s="236"/>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702" t="str">
        <f ca="1">IF(BZ52&lt;&gt;"",BZ52,"")&amp;IF(CA52&lt;&gt;"",", "&amp;CA52,"")&amp;IF(CB52&lt;&gt;"",", "&amp;CB52,"")&amp;IF(CC52&lt;&gt;"",", "&amp;CC52,"")&amp;IF(CD52&lt;&gt;"",", "&amp;CD52,"")&amp;IF(CE52&lt;&gt;"",", "&amp;CE52,"")&amp;IF(CF52&lt;&gt;"",", "&amp;CF52,"")&amp;IF(CG52&lt;&gt;"",", "&amp;CG52,"")&amp;IF(CH52&lt;&gt;"",", "&amp;CH52,"")&amp;IF(CI52&lt;&gt;"",", "&amp;CI52,"")</f>
        <v/>
      </c>
      <c r="BY52" s="85"/>
      <c r="BZ52" s="84" t="str">
        <f ca="1">IF(NOT(ISERROR(BZ53)),IF(COLUMN($I:$I)+SUM($BY53:BZ53)-1&lt;COLUMN($N:$N),INDEX($1:$1048576,ROW(BZ52),SUM($BZ53:BZ53)+COLUMN($I$1)-1),INDEX($3:$3,1,COLUMN($I:$I)+SUM($BY53:BZ53)-1)&amp;" ("&amp;INDEX($1:$1048576,ROW(BZ52),SUM($BZ53:BZ53)+COLUMN($I$1)-1)&amp;")"),"")</f>
        <v/>
      </c>
      <c r="CA52" s="84" t="str">
        <f ca="1">IF(NOT(ISERROR(CA53)),IF(COLUMN($I:$I)+SUM($BY53:CA53)-1&lt;COLUMN($N:$N),INDEX($1:$1048576,ROW(CA52),SUM($BZ53:CA53)+COLUMN($I$1)-1),INDEX($3:$3,1,COLUMN($I:$I)+SUM($BY53:CA53)-1)&amp;" ("&amp;INDEX($1:$1048576,ROW(CA52),SUM($BZ53:CA53)+COLUMN($I$1)-1)&amp;")"),"")</f>
        <v/>
      </c>
      <c r="CB52" s="84" t="str">
        <f ca="1">IF(NOT(ISERROR(CB53)),IF(COLUMN($I:$I)+SUM($BY53:CB53)-1&lt;COLUMN($N:$N),INDEX($1:$1048576,ROW(CB52),SUM($BZ53:CB53)+COLUMN($I$1)-1),INDEX($3:$3,1,COLUMN($I:$I)+SUM($BY53:CB53)-1)&amp;" ("&amp;INDEX($1:$1048576,ROW(CB52),SUM($BZ53:CB53)+COLUMN($I$1)-1)&amp;")"),"")</f>
        <v/>
      </c>
      <c r="CC52" s="84" t="str">
        <f ca="1">IF(NOT(ISERROR(CC53)),IF(COLUMN($I:$I)+SUM($BY53:CC53)-1&lt;COLUMN($N:$N),INDEX($1:$1048576,ROW(CC52),SUM($BZ53:CC53)+COLUMN($I$1)-1),INDEX($3:$3,1,COLUMN($I:$I)+SUM($BY53:CC53)-1)&amp;" ("&amp;INDEX($1:$1048576,ROW(CC52),SUM($BZ53:CC53)+COLUMN($I$1)-1)&amp;")"),"")</f>
        <v/>
      </c>
      <c r="CD52" s="84" t="str">
        <f ca="1">IF(NOT(ISERROR(CD53)),IF(COLUMN($I:$I)+SUM($BY53:CD53)-1&lt;COLUMN($N:$N),INDEX($1:$1048576,ROW(CD52),SUM($BZ53:CD53)+COLUMN($I$1)-1),INDEX($3:$3,1,COLUMN($I:$I)+SUM($BY53:CD53)-1)&amp;" ("&amp;INDEX($1:$1048576,ROW(CD52),SUM($BZ53:CD53)+COLUMN($I$1)-1)&amp;")"),"")</f>
        <v/>
      </c>
      <c r="CE52" s="84" t="str">
        <f ca="1">IF(NOT(ISERROR(CE53)),IF(COLUMN($I:$I)+SUM($BY53:CE53)-1&lt;COLUMN($N:$N),INDEX($1:$1048576,ROW(CE52),SUM($BZ53:CE53)+COLUMN($I$1)-1),INDEX($3:$3,1,COLUMN($I:$I)+SUM($BY53:CE53)-1)&amp;" ("&amp;INDEX($1:$1048576,ROW(CE52),SUM($BZ53:CE53)+COLUMN($I$1)-1)&amp;")"),"")</f>
        <v/>
      </c>
      <c r="CF52" s="84" t="str">
        <f ca="1">IF(NOT(ISERROR(CF53)),IF(COLUMN($I:$I)+SUM($BY53:CF53)-1&lt;COLUMN($N:$N),INDEX($1:$1048576,ROW(CF52),SUM($BZ53:CF53)+COLUMN($I$1)-1),INDEX($3:$3,1,COLUMN($I:$I)+SUM($BY53:CF53)-1)&amp;" ("&amp;INDEX($1:$1048576,ROW(CF52),SUM($BZ53:CF53)+COLUMN($I$1)-1)&amp;")"),"")</f>
        <v/>
      </c>
      <c r="CG52" s="84" t="str">
        <f ca="1">IF(NOT(ISERROR(CG53)),IF(COLUMN($I:$I)+SUM($BY53:CG53)-1&lt;COLUMN($N:$N),INDEX($1:$1048576,ROW(CG52),SUM($BZ53:CG53)+COLUMN($I$1)-1),INDEX($3:$3,1,COLUMN($I:$I)+SUM($BY53:CG53)-1)&amp;" ("&amp;INDEX($1:$1048576,ROW(CG52),SUM($BZ53:CG53)+COLUMN($I$1)-1)&amp;")"),"")</f>
        <v/>
      </c>
      <c r="CH52" s="84" t="str">
        <f ca="1">IF(NOT(ISERROR(CH53)),IF(COLUMN($I:$I)+SUM($BY53:CH53)-1&lt;COLUMN($N:$N),INDEX($1:$1048576,ROW(CH52),SUM($BZ53:CH53)+COLUMN($I$1)-1),INDEX($3:$3,1,COLUMN($I:$I)+SUM($BY53:CH53)-1)&amp;" ("&amp;INDEX($1:$1048576,ROW(CH52),SUM($BZ53:CH53)+COLUMN($I$1)-1)&amp;")"),"")</f>
        <v/>
      </c>
      <c r="CI52" s="84" t="str">
        <f ca="1">IF(NOT(ISERROR(CI53)),IF(COLUMN($I:$I)+SUM($BY53:CI53)-1&lt;COLUMN($N:$N),INDEX($1:$1048576,ROW(CI52),SUM($BZ53:CI53)+COLUMN($I$1)-1),INDEX($3:$3,1,COLUMN($I:$I)+SUM($BY53:CI53)-1)&amp;" ("&amp;INDEX($1:$1048576,ROW(CI52),SUM($BZ53:CI53)+COLUMN($I$1)-1)&amp;")"),"")</f>
        <v/>
      </c>
      <c r="CJ52" s="84" t="str">
        <f ca="1">IF(NOT(ISERROR(CJ53)),IF(COLUMN($I:$I)+SUM($BY53:CJ53)-1&lt;COLUMN($N:$N),INDEX($1:$1048576,ROW(CJ52),SUM($BZ53:CJ53)+COLUMN($I$1)-1),INDEX($3:$3,1,COLUMN($I:$I)+SUM($BY53:CJ53)-1)&amp;" ("&amp;INDEX($1:$1048576,ROW(CJ52),SUM($BZ53:CJ53)+COLUMN($I$1)-1)&amp;")"),"")</f>
        <v/>
      </c>
      <c r="CK52" s="87"/>
    </row>
    <row r="53" spans="1:89" s="88" customFormat="1" x14ac:dyDescent="0.25">
      <c r="A53" s="705"/>
      <c r="B53" s="707"/>
      <c r="C53" s="707"/>
      <c r="D53" s="709"/>
      <c r="E53" s="707"/>
      <c r="F53" s="699"/>
      <c r="G53" s="701"/>
      <c r="H53" s="701"/>
      <c r="J53" s="92" t="e">
        <f>IF(J52&gt;0,IF(AND(INDEX('General Merits'!$F:$F,MATCH($J52,'General Merits'!$F:$F,0),1)&gt;0,VLOOKUP('Merit Data'!J52,'General Merits'!$F:$Z,COLUMN('General Merits'!$N:$N),0)),TRUE,FALSE),#N/A)</f>
        <v>#N/A</v>
      </c>
      <c r="K53" s="92" t="e">
        <f>IF(K52&gt;0,IF(AND(INDEX('General Merits'!$F:$F,MATCH($J52,'General Merits'!$F:$F,0),1)&gt;0,VLOOKUP('Merit Data'!K52,'General Merits'!$F:$Z,COLUMN('General Merits'!$N:$N),0)),TRUE,FALSE),#N/A)</f>
        <v>#N/A</v>
      </c>
      <c r="L53" s="92" t="e">
        <f>IF(L52&gt;0,IF(AND(INDEX('General Merits'!$F:$F,MATCH($J52,'General Merits'!$F:$F,0),1)&gt;0,VLOOKUP('Merit Data'!L52,'General Merits'!$F:$Z,COLUMN('General Merits'!$N:$N),0)),TRUE,FALSE),#N/A)</f>
        <v>#N/A</v>
      </c>
      <c r="N53" s="89" t="e">
        <f>IF(STR&gt;=N52,TRUE)</f>
        <v>#REF!</v>
      </c>
      <c r="O53" s="89" t="e">
        <f>IF(AGI&gt;=O52,TRUE)</f>
        <v>#REF!</v>
      </c>
      <c r="P53" s="89" t="e">
        <f>IF(CON&gt;=P52,TRUE)</f>
        <v>#REF!</v>
      </c>
      <c r="Q53" s="89" t="e">
        <f>IF(INT&gt;=Q52,TRUE)</f>
        <v>#REF!</v>
      </c>
      <c r="R53" s="89" t="e">
        <f>IF(WIS&gt;=R52,TRUE)</f>
        <v>#REF!</v>
      </c>
      <c r="S53" s="89" t="e">
        <f>IF(FOC&gt;=S52,TRUE)</f>
        <v>#REF!</v>
      </c>
      <c r="T53" s="89" t="e">
        <f>IF(CHA&gt;=T52,TRUE)</f>
        <v>#REF!</v>
      </c>
      <c r="U53" s="89" t="e">
        <f>IF(INS&gt;=U52,TRUE)</f>
        <v>#REF!</v>
      </c>
      <c r="V53" s="89" t="e">
        <f>IF(CNV&gt;=V52,TRUE)</f>
        <v>#REF!</v>
      </c>
      <c r="W53" s="89"/>
      <c r="X53" s="89" t="e">
        <f>IF(Archery&gt;=X52,TRUE)</f>
        <v>#REF!</v>
      </c>
      <c r="Y53" s="89" t="e">
        <f>IF(Crossbows&gt;=Y52,TRUE)</f>
        <v>#REF!</v>
      </c>
      <c r="Z53" s="89" t="e">
        <f>IF(Daggers&gt;=Z52,TRUE)</f>
        <v>#REF!</v>
      </c>
      <c r="AA53" s="89" t="e">
        <f>IF(HandtoHandCombat&gt;=AA52,TRUE)</f>
        <v>#REF!</v>
      </c>
      <c r="AB53" s="89" t="e">
        <f>IF(HeavyArmor&gt;=AB52,TRUE)</f>
        <v>#REF!</v>
      </c>
      <c r="AC53" s="89" t="e">
        <f>IF(ImprovisedWeaponry&gt;=AC52,TRUE)</f>
        <v>#NAME?</v>
      </c>
      <c r="AD53" s="89" t="e">
        <f>IF(LightArmor&gt;=AD52,TRUE)</f>
        <v>#REF!</v>
      </c>
      <c r="AE53" s="89" t="e">
        <f>IF(Magicka&gt;=AE52,TRUE)</f>
        <v>#REF!</v>
      </c>
      <c r="AF53" s="89" t="e">
        <f>IF(OR(Archery&gt;=AF52,Crossbows&gt;=AF52,Daggers&gt;=AF52,HandtoHandCombat&gt;=AF52,ImprovisedWeaponry&gt;=AF52,Axes&gt;=AF52,Maces&gt;=AF52,Swords&gt;=AF52,Polearms&gt;=AF52,Staves&gt;=AF52,Throwing&gt;=AF52,TwoHandedAxes&gt;=AF52,TwoHandedMaces&gt;=AF52,TwoHandedSwords&gt;=AF52),TRUE)</f>
        <v>#REF!</v>
      </c>
      <c r="AG53" s="89" t="e">
        <f>IF(Axes&gt;=AG52,TRUE)</f>
        <v>#REF!</v>
      </c>
      <c r="AH53" s="89" t="e">
        <f>IF(Maces&gt;=AH52,TRUE)</f>
        <v>#REF!</v>
      </c>
      <c r="AI53" s="89" t="e">
        <f>IF(Swords&gt;=AI52,TRUE)</f>
        <v>#REF!</v>
      </c>
      <c r="AJ53" s="89" t="e">
        <f>IF(Polearms&gt;=AJ52,TRUE)</f>
        <v>#REF!</v>
      </c>
      <c r="AK53" s="89" t="e">
        <f>IF(Shields&gt;=AK52,TRUE)</f>
        <v>#REF!</v>
      </c>
      <c r="AL53" s="89" t="e">
        <f>IF(Staves&gt;=AL52,TRUE)</f>
        <v>#REF!</v>
      </c>
      <c r="AM53" s="89" t="e">
        <f>IF(Throwing&gt;=AM52,TRUE)</f>
        <v>#REF!</v>
      </c>
      <c r="AN53" s="89" t="e">
        <f>IF(TwoHandedAxes&gt;=AN52,TRUE)</f>
        <v>#NAME?</v>
      </c>
      <c r="AO53" s="89" t="e">
        <f>IF(TwoHandedMaces&gt;=AO52,TRUE)</f>
        <v>#NAME?</v>
      </c>
      <c r="AP53" s="89" t="e">
        <f>IF(TwoHandedSwords&gt;=AP52,TRUE)</f>
        <v>#NAME?</v>
      </c>
      <c r="AQ53" s="89"/>
      <c r="AR53" s="89" t="e">
        <f>IF(Acrobatics&gt;=AR52,TRUE)</f>
        <v>#REF!</v>
      </c>
      <c r="AS53" s="89" t="e">
        <f>IF(Appraisal&gt;=AS52,TRUE)</f>
        <v>#REF!</v>
      </c>
      <c r="AT53" s="89" t="e">
        <f>IF(Athletics&gt;=AT52,TRUE)</f>
        <v>#REF!</v>
      </c>
      <c r="AU53" s="89" t="e">
        <f>IF(Comprehension&gt;=AU52,TRUE)</f>
        <v>#REF!</v>
      </c>
      <c r="AV53" s="89" t="e">
        <f>IF(Expression&gt;=AV52,TRUE)</f>
        <v>#REF!</v>
      </c>
      <c r="AW53" s="89" t="e">
        <f>IF(Perception&gt;=AW52,TRUE)</f>
        <v>#REF!</v>
      </c>
      <c r="AX53" s="89" t="e">
        <f>IF(Security&gt;=AX52,TRUE)</f>
        <v>#REF!</v>
      </c>
      <c r="AY53" s="89" t="e">
        <f>IF(Stealth&gt;=AY52,TRUE)</f>
        <v>#REF!</v>
      </c>
      <c r="AZ53" s="89" t="e">
        <f>IF(Streetwise&gt;=AZ52,TRUE)</f>
        <v>#REF!</v>
      </c>
      <c r="BA53" s="89" t="e">
        <f>IF(Subterfuge&gt;=BA52,TRUE)</f>
        <v>#REF!</v>
      </c>
      <c r="BB53" s="89" t="e">
        <f>IF(Survival&gt;=BB52,TRUE)</f>
        <v>#REF!</v>
      </c>
      <c r="BC53" s="89"/>
      <c r="BD53" s="89" t="e">
        <f>IF(AncientDraconic&gt;=BD52,TRUE)</f>
        <v>#REF!</v>
      </c>
      <c r="BE53" s="89" t="e">
        <f>IF(AquaElven&gt;=BE52,TRUE)</f>
        <v>#REF!</v>
      </c>
      <c r="BF53" s="89" t="e">
        <f>IF(BasicElven&gt;=BF52,TRUE)</f>
        <v>#REF!</v>
      </c>
      <c r="BG53" s="89" t="e">
        <f>IF(Common&gt;=BG52,TRUE)</f>
        <v>#REF!</v>
      </c>
      <c r="BH53" s="89" t="e">
        <f>IF(DarkElven&gt;=BH52,TRUE)</f>
        <v>#REF!</v>
      </c>
      <c r="BI53" s="89" t="e">
        <f>IF(Davek&gt;=BI52,TRUE)</f>
        <v>#REF!</v>
      </c>
      <c r="BJ53" s="89" t="e">
        <f>IF(Draconic&gt;=BJ52,TRUE)</f>
        <v>#REF!</v>
      </c>
      <c r="BK53" s="89" t="e">
        <f>IF(Eulian&gt;=BK52,TRUE)</f>
        <v>#REF!</v>
      </c>
      <c r="BL53" s="89" t="e">
        <f>IF(Garonian&gt;=BL52,TRUE)</f>
        <v>#REF!</v>
      </c>
      <c r="BM53" s="89" t="e">
        <f>IF(Geovek&gt;=BM52,TRUE)</f>
        <v>#REF!</v>
      </c>
      <c r="BN53" s="89" t="e">
        <f>IF(Gnomish&gt;=BN52,TRUE)</f>
        <v>#REF!</v>
      </c>
      <c r="BO53" s="89" t="e">
        <f>IF(Goblin&gt;=BO52,TRUE)</f>
        <v>#REF!</v>
      </c>
      <c r="BP53" s="89" t="e">
        <f>IF(HighElven&gt;=BP52,TRUE)</f>
        <v>#REF!</v>
      </c>
      <c r="BQ53" s="89" t="e">
        <f>IF(Kotaba&gt;=BQ52,TRUE)</f>
        <v>#REF!</v>
      </c>
      <c r="BR53" s="89" t="e">
        <f>IF(LowerCommon&gt;=BR52,TRUE)</f>
        <v>#REF!</v>
      </c>
      <c r="BS53" s="89" t="e">
        <f>IF(OldElven&gt;=BS52,TRUE)</f>
        <v>#REF!</v>
      </c>
      <c r="BT53" s="89" t="e">
        <f>IF(Sylvan&gt;=BT52,TRUE)</f>
        <v>#REF!</v>
      </c>
      <c r="BU53" s="89" t="e">
        <f>IF(TrueDraconic&gt;=BU52,TRUE)</f>
        <v>#REF!</v>
      </c>
      <c r="BV53" s="89" t="e">
        <f>IF(Volken&gt;=BV52,TRUE)</f>
        <v>#REF!</v>
      </c>
      <c r="BW53" s="89" t="e">
        <f>IF(WoodElven&gt;=BW52,TRUE)</f>
        <v>#REF!</v>
      </c>
      <c r="BX53" s="703"/>
      <c r="BY53" s="89"/>
      <c r="BZ53" s="88" t="e">
        <f ca="1">MATCH(TRUE,INDEX((INDIRECT(INDEX($1:$1,ROW($1:$1),COLUMN($I:$I)+SUM($BY53:BY53))&amp;$CK53-1&amp;":"&amp;$BW$1&amp;$CK53-1)&lt;&gt;0),0),0)</f>
        <v>#N/A</v>
      </c>
      <c r="CA53" s="88" t="e">
        <f ca="1">MATCH(TRUE,INDEX((INDIRECT(INDEX($1:$1,ROW($1:$1),COLUMN($I:$I)+SUM($BY53:BZ53))&amp;$CK53-1&amp;":"&amp;$BW$1&amp;$CK53-1)&lt;&gt;0),0),0)</f>
        <v>#N/A</v>
      </c>
      <c r="CB53" s="88" t="e">
        <f ca="1">MATCH(TRUE,INDEX((INDIRECT(INDEX($1:$1,ROW($1:$1),COLUMN($I:$I)+SUM($BY53:CA53))&amp;$CK53-1&amp;":"&amp;$BW$1&amp;$CK53-1)&lt;&gt;0),0),0)</f>
        <v>#N/A</v>
      </c>
      <c r="CC53" s="88" t="e">
        <f ca="1">MATCH(TRUE,INDEX((INDIRECT(INDEX($1:$1,ROW($1:$1),COLUMN($I:$I)+SUM($BY53:CB53))&amp;$CK53-1&amp;":"&amp;$BW$1&amp;$CK53-1)&lt;&gt;0),0),0)</f>
        <v>#N/A</v>
      </c>
      <c r="CD53" s="88" t="e">
        <f ca="1">MATCH(TRUE,INDEX((INDIRECT(INDEX($1:$1,ROW($1:$1),COLUMN($I:$I)+SUM($BY53:CC53))&amp;$CK53-1&amp;":"&amp;$BW$1&amp;$CK53-1)&lt;&gt;0),0),0)</f>
        <v>#N/A</v>
      </c>
      <c r="CE53" s="88" t="e">
        <f ca="1">MATCH(TRUE,INDEX((INDIRECT(INDEX($1:$1,ROW($1:$1),COLUMN($I:$I)+SUM($BY53:CD53))&amp;$CK53-1&amp;":"&amp;$BW$1&amp;$CK53-1)&lt;&gt;0),0),0)</f>
        <v>#N/A</v>
      </c>
      <c r="CF53" s="88" t="e">
        <f ca="1">MATCH(TRUE,INDEX((INDIRECT(INDEX($1:$1,ROW($1:$1),COLUMN($I:$I)+SUM($BY53:CE53))&amp;$CK53-1&amp;":"&amp;$BW$1&amp;$CK53-1)&lt;&gt;0),0),0)</f>
        <v>#N/A</v>
      </c>
      <c r="CG53" s="88" t="e">
        <f ca="1">MATCH(TRUE,INDEX((INDIRECT(INDEX($1:$1,ROW($1:$1),COLUMN($I:$I)+SUM($BY53:CF53))&amp;$CK53-1&amp;":"&amp;$BW$1&amp;$CK53-1)&lt;&gt;0),0),0)</f>
        <v>#N/A</v>
      </c>
      <c r="CH53" s="88" t="e">
        <f ca="1">MATCH(TRUE,INDEX((INDIRECT(INDEX($1:$1,ROW($1:$1),COLUMN($I:$I)+SUM($BY53:CG53))&amp;$CK53-1&amp;":"&amp;$BW$1&amp;$CK53-1)&lt;&gt;0),0),0)</f>
        <v>#N/A</v>
      </c>
      <c r="CI53" s="88" t="e">
        <f ca="1">MATCH(TRUE,INDEX((INDIRECT(INDEX($1:$1,ROW($1:$1),COLUMN($I:$I)+SUM($BY53:CH53))&amp;$CK53-1&amp;":"&amp;$BW$1&amp;$CK53-1)&lt;&gt;0),0),0)</f>
        <v>#N/A</v>
      </c>
      <c r="CJ53" s="88" t="e">
        <f ca="1">MATCH(TRUE,INDEX((INDIRECT(INDEX($1:$1,ROW($1:$1),COLUMN($I:$I)+SUM($BY53:CI53))&amp;$CK53-1&amp;":"&amp;$BW$1&amp;$CK53-1)&lt;&gt;0),0),0)</f>
        <v>#N/A</v>
      </c>
      <c r="CK53" s="90">
        <f>ROW(CK53)</f>
        <v>53</v>
      </c>
    </row>
    <row r="54" spans="1:89" s="84" customFormat="1" ht="15" customHeight="1" x14ac:dyDescent="0.25">
      <c r="A54" s="704" t="s">
        <v>487</v>
      </c>
      <c r="B54" s="706" t="b">
        <f>ISERROR(MATCH(FALSE,$J55:$BW55,0))</f>
        <v>1</v>
      </c>
      <c r="C54" s="706" t="b">
        <f>IF(AND(INDEX('General Merits'!$F:$F,MATCH(A54,'General Merits'!$F:$F,0))&gt;0,VLOOKUP(A54,'General Merits'!$F:$Q,10,0)),TRUE,FALSE)</f>
        <v>0</v>
      </c>
      <c r="D54" s="708">
        <v>2</v>
      </c>
      <c r="E54" s="706">
        <f>D54*100</f>
        <v>200</v>
      </c>
      <c r="F54" s="698" t="s">
        <v>488</v>
      </c>
      <c r="G54" s="700"/>
      <c r="H54" s="700"/>
      <c r="J54" s="235"/>
      <c r="K54" s="235"/>
      <c r="L54" s="235"/>
      <c r="N54" s="85"/>
      <c r="O54" s="85"/>
      <c r="P54" s="85">
        <v>18</v>
      </c>
      <c r="Q54" s="85"/>
      <c r="R54" s="85"/>
      <c r="S54" s="85"/>
      <c r="T54" s="85"/>
      <c r="U54" s="85"/>
      <c r="V54" s="85"/>
      <c r="W54" s="86"/>
      <c r="X54" s="85"/>
      <c r="Y54" s="85"/>
      <c r="Z54" s="85"/>
      <c r="AA54" s="85"/>
      <c r="AB54" s="85"/>
      <c r="AC54" s="85"/>
      <c r="AD54" s="85"/>
      <c r="AE54" s="85"/>
      <c r="AF54" s="236"/>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702" t="str">
        <f ca="1">IF(BZ54&lt;&gt;"",BZ54,"")&amp;IF(CA54&lt;&gt;"",", "&amp;CA54,"")&amp;IF(CB54&lt;&gt;"",", "&amp;CB54,"")&amp;IF(CC54&lt;&gt;"",", "&amp;CC54,"")&amp;IF(CD54&lt;&gt;"",", "&amp;CD54,"")&amp;IF(CE54&lt;&gt;"",", "&amp;CE54,"")&amp;IF(CF54&lt;&gt;"",", "&amp;CF54,"")&amp;IF(CG54&lt;&gt;"",", "&amp;CG54,"")&amp;IF(CH54&lt;&gt;"",", "&amp;CH54,"")&amp;IF(CI54&lt;&gt;"",", "&amp;CI54,"")</f>
        <v>Constitution (18)</v>
      </c>
      <c r="BY54" s="85"/>
      <c r="BZ54" s="84" t="str">
        <f ca="1">IF(NOT(ISERROR(BZ55)),IF(COLUMN($I:$I)+SUM($BY55:BZ55)-1&lt;COLUMN($N:$N),INDEX($1:$1048576,ROW(BZ54),SUM($BZ55:BZ55)+COLUMN($I$1)-1),INDEX($3:$3,1,COLUMN($I:$I)+SUM($BY55:BZ55)-1)&amp;" ("&amp;INDEX($1:$1048576,ROW(BZ54),SUM($BZ55:BZ55)+COLUMN($I$1)-1)&amp;")"),"")</f>
        <v>Constitution (18)</v>
      </c>
      <c r="CA54" s="84" t="str">
        <f ca="1">IF(NOT(ISERROR(CA55)),IF(COLUMN($I:$I)+SUM($BY55:CA55)-1&lt;COLUMN($N:$N),INDEX($1:$1048576,ROW(CA54),SUM($BZ55:CA55)+COLUMN($I$1)-1),INDEX($3:$3,1,COLUMN($I:$I)+SUM($BY55:CA55)-1)&amp;" ("&amp;INDEX($1:$1048576,ROW(CA54),SUM($BZ55:CA55)+COLUMN($I$1)-1)&amp;")"),"")</f>
        <v/>
      </c>
      <c r="CB54" s="84" t="str">
        <f ca="1">IF(NOT(ISERROR(CB55)),IF(COLUMN($I:$I)+SUM($BY55:CB55)-1&lt;COLUMN($N:$N),INDEX($1:$1048576,ROW(CB54),SUM($BZ55:CB55)+COLUMN($I$1)-1),INDEX($3:$3,1,COLUMN($I:$I)+SUM($BY55:CB55)-1)&amp;" ("&amp;INDEX($1:$1048576,ROW(CB54),SUM($BZ55:CB55)+COLUMN($I$1)-1)&amp;")"),"")</f>
        <v/>
      </c>
      <c r="CC54" s="84" t="str">
        <f ca="1">IF(NOT(ISERROR(CC55)),IF(COLUMN($I:$I)+SUM($BY55:CC55)-1&lt;COLUMN($N:$N),INDEX($1:$1048576,ROW(CC54),SUM($BZ55:CC55)+COLUMN($I$1)-1),INDEX($3:$3,1,COLUMN($I:$I)+SUM($BY55:CC55)-1)&amp;" ("&amp;INDEX($1:$1048576,ROW(CC54),SUM($BZ55:CC55)+COLUMN($I$1)-1)&amp;")"),"")</f>
        <v/>
      </c>
      <c r="CD54" s="84" t="str">
        <f ca="1">IF(NOT(ISERROR(CD55)),IF(COLUMN($I:$I)+SUM($BY55:CD55)-1&lt;COLUMN($N:$N),INDEX($1:$1048576,ROW(CD54),SUM($BZ55:CD55)+COLUMN($I$1)-1),INDEX($3:$3,1,COLUMN($I:$I)+SUM($BY55:CD55)-1)&amp;" ("&amp;INDEX($1:$1048576,ROW(CD54),SUM($BZ55:CD55)+COLUMN($I$1)-1)&amp;")"),"")</f>
        <v/>
      </c>
      <c r="CE54" s="84" t="str">
        <f ca="1">IF(NOT(ISERROR(CE55)),IF(COLUMN($I:$I)+SUM($BY55:CE55)-1&lt;COLUMN($N:$N),INDEX($1:$1048576,ROW(CE54),SUM($BZ55:CE55)+COLUMN($I$1)-1),INDEX($3:$3,1,COLUMN($I:$I)+SUM($BY55:CE55)-1)&amp;" ("&amp;INDEX($1:$1048576,ROW(CE54),SUM($BZ55:CE55)+COLUMN($I$1)-1)&amp;")"),"")</f>
        <v/>
      </c>
      <c r="CF54" s="84" t="str">
        <f ca="1">IF(NOT(ISERROR(CF55)),IF(COLUMN($I:$I)+SUM($BY55:CF55)-1&lt;COLUMN($N:$N),INDEX($1:$1048576,ROW(CF54),SUM($BZ55:CF55)+COLUMN($I$1)-1),INDEX($3:$3,1,COLUMN($I:$I)+SUM($BY55:CF55)-1)&amp;" ("&amp;INDEX($1:$1048576,ROW(CF54),SUM($BZ55:CF55)+COLUMN($I$1)-1)&amp;")"),"")</f>
        <v/>
      </c>
      <c r="CG54" s="84" t="str">
        <f ca="1">IF(NOT(ISERROR(CG55)),IF(COLUMN($I:$I)+SUM($BY55:CG55)-1&lt;COLUMN($N:$N),INDEX($1:$1048576,ROW(CG54),SUM($BZ55:CG55)+COLUMN($I$1)-1),INDEX($3:$3,1,COLUMN($I:$I)+SUM($BY55:CG55)-1)&amp;" ("&amp;INDEX($1:$1048576,ROW(CG54),SUM($BZ55:CG55)+COLUMN($I$1)-1)&amp;")"),"")</f>
        <v/>
      </c>
      <c r="CH54" s="84" t="str">
        <f ca="1">IF(NOT(ISERROR(CH55)),IF(COLUMN($I:$I)+SUM($BY55:CH55)-1&lt;COLUMN($N:$N),INDEX($1:$1048576,ROW(CH54),SUM($BZ55:CH55)+COLUMN($I$1)-1),INDEX($3:$3,1,COLUMN($I:$I)+SUM($BY55:CH55)-1)&amp;" ("&amp;INDEX($1:$1048576,ROW(CH54),SUM($BZ55:CH55)+COLUMN($I$1)-1)&amp;")"),"")</f>
        <v/>
      </c>
      <c r="CI54" s="84" t="str">
        <f ca="1">IF(NOT(ISERROR(CI55)),IF(COLUMN($I:$I)+SUM($BY55:CI55)-1&lt;COLUMN($N:$N),INDEX($1:$1048576,ROW(CI54),SUM($BZ55:CI55)+COLUMN($I$1)-1),INDEX($3:$3,1,COLUMN($I:$I)+SUM($BY55:CI55)-1)&amp;" ("&amp;INDEX($1:$1048576,ROW(CI54),SUM($BZ55:CI55)+COLUMN($I$1)-1)&amp;")"),"")</f>
        <v/>
      </c>
      <c r="CJ54" s="84" t="str">
        <f ca="1">IF(NOT(ISERROR(CJ55)),IF(COLUMN($I:$I)+SUM($BY55:CJ55)-1&lt;COLUMN($N:$N),INDEX($1:$1048576,ROW(CJ54),SUM($BZ55:CJ55)+COLUMN($I$1)-1),INDEX($3:$3,1,COLUMN($I:$I)+SUM($BY55:CJ55)-1)&amp;" ("&amp;INDEX($1:$1048576,ROW(CJ54),SUM($BZ55:CJ55)+COLUMN($I$1)-1)&amp;")"),"")</f>
        <v/>
      </c>
      <c r="CK54" s="87"/>
    </row>
    <row r="55" spans="1:89" s="88" customFormat="1" x14ac:dyDescent="0.25">
      <c r="A55" s="705"/>
      <c r="B55" s="707"/>
      <c r="C55" s="707"/>
      <c r="D55" s="709"/>
      <c r="E55" s="707"/>
      <c r="F55" s="699"/>
      <c r="G55" s="701"/>
      <c r="H55" s="701"/>
      <c r="J55" s="92" t="e">
        <f>IF(J54&gt;0,IF(AND(INDEX('General Merits'!$F:$F,MATCH($J54,'General Merits'!$F:$F,0),1)&gt;0,VLOOKUP('Merit Data'!J54,'General Merits'!$F:$Z,COLUMN('General Merits'!$N:$N),0)),TRUE,FALSE),#N/A)</f>
        <v>#N/A</v>
      </c>
      <c r="K55" s="92" t="e">
        <f>IF(K54&gt;0,IF(AND(INDEX('General Merits'!$F:$F,MATCH($J54,'General Merits'!$F:$F,0),1)&gt;0,VLOOKUP('Merit Data'!K54,'General Merits'!$F:$Z,COLUMN('General Merits'!$N:$N),0)),TRUE,FALSE),#N/A)</f>
        <v>#N/A</v>
      </c>
      <c r="L55" s="92" t="e">
        <f>IF(L54&gt;0,IF(AND(INDEX('General Merits'!$F:$F,MATCH($J54,'General Merits'!$F:$F,0),1)&gt;0,VLOOKUP('Merit Data'!L54,'General Merits'!$F:$Z,COLUMN('General Merits'!$N:$N),0)),TRUE,FALSE),#N/A)</f>
        <v>#N/A</v>
      </c>
      <c r="N55" s="89" t="e">
        <f>IF(STR&gt;=N54,TRUE)</f>
        <v>#REF!</v>
      </c>
      <c r="O55" s="89" t="e">
        <f>IF(AGI&gt;=O54,TRUE)</f>
        <v>#REF!</v>
      </c>
      <c r="P55" s="89" t="e">
        <f>IF(CON&gt;=P54,TRUE)</f>
        <v>#REF!</v>
      </c>
      <c r="Q55" s="89" t="e">
        <f>IF(INT&gt;=Q54,TRUE)</f>
        <v>#REF!</v>
      </c>
      <c r="R55" s="89" t="e">
        <f>IF(WIS&gt;=R54,TRUE)</f>
        <v>#REF!</v>
      </c>
      <c r="S55" s="89" t="e">
        <f>IF(FOC&gt;=S54,TRUE)</f>
        <v>#REF!</v>
      </c>
      <c r="T55" s="89" t="e">
        <f>IF(CHA&gt;=T54,TRUE)</f>
        <v>#REF!</v>
      </c>
      <c r="U55" s="89" t="e">
        <f>IF(INS&gt;=U54,TRUE)</f>
        <v>#REF!</v>
      </c>
      <c r="V55" s="89" t="e">
        <f>IF(CNV&gt;=V54,TRUE)</f>
        <v>#REF!</v>
      </c>
      <c r="W55" s="89"/>
      <c r="X55" s="89" t="e">
        <f>IF(Archery&gt;=X54,TRUE)</f>
        <v>#REF!</v>
      </c>
      <c r="Y55" s="89" t="e">
        <f>IF(Crossbows&gt;=Y54,TRUE)</f>
        <v>#REF!</v>
      </c>
      <c r="Z55" s="89" t="e">
        <f>IF(Daggers&gt;=Z54,TRUE)</f>
        <v>#REF!</v>
      </c>
      <c r="AA55" s="89" t="e">
        <f>IF(HandtoHandCombat&gt;=AA54,TRUE)</f>
        <v>#REF!</v>
      </c>
      <c r="AB55" s="89" t="e">
        <f>IF(HeavyArmor&gt;=AB54,TRUE)</f>
        <v>#REF!</v>
      </c>
      <c r="AC55" s="89" t="e">
        <f>IF(ImprovisedWeaponry&gt;=AC54,TRUE)</f>
        <v>#NAME?</v>
      </c>
      <c r="AD55" s="89" t="e">
        <f>IF(LightArmor&gt;=AD54,TRUE)</f>
        <v>#REF!</v>
      </c>
      <c r="AE55" s="89" t="e">
        <f>IF(Magicka&gt;=AE54,TRUE)</f>
        <v>#REF!</v>
      </c>
      <c r="AF55" s="89" t="e">
        <f>IF(OR(Archery&gt;=AF54,Crossbows&gt;=AF54,Daggers&gt;=AF54,HandtoHandCombat&gt;=AF54,ImprovisedWeaponry&gt;=AF54,Axes&gt;=AF54,Maces&gt;=AF54,Swords&gt;=AF54,Polearms&gt;=AF54,Staves&gt;=AF54,Throwing&gt;=AF54,TwoHandedAxes&gt;=AF54,TwoHandedMaces&gt;=AF54,TwoHandedSwords&gt;=AF54),TRUE)</f>
        <v>#REF!</v>
      </c>
      <c r="AG55" s="89" t="e">
        <f>IF(Axes&gt;=AG54,TRUE)</f>
        <v>#REF!</v>
      </c>
      <c r="AH55" s="89" t="e">
        <f>IF(Maces&gt;=AH54,TRUE)</f>
        <v>#REF!</v>
      </c>
      <c r="AI55" s="89" t="e">
        <f>IF(Swords&gt;=AI54,TRUE)</f>
        <v>#REF!</v>
      </c>
      <c r="AJ55" s="89" t="e">
        <f>IF(Polearms&gt;=AJ54,TRUE)</f>
        <v>#REF!</v>
      </c>
      <c r="AK55" s="89" t="e">
        <f>IF(Shields&gt;=AK54,TRUE)</f>
        <v>#REF!</v>
      </c>
      <c r="AL55" s="89" t="e">
        <f>IF(Staves&gt;=AL54,TRUE)</f>
        <v>#REF!</v>
      </c>
      <c r="AM55" s="89" t="e">
        <f>IF(Throwing&gt;=AM54,TRUE)</f>
        <v>#REF!</v>
      </c>
      <c r="AN55" s="89" t="e">
        <f>IF(TwoHandedAxes&gt;=AN54,TRUE)</f>
        <v>#NAME?</v>
      </c>
      <c r="AO55" s="89" t="e">
        <f>IF(TwoHandedMaces&gt;=AO54,TRUE)</f>
        <v>#NAME?</v>
      </c>
      <c r="AP55" s="89" t="e">
        <f>IF(TwoHandedSwords&gt;=AP54,TRUE)</f>
        <v>#NAME?</v>
      </c>
      <c r="AQ55" s="89"/>
      <c r="AR55" s="89" t="e">
        <f>IF(Acrobatics&gt;=AR54,TRUE)</f>
        <v>#REF!</v>
      </c>
      <c r="AS55" s="89" t="e">
        <f>IF(Appraisal&gt;=AS54,TRUE)</f>
        <v>#REF!</v>
      </c>
      <c r="AT55" s="89" t="e">
        <f>IF(Athletics&gt;=AT54,TRUE)</f>
        <v>#REF!</v>
      </c>
      <c r="AU55" s="89" t="e">
        <f>IF(Comprehension&gt;=AU54,TRUE)</f>
        <v>#REF!</v>
      </c>
      <c r="AV55" s="89" t="e">
        <f>IF(Expression&gt;=AV54,TRUE)</f>
        <v>#REF!</v>
      </c>
      <c r="AW55" s="89" t="e">
        <f>IF(Perception&gt;=AW54,TRUE)</f>
        <v>#REF!</v>
      </c>
      <c r="AX55" s="89" t="e">
        <f>IF(Security&gt;=AX54,TRUE)</f>
        <v>#REF!</v>
      </c>
      <c r="AY55" s="89" t="e">
        <f>IF(Stealth&gt;=AY54,TRUE)</f>
        <v>#REF!</v>
      </c>
      <c r="AZ55" s="89" t="e">
        <f>IF(Streetwise&gt;=AZ54,TRUE)</f>
        <v>#REF!</v>
      </c>
      <c r="BA55" s="89" t="e">
        <f>IF(Subterfuge&gt;=BA54,TRUE)</f>
        <v>#REF!</v>
      </c>
      <c r="BB55" s="89" t="e">
        <f>IF(Survival&gt;=BB54,TRUE)</f>
        <v>#REF!</v>
      </c>
      <c r="BC55" s="89"/>
      <c r="BD55" s="89" t="e">
        <f>IF(AncientDraconic&gt;=BD54,TRUE)</f>
        <v>#REF!</v>
      </c>
      <c r="BE55" s="89" t="e">
        <f>IF(AquaElven&gt;=BE54,TRUE)</f>
        <v>#REF!</v>
      </c>
      <c r="BF55" s="89" t="e">
        <f>IF(BasicElven&gt;=BF54,TRUE)</f>
        <v>#REF!</v>
      </c>
      <c r="BG55" s="89" t="e">
        <f>IF(Common&gt;=BG54,TRUE)</f>
        <v>#REF!</v>
      </c>
      <c r="BH55" s="89" t="e">
        <f>IF(DarkElven&gt;=BH54,TRUE)</f>
        <v>#REF!</v>
      </c>
      <c r="BI55" s="89" t="e">
        <f>IF(Davek&gt;=BI54,TRUE)</f>
        <v>#REF!</v>
      </c>
      <c r="BJ55" s="89" t="e">
        <f>IF(Draconic&gt;=BJ54,TRUE)</f>
        <v>#REF!</v>
      </c>
      <c r="BK55" s="89" t="e">
        <f>IF(Eulian&gt;=BK54,TRUE)</f>
        <v>#REF!</v>
      </c>
      <c r="BL55" s="89" t="e">
        <f>IF(Garonian&gt;=BL54,TRUE)</f>
        <v>#REF!</v>
      </c>
      <c r="BM55" s="89" t="e">
        <f>IF(Geovek&gt;=BM54,TRUE)</f>
        <v>#REF!</v>
      </c>
      <c r="BN55" s="89" t="e">
        <f>IF(Gnomish&gt;=BN54,TRUE)</f>
        <v>#REF!</v>
      </c>
      <c r="BO55" s="89" t="e">
        <f>IF(Goblin&gt;=BO54,TRUE)</f>
        <v>#REF!</v>
      </c>
      <c r="BP55" s="89" t="e">
        <f>IF(HighElven&gt;=BP54,TRUE)</f>
        <v>#REF!</v>
      </c>
      <c r="BQ55" s="89" t="e">
        <f>IF(Kotaba&gt;=BQ54,TRUE)</f>
        <v>#REF!</v>
      </c>
      <c r="BR55" s="89" t="e">
        <f>IF(LowerCommon&gt;=BR54,TRUE)</f>
        <v>#REF!</v>
      </c>
      <c r="BS55" s="89" t="e">
        <f>IF(OldElven&gt;=BS54,TRUE)</f>
        <v>#REF!</v>
      </c>
      <c r="BT55" s="89" t="e">
        <f>IF(Sylvan&gt;=BT54,TRUE)</f>
        <v>#REF!</v>
      </c>
      <c r="BU55" s="89" t="e">
        <f>IF(TrueDraconic&gt;=BU54,TRUE)</f>
        <v>#REF!</v>
      </c>
      <c r="BV55" s="89" t="e">
        <f>IF(Volken&gt;=BV54,TRUE)</f>
        <v>#REF!</v>
      </c>
      <c r="BW55" s="89" t="e">
        <f>IF(WoodElven&gt;=BW54,TRUE)</f>
        <v>#REF!</v>
      </c>
      <c r="BX55" s="703"/>
      <c r="BY55" s="89"/>
      <c r="BZ55" s="88">
        <f ca="1">MATCH(TRUE,INDEX((INDIRECT(INDEX($1:$1,ROW($1:$1),COLUMN($I:$I)+SUM($BY55:BY55))&amp;$CK55-1&amp;":"&amp;$BW$1&amp;$CK55-1)&lt;&gt;0),0),0)</f>
        <v>8</v>
      </c>
      <c r="CA55" s="88" t="e">
        <f ca="1">MATCH(TRUE,INDEX((INDIRECT(INDEX($1:$1,ROW($1:$1),COLUMN($I:$I)+SUM($BY55:BZ55))&amp;$CK55-1&amp;":"&amp;$BW$1&amp;$CK55-1)&lt;&gt;0),0),0)</f>
        <v>#N/A</v>
      </c>
      <c r="CB55" s="88" t="e">
        <f ca="1">MATCH(TRUE,INDEX((INDIRECT(INDEX($1:$1,ROW($1:$1),COLUMN($I:$I)+SUM($BY55:CA55))&amp;$CK55-1&amp;":"&amp;$BW$1&amp;$CK55-1)&lt;&gt;0),0),0)</f>
        <v>#N/A</v>
      </c>
      <c r="CC55" s="88" t="e">
        <f ca="1">MATCH(TRUE,INDEX((INDIRECT(INDEX($1:$1,ROW($1:$1),COLUMN($I:$I)+SUM($BY55:CB55))&amp;$CK55-1&amp;":"&amp;$BW$1&amp;$CK55-1)&lt;&gt;0),0),0)</f>
        <v>#N/A</v>
      </c>
      <c r="CD55" s="88" t="e">
        <f ca="1">MATCH(TRUE,INDEX((INDIRECT(INDEX($1:$1,ROW($1:$1),COLUMN($I:$I)+SUM($BY55:CC55))&amp;$CK55-1&amp;":"&amp;$BW$1&amp;$CK55-1)&lt;&gt;0),0),0)</f>
        <v>#N/A</v>
      </c>
      <c r="CE55" s="88" t="e">
        <f ca="1">MATCH(TRUE,INDEX((INDIRECT(INDEX($1:$1,ROW($1:$1),COLUMN($I:$I)+SUM($BY55:CD55))&amp;$CK55-1&amp;":"&amp;$BW$1&amp;$CK55-1)&lt;&gt;0),0),0)</f>
        <v>#N/A</v>
      </c>
      <c r="CF55" s="88" t="e">
        <f ca="1">MATCH(TRUE,INDEX((INDIRECT(INDEX($1:$1,ROW($1:$1),COLUMN($I:$I)+SUM($BY55:CE55))&amp;$CK55-1&amp;":"&amp;$BW$1&amp;$CK55-1)&lt;&gt;0),0),0)</f>
        <v>#N/A</v>
      </c>
      <c r="CG55" s="88" t="e">
        <f ca="1">MATCH(TRUE,INDEX((INDIRECT(INDEX($1:$1,ROW($1:$1),COLUMN($I:$I)+SUM($BY55:CF55))&amp;$CK55-1&amp;":"&amp;$BW$1&amp;$CK55-1)&lt;&gt;0),0),0)</f>
        <v>#N/A</v>
      </c>
      <c r="CH55" s="88" t="e">
        <f ca="1">MATCH(TRUE,INDEX((INDIRECT(INDEX($1:$1,ROW($1:$1),COLUMN($I:$I)+SUM($BY55:CG55))&amp;$CK55-1&amp;":"&amp;$BW$1&amp;$CK55-1)&lt;&gt;0),0),0)</f>
        <v>#N/A</v>
      </c>
      <c r="CI55" s="88" t="e">
        <f ca="1">MATCH(TRUE,INDEX((INDIRECT(INDEX($1:$1,ROW($1:$1),COLUMN($I:$I)+SUM($BY55:CH55))&amp;$CK55-1&amp;":"&amp;$BW$1&amp;$CK55-1)&lt;&gt;0),0),0)</f>
        <v>#N/A</v>
      </c>
      <c r="CJ55" s="88" t="e">
        <f ca="1">MATCH(TRUE,INDEX((INDIRECT(INDEX($1:$1,ROW($1:$1),COLUMN($I:$I)+SUM($BY55:CI55))&amp;$CK55-1&amp;":"&amp;$BW$1&amp;$CK55-1)&lt;&gt;0),0),0)</f>
        <v>#N/A</v>
      </c>
      <c r="CK55" s="90">
        <f>ROW(CK55)</f>
        <v>55</v>
      </c>
    </row>
    <row r="56" spans="1:89" s="84" customFormat="1" ht="15" customHeight="1" x14ac:dyDescent="0.25">
      <c r="A56" s="704" t="s">
        <v>489</v>
      </c>
      <c r="B56" s="706" t="b">
        <f>ISERROR(MATCH(FALSE,$J57:$BW57,0))</f>
        <v>1</v>
      </c>
      <c r="C56" s="706" t="b">
        <f>IF(AND(INDEX('General Merits'!$F:$F,MATCH(A56,'General Merits'!$F:$F,0))&gt;0,VLOOKUP(A56,'General Merits'!$F:$Q,10,0)),TRUE,FALSE)</f>
        <v>0</v>
      </c>
      <c r="D56" s="708">
        <v>2</v>
      </c>
      <c r="E56" s="706">
        <f>D56*100</f>
        <v>200</v>
      </c>
      <c r="F56" s="698" t="s">
        <v>490</v>
      </c>
      <c r="G56" s="700"/>
      <c r="H56" s="700"/>
      <c r="J56" s="235"/>
      <c r="K56" s="235"/>
      <c r="L56" s="235"/>
      <c r="N56" s="85"/>
      <c r="O56" s="85"/>
      <c r="P56" s="85">
        <v>23</v>
      </c>
      <c r="Q56" s="85"/>
      <c r="R56" s="85"/>
      <c r="S56" s="85"/>
      <c r="T56" s="85"/>
      <c r="U56" s="85"/>
      <c r="V56" s="85"/>
      <c r="W56" s="86"/>
      <c r="X56" s="85"/>
      <c r="Y56" s="85"/>
      <c r="Z56" s="85"/>
      <c r="AA56" s="85"/>
      <c r="AB56" s="85"/>
      <c r="AC56" s="85"/>
      <c r="AD56" s="85"/>
      <c r="AE56" s="85"/>
      <c r="AF56" s="236"/>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702" t="str">
        <f ca="1">IF(BZ56&lt;&gt;"",BZ56,"")&amp;IF(CA56&lt;&gt;"",", "&amp;CA56,"")&amp;IF(CB56&lt;&gt;"",", "&amp;CB56,"")&amp;IF(CC56&lt;&gt;"",", "&amp;CC56,"")&amp;IF(CD56&lt;&gt;"",", "&amp;CD56,"")&amp;IF(CE56&lt;&gt;"",", "&amp;CE56,"")&amp;IF(CF56&lt;&gt;"",", "&amp;CF56,"")&amp;IF(CG56&lt;&gt;"",", "&amp;CG56,"")&amp;IF(CH56&lt;&gt;"",", "&amp;CH56,"")&amp;IF(CI56&lt;&gt;"",", "&amp;CI56,"")</f>
        <v>Constitution (23)</v>
      </c>
      <c r="BY56" s="85"/>
      <c r="BZ56" s="84" t="str">
        <f ca="1">IF(NOT(ISERROR(BZ57)),IF(COLUMN($I:$I)+SUM($BY57:BZ57)-1&lt;COLUMN($N:$N),INDEX($1:$1048576,ROW(BZ56),SUM($BZ57:BZ57)+COLUMN($I$1)-1),INDEX($3:$3,1,COLUMN($I:$I)+SUM($BY57:BZ57)-1)&amp;" ("&amp;INDEX($1:$1048576,ROW(BZ56),SUM($BZ57:BZ57)+COLUMN($I$1)-1)&amp;")"),"")</f>
        <v>Constitution (23)</v>
      </c>
      <c r="CA56" s="84" t="str">
        <f ca="1">IF(NOT(ISERROR(CA57)),IF(COLUMN($I:$I)+SUM($BY57:CA57)-1&lt;COLUMN($N:$N),INDEX($1:$1048576,ROW(CA56),SUM($BZ57:CA57)+COLUMN($I$1)-1),INDEX($3:$3,1,COLUMN($I:$I)+SUM($BY57:CA57)-1)&amp;" ("&amp;INDEX($1:$1048576,ROW(CA56),SUM($BZ57:CA57)+COLUMN($I$1)-1)&amp;")"),"")</f>
        <v/>
      </c>
      <c r="CB56" s="84" t="str">
        <f ca="1">IF(NOT(ISERROR(CB57)),IF(COLUMN($I:$I)+SUM($BY57:CB57)-1&lt;COLUMN($N:$N),INDEX($1:$1048576,ROW(CB56),SUM($BZ57:CB57)+COLUMN($I$1)-1),INDEX($3:$3,1,COLUMN($I:$I)+SUM($BY57:CB57)-1)&amp;" ("&amp;INDEX($1:$1048576,ROW(CB56),SUM($BZ57:CB57)+COLUMN($I$1)-1)&amp;")"),"")</f>
        <v/>
      </c>
      <c r="CC56" s="84" t="str">
        <f ca="1">IF(NOT(ISERROR(CC57)),IF(COLUMN($I:$I)+SUM($BY57:CC57)-1&lt;COLUMN($N:$N),INDEX($1:$1048576,ROW(CC56),SUM($BZ57:CC57)+COLUMN($I$1)-1),INDEX($3:$3,1,COLUMN($I:$I)+SUM($BY57:CC57)-1)&amp;" ("&amp;INDEX($1:$1048576,ROW(CC56),SUM($BZ57:CC57)+COLUMN($I$1)-1)&amp;")"),"")</f>
        <v/>
      </c>
      <c r="CD56" s="84" t="str">
        <f ca="1">IF(NOT(ISERROR(CD57)),IF(COLUMN($I:$I)+SUM($BY57:CD57)-1&lt;COLUMN($N:$N),INDEX($1:$1048576,ROW(CD56),SUM($BZ57:CD57)+COLUMN($I$1)-1),INDEX($3:$3,1,COLUMN($I:$I)+SUM($BY57:CD57)-1)&amp;" ("&amp;INDEX($1:$1048576,ROW(CD56),SUM($BZ57:CD57)+COLUMN($I$1)-1)&amp;")"),"")</f>
        <v/>
      </c>
      <c r="CE56" s="84" t="str">
        <f ca="1">IF(NOT(ISERROR(CE57)),IF(COLUMN($I:$I)+SUM($BY57:CE57)-1&lt;COLUMN($N:$N),INDEX($1:$1048576,ROW(CE56),SUM($BZ57:CE57)+COLUMN($I$1)-1),INDEX($3:$3,1,COLUMN($I:$I)+SUM($BY57:CE57)-1)&amp;" ("&amp;INDEX($1:$1048576,ROW(CE56),SUM($BZ57:CE57)+COLUMN($I$1)-1)&amp;")"),"")</f>
        <v/>
      </c>
      <c r="CF56" s="84" t="str">
        <f ca="1">IF(NOT(ISERROR(CF57)),IF(COLUMN($I:$I)+SUM($BY57:CF57)-1&lt;COLUMN($N:$N),INDEX($1:$1048576,ROW(CF56),SUM($BZ57:CF57)+COLUMN($I$1)-1),INDEX($3:$3,1,COLUMN($I:$I)+SUM($BY57:CF57)-1)&amp;" ("&amp;INDEX($1:$1048576,ROW(CF56),SUM($BZ57:CF57)+COLUMN($I$1)-1)&amp;")"),"")</f>
        <v/>
      </c>
      <c r="CG56" s="84" t="str">
        <f ca="1">IF(NOT(ISERROR(CG57)),IF(COLUMN($I:$I)+SUM($BY57:CG57)-1&lt;COLUMN($N:$N),INDEX($1:$1048576,ROW(CG56),SUM($BZ57:CG57)+COLUMN($I$1)-1),INDEX($3:$3,1,COLUMN($I:$I)+SUM($BY57:CG57)-1)&amp;" ("&amp;INDEX($1:$1048576,ROW(CG56),SUM($BZ57:CG57)+COLUMN($I$1)-1)&amp;")"),"")</f>
        <v/>
      </c>
      <c r="CH56" s="84" t="str">
        <f ca="1">IF(NOT(ISERROR(CH57)),IF(COLUMN($I:$I)+SUM($BY57:CH57)-1&lt;COLUMN($N:$N),INDEX($1:$1048576,ROW(CH56),SUM($BZ57:CH57)+COLUMN($I$1)-1),INDEX($3:$3,1,COLUMN($I:$I)+SUM($BY57:CH57)-1)&amp;" ("&amp;INDEX($1:$1048576,ROW(CH56),SUM($BZ57:CH57)+COLUMN($I$1)-1)&amp;")"),"")</f>
        <v/>
      </c>
      <c r="CI56" s="84" t="str">
        <f ca="1">IF(NOT(ISERROR(CI57)),IF(COLUMN($I:$I)+SUM($BY57:CI57)-1&lt;COLUMN($N:$N),INDEX($1:$1048576,ROW(CI56),SUM($BZ57:CI57)+COLUMN($I$1)-1),INDEX($3:$3,1,COLUMN($I:$I)+SUM($BY57:CI57)-1)&amp;" ("&amp;INDEX($1:$1048576,ROW(CI56),SUM($BZ57:CI57)+COLUMN($I$1)-1)&amp;")"),"")</f>
        <v/>
      </c>
      <c r="CJ56" s="84" t="str">
        <f ca="1">IF(NOT(ISERROR(CJ57)),IF(COLUMN($I:$I)+SUM($BY57:CJ57)-1&lt;COLUMN($N:$N),INDEX($1:$1048576,ROW(CJ56),SUM($BZ57:CJ57)+COLUMN($I$1)-1),INDEX($3:$3,1,COLUMN($I:$I)+SUM($BY57:CJ57)-1)&amp;" ("&amp;INDEX($1:$1048576,ROW(CJ56),SUM($BZ57:CJ57)+COLUMN($I$1)-1)&amp;")"),"")</f>
        <v/>
      </c>
      <c r="CK56" s="87"/>
    </row>
    <row r="57" spans="1:89" s="88" customFormat="1" x14ac:dyDescent="0.25">
      <c r="A57" s="705"/>
      <c r="B57" s="707"/>
      <c r="C57" s="707"/>
      <c r="D57" s="709"/>
      <c r="E57" s="707"/>
      <c r="F57" s="699"/>
      <c r="G57" s="701"/>
      <c r="H57" s="701"/>
      <c r="J57" s="92" t="e">
        <f>IF(J56&gt;0,IF(AND(INDEX('General Merits'!$F:$F,MATCH($J56,'General Merits'!$F:$F,0),1)&gt;0,VLOOKUP('Merit Data'!J56,'General Merits'!$F:$Z,COLUMN('General Merits'!$N:$N),0)),TRUE,FALSE),#N/A)</f>
        <v>#N/A</v>
      </c>
      <c r="K57" s="92" t="e">
        <f>IF(K56&gt;0,IF(AND(INDEX('General Merits'!$F:$F,MATCH($J56,'General Merits'!$F:$F,0),1)&gt;0,VLOOKUP('Merit Data'!K56,'General Merits'!$F:$Z,COLUMN('General Merits'!$N:$N),0)),TRUE,FALSE),#N/A)</f>
        <v>#N/A</v>
      </c>
      <c r="L57" s="92" t="e">
        <f>IF(L56&gt;0,IF(AND(INDEX('General Merits'!$F:$F,MATCH($J56,'General Merits'!$F:$F,0),1)&gt;0,VLOOKUP('Merit Data'!L56,'General Merits'!$F:$Z,COLUMN('General Merits'!$N:$N),0)),TRUE,FALSE),#N/A)</f>
        <v>#N/A</v>
      </c>
      <c r="N57" s="89" t="e">
        <f>IF(STR&gt;=N56,TRUE)</f>
        <v>#REF!</v>
      </c>
      <c r="O57" s="89" t="e">
        <f>IF(AGI&gt;=O56,TRUE)</f>
        <v>#REF!</v>
      </c>
      <c r="P57" s="89" t="e">
        <f>IF(CON&gt;=P56,TRUE)</f>
        <v>#REF!</v>
      </c>
      <c r="Q57" s="89" t="e">
        <f>IF(INT&gt;=Q56,TRUE)</f>
        <v>#REF!</v>
      </c>
      <c r="R57" s="89" t="e">
        <f>IF(WIS&gt;=R56,TRUE)</f>
        <v>#REF!</v>
      </c>
      <c r="S57" s="89" t="e">
        <f>IF(FOC&gt;=S56,TRUE)</f>
        <v>#REF!</v>
      </c>
      <c r="T57" s="89" t="e">
        <f>IF(CHA&gt;=T56,TRUE)</f>
        <v>#REF!</v>
      </c>
      <c r="U57" s="89" t="e">
        <f>IF(INS&gt;=U56,TRUE)</f>
        <v>#REF!</v>
      </c>
      <c r="V57" s="89" t="e">
        <f>IF(CNV&gt;=V56,TRUE)</f>
        <v>#REF!</v>
      </c>
      <c r="W57" s="89"/>
      <c r="X57" s="89" t="e">
        <f>IF(Archery&gt;=X56,TRUE)</f>
        <v>#REF!</v>
      </c>
      <c r="Y57" s="89" t="e">
        <f>IF(Crossbows&gt;=Y56,TRUE)</f>
        <v>#REF!</v>
      </c>
      <c r="Z57" s="89" t="e">
        <f>IF(Daggers&gt;=Z56,TRUE)</f>
        <v>#REF!</v>
      </c>
      <c r="AA57" s="89" t="e">
        <f>IF(HandtoHandCombat&gt;=AA56,TRUE)</f>
        <v>#REF!</v>
      </c>
      <c r="AB57" s="89" t="e">
        <f>IF(HeavyArmor&gt;=AB56,TRUE)</f>
        <v>#REF!</v>
      </c>
      <c r="AC57" s="89" t="e">
        <f>IF(ImprovisedWeaponry&gt;=AC56,TRUE)</f>
        <v>#NAME?</v>
      </c>
      <c r="AD57" s="89" t="e">
        <f>IF(LightArmor&gt;=AD56,TRUE)</f>
        <v>#REF!</v>
      </c>
      <c r="AE57" s="89" t="e">
        <f>IF(Magicka&gt;=AE56,TRUE)</f>
        <v>#REF!</v>
      </c>
      <c r="AF57" s="89" t="e">
        <f>IF(OR(Archery&gt;=AF56,Crossbows&gt;=AF56,Daggers&gt;=AF56,HandtoHandCombat&gt;=AF56,ImprovisedWeaponry&gt;=AF56,Axes&gt;=AF56,Maces&gt;=AF56,Swords&gt;=AF56,Polearms&gt;=AF56,Staves&gt;=AF56,Throwing&gt;=AF56,TwoHandedAxes&gt;=AF56,TwoHandedMaces&gt;=AF56,TwoHandedSwords&gt;=AF56),TRUE)</f>
        <v>#REF!</v>
      </c>
      <c r="AG57" s="89" t="e">
        <f>IF(Axes&gt;=AG56,TRUE)</f>
        <v>#REF!</v>
      </c>
      <c r="AH57" s="89" t="e">
        <f>IF(Maces&gt;=AH56,TRUE)</f>
        <v>#REF!</v>
      </c>
      <c r="AI57" s="89" t="e">
        <f>IF(Swords&gt;=AI56,TRUE)</f>
        <v>#REF!</v>
      </c>
      <c r="AJ57" s="89" t="e">
        <f>IF(Polearms&gt;=AJ56,TRUE)</f>
        <v>#REF!</v>
      </c>
      <c r="AK57" s="89" t="e">
        <f>IF(Shields&gt;=AK56,TRUE)</f>
        <v>#REF!</v>
      </c>
      <c r="AL57" s="89" t="e">
        <f>IF(Staves&gt;=AL56,TRUE)</f>
        <v>#REF!</v>
      </c>
      <c r="AM57" s="89" t="e">
        <f>IF(Throwing&gt;=AM56,TRUE)</f>
        <v>#REF!</v>
      </c>
      <c r="AN57" s="89" t="e">
        <f>IF(TwoHandedAxes&gt;=AN56,TRUE)</f>
        <v>#NAME?</v>
      </c>
      <c r="AO57" s="89" t="e">
        <f>IF(TwoHandedMaces&gt;=AO56,TRUE)</f>
        <v>#NAME?</v>
      </c>
      <c r="AP57" s="89" t="e">
        <f>IF(TwoHandedSwords&gt;=AP56,TRUE)</f>
        <v>#NAME?</v>
      </c>
      <c r="AQ57" s="89"/>
      <c r="AR57" s="89" t="e">
        <f>IF(Acrobatics&gt;=AR56,TRUE)</f>
        <v>#REF!</v>
      </c>
      <c r="AS57" s="89" t="e">
        <f>IF(Appraisal&gt;=AS56,TRUE)</f>
        <v>#REF!</v>
      </c>
      <c r="AT57" s="89" t="e">
        <f>IF(Athletics&gt;=AT56,TRUE)</f>
        <v>#REF!</v>
      </c>
      <c r="AU57" s="89" t="e">
        <f>IF(Comprehension&gt;=AU56,TRUE)</f>
        <v>#REF!</v>
      </c>
      <c r="AV57" s="89" t="e">
        <f>IF(Expression&gt;=AV56,TRUE)</f>
        <v>#REF!</v>
      </c>
      <c r="AW57" s="89" t="e">
        <f>IF(Perception&gt;=AW56,TRUE)</f>
        <v>#REF!</v>
      </c>
      <c r="AX57" s="89" t="e">
        <f>IF(Security&gt;=AX56,TRUE)</f>
        <v>#REF!</v>
      </c>
      <c r="AY57" s="89" t="e">
        <f>IF(Stealth&gt;=AY56,TRUE)</f>
        <v>#REF!</v>
      </c>
      <c r="AZ57" s="89" t="e">
        <f>IF(Streetwise&gt;=AZ56,TRUE)</f>
        <v>#REF!</v>
      </c>
      <c r="BA57" s="89" t="e">
        <f>IF(Subterfuge&gt;=BA56,TRUE)</f>
        <v>#REF!</v>
      </c>
      <c r="BB57" s="89" t="e">
        <f>IF(Survival&gt;=BB56,TRUE)</f>
        <v>#REF!</v>
      </c>
      <c r="BC57" s="89"/>
      <c r="BD57" s="89" t="e">
        <f>IF(AncientDraconic&gt;=BD56,TRUE)</f>
        <v>#REF!</v>
      </c>
      <c r="BE57" s="89" t="e">
        <f>IF(AquaElven&gt;=BE56,TRUE)</f>
        <v>#REF!</v>
      </c>
      <c r="BF57" s="89" t="e">
        <f>IF(BasicElven&gt;=BF56,TRUE)</f>
        <v>#REF!</v>
      </c>
      <c r="BG57" s="89" t="e">
        <f>IF(Common&gt;=BG56,TRUE)</f>
        <v>#REF!</v>
      </c>
      <c r="BH57" s="89" t="e">
        <f>IF(DarkElven&gt;=BH56,TRUE)</f>
        <v>#REF!</v>
      </c>
      <c r="BI57" s="89" t="e">
        <f>IF(Davek&gt;=BI56,TRUE)</f>
        <v>#REF!</v>
      </c>
      <c r="BJ57" s="89" t="e">
        <f>IF(Draconic&gt;=BJ56,TRUE)</f>
        <v>#REF!</v>
      </c>
      <c r="BK57" s="89" t="e">
        <f>IF(Eulian&gt;=BK56,TRUE)</f>
        <v>#REF!</v>
      </c>
      <c r="BL57" s="89" t="e">
        <f>IF(Garonian&gt;=BL56,TRUE)</f>
        <v>#REF!</v>
      </c>
      <c r="BM57" s="89" t="e">
        <f>IF(Geovek&gt;=BM56,TRUE)</f>
        <v>#REF!</v>
      </c>
      <c r="BN57" s="89" t="e">
        <f>IF(Gnomish&gt;=BN56,TRUE)</f>
        <v>#REF!</v>
      </c>
      <c r="BO57" s="89" t="e">
        <f>IF(Goblin&gt;=BO56,TRUE)</f>
        <v>#REF!</v>
      </c>
      <c r="BP57" s="89" t="e">
        <f>IF(HighElven&gt;=BP56,TRUE)</f>
        <v>#REF!</v>
      </c>
      <c r="BQ57" s="89" t="e">
        <f>IF(Kotaba&gt;=BQ56,TRUE)</f>
        <v>#REF!</v>
      </c>
      <c r="BR57" s="89" t="e">
        <f>IF(LowerCommon&gt;=BR56,TRUE)</f>
        <v>#REF!</v>
      </c>
      <c r="BS57" s="89" t="e">
        <f>IF(OldElven&gt;=BS56,TRUE)</f>
        <v>#REF!</v>
      </c>
      <c r="BT57" s="89" t="e">
        <f>IF(Sylvan&gt;=BT56,TRUE)</f>
        <v>#REF!</v>
      </c>
      <c r="BU57" s="89" t="e">
        <f>IF(TrueDraconic&gt;=BU56,TRUE)</f>
        <v>#REF!</v>
      </c>
      <c r="BV57" s="89" t="e">
        <f>IF(Volken&gt;=BV56,TRUE)</f>
        <v>#REF!</v>
      </c>
      <c r="BW57" s="89" t="e">
        <f>IF(WoodElven&gt;=BW56,TRUE)</f>
        <v>#REF!</v>
      </c>
      <c r="BX57" s="703"/>
      <c r="BY57" s="89"/>
      <c r="BZ57" s="88">
        <f ca="1">MATCH(TRUE,INDEX((INDIRECT(INDEX($1:$1,ROW($1:$1),COLUMN($I:$I)+SUM($BY57:BY57))&amp;$CK57-1&amp;":"&amp;$BW$1&amp;$CK57-1)&lt;&gt;0),0),0)</f>
        <v>8</v>
      </c>
      <c r="CA57" s="88" t="e">
        <f ca="1">MATCH(TRUE,INDEX((INDIRECT(INDEX($1:$1,ROW($1:$1),COLUMN($I:$I)+SUM($BY57:BZ57))&amp;$CK57-1&amp;":"&amp;$BW$1&amp;$CK57-1)&lt;&gt;0),0),0)</f>
        <v>#N/A</v>
      </c>
      <c r="CB57" s="88" t="e">
        <f ca="1">MATCH(TRUE,INDEX((INDIRECT(INDEX($1:$1,ROW($1:$1),COLUMN($I:$I)+SUM($BY57:CA57))&amp;$CK57-1&amp;":"&amp;$BW$1&amp;$CK57-1)&lt;&gt;0),0),0)</f>
        <v>#N/A</v>
      </c>
      <c r="CC57" s="88" t="e">
        <f ca="1">MATCH(TRUE,INDEX((INDIRECT(INDEX($1:$1,ROW($1:$1),COLUMN($I:$I)+SUM($BY57:CB57))&amp;$CK57-1&amp;":"&amp;$BW$1&amp;$CK57-1)&lt;&gt;0),0),0)</f>
        <v>#N/A</v>
      </c>
      <c r="CD57" s="88" t="e">
        <f ca="1">MATCH(TRUE,INDEX((INDIRECT(INDEX($1:$1,ROW($1:$1),COLUMN($I:$I)+SUM($BY57:CC57))&amp;$CK57-1&amp;":"&amp;$BW$1&amp;$CK57-1)&lt;&gt;0),0),0)</f>
        <v>#N/A</v>
      </c>
      <c r="CE57" s="88" t="e">
        <f ca="1">MATCH(TRUE,INDEX((INDIRECT(INDEX($1:$1,ROW($1:$1),COLUMN($I:$I)+SUM($BY57:CD57))&amp;$CK57-1&amp;":"&amp;$BW$1&amp;$CK57-1)&lt;&gt;0),0),0)</f>
        <v>#N/A</v>
      </c>
      <c r="CF57" s="88" t="e">
        <f ca="1">MATCH(TRUE,INDEX((INDIRECT(INDEX($1:$1,ROW($1:$1),COLUMN($I:$I)+SUM($BY57:CE57))&amp;$CK57-1&amp;":"&amp;$BW$1&amp;$CK57-1)&lt;&gt;0),0),0)</f>
        <v>#N/A</v>
      </c>
      <c r="CG57" s="88" t="e">
        <f ca="1">MATCH(TRUE,INDEX((INDIRECT(INDEX($1:$1,ROW($1:$1),COLUMN($I:$I)+SUM($BY57:CF57))&amp;$CK57-1&amp;":"&amp;$BW$1&amp;$CK57-1)&lt;&gt;0),0),0)</f>
        <v>#N/A</v>
      </c>
      <c r="CH57" s="88" t="e">
        <f ca="1">MATCH(TRUE,INDEX((INDIRECT(INDEX($1:$1,ROW($1:$1),COLUMN($I:$I)+SUM($BY57:CG57))&amp;$CK57-1&amp;":"&amp;$BW$1&amp;$CK57-1)&lt;&gt;0),0),0)</f>
        <v>#N/A</v>
      </c>
      <c r="CI57" s="88" t="e">
        <f ca="1">MATCH(TRUE,INDEX((INDIRECT(INDEX($1:$1,ROW($1:$1),COLUMN($I:$I)+SUM($BY57:CH57))&amp;$CK57-1&amp;":"&amp;$BW$1&amp;$CK57-1)&lt;&gt;0),0),0)</f>
        <v>#N/A</v>
      </c>
      <c r="CJ57" s="88" t="e">
        <f ca="1">MATCH(TRUE,INDEX((INDIRECT(INDEX($1:$1,ROW($1:$1),COLUMN($I:$I)+SUM($BY57:CI57))&amp;$CK57-1&amp;":"&amp;$BW$1&amp;$CK57-1)&lt;&gt;0),0),0)</f>
        <v>#N/A</v>
      </c>
      <c r="CK57" s="90">
        <f>ROW(CK57)</f>
        <v>57</v>
      </c>
    </row>
    <row r="58" spans="1:89" s="84" customFormat="1" ht="15" customHeight="1" x14ac:dyDescent="0.25">
      <c r="A58" s="704"/>
      <c r="B58" s="706" t="b">
        <f>ISERROR(MATCH(FALSE,$J59:$BW59,0))</f>
        <v>1</v>
      </c>
      <c r="C58" s="706" t="b">
        <f>IF(AND(INDEX('General Merits'!$F:$F,MATCH(A58,'General Merits'!$F:$F,0))&gt;0,VLOOKUP(A58,'General Merits'!$F:$Q,10,0)),TRUE,FALSE)</f>
        <v>0</v>
      </c>
      <c r="D58" s="708">
        <v>1</v>
      </c>
      <c r="E58" s="706">
        <f>D58*100</f>
        <v>100</v>
      </c>
      <c r="F58" s="698"/>
      <c r="G58" s="700"/>
      <c r="H58" s="700"/>
      <c r="J58" s="235"/>
      <c r="K58" s="235"/>
      <c r="L58" s="235"/>
      <c r="N58" s="85"/>
      <c r="O58" s="85"/>
      <c r="P58" s="85"/>
      <c r="Q58" s="85"/>
      <c r="R58" s="85"/>
      <c r="S58" s="85"/>
      <c r="T58" s="85"/>
      <c r="U58" s="85"/>
      <c r="V58" s="85"/>
      <c r="W58" s="86"/>
      <c r="X58" s="85"/>
      <c r="Y58" s="85"/>
      <c r="Z58" s="85"/>
      <c r="AA58" s="85"/>
      <c r="AB58" s="85"/>
      <c r="AC58" s="85"/>
      <c r="AD58" s="85"/>
      <c r="AE58" s="85"/>
      <c r="AF58" s="236"/>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702" t="str">
        <f ca="1">IF(BZ58&lt;&gt;"",BZ58,"")&amp;IF(CA58&lt;&gt;"",", "&amp;CA58,"")&amp;IF(CB58&lt;&gt;"",", "&amp;CB58,"")&amp;IF(CC58&lt;&gt;"",", "&amp;CC58,"")&amp;IF(CD58&lt;&gt;"",", "&amp;CD58,"")&amp;IF(CE58&lt;&gt;"",", "&amp;CE58,"")&amp;IF(CF58&lt;&gt;"",", "&amp;CF58,"")&amp;IF(CG58&lt;&gt;"",", "&amp;CG58,"")&amp;IF(CH58&lt;&gt;"",", "&amp;CH58,"")&amp;IF(CI58&lt;&gt;"",", "&amp;CI58,"")</f>
        <v/>
      </c>
      <c r="BY58" s="85"/>
      <c r="BZ58" s="84" t="str">
        <f ca="1">IF(NOT(ISERROR(BZ59)),IF(COLUMN($I:$I)+SUM($BY59:BZ59)-1&lt;COLUMN($N:$N),INDEX($1:$1048576,ROW(BZ58),SUM($BZ59:BZ59)+COLUMN($I$1)-1),INDEX($3:$3,1,COLUMN($I:$I)+SUM($BY59:BZ59)-1)&amp;" ("&amp;INDEX($1:$1048576,ROW(BZ58),SUM($BZ59:BZ59)+COLUMN($I$1)-1)&amp;")"),"")</f>
        <v/>
      </c>
      <c r="CA58" s="84" t="str">
        <f ca="1">IF(NOT(ISERROR(CA59)),IF(COLUMN($I:$I)+SUM($BY59:CA59)-1&lt;COLUMN($N:$N),INDEX($1:$1048576,ROW(CA58),SUM($BZ59:CA59)+COLUMN($I$1)-1),INDEX($3:$3,1,COLUMN($I:$I)+SUM($BY59:CA59)-1)&amp;" ("&amp;INDEX($1:$1048576,ROW(CA58),SUM($BZ59:CA59)+COLUMN($I$1)-1)&amp;")"),"")</f>
        <v/>
      </c>
      <c r="CB58" s="84" t="str">
        <f ca="1">IF(NOT(ISERROR(CB59)),IF(COLUMN($I:$I)+SUM($BY59:CB59)-1&lt;COLUMN($N:$N),INDEX($1:$1048576,ROW(CB58),SUM($BZ59:CB59)+COLUMN($I$1)-1),INDEX($3:$3,1,COLUMN($I:$I)+SUM($BY59:CB59)-1)&amp;" ("&amp;INDEX($1:$1048576,ROW(CB58),SUM($BZ59:CB59)+COLUMN($I$1)-1)&amp;")"),"")</f>
        <v/>
      </c>
      <c r="CC58" s="84" t="str">
        <f ca="1">IF(NOT(ISERROR(CC59)),IF(COLUMN($I:$I)+SUM($BY59:CC59)-1&lt;COLUMN($N:$N),INDEX($1:$1048576,ROW(CC58),SUM($BZ59:CC59)+COLUMN($I$1)-1),INDEX($3:$3,1,COLUMN($I:$I)+SUM($BY59:CC59)-1)&amp;" ("&amp;INDEX($1:$1048576,ROW(CC58),SUM($BZ59:CC59)+COLUMN($I$1)-1)&amp;")"),"")</f>
        <v/>
      </c>
      <c r="CD58" s="84" t="str">
        <f ca="1">IF(NOT(ISERROR(CD59)),IF(COLUMN($I:$I)+SUM($BY59:CD59)-1&lt;COLUMN($N:$N),INDEX($1:$1048576,ROW(CD58),SUM($BZ59:CD59)+COLUMN($I$1)-1),INDEX($3:$3,1,COLUMN($I:$I)+SUM($BY59:CD59)-1)&amp;" ("&amp;INDEX($1:$1048576,ROW(CD58),SUM($BZ59:CD59)+COLUMN($I$1)-1)&amp;")"),"")</f>
        <v/>
      </c>
      <c r="CE58" s="84" t="str">
        <f ca="1">IF(NOT(ISERROR(CE59)),IF(COLUMN($I:$I)+SUM($BY59:CE59)-1&lt;COLUMN($N:$N),INDEX($1:$1048576,ROW(CE58),SUM($BZ59:CE59)+COLUMN($I$1)-1),INDEX($3:$3,1,COLUMN($I:$I)+SUM($BY59:CE59)-1)&amp;" ("&amp;INDEX($1:$1048576,ROW(CE58),SUM($BZ59:CE59)+COLUMN($I$1)-1)&amp;")"),"")</f>
        <v/>
      </c>
      <c r="CF58" s="84" t="str">
        <f ca="1">IF(NOT(ISERROR(CF59)),IF(COLUMN($I:$I)+SUM($BY59:CF59)-1&lt;COLUMN($N:$N),INDEX($1:$1048576,ROW(CF58),SUM($BZ59:CF59)+COLUMN($I$1)-1),INDEX($3:$3,1,COLUMN($I:$I)+SUM($BY59:CF59)-1)&amp;" ("&amp;INDEX($1:$1048576,ROW(CF58),SUM($BZ59:CF59)+COLUMN($I$1)-1)&amp;")"),"")</f>
        <v/>
      </c>
      <c r="CG58" s="84" t="str">
        <f ca="1">IF(NOT(ISERROR(CG59)),IF(COLUMN($I:$I)+SUM($BY59:CG59)-1&lt;COLUMN($N:$N),INDEX($1:$1048576,ROW(CG58),SUM($BZ59:CG59)+COLUMN($I$1)-1),INDEX($3:$3,1,COLUMN($I:$I)+SUM($BY59:CG59)-1)&amp;" ("&amp;INDEX($1:$1048576,ROW(CG58),SUM($BZ59:CG59)+COLUMN($I$1)-1)&amp;")"),"")</f>
        <v/>
      </c>
      <c r="CH58" s="84" t="str">
        <f ca="1">IF(NOT(ISERROR(CH59)),IF(COLUMN($I:$I)+SUM($BY59:CH59)-1&lt;COLUMN($N:$N),INDEX($1:$1048576,ROW(CH58),SUM($BZ59:CH59)+COLUMN($I$1)-1),INDEX($3:$3,1,COLUMN($I:$I)+SUM($BY59:CH59)-1)&amp;" ("&amp;INDEX($1:$1048576,ROW(CH58),SUM($BZ59:CH59)+COLUMN($I$1)-1)&amp;")"),"")</f>
        <v/>
      </c>
      <c r="CI58" s="84" t="str">
        <f ca="1">IF(NOT(ISERROR(CI59)),IF(COLUMN($I:$I)+SUM($BY59:CI59)-1&lt;COLUMN($N:$N),INDEX($1:$1048576,ROW(CI58),SUM($BZ59:CI59)+COLUMN($I$1)-1),INDEX($3:$3,1,COLUMN($I:$I)+SUM($BY59:CI59)-1)&amp;" ("&amp;INDEX($1:$1048576,ROW(CI58),SUM($BZ59:CI59)+COLUMN($I$1)-1)&amp;")"),"")</f>
        <v/>
      </c>
      <c r="CJ58" s="84" t="str">
        <f ca="1">IF(NOT(ISERROR(CJ59)),IF(COLUMN($I:$I)+SUM($BY59:CJ59)-1&lt;COLUMN($N:$N),INDEX($1:$1048576,ROW(CJ58),SUM($BZ59:CJ59)+COLUMN($I$1)-1),INDEX($3:$3,1,COLUMN($I:$I)+SUM($BY59:CJ59)-1)&amp;" ("&amp;INDEX($1:$1048576,ROW(CJ58),SUM($BZ59:CJ59)+COLUMN($I$1)-1)&amp;")"),"")</f>
        <v/>
      </c>
      <c r="CK58" s="87"/>
    </row>
    <row r="59" spans="1:89" s="88" customFormat="1" x14ac:dyDescent="0.25">
      <c r="A59" s="705"/>
      <c r="B59" s="707"/>
      <c r="C59" s="707"/>
      <c r="D59" s="709"/>
      <c r="E59" s="707"/>
      <c r="F59" s="699"/>
      <c r="G59" s="701"/>
      <c r="H59" s="701"/>
      <c r="J59" s="92" t="e">
        <f>IF(J58&gt;0,IF(AND(INDEX('General Merits'!$F:$F,MATCH($J58,'General Merits'!$F:$F,0),1)&gt;0,VLOOKUP('Merit Data'!J58,'General Merits'!$F:$Z,COLUMN('General Merits'!$N:$N),0)),TRUE,FALSE),#N/A)</f>
        <v>#N/A</v>
      </c>
      <c r="K59" s="92" t="e">
        <f>IF(K58&gt;0,IF(AND(INDEX('General Merits'!$F:$F,MATCH($J58,'General Merits'!$F:$F,0),1)&gt;0,VLOOKUP('Merit Data'!K58,'General Merits'!$F:$Z,COLUMN('General Merits'!$N:$N),0)),TRUE,FALSE),#N/A)</f>
        <v>#N/A</v>
      </c>
      <c r="L59" s="92" t="e">
        <f>IF(L58&gt;0,IF(AND(INDEX('General Merits'!$F:$F,MATCH($J58,'General Merits'!$F:$F,0),1)&gt;0,VLOOKUP('Merit Data'!L58,'General Merits'!$F:$Z,COLUMN('General Merits'!$N:$N),0)),TRUE,FALSE),#N/A)</f>
        <v>#N/A</v>
      </c>
      <c r="N59" s="89" t="e">
        <f>IF(STR&gt;=N58,TRUE)</f>
        <v>#REF!</v>
      </c>
      <c r="O59" s="89" t="e">
        <f>IF(AGI&gt;=O58,TRUE)</f>
        <v>#REF!</v>
      </c>
      <c r="P59" s="89" t="e">
        <f>IF(CON&gt;=P58,TRUE)</f>
        <v>#REF!</v>
      </c>
      <c r="Q59" s="89" t="e">
        <f>IF(INT&gt;=Q58,TRUE)</f>
        <v>#REF!</v>
      </c>
      <c r="R59" s="89" t="e">
        <f>IF(WIS&gt;=R58,TRUE)</f>
        <v>#REF!</v>
      </c>
      <c r="S59" s="89" t="e">
        <f>IF(FOC&gt;=S58,TRUE)</f>
        <v>#REF!</v>
      </c>
      <c r="T59" s="89" t="e">
        <f>IF(CHA&gt;=T58,TRUE)</f>
        <v>#REF!</v>
      </c>
      <c r="U59" s="89" t="e">
        <f>IF(INS&gt;=U58,TRUE)</f>
        <v>#REF!</v>
      </c>
      <c r="V59" s="89" t="e">
        <f>IF(CNV&gt;=V58,TRUE)</f>
        <v>#REF!</v>
      </c>
      <c r="W59" s="89"/>
      <c r="X59" s="89" t="e">
        <f>IF(Archery&gt;=X58,TRUE)</f>
        <v>#REF!</v>
      </c>
      <c r="Y59" s="89" t="e">
        <f>IF(Crossbows&gt;=Y58,TRUE)</f>
        <v>#REF!</v>
      </c>
      <c r="Z59" s="89" t="e">
        <f>IF(Daggers&gt;=Z58,TRUE)</f>
        <v>#REF!</v>
      </c>
      <c r="AA59" s="89" t="e">
        <f>IF(HandtoHandCombat&gt;=AA58,TRUE)</f>
        <v>#REF!</v>
      </c>
      <c r="AB59" s="89" t="e">
        <f>IF(HeavyArmor&gt;=AB58,TRUE)</f>
        <v>#REF!</v>
      </c>
      <c r="AC59" s="89" t="e">
        <f>IF(ImprovisedWeaponry&gt;=AC58,TRUE)</f>
        <v>#NAME?</v>
      </c>
      <c r="AD59" s="89" t="e">
        <f>IF(LightArmor&gt;=AD58,TRUE)</f>
        <v>#REF!</v>
      </c>
      <c r="AE59" s="89" t="e">
        <f>IF(Magicka&gt;=AE58,TRUE)</f>
        <v>#REF!</v>
      </c>
      <c r="AF59" s="89" t="e">
        <f>IF(OR(Archery&gt;=AF58,Crossbows&gt;=AF58,Daggers&gt;=AF58,HandtoHandCombat&gt;=AF58,ImprovisedWeaponry&gt;=AF58,Axes&gt;=AF58,Maces&gt;=AF58,Swords&gt;=AF58,Polearms&gt;=AF58,Staves&gt;=AF58,Throwing&gt;=AF58,TwoHandedAxes&gt;=AF58,TwoHandedMaces&gt;=AF58,TwoHandedSwords&gt;=AF58),TRUE)</f>
        <v>#REF!</v>
      </c>
      <c r="AG59" s="89" t="e">
        <f>IF(Axes&gt;=AG58,TRUE)</f>
        <v>#REF!</v>
      </c>
      <c r="AH59" s="89" t="e">
        <f>IF(Maces&gt;=AH58,TRUE)</f>
        <v>#REF!</v>
      </c>
      <c r="AI59" s="89" t="e">
        <f>IF(Swords&gt;=AI58,TRUE)</f>
        <v>#REF!</v>
      </c>
      <c r="AJ59" s="89" t="e">
        <f>IF(Polearms&gt;=AJ58,TRUE)</f>
        <v>#REF!</v>
      </c>
      <c r="AK59" s="89" t="e">
        <f>IF(Shields&gt;=AK58,TRUE)</f>
        <v>#REF!</v>
      </c>
      <c r="AL59" s="89" t="e">
        <f>IF(Staves&gt;=AL58,TRUE)</f>
        <v>#REF!</v>
      </c>
      <c r="AM59" s="89" t="e">
        <f>IF(Throwing&gt;=AM58,TRUE)</f>
        <v>#REF!</v>
      </c>
      <c r="AN59" s="89" t="e">
        <f>IF(TwoHandedAxes&gt;=AN58,TRUE)</f>
        <v>#NAME?</v>
      </c>
      <c r="AO59" s="89" t="e">
        <f>IF(TwoHandedMaces&gt;=AO58,TRUE)</f>
        <v>#NAME?</v>
      </c>
      <c r="AP59" s="89" t="e">
        <f>IF(TwoHandedSwords&gt;=AP58,TRUE)</f>
        <v>#NAME?</v>
      </c>
      <c r="AQ59" s="89"/>
      <c r="AR59" s="89" t="e">
        <f>IF(Acrobatics&gt;=AR58,TRUE)</f>
        <v>#REF!</v>
      </c>
      <c r="AS59" s="89" t="e">
        <f>IF(Appraisal&gt;=AS58,TRUE)</f>
        <v>#REF!</v>
      </c>
      <c r="AT59" s="89" t="e">
        <f>IF(Athletics&gt;=AT58,TRUE)</f>
        <v>#REF!</v>
      </c>
      <c r="AU59" s="89" t="e">
        <f>IF(Comprehension&gt;=AU58,TRUE)</f>
        <v>#REF!</v>
      </c>
      <c r="AV59" s="89" t="e">
        <f>IF(Expression&gt;=AV58,TRUE)</f>
        <v>#REF!</v>
      </c>
      <c r="AW59" s="89" t="e">
        <f>IF(Perception&gt;=AW58,TRUE)</f>
        <v>#REF!</v>
      </c>
      <c r="AX59" s="89" t="e">
        <f>IF(Security&gt;=AX58,TRUE)</f>
        <v>#REF!</v>
      </c>
      <c r="AY59" s="89" t="e">
        <f>IF(Stealth&gt;=AY58,TRUE)</f>
        <v>#REF!</v>
      </c>
      <c r="AZ59" s="89" t="e">
        <f>IF(Streetwise&gt;=AZ58,TRUE)</f>
        <v>#REF!</v>
      </c>
      <c r="BA59" s="89" t="e">
        <f>IF(Subterfuge&gt;=BA58,TRUE)</f>
        <v>#REF!</v>
      </c>
      <c r="BB59" s="89" t="e">
        <f>IF(Survival&gt;=BB58,TRUE)</f>
        <v>#REF!</v>
      </c>
      <c r="BC59" s="89"/>
      <c r="BD59" s="89" t="e">
        <f>IF(AncientDraconic&gt;=BD58,TRUE)</f>
        <v>#REF!</v>
      </c>
      <c r="BE59" s="89" t="e">
        <f>IF(AquaElven&gt;=BE58,TRUE)</f>
        <v>#REF!</v>
      </c>
      <c r="BF59" s="89" t="e">
        <f>IF(BasicElven&gt;=BF58,TRUE)</f>
        <v>#REF!</v>
      </c>
      <c r="BG59" s="89" t="e">
        <f>IF(Common&gt;=BG58,TRUE)</f>
        <v>#REF!</v>
      </c>
      <c r="BH59" s="89" t="e">
        <f>IF(DarkElven&gt;=BH58,TRUE)</f>
        <v>#REF!</v>
      </c>
      <c r="BI59" s="89" t="e">
        <f>IF(Davek&gt;=BI58,TRUE)</f>
        <v>#REF!</v>
      </c>
      <c r="BJ59" s="89" t="e">
        <f>IF(Draconic&gt;=BJ58,TRUE)</f>
        <v>#REF!</v>
      </c>
      <c r="BK59" s="89" t="e">
        <f>IF(Eulian&gt;=BK58,TRUE)</f>
        <v>#REF!</v>
      </c>
      <c r="BL59" s="89" t="e">
        <f>IF(Garonian&gt;=BL58,TRUE)</f>
        <v>#REF!</v>
      </c>
      <c r="BM59" s="89" t="e">
        <f>IF(Geovek&gt;=BM58,TRUE)</f>
        <v>#REF!</v>
      </c>
      <c r="BN59" s="89" t="e">
        <f>IF(Gnomish&gt;=BN58,TRUE)</f>
        <v>#REF!</v>
      </c>
      <c r="BO59" s="89" t="e">
        <f>IF(Goblin&gt;=BO58,TRUE)</f>
        <v>#REF!</v>
      </c>
      <c r="BP59" s="89" t="e">
        <f>IF(HighElven&gt;=BP58,TRUE)</f>
        <v>#REF!</v>
      </c>
      <c r="BQ59" s="89" t="e">
        <f>IF(Kotaba&gt;=BQ58,TRUE)</f>
        <v>#REF!</v>
      </c>
      <c r="BR59" s="89" t="e">
        <f>IF(LowerCommon&gt;=BR58,TRUE)</f>
        <v>#REF!</v>
      </c>
      <c r="BS59" s="89" t="e">
        <f>IF(OldElven&gt;=BS58,TRUE)</f>
        <v>#REF!</v>
      </c>
      <c r="BT59" s="89" t="e">
        <f>IF(Sylvan&gt;=BT58,TRUE)</f>
        <v>#REF!</v>
      </c>
      <c r="BU59" s="89" t="e">
        <f>IF(TrueDraconic&gt;=BU58,TRUE)</f>
        <v>#REF!</v>
      </c>
      <c r="BV59" s="89" t="e">
        <f>IF(Volken&gt;=BV58,TRUE)</f>
        <v>#REF!</v>
      </c>
      <c r="BW59" s="89" t="e">
        <f>IF(WoodElven&gt;=BW58,TRUE)</f>
        <v>#REF!</v>
      </c>
      <c r="BX59" s="703"/>
      <c r="BY59" s="89"/>
      <c r="BZ59" s="88" t="e">
        <f ca="1">MATCH(TRUE,INDEX((INDIRECT(INDEX($1:$1,ROW($1:$1),COLUMN($I:$I)+SUM($BY59:BY59))&amp;$CK59-1&amp;":"&amp;$BW$1&amp;$CK59-1)&lt;&gt;0),0),0)</f>
        <v>#N/A</v>
      </c>
      <c r="CA59" s="88" t="e">
        <f ca="1">MATCH(TRUE,INDEX((INDIRECT(INDEX($1:$1,ROW($1:$1),COLUMN($I:$I)+SUM($BY59:BZ59))&amp;$CK59-1&amp;":"&amp;$BW$1&amp;$CK59-1)&lt;&gt;0),0),0)</f>
        <v>#N/A</v>
      </c>
      <c r="CB59" s="88" t="e">
        <f ca="1">MATCH(TRUE,INDEX((INDIRECT(INDEX($1:$1,ROW($1:$1),COLUMN($I:$I)+SUM($BY59:CA59))&amp;$CK59-1&amp;":"&amp;$BW$1&amp;$CK59-1)&lt;&gt;0),0),0)</f>
        <v>#N/A</v>
      </c>
      <c r="CC59" s="88" t="e">
        <f ca="1">MATCH(TRUE,INDEX((INDIRECT(INDEX($1:$1,ROW($1:$1),COLUMN($I:$I)+SUM($BY59:CB59))&amp;$CK59-1&amp;":"&amp;$BW$1&amp;$CK59-1)&lt;&gt;0),0),0)</f>
        <v>#N/A</v>
      </c>
      <c r="CD59" s="88" t="e">
        <f ca="1">MATCH(TRUE,INDEX((INDIRECT(INDEX($1:$1,ROW($1:$1),COLUMN($I:$I)+SUM($BY59:CC59))&amp;$CK59-1&amp;":"&amp;$BW$1&amp;$CK59-1)&lt;&gt;0),0),0)</f>
        <v>#N/A</v>
      </c>
      <c r="CE59" s="88" t="e">
        <f ca="1">MATCH(TRUE,INDEX((INDIRECT(INDEX($1:$1,ROW($1:$1),COLUMN($I:$I)+SUM($BY59:CD59))&amp;$CK59-1&amp;":"&amp;$BW$1&amp;$CK59-1)&lt;&gt;0),0),0)</f>
        <v>#N/A</v>
      </c>
      <c r="CF59" s="88" t="e">
        <f ca="1">MATCH(TRUE,INDEX((INDIRECT(INDEX($1:$1,ROW($1:$1),COLUMN($I:$I)+SUM($BY59:CE59))&amp;$CK59-1&amp;":"&amp;$BW$1&amp;$CK59-1)&lt;&gt;0),0),0)</f>
        <v>#N/A</v>
      </c>
      <c r="CG59" s="88" t="e">
        <f ca="1">MATCH(TRUE,INDEX((INDIRECT(INDEX($1:$1,ROW($1:$1),COLUMN($I:$I)+SUM($BY59:CF59))&amp;$CK59-1&amp;":"&amp;$BW$1&amp;$CK59-1)&lt;&gt;0),0),0)</f>
        <v>#N/A</v>
      </c>
      <c r="CH59" s="88" t="e">
        <f ca="1">MATCH(TRUE,INDEX((INDIRECT(INDEX($1:$1,ROW($1:$1),COLUMN($I:$I)+SUM($BY59:CG59))&amp;$CK59-1&amp;":"&amp;$BW$1&amp;$CK59-1)&lt;&gt;0),0),0)</f>
        <v>#N/A</v>
      </c>
      <c r="CI59" s="88" t="e">
        <f ca="1">MATCH(TRUE,INDEX((INDIRECT(INDEX($1:$1,ROW($1:$1),COLUMN($I:$I)+SUM($BY59:CH59))&amp;$CK59-1&amp;":"&amp;$BW$1&amp;$CK59-1)&lt;&gt;0),0),0)</f>
        <v>#N/A</v>
      </c>
      <c r="CJ59" s="88" t="e">
        <f ca="1">MATCH(TRUE,INDEX((INDIRECT(INDEX($1:$1,ROW($1:$1),COLUMN($I:$I)+SUM($BY59:CI59))&amp;$CK59-1&amp;":"&amp;$BW$1&amp;$CK59-1)&lt;&gt;0),0),0)</f>
        <v>#N/A</v>
      </c>
      <c r="CK59" s="90">
        <f>ROW(CK59)</f>
        <v>59</v>
      </c>
    </row>
    <row r="60" spans="1:89" s="84" customFormat="1" ht="15" customHeight="1" x14ac:dyDescent="0.25">
      <c r="A60" s="704"/>
      <c r="B60" s="706" t="b">
        <f>ISERROR(MATCH(FALSE,$J61:$BW61,0))</f>
        <v>1</v>
      </c>
      <c r="C60" s="706" t="b">
        <f>IF(AND(INDEX('General Merits'!$F:$F,MATCH(A60,'General Merits'!$F:$F,0))&gt;0,VLOOKUP(A60,'General Merits'!$F:$Q,10,0)),TRUE,FALSE)</f>
        <v>0</v>
      </c>
      <c r="D60" s="708">
        <v>1</v>
      </c>
      <c r="E60" s="706">
        <f>D60*100</f>
        <v>100</v>
      </c>
      <c r="F60" s="698"/>
      <c r="G60" s="700"/>
      <c r="H60" s="700"/>
      <c r="J60" s="235"/>
      <c r="K60" s="235"/>
      <c r="L60" s="235"/>
      <c r="N60" s="85"/>
      <c r="O60" s="85"/>
      <c r="P60" s="85"/>
      <c r="Q60" s="85"/>
      <c r="R60" s="85"/>
      <c r="S60" s="85"/>
      <c r="T60" s="85"/>
      <c r="U60" s="85"/>
      <c r="V60" s="85"/>
      <c r="W60" s="86"/>
      <c r="X60" s="85"/>
      <c r="Y60" s="85"/>
      <c r="Z60" s="85"/>
      <c r="AA60" s="85"/>
      <c r="AB60" s="85"/>
      <c r="AC60" s="85"/>
      <c r="AD60" s="85"/>
      <c r="AE60" s="85"/>
      <c r="AF60" s="236"/>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702" t="str">
        <f ca="1">IF(BZ60&lt;&gt;"",BZ60,"")&amp;IF(CA60&lt;&gt;"",", "&amp;CA60,"")&amp;IF(CB60&lt;&gt;"",", "&amp;CB60,"")&amp;IF(CC60&lt;&gt;"",", "&amp;CC60,"")&amp;IF(CD60&lt;&gt;"",", "&amp;CD60,"")&amp;IF(CE60&lt;&gt;"",", "&amp;CE60,"")&amp;IF(CF60&lt;&gt;"",", "&amp;CF60,"")&amp;IF(CG60&lt;&gt;"",", "&amp;CG60,"")&amp;IF(CH60&lt;&gt;"",", "&amp;CH60,"")&amp;IF(CI60&lt;&gt;"",", "&amp;CI60,"")</f>
        <v/>
      </c>
      <c r="BY60" s="85"/>
      <c r="BZ60" s="84" t="str">
        <f ca="1">IF(NOT(ISERROR(BZ61)),IF(COLUMN($I:$I)+SUM($BY61:BZ61)-1&lt;COLUMN($N:$N),INDEX($1:$1048576,ROW(BZ60),SUM($BZ61:BZ61)+COLUMN($I$1)-1),INDEX($3:$3,1,COLUMN($I:$I)+SUM($BY61:BZ61)-1)&amp;" ("&amp;INDEX($1:$1048576,ROW(BZ60),SUM($BZ61:BZ61)+COLUMN($I$1)-1)&amp;")"),"")</f>
        <v/>
      </c>
      <c r="CA60" s="84" t="str">
        <f ca="1">IF(NOT(ISERROR(CA61)),IF(COLUMN($I:$I)+SUM($BY61:CA61)-1&lt;COLUMN($N:$N),INDEX($1:$1048576,ROW(CA60),SUM($BZ61:CA61)+COLUMN($I$1)-1),INDEX($3:$3,1,COLUMN($I:$I)+SUM($BY61:CA61)-1)&amp;" ("&amp;INDEX($1:$1048576,ROW(CA60),SUM($BZ61:CA61)+COLUMN($I$1)-1)&amp;")"),"")</f>
        <v/>
      </c>
      <c r="CB60" s="84" t="str">
        <f ca="1">IF(NOT(ISERROR(CB61)),IF(COLUMN($I:$I)+SUM($BY61:CB61)-1&lt;COLUMN($N:$N),INDEX($1:$1048576,ROW(CB60),SUM($BZ61:CB61)+COLUMN($I$1)-1),INDEX($3:$3,1,COLUMN($I:$I)+SUM($BY61:CB61)-1)&amp;" ("&amp;INDEX($1:$1048576,ROW(CB60),SUM($BZ61:CB61)+COLUMN($I$1)-1)&amp;")"),"")</f>
        <v/>
      </c>
      <c r="CC60" s="84" t="str">
        <f ca="1">IF(NOT(ISERROR(CC61)),IF(COLUMN($I:$I)+SUM($BY61:CC61)-1&lt;COLUMN($N:$N),INDEX($1:$1048576,ROW(CC60),SUM($BZ61:CC61)+COLUMN($I$1)-1),INDEX($3:$3,1,COLUMN($I:$I)+SUM($BY61:CC61)-1)&amp;" ("&amp;INDEX($1:$1048576,ROW(CC60),SUM($BZ61:CC61)+COLUMN($I$1)-1)&amp;")"),"")</f>
        <v/>
      </c>
      <c r="CD60" s="84" t="str">
        <f ca="1">IF(NOT(ISERROR(CD61)),IF(COLUMN($I:$I)+SUM($BY61:CD61)-1&lt;COLUMN($N:$N),INDEX($1:$1048576,ROW(CD60),SUM($BZ61:CD61)+COLUMN($I$1)-1),INDEX($3:$3,1,COLUMN($I:$I)+SUM($BY61:CD61)-1)&amp;" ("&amp;INDEX($1:$1048576,ROW(CD60),SUM($BZ61:CD61)+COLUMN($I$1)-1)&amp;")"),"")</f>
        <v/>
      </c>
      <c r="CE60" s="84" t="str">
        <f ca="1">IF(NOT(ISERROR(CE61)),IF(COLUMN($I:$I)+SUM($BY61:CE61)-1&lt;COLUMN($N:$N),INDEX($1:$1048576,ROW(CE60),SUM($BZ61:CE61)+COLUMN($I$1)-1),INDEX($3:$3,1,COLUMN($I:$I)+SUM($BY61:CE61)-1)&amp;" ("&amp;INDEX($1:$1048576,ROW(CE60),SUM($BZ61:CE61)+COLUMN($I$1)-1)&amp;")"),"")</f>
        <v/>
      </c>
      <c r="CF60" s="84" t="str">
        <f ca="1">IF(NOT(ISERROR(CF61)),IF(COLUMN($I:$I)+SUM($BY61:CF61)-1&lt;COLUMN($N:$N),INDEX($1:$1048576,ROW(CF60),SUM($BZ61:CF61)+COLUMN($I$1)-1),INDEX($3:$3,1,COLUMN($I:$I)+SUM($BY61:CF61)-1)&amp;" ("&amp;INDEX($1:$1048576,ROW(CF60),SUM($BZ61:CF61)+COLUMN($I$1)-1)&amp;")"),"")</f>
        <v/>
      </c>
      <c r="CG60" s="84" t="str">
        <f ca="1">IF(NOT(ISERROR(CG61)),IF(COLUMN($I:$I)+SUM($BY61:CG61)-1&lt;COLUMN($N:$N),INDEX($1:$1048576,ROW(CG60),SUM($BZ61:CG61)+COLUMN($I$1)-1),INDEX($3:$3,1,COLUMN($I:$I)+SUM($BY61:CG61)-1)&amp;" ("&amp;INDEX($1:$1048576,ROW(CG60),SUM($BZ61:CG61)+COLUMN($I$1)-1)&amp;")"),"")</f>
        <v/>
      </c>
      <c r="CH60" s="84" t="str">
        <f ca="1">IF(NOT(ISERROR(CH61)),IF(COLUMN($I:$I)+SUM($BY61:CH61)-1&lt;COLUMN($N:$N),INDEX($1:$1048576,ROW(CH60),SUM($BZ61:CH61)+COLUMN($I$1)-1),INDEX($3:$3,1,COLUMN($I:$I)+SUM($BY61:CH61)-1)&amp;" ("&amp;INDEX($1:$1048576,ROW(CH60),SUM($BZ61:CH61)+COLUMN($I$1)-1)&amp;")"),"")</f>
        <v/>
      </c>
      <c r="CI60" s="84" t="str">
        <f ca="1">IF(NOT(ISERROR(CI61)),IF(COLUMN($I:$I)+SUM($BY61:CI61)-1&lt;COLUMN($N:$N),INDEX($1:$1048576,ROW(CI60),SUM($BZ61:CI61)+COLUMN($I$1)-1),INDEX($3:$3,1,COLUMN($I:$I)+SUM($BY61:CI61)-1)&amp;" ("&amp;INDEX($1:$1048576,ROW(CI60),SUM($BZ61:CI61)+COLUMN($I$1)-1)&amp;")"),"")</f>
        <v/>
      </c>
      <c r="CJ60" s="84" t="str">
        <f ca="1">IF(NOT(ISERROR(CJ61)),IF(COLUMN($I:$I)+SUM($BY61:CJ61)-1&lt;COLUMN($N:$N),INDEX($1:$1048576,ROW(CJ60),SUM($BZ61:CJ61)+COLUMN($I$1)-1),INDEX($3:$3,1,COLUMN($I:$I)+SUM($BY61:CJ61)-1)&amp;" ("&amp;INDEX($1:$1048576,ROW(CJ60),SUM($BZ61:CJ61)+COLUMN($I$1)-1)&amp;")"),"")</f>
        <v/>
      </c>
      <c r="CK60" s="87"/>
    </row>
    <row r="61" spans="1:89" s="88" customFormat="1" x14ac:dyDescent="0.25">
      <c r="A61" s="705"/>
      <c r="B61" s="707"/>
      <c r="C61" s="707"/>
      <c r="D61" s="709"/>
      <c r="E61" s="707"/>
      <c r="F61" s="699"/>
      <c r="G61" s="701"/>
      <c r="H61" s="701"/>
      <c r="J61" s="92" t="e">
        <f>IF(J60&gt;0,IF(AND(INDEX('General Merits'!$F:$F,MATCH($J60,'General Merits'!$F:$F,0),1)&gt;0,VLOOKUP('Merit Data'!J60,'General Merits'!$F:$Z,COLUMN('General Merits'!$N:$N),0)),TRUE,FALSE),#N/A)</f>
        <v>#N/A</v>
      </c>
      <c r="K61" s="92" t="e">
        <f>IF(K60&gt;0,IF(AND(INDEX('General Merits'!$F:$F,MATCH($J60,'General Merits'!$F:$F,0),1)&gt;0,VLOOKUP('Merit Data'!K60,'General Merits'!$F:$Z,COLUMN('General Merits'!$N:$N),0)),TRUE,FALSE),#N/A)</f>
        <v>#N/A</v>
      </c>
      <c r="L61" s="92" t="e">
        <f>IF(L60&gt;0,IF(AND(INDEX('General Merits'!$F:$F,MATCH($J60,'General Merits'!$F:$F,0),1)&gt;0,VLOOKUP('Merit Data'!L60,'General Merits'!$F:$Z,COLUMN('General Merits'!$N:$N),0)),TRUE,FALSE),#N/A)</f>
        <v>#N/A</v>
      </c>
      <c r="N61" s="89" t="e">
        <f>IF(STR&gt;=N60,TRUE)</f>
        <v>#REF!</v>
      </c>
      <c r="O61" s="89" t="e">
        <f>IF(AGI&gt;=O60,TRUE)</f>
        <v>#REF!</v>
      </c>
      <c r="P61" s="89" t="e">
        <f>IF(CON&gt;=P60,TRUE)</f>
        <v>#REF!</v>
      </c>
      <c r="Q61" s="89" t="e">
        <f>IF(INT&gt;=Q60,TRUE)</f>
        <v>#REF!</v>
      </c>
      <c r="R61" s="89" t="e">
        <f>IF(WIS&gt;=R60,TRUE)</f>
        <v>#REF!</v>
      </c>
      <c r="S61" s="89" t="e">
        <f>IF(FOC&gt;=S60,TRUE)</f>
        <v>#REF!</v>
      </c>
      <c r="T61" s="89" t="e">
        <f>IF(CHA&gt;=T60,TRUE)</f>
        <v>#REF!</v>
      </c>
      <c r="U61" s="89" t="e">
        <f>IF(INS&gt;=U60,TRUE)</f>
        <v>#REF!</v>
      </c>
      <c r="V61" s="89" t="e">
        <f>IF(CNV&gt;=V60,TRUE)</f>
        <v>#REF!</v>
      </c>
      <c r="W61" s="89"/>
      <c r="X61" s="89" t="e">
        <f>IF(Archery&gt;=X60,TRUE)</f>
        <v>#REF!</v>
      </c>
      <c r="Y61" s="89" t="e">
        <f>IF(Crossbows&gt;=Y60,TRUE)</f>
        <v>#REF!</v>
      </c>
      <c r="Z61" s="89" t="e">
        <f>IF(Daggers&gt;=Z60,TRUE)</f>
        <v>#REF!</v>
      </c>
      <c r="AA61" s="89" t="e">
        <f>IF(HandtoHandCombat&gt;=AA60,TRUE)</f>
        <v>#REF!</v>
      </c>
      <c r="AB61" s="89" t="e">
        <f>IF(HeavyArmor&gt;=AB60,TRUE)</f>
        <v>#REF!</v>
      </c>
      <c r="AC61" s="89" t="e">
        <f>IF(ImprovisedWeaponry&gt;=AC60,TRUE)</f>
        <v>#NAME?</v>
      </c>
      <c r="AD61" s="89" t="e">
        <f>IF(LightArmor&gt;=AD60,TRUE)</f>
        <v>#REF!</v>
      </c>
      <c r="AE61" s="89" t="e">
        <f>IF(Magicka&gt;=AE60,TRUE)</f>
        <v>#REF!</v>
      </c>
      <c r="AF61" s="89" t="e">
        <f>IF(OR(Archery&gt;=AF60,Crossbows&gt;=AF60,Daggers&gt;=AF60,HandtoHandCombat&gt;=AF60,ImprovisedWeaponry&gt;=AF60,Axes&gt;=AF60,Maces&gt;=AF60,Swords&gt;=AF60,Polearms&gt;=AF60,Staves&gt;=AF60,Throwing&gt;=AF60,TwoHandedAxes&gt;=AF60,TwoHandedMaces&gt;=AF60,TwoHandedSwords&gt;=AF60),TRUE)</f>
        <v>#REF!</v>
      </c>
      <c r="AG61" s="89" t="e">
        <f>IF(Axes&gt;=AG60,TRUE)</f>
        <v>#REF!</v>
      </c>
      <c r="AH61" s="89" t="e">
        <f>IF(Maces&gt;=AH60,TRUE)</f>
        <v>#REF!</v>
      </c>
      <c r="AI61" s="89" t="e">
        <f>IF(Swords&gt;=AI60,TRUE)</f>
        <v>#REF!</v>
      </c>
      <c r="AJ61" s="89" t="e">
        <f>IF(Polearms&gt;=AJ60,TRUE)</f>
        <v>#REF!</v>
      </c>
      <c r="AK61" s="89" t="e">
        <f>IF(Shields&gt;=AK60,TRUE)</f>
        <v>#REF!</v>
      </c>
      <c r="AL61" s="89" t="e">
        <f>IF(Staves&gt;=AL60,TRUE)</f>
        <v>#REF!</v>
      </c>
      <c r="AM61" s="89" t="e">
        <f>IF(Throwing&gt;=AM60,TRUE)</f>
        <v>#REF!</v>
      </c>
      <c r="AN61" s="89" t="e">
        <f>IF(TwoHandedAxes&gt;=AN60,TRUE)</f>
        <v>#NAME?</v>
      </c>
      <c r="AO61" s="89" t="e">
        <f>IF(TwoHandedMaces&gt;=AO60,TRUE)</f>
        <v>#NAME?</v>
      </c>
      <c r="AP61" s="89" t="e">
        <f>IF(TwoHandedSwords&gt;=AP60,TRUE)</f>
        <v>#NAME?</v>
      </c>
      <c r="AQ61" s="89"/>
      <c r="AR61" s="89" t="e">
        <f>IF(Acrobatics&gt;=AR60,TRUE)</f>
        <v>#REF!</v>
      </c>
      <c r="AS61" s="89" t="e">
        <f>IF(Appraisal&gt;=AS60,TRUE)</f>
        <v>#REF!</v>
      </c>
      <c r="AT61" s="89" t="e">
        <f>IF(Athletics&gt;=AT60,TRUE)</f>
        <v>#REF!</v>
      </c>
      <c r="AU61" s="89" t="e">
        <f>IF(Comprehension&gt;=AU60,TRUE)</f>
        <v>#REF!</v>
      </c>
      <c r="AV61" s="89" t="e">
        <f>IF(Expression&gt;=AV60,TRUE)</f>
        <v>#REF!</v>
      </c>
      <c r="AW61" s="89" t="e">
        <f>IF(Perception&gt;=AW60,TRUE)</f>
        <v>#REF!</v>
      </c>
      <c r="AX61" s="89" t="e">
        <f>IF(Security&gt;=AX60,TRUE)</f>
        <v>#REF!</v>
      </c>
      <c r="AY61" s="89" t="e">
        <f>IF(Stealth&gt;=AY60,TRUE)</f>
        <v>#REF!</v>
      </c>
      <c r="AZ61" s="89" t="e">
        <f>IF(Streetwise&gt;=AZ60,TRUE)</f>
        <v>#REF!</v>
      </c>
      <c r="BA61" s="89" t="e">
        <f>IF(Subterfuge&gt;=BA60,TRUE)</f>
        <v>#REF!</v>
      </c>
      <c r="BB61" s="89" t="e">
        <f>IF(Survival&gt;=BB60,TRUE)</f>
        <v>#REF!</v>
      </c>
      <c r="BC61" s="89"/>
      <c r="BD61" s="89" t="e">
        <f>IF(AncientDraconic&gt;=BD60,TRUE)</f>
        <v>#REF!</v>
      </c>
      <c r="BE61" s="89" t="e">
        <f>IF(AquaElven&gt;=BE60,TRUE)</f>
        <v>#REF!</v>
      </c>
      <c r="BF61" s="89" t="e">
        <f>IF(BasicElven&gt;=BF60,TRUE)</f>
        <v>#REF!</v>
      </c>
      <c r="BG61" s="89" t="e">
        <f>IF(Common&gt;=BG60,TRUE)</f>
        <v>#REF!</v>
      </c>
      <c r="BH61" s="89" t="e">
        <f>IF(DarkElven&gt;=BH60,TRUE)</f>
        <v>#REF!</v>
      </c>
      <c r="BI61" s="89" t="e">
        <f>IF(Davek&gt;=BI60,TRUE)</f>
        <v>#REF!</v>
      </c>
      <c r="BJ61" s="89" t="e">
        <f>IF(Draconic&gt;=BJ60,TRUE)</f>
        <v>#REF!</v>
      </c>
      <c r="BK61" s="89" t="e">
        <f>IF(Eulian&gt;=BK60,TRUE)</f>
        <v>#REF!</v>
      </c>
      <c r="BL61" s="89" t="e">
        <f>IF(Garonian&gt;=BL60,TRUE)</f>
        <v>#REF!</v>
      </c>
      <c r="BM61" s="89" t="e">
        <f>IF(Geovek&gt;=BM60,TRUE)</f>
        <v>#REF!</v>
      </c>
      <c r="BN61" s="89" t="e">
        <f>IF(Gnomish&gt;=BN60,TRUE)</f>
        <v>#REF!</v>
      </c>
      <c r="BO61" s="89" t="e">
        <f>IF(Goblin&gt;=BO60,TRUE)</f>
        <v>#REF!</v>
      </c>
      <c r="BP61" s="89" t="e">
        <f>IF(HighElven&gt;=BP60,TRUE)</f>
        <v>#REF!</v>
      </c>
      <c r="BQ61" s="89" t="e">
        <f>IF(Kotaba&gt;=BQ60,TRUE)</f>
        <v>#REF!</v>
      </c>
      <c r="BR61" s="89" t="e">
        <f>IF(LowerCommon&gt;=BR60,TRUE)</f>
        <v>#REF!</v>
      </c>
      <c r="BS61" s="89" t="e">
        <f>IF(OldElven&gt;=BS60,TRUE)</f>
        <v>#REF!</v>
      </c>
      <c r="BT61" s="89" t="e">
        <f>IF(Sylvan&gt;=BT60,TRUE)</f>
        <v>#REF!</v>
      </c>
      <c r="BU61" s="89" t="e">
        <f>IF(TrueDraconic&gt;=BU60,TRUE)</f>
        <v>#REF!</v>
      </c>
      <c r="BV61" s="89" t="e">
        <f>IF(Volken&gt;=BV60,TRUE)</f>
        <v>#REF!</v>
      </c>
      <c r="BW61" s="89" t="e">
        <f>IF(WoodElven&gt;=BW60,TRUE)</f>
        <v>#REF!</v>
      </c>
      <c r="BX61" s="703"/>
      <c r="BY61" s="89"/>
      <c r="BZ61" s="88" t="e">
        <f ca="1">MATCH(TRUE,INDEX((INDIRECT(INDEX($1:$1,ROW($1:$1),COLUMN($I:$I)+SUM($BY61:BY61))&amp;$CK61-1&amp;":"&amp;$BW$1&amp;$CK61-1)&lt;&gt;0),0),0)</f>
        <v>#N/A</v>
      </c>
      <c r="CA61" s="88" t="e">
        <f ca="1">MATCH(TRUE,INDEX((INDIRECT(INDEX($1:$1,ROW($1:$1),COLUMN($I:$I)+SUM($BY61:BZ61))&amp;$CK61-1&amp;":"&amp;$BW$1&amp;$CK61-1)&lt;&gt;0),0),0)</f>
        <v>#N/A</v>
      </c>
      <c r="CB61" s="88" t="e">
        <f ca="1">MATCH(TRUE,INDEX((INDIRECT(INDEX($1:$1,ROW($1:$1),COLUMN($I:$I)+SUM($BY61:CA61))&amp;$CK61-1&amp;":"&amp;$BW$1&amp;$CK61-1)&lt;&gt;0),0),0)</f>
        <v>#N/A</v>
      </c>
      <c r="CC61" s="88" t="e">
        <f ca="1">MATCH(TRUE,INDEX((INDIRECT(INDEX($1:$1,ROW($1:$1),COLUMN($I:$I)+SUM($BY61:CB61))&amp;$CK61-1&amp;":"&amp;$BW$1&amp;$CK61-1)&lt;&gt;0),0),0)</f>
        <v>#N/A</v>
      </c>
      <c r="CD61" s="88" t="e">
        <f ca="1">MATCH(TRUE,INDEX((INDIRECT(INDEX($1:$1,ROW($1:$1),COLUMN($I:$I)+SUM($BY61:CC61))&amp;$CK61-1&amp;":"&amp;$BW$1&amp;$CK61-1)&lt;&gt;0),0),0)</f>
        <v>#N/A</v>
      </c>
      <c r="CE61" s="88" t="e">
        <f ca="1">MATCH(TRUE,INDEX((INDIRECT(INDEX($1:$1,ROW($1:$1),COLUMN($I:$I)+SUM($BY61:CD61))&amp;$CK61-1&amp;":"&amp;$BW$1&amp;$CK61-1)&lt;&gt;0),0),0)</f>
        <v>#N/A</v>
      </c>
      <c r="CF61" s="88" t="e">
        <f ca="1">MATCH(TRUE,INDEX((INDIRECT(INDEX($1:$1,ROW($1:$1),COLUMN($I:$I)+SUM($BY61:CE61))&amp;$CK61-1&amp;":"&amp;$BW$1&amp;$CK61-1)&lt;&gt;0),0),0)</f>
        <v>#N/A</v>
      </c>
      <c r="CG61" s="88" t="e">
        <f ca="1">MATCH(TRUE,INDEX((INDIRECT(INDEX($1:$1,ROW($1:$1),COLUMN($I:$I)+SUM($BY61:CF61))&amp;$CK61-1&amp;":"&amp;$BW$1&amp;$CK61-1)&lt;&gt;0),0),0)</f>
        <v>#N/A</v>
      </c>
      <c r="CH61" s="88" t="e">
        <f ca="1">MATCH(TRUE,INDEX((INDIRECT(INDEX($1:$1,ROW($1:$1),COLUMN($I:$I)+SUM($BY61:CG61))&amp;$CK61-1&amp;":"&amp;$BW$1&amp;$CK61-1)&lt;&gt;0),0),0)</f>
        <v>#N/A</v>
      </c>
      <c r="CI61" s="88" t="e">
        <f ca="1">MATCH(TRUE,INDEX((INDIRECT(INDEX($1:$1,ROW($1:$1),COLUMN($I:$I)+SUM($BY61:CH61))&amp;$CK61-1&amp;":"&amp;$BW$1&amp;$CK61-1)&lt;&gt;0),0),0)</f>
        <v>#N/A</v>
      </c>
      <c r="CJ61" s="88" t="e">
        <f ca="1">MATCH(TRUE,INDEX((INDIRECT(INDEX($1:$1,ROW($1:$1),COLUMN($I:$I)+SUM($BY61:CI61))&amp;$CK61-1&amp;":"&amp;$BW$1&amp;$CK61-1)&lt;&gt;0),0),0)</f>
        <v>#N/A</v>
      </c>
      <c r="CK61" s="90">
        <f>ROW(CK61)</f>
        <v>61</v>
      </c>
    </row>
    <row r="62" spans="1:89" s="84" customFormat="1" ht="15" customHeight="1" x14ac:dyDescent="0.25">
      <c r="A62" s="704"/>
      <c r="B62" s="706" t="b">
        <f>ISERROR(MATCH(FALSE,$J63:$BW63,0))</f>
        <v>1</v>
      </c>
      <c r="C62" s="706" t="b">
        <f>IF(AND(INDEX('General Merits'!$F:$F,MATCH(A62,'General Merits'!$F:$F,0))&gt;0,VLOOKUP(A62,'General Merits'!$F:$Q,10,0)),TRUE,FALSE)</f>
        <v>0</v>
      </c>
      <c r="D62" s="708">
        <v>1</v>
      </c>
      <c r="E62" s="706">
        <f>D62*100</f>
        <v>100</v>
      </c>
      <c r="F62" s="698"/>
      <c r="G62" s="700"/>
      <c r="H62" s="700"/>
      <c r="J62" s="235"/>
      <c r="K62" s="235"/>
      <c r="L62" s="235"/>
      <c r="N62" s="85"/>
      <c r="O62" s="85"/>
      <c r="P62" s="85"/>
      <c r="Q62" s="85"/>
      <c r="R62" s="85"/>
      <c r="S62" s="85"/>
      <c r="T62" s="85"/>
      <c r="U62" s="85"/>
      <c r="V62" s="85"/>
      <c r="W62" s="86"/>
      <c r="X62" s="85"/>
      <c r="Y62" s="85"/>
      <c r="Z62" s="85"/>
      <c r="AA62" s="85"/>
      <c r="AB62" s="85"/>
      <c r="AC62" s="85"/>
      <c r="AD62" s="85"/>
      <c r="AE62" s="85"/>
      <c r="AF62" s="236"/>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702" t="str">
        <f ca="1">IF(BZ62&lt;&gt;"",BZ62,"")&amp;IF(CA62&lt;&gt;"",", "&amp;CA62,"")&amp;IF(CB62&lt;&gt;"",", "&amp;CB62,"")&amp;IF(CC62&lt;&gt;"",", "&amp;CC62,"")&amp;IF(CD62&lt;&gt;"",", "&amp;CD62,"")&amp;IF(CE62&lt;&gt;"",", "&amp;CE62,"")&amp;IF(CF62&lt;&gt;"",", "&amp;CF62,"")&amp;IF(CG62&lt;&gt;"",", "&amp;CG62,"")&amp;IF(CH62&lt;&gt;"",", "&amp;CH62,"")&amp;IF(CI62&lt;&gt;"",", "&amp;CI62,"")</f>
        <v/>
      </c>
      <c r="BY62" s="85"/>
      <c r="BZ62" s="84" t="str">
        <f ca="1">IF(NOT(ISERROR(BZ63)),IF(COLUMN($I:$I)+SUM($BY63:BZ63)-1&lt;COLUMN($N:$N),INDEX($1:$1048576,ROW(BZ62),SUM($BZ63:BZ63)+COLUMN($I$1)-1),INDEX($3:$3,1,COLUMN($I:$I)+SUM($BY63:BZ63)-1)&amp;" ("&amp;INDEX($1:$1048576,ROW(BZ62),SUM($BZ63:BZ63)+COLUMN($I$1)-1)&amp;")"),"")</f>
        <v/>
      </c>
      <c r="CA62" s="84" t="str">
        <f ca="1">IF(NOT(ISERROR(CA63)),IF(COLUMN($I:$I)+SUM($BY63:CA63)-1&lt;COLUMN($N:$N),INDEX($1:$1048576,ROW(CA62),SUM($BZ63:CA63)+COLUMN($I$1)-1),INDEX($3:$3,1,COLUMN($I:$I)+SUM($BY63:CA63)-1)&amp;" ("&amp;INDEX($1:$1048576,ROW(CA62),SUM($BZ63:CA63)+COLUMN($I$1)-1)&amp;")"),"")</f>
        <v/>
      </c>
      <c r="CB62" s="84" t="str">
        <f ca="1">IF(NOT(ISERROR(CB63)),IF(COLUMN($I:$I)+SUM($BY63:CB63)-1&lt;COLUMN($N:$N),INDEX($1:$1048576,ROW(CB62),SUM($BZ63:CB63)+COLUMN($I$1)-1),INDEX($3:$3,1,COLUMN($I:$I)+SUM($BY63:CB63)-1)&amp;" ("&amp;INDEX($1:$1048576,ROW(CB62),SUM($BZ63:CB63)+COLUMN($I$1)-1)&amp;")"),"")</f>
        <v/>
      </c>
      <c r="CC62" s="84" t="str">
        <f ca="1">IF(NOT(ISERROR(CC63)),IF(COLUMN($I:$I)+SUM($BY63:CC63)-1&lt;COLUMN($N:$N),INDEX($1:$1048576,ROW(CC62),SUM($BZ63:CC63)+COLUMN($I$1)-1),INDEX($3:$3,1,COLUMN($I:$I)+SUM($BY63:CC63)-1)&amp;" ("&amp;INDEX($1:$1048576,ROW(CC62),SUM($BZ63:CC63)+COLUMN($I$1)-1)&amp;")"),"")</f>
        <v/>
      </c>
      <c r="CD62" s="84" t="str">
        <f ca="1">IF(NOT(ISERROR(CD63)),IF(COLUMN($I:$I)+SUM($BY63:CD63)-1&lt;COLUMN($N:$N),INDEX($1:$1048576,ROW(CD62),SUM($BZ63:CD63)+COLUMN($I$1)-1),INDEX($3:$3,1,COLUMN($I:$I)+SUM($BY63:CD63)-1)&amp;" ("&amp;INDEX($1:$1048576,ROW(CD62),SUM($BZ63:CD63)+COLUMN($I$1)-1)&amp;")"),"")</f>
        <v/>
      </c>
      <c r="CE62" s="84" t="str">
        <f ca="1">IF(NOT(ISERROR(CE63)),IF(COLUMN($I:$I)+SUM($BY63:CE63)-1&lt;COLUMN($N:$N),INDEX($1:$1048576,ROW(CE62),SUM($BZ63:CE63)+COLUMN($I$1)-1),INDEX($3:$3,1,COLUMN($I:$I)+SUM($BY63:CE63)-1)&amp;" ("&amp;INDEX($1:$1048576,ROW(CE62),SUM($BZ63:CE63)+COLUMN($I$1)-1)&amp;")"),"")</f>
        <v/>
      </c>
      <c r="CF62" s="84" t="str">
        <f ca="1">IF(NOT(ISERROR(CF63)),IF(COLUMN($I:$I)+SUM($BY63:CF63)-1&lt;COLUMN($N:$N),INDEX($1:$1048576,ROW(CF62),SUM($BZ63:CF63)+COLUMN($I$1)-1),INDEX($3:$3,1,COLUMN($I:$I)+SUM($BY63:CF63)-1)&amp;" ("&amp;INDEX($1:$1048576,ROW(CF62),SUM($BZ63:CF63)+COLUMN($I$1)-1)&amp;")"),"")</f>
        <v/>
      </c>
      <c r="CG62" s="84" t="str">
        <f ca="1">IF(NOT(ISERROR(CG63)),IF(COLUMN($I:$I)+SUM($BY63:CG63)-1&lt;COLUMN($N:$N),INDEX($1:$1048576,ROW(CG62),SUM($BZ63:CG63)+COLUMN($I$1)-1),INDEX($3:$3,1,COLUMN($I:$I)+SUM($BY63:CG63)-1)&amp;" ("&amp;INDEX($1:$1048576,ROW(CG62),SUM($BZ63:CG63)+COLUMN($I$1)-1)&amp;")"),"")</f>
        <v/>
      </c>
      <c r="CH62" s="84" t="str">
        <f ca="1">IF(NOT(ISERROR(CH63)),IF(COLUMN($I:$I)+SUM($BY63:CH63)-1&lt;COLUMN($N:$N),INDEX($1:$1048576,ROW(CH62),SUM($BZ63:CH63)+COLUMN($I$1)-1),INDEX($3:$3,1,COLUMN($I:$I)+SUM($BY63:CH63)-1)&amp;" ("&amp;INDEX($1:$1048576,ROW(CH62),SUM($BZ63:CH63)+COLUMN($I$1)-1)&amp;")"),"")</f>
        <v/>
      </c>
      <c r="CI62" s="84" t="str">
        <f ca="1">IF(NOT(ISERROR(CI63)),IF(COLUMN($I:$I)+SUM($BY63:CI63)-1&lt;COLUMN($N:$N),INDEX($1:$1048576,ROW(CI62),SUM($BZ63:CI63)+COLUMN($I$1)-1),INDEX($3:$3,1,COLUMN($I:$I)+SUM($BY63:CI63)-1)&amp;" ("&amp;INDEX($1:$1048576,ROW(CI62),SUM($BZ63:CI63)+COLUMN($I$1)-1)&amp;")"),"")</f>
        <v/>
      </c>
      <c r="CJ62" s="84" t="str">
        <f ca="1">IF(NOT(ISERROR(CJ63)),IF(COLUMN($I:$I)+SUM($BY63:CJ63)-1&lt;COLUMN($N:$N),INDEX($1:$1048576,ROW(CJ62),SUM($BZ63:CJ63)+COLUMN($I$1)-1),INDEX($3:$3,1,COLUMN($I:$I)+SUM($BY63:CJ63)-1)&amp;" ("&amp;INDEX($1:$1048576,ROW(CJ62),SUM($BZ63:CJ63)+COLUMN($I$1)-1)&amp;")"),"")</f>
        <v/>
      </c>
      <c r="CK62" s="87"/>
    </row>
    <row r="63" spans="1:89" s="88" customFormat="1" x14ac:dyDescent="0.25">
      <c r="A63" s="705"/>
      <c r="B63" s="707"/>
      <c r="C63" s="707"/>
      <c r="D63" s="709"/>
      <c r="E63" s="707"/>
      <c r="F63" s="699"/>
      <c r="G63" s="701"/>
      <c r="H63" s="701"/>
      <c r="J63" s="92" t="e">
        <f>IF(J62&gt;0,IF(AND(INDEX('General Merits'!$F:$F,MATCH($J62,'General Merits'!$F:$F,0),1)&gt;0,VLOOKUP('Merit Data'!J62,'General Merits'!$F:$Z,COLUMN('General Merits'!$N:$N),0)),TRUE,FALSE),#N/A)</f>
        <v>#N/A</v>
      </c>
      <c r="K63" s="92" t="e">
        <f>IF(K62&gt;0,IF(AND(INDEX('General Merits'!$F:$F,MATCH($J62,'General Merits'!$F:$F,0),1)&gt;0,VLOOKUP('Merit Data'!K62,'General Merits'!$F:$Z,COLUMN('General Merits'!$N:$N),0)),TRUE,FALSE),#N/A)</f>
        <v>#N/A</v>
      </c>
      <c r="L63" s="92" t="e">
        <f>IF(L62&gt;0,IF(AND(INDEX('General Merits'!$F:$F,MATCH($J62,'General Merits'!$F:$F,0),1)&gt;0,VLOOKUP('Merit Data'!L62,'General Merits'!$F:$Z,COLUMN('General Merits'!$N:$N),0)),TRUE,FALSE),#N/A)</f>
        <v>#N/A</v>
      </c>
      <c r="N63" s="89" t="e">
        <f>IF(STR&gt;=N62,TRUE)</f>
        <v>#REF!</v>
      </c>
      <c r="O63" s="89" t="e">
        <f>IF(AGI&gt;=O62,TRUE)</f>
        <v>#REF!</v>
      </c>
      <c r="P63" s="89" t="e">
        <f>IF(CON&gt;=P62,TRUE)</f>
        <v>#REF!</v>
      </c>
      <c r="Q63" s="89" t="e">
        <f>IF(INT&gt;=Q62,TRUE)</f>
        <v>#REF!</v>
      </c>
      <c r="R63" s="89" t="e">
        <f>IF(WIS&gt;=R62,TRUE)</f>
        <v>#REF!</v>
      </c>
      <c r="S63" s="89" t="e">
        <f>IF(FOC&gt;=S62,TRUE)</f>
        <v>#REF!</v>
      </c>
      <c r="T63" s="89" t="e">
        <f>IF(CHA&gt;=T62,TRUE)</f>
        <v>#REF!</v>
      </c>
      <c r="U63" s="89" t="e">
        <f>IF(INS&gt;=U62,TRUE)</f>
        <v>#REF!</v>
      </c>
      <c r="V63" s="89" t="e">
        <f>IF(CNV&gt;=V62,TRUE)</f>
        <v>#REF!</v>
      </c>
      <c r="W63" s="89"/>
      <c r="X63" s="89" t="e">
        <f>IF(Archery&gt;=X62,TRUE)</f>
        <v>#REF!</v>
      </c>
      <c r="Y63" s="89" t="e">
        <f>IF(Crossbows&gt;=Y62,TRUE)</f>
        <v>#REF!</v>
      </c>
      <c r="Z63" s="89" t="e">
        <f>IF(Daggers&gt;=Z62,TRUE)</f>
        <v>#REF!</v>
      </c>
      <c r="AA63" s="89" t="e">
        <f>IF(HandtoHandCombat&gt;=AA62,TRUE)</f>
        <v>#REF!</v>
      </c>
      <c r="AB63" s="89" t="e">
        <f>IF(HeavyArmor&gt;=AB62,TRUE)</f>
        <v>#REF!</v>
      </c>
      <c r="AC63" s="89" t="e">
        <f>IF(ImprovisedWeaponry&gt;=AC62,TRUE)</f>
        <v>#NAME?</v>
      </c>
      <c r="AD63" s="89" t="e">
        <f>IF(LightArmor&gt;=AD62,TRUE)</f>
        <v>#REF!</v>
      </c>
      <c r="AE63" s="89" t="e">
        <f>IF(Magicka&gt;=AE62,TRUE)</f>
        <v>#REF!</v>
      </c>
      <c r="AF63" s="89" t="e">
        <f>IF(OR(Archery&gt;=AF62,Crossbows&gt;=AF62,Daggers&gt;=AF62,HandtoHandCombat&gt;=AF62,ImprovisedWeaponry&gt;=AF62,Axes&gt;=AF62,Maces&gt;=AF62,Swords&gt;=AF62,Polearms&gt;=AF62,Staves&gt;=AF62,Throwing&gt;=AF62,TwoHandedAxes&gt;=AF62,TwoHandedMaces&gt;=AF62,TwoHandedSwords&gt;=AF62),TRUE)</f>
        <v>#REF!</v>
      </c>
      <c r="AG63" s="89" t="e">
        <f>IF(Axes&gt;=AG62,TRUE)</f>
        <v>#REF!</v>
      </c>
      <c r="AH63" s="89" t="e">
        <f>IF(Maces&gt;=AH62,TRUE)</f>
        <v>#REF!</v>
      </c>
      <c r="AI63" s="89" t="e">
        <f>IF(Swords&gt;=AI62,TRUE)</f>
        <v>#REF!</v>
      </c>
      <c r="AJ63" s="89" t="e">
        <f>IF(Polearms&gt;=AJ62,TRUE)</f>
        <v>#REF!</v>
      </c>
      <c r="AK63" s="89" t="e">
        <f>IF(Shields&gt;=AK62,TRUE)</f>
        <v>#REF!</v>
      </c>
      <c r="AL63" s="89" t="e">
        <f>IF(Staves&gt;=AL62,TRUE)</f>
        <v>#REF!</v>
      </c>
      <c r="AM63" s="89" t="e">
        <f>IF(Throwing&gt;=AM62,TRUE)</f>
        <v>#REF!</v>
      </c>
      <c r="AN63" s="89" t="e">
        <f>IF(TwoHandedAxes&gt;=AN62,TRUE)</f>
        <v>#NAME?</v>
      </c>
      <c r="AO63" s="89" t="e">
        <f>IF(TwoHandedMaces&gt;=AO62,TRUE)</f>
        <v>#NAME?</v>
      </c>
      <c r="AP63" s="89" t="e">
        <f>IF(TwoHandedSwords&gt;=AP62,TRUE)</f>
        <v>#NAME?</v>
      </c>
      <c r="AQ63" s="89"/>
      <c r="AR63" s="89" t="e">
        <f>IF(Acrobatics&gt;=AR62,TRUE)</f>
        <v>#REF!</v>
      </c>
      <c r="AS63" s="89" t="e">
        <f>IF(Appraisal&gt;=AS62,TRUE)</f>
        <v>#REF!</v>
      </c>
      <c r="AT63" s="89" t="e">
        <f>IF(Athletics&gt;=AT62,TRUE)</f>
        <v>#REF!</v>
      </c>
      <c r="AU63" s="89" t="e">
        <f>IF(Comprehension&gt;=AU62,TRUE)</f>
        <v>#REF!</v>
      </c>
      <c r="AV63" s="89" t="e">
        <f>IF(Expression&gt;=AV62,TRUE)</f>
        <v>#REF!</v>
      </c>
      <c r="AW63" s="89" t="e">
        <f>IF(Perception&gt;=AW62,TRUE)</f>
        <v>#REF!</v>
      </c>
      <c r="AX63" s="89" t="e">
        <f>IF(Security&gt;=AX62,TRUE)</f>
        <v>#REF!</v>
      </c>
      <c r="AY63" s="89" t="e">
        <f>IF(Stealth&gt;=AY62,TRUE)</f>
        <v>#REF!</v>
      </c>
      <c r="AZ63" s="89" t="e">
        <f>IF(Streetwise&gt;=AZ62,TRUE)</f>
        <v>#REF!</v>
      </c>
      <c r="BA63" s="89" t="e">
        <f>IF(Subterfuge&gt;=BA62,TRUE)</f>
        <v>#REF!</v>
      </c>
      <c r="BB63" s="89" t="e">
        <f>IF(Survival&gt;=BB62,TRUE)</f>
        <v>#REF!</v>
      </c>
      <c r="BC63" s="89"/>
      <c r="BD63" s="89" t="e">
        <f>IF(AncientDraconic&gt;=BD62,TRUE)</f>
        <v>#REF!</v>
      </c>
      <c r="BE63" s="89" t="e">
        <f>IF(AquaElven&gt;=BE62,TRUE)</f>
        <v>#REF!</v>
      </c>
      <c r="BF63" s="89" t="e">
        <f>IF(BasicElven&gt;=BF62,TRUE)</f>
        <v>#REF!</v>
      </c>
      <c r="BG63" s="89" t="e">
        <f>IF(Common&gt;=BG62,TRUE)</f>
        <v>#REF!</v>
      </c>
      <c r="BH63" s="89" t="e">
        <f>IF(DarkElven&gt;=BH62,TRUE)</f>
        <v>#REF!</v>
      </c>
      <c r="BI63" s="89" t="e">
        <f>IF(Davek&gt;=BI62,TRUE)</f>
        <v>#REF!</v>
      </c>
      <c r="BJ63" s="89" t="e">
        <f>IF(Draconic&gt;=BJ62,TRUE)</f>
        <v>#REF!</v>
      </c>
      <c r="BK63" s="89" t="e">
        <f>IF(Eulian&gt;=BK62,TRUE)</f>
        <v>#REF!</v>
      </c>
      <c r="BL63" s="89" t="e">
        <f>IF(Garonian&gt;=BL62,TRUE)</f>
        <v>#REF!</v>
      </c>
      <c r="BM63" s="89" t="e">
        <f>IF(Geovek&gt;=BM62,TRUE)</f>
        <v>#REF!</v>
      </c>
      <c r="BN63" s="89" t="e">
        <f>IF(Gnomish&gt;=BN62,TRUE)</f>
        <v>#REF!</v>
      </c>
      <c r="BO63" s="89" t="e">
        <f>IF(Goblin&gt;=BO62,TRUE)</f>
        <v>#REF!</v>
      </c>
      <c r="BP63" s="89" t="e">
        <f>IF(HighElven&gt;=BP62,TRUE)</f>
        <v>#REF!</v>
      </c>
      <c r="BQ63" s="89" t="e">
        <f>IF(Kotaba&gt;=BQ62,TRUE)</f>
        <v>#REF!</v>
      </c>
      <c r="BR63" s="89" t="e">
        <f>IF(LowerCommon&gt;=BR62,TRUE)</f>
        <v>#REF!</v>
      </c>
      <c r="BS63" s="89" t="e">
        <f>IF(OldElven&gt;=BS62,TRUE)</f>
        <v>#REF!</v>
      </c>
      <c r="BT63" s="89" t="e">
        <f>IF(Sylvan&gt;=BT62,TRUE)</f>
        <v>#REF!</v>
      </c>
      <c r="BU63" s="89" t="e">
        <f>IF(TrueDraconic&gt;=BU62,TRUE)</f>
        <v>#REF!</v>
      </c>
      <c r="BV63" s="89" t="e">
        <f>IF(Volken&gt;=BV62,TRUE)</f>
        <v>#REF!</v>
      </c>
      <c r="BW63" s="89" t="e">
        <f>IF(WoodElven&gt;=BW62,TRUE)</f>
        <v>#REF!</v>
      </c>
      <c r="BX63" s="703"/>
      <c r="BY63" s="89"/>
      <c r="BZ63" s="88" t="e">
        <f ca="1">MATCH(TRUE,INDEX((INDIRECT(INDEX($1:$1,ROW($1:$1),COLUMN($I:$I)+SUM($BY63:BY63))&amp;$CK63-1&amp;":"&amp;$BW$1&amp;$CK63-1)&lt;&gt;0),0),0)</f>
        <v>#N/A</v>
      </c>
      <c r="CA63" s="88" t="e">
        <f ca="1">MATCH(TRUE,INDEX((INDIRECT(INDEX($1:$1,ROW($1:$1),COLUMN($I:$I)+SUM($BY63:BZ63))&amp;$CK63-1&amp;":"&amp;$BW$1&amp;$CK63-1)&lt;&gt;0),0),0)</f>
        <v>#N/A</v>
      </c>
      <c r="CB63" s="88" t="e">
        <f ca="1">MATCH(TRUE,INDEX((INDIRECT(INDEX($1:$1,ROW($1:$1),COLUMN($I:$I)+SUM($BY63:CA63))&amp;$CK63-1&amp;":"&amp;$BW$1&amp;$CK63-1)&lt;&gt;0),0),0)</f>
        <v>#N/A</v>
      </c>
      <c r="CC63" s="88" t="e">
        <f ca="1">MATCH(TRUE,INDEX((INDIRECT(INDEX($1:$1,ROW($1:$1),COLUMN($I:$I)+SUM($BY63:CB63))&amp;$CK63-1&amp;":"&amp;$BW$1&amp;$CK63-1)&lt;&gt;0),0),0)</f>
        <v>#N/A</v>
      </c>
      <c r="CD63" s="88" t="e">
        <f ca="1">MATCH(TRUE,INDEX((INDIRECT(INDEX($1:$1,ROW($1:$1),COLUMN($I:$I)+SUM($BY63:CC63))&amp;$CK63-1&amp;":"&amp;$BW$1&amp;$CK63-1)&lt;&gt;0),0),0)</f>
        <v>#N/A</v>
      </c>
      <c r="CE63" s="88" t="e">
        <f ca="1">MATCH(TRUE,INDEX((INDIRECT(INDEX($1:$1,ROW($1:$1),COLUMN($I:$I)+SUM($BY63:CD63))&amp;$CK63-1&amp;":"&amp;$BW$1&amp;$CK63-1)&lt;&gt;0),0),0)</f>
        <v>#N/A</v>
      </c>
      <c r="CF63" s="88" t="e">
        <f ca="1">MATCH(TRUE,INDEX((INDIRECT(INDEX($1:$1,ROW($1:$1),COLUMN($I:$I)+SUM($BY63:CE63))&amp;$CK63-1&amp;":"&amp;$BW$1&amp;$CK63-1)&lt;&gt;0),0),0)</f>
        <v>#N/A</v>
      </c>
      <c r="CG63" s="88" t="e">
        <f ca="1">MATCH(TRUE,INDEX((INDIRECT(INDEX($1:$1,ROW($1:$1),COLUMN($I:$I)+SUM($BY63:CF63))&amp;$CK63-1&amp;":"&amp;$BW$1&amp;$CK63-1)&lt;&gt;0),0),0)</f>
        <v>#N/A</v>
      </c>
      <c r="CH63" s="88" t="e">
        <f ca="1">MATCH(TRUE,INDEX((INDIRECT(INDEX($1:$1,ROW($1:$1),COLUMN($I:$I)+SUM($BY63:CG63))&amp;$CK63-1&amp;":"&amp;$BW$1&amp;$CK63-1)&lt;&gt;0),0),0)</f>
        <v>#N/A</v>
      </c>
      <c r="CI63" s="88" t="e">
        <f ca="1">MATCH(TRUE,INDEX((INDIRECT(INDEX($1:$1,ROW($1:$1),COLUMN($I:$I)+SUM($BY63:CH63))&amp;$CK63-1&amp;":"&amp;$BW$1&amp;$CK63-1)&lt;&gt;0),0),0)</f>
        <v>#N/A</v>
      </c>
      <c r="CJ63" s="88" t="e">
        <f ca="1">MATCH(TRUE,INDEX((INDIRECT(INDEX($1:$1,ROW($1:$1),COLUMN($I:$I)+SUM($BY63:CI63))&amp;$CK63-1&amp;":"&amp;$BW$1&amp;$CK63-1)&lt;&gt;0),0),0)</f>
        <v>#N/A</v>
      </c>
      <c r="CK63" s="90">
        <f>ROW(CK63)</f>
        <v>63</v>
      </c>
    </row>
  </sheetData>
  <mergeCells count="274">
    <mergeCell ref="A62:A63"/>
    <mergeCell ref="B62:B63"/>
    <mergeCell ref="C62:C63"/>
    <mergeCell ref="D62:D63"/>
    <mergeCell ref="E62:E63"/>
    <mergeCell ref="F62:F63"/>
    <mergeCell ref="G62:G63"/>
    <mergeCell ref="H62:H63"/>
    <mergeCell ref="BX62:BX63"/>
    <mergeCell ref="A60:A61"/>
    <mergeCell ref="B60:B61"/>
    <mergeCell ref="C60:C61"/>
    <mergeCell ref="D60:D61"/>
    <mergeCell ref="E60:E61"/>
    <mergeCell ref="F60:F61"/>
    <mergeCell ref="G60:G61"/>
    <mergeCell ref="H60:H61"/>
    <mergeCell ref="BX60:BX61"/>
    <mergeCell ref="A58:A59"/>
    <mergeCell ref="B58:B59"/>
    <mergeCell ref="C58:C59"/>
    <mergeCell ref="D58:D59"/>
    <mergeCell ref="E58:E59"/>
    <mergeCell ref="F58:F59"/>
    <mergeCell ref="G58:G59"/>
    <mergeCell ref="H58:H59"/>
    <mergeCell ref="BX58:BX59"/>
    <mergeCell ref="A56:A57"/>
    <mergeCell ref="B56:B57"/>
    <mergeCell ref="C56:C57"/>
    <mergeCell ref="D56:D57"/>
    <mergeCell ref="E56:E57"/>
    <mergeCell ref="F56:F57"/>
    <mergeCell ref="G56:G57"/>
    <mergeCell ref="H56:H57"/>
    <mergeCell ref="BX56:BX57"/>
    <mergeCell ref="A54:A55"/>
    <mergeCell ref="B54:B55"/>
    <mergeCell ref="C54:C55"/>
    <mergeCell ref="D54:D55"/>
    <mergeCell ref="E54:E55"/>
    <mergeCell ref="F54:F55"/>
    <mergeCell ref="G54:G55"/>
    <mergeCell ref="H54:H55"/>
    <mergeCell ref="BX54:BX55"/>
    <mergeCell ref="A52:A53"/>
    <mergeCell ref="B52:B53"/>
    <mergeCell ref="C52:C53"/>
    <mergeCell ref="D52:D53"/>
    <mergeCell ref="E52:E53"/>
    <mergeCell ref="F52:F53"/>
    <mergeCell ref="G52:G53"/>
    <mergeCell ref="H52:H53"/>
    <mergeCell ref="BX52:BX53"/>
    <mergeCell ref="A50:A51"/>
    <mergeCell ref="B50:B51"/>
    <mergeCell ref="C50:C51"/>
    <mergeCell ref="D50:D51"/>
    <mergeCell ref="E50:E51"/>
    <mergeCell ref="F50:F51"/>
    <mergeCell ref="G50:G51"/>
    <mergeCell ref="H50:H51"/>
    <mergeCell ref="BX50:BX51"/>
    <mergeCell ref="A48:A49"/>
    <mergeCell ref="B48:B49"/>
    <mergeCell ref="C48:C49"/>
    <mergeCell ref="D48:D49"/>
    <mergeCell ref="E48:E49"/>
    <mergeCell ref="F48:F49"/>
    <mergeCell ref="G48:G49"/>
    <mergeCell ref="H48:H49"/>
    <mergeCell ref="BX48:BX49"/>
    <mergeCell ref="A46:A47"/>
    <mergeCell ref="B46:B47"/>
    <mergeCell ref="C46:C47"/>
    <mergeCell ref="D46:D47"/>
    <mergeCell ref="E46:E47"/>
    <mergeCell ref="F46:F47"/>
    <mergeCell ref="G46:G47"/>
    <mergeCell ref="H46:H47"/>
    <mergeCell ref="BX46:BX47"/>
    <mergeCell ref="A44:A45"/>
    <mergeCell ref="B44:B45"/>
    <mergeCell ref="C44:C45"/>
    <mergeCell ref="D44:D45"/>
    <mergeCell ref="E44:E45"/>
    <mergeCell ref="F44:F45"/>
    <mergeCell ref="G44:G45"/>
    <mergeCell ref="H44:H45"/>
    <mergeCell ref="BX44:BX45"/>
    <mergeCell ref="A42:A43"/>
    <mergeCell ref="B42:B43"/>
    <mergeCell ref="C42:C43"/>
    <mergeCell ref="D42:D43"/>
    <mergeCell ref="E42:E43"/>
    <mergeCell ref="F42:F43"/>
    <mergeCell ref="G42:G43"/>
    <mergeCell ref="H42:H43"/>
    <mergeCell ref="BX42:BX43"/>
    <mergeCell ref="A40:A41"/>
    <mergeCell ref="B40:B41"/>
    <mergeCell ref="C40:C41"/>
    <mergeCell ref="D40:D41"/>
    <mergeCell ref="E40:E41"/>
    <mergeCell ref="F40:F41"/>
    <mergeCell ref="G40:G41"/>
    <mergeCell ref="H40:H41"/>
    <mergeCell ref="BX40:BX41"/>
    <mergeCell ref="A38:A39"/>
    <mergeCell ref="B38:B39"/>
    <mergeCell ref="C38:C39"/>
    <mergeCell ref="D38:D39"/>
    <mergeCell ref="E38:E39"/>
    <mergeCell ref="F38:F39"/>
    <mergeCell ref="G38:G39"/>
    <mergeCell ref="H38:H39"/>
    <mergeCell ref="BX38:BX39"/>
    <mergeCell ref="A36:A37"/>
    <mergeCell ref="B36:B37"/>
    <mergeCell ref="C36:C37"/>
    <mergeCell ref="D36:D37"/>
    <mergeCell ref="E36:E37"/>
    <mergeCell ref="F36:F37"/>
    <mergeCell ref="G36:G37"/>
    <mergeCell ref="H36:H37"/>
    <mergeCell ref="BX36:BX37"/>
    <mergeCell ref="A34:A35"/>
    <mergeCell ref="B34:B35"/>
    <mergeCell ref="C34:C35"/>
    <mergeCell ref="D34:D35"/>
    <mergeCell ref="E34:E35"/>
    <mergeCell ref="F34:F35"/>
    <mergeCell ref="G34:G35"/>
    <mergeCell ref="H34:H35"/>
    <mergeCell ref="BX34:BX35"/>
    <mergeCell ref="A4:A5"/>
    <mergeCell ref="B4:B5"/>
    <mergeCell ref="C4:C5"/>
    <mergeCell ref="F4:F5"/>
    <mergeCell ref="E4:E5"/>
    <mergeCell ref="A6:A7"/>
    <mergeCell ref="BX6:BX7"/>
    <mergeCell ref="A32:A33"/>
    <mergeCell ref="B32:B33"/>
    <mergeCell ref="C32:C33"/>
    <mergeCell ref="D32:D33"/>
    <mergeCell ref="E32:E33"/>
    <mergeCell ref="F32:F33"/>
    <mergeCell ref="G32:G33"/>
    <mergeCell ref="H32:H33"/>
    <mergeCell ref="BX32:BX33"/>
    <mergeCell ref="A10:A11"/>
    <mergeCell ref="B10:B11"/>
    <mergeCell ref="C10:C11"/>
    <mergeCell ref="E10:E11"/>
    <mergeCell ref="F10:F11"/>
    <mergeCell ref="BX10:BX11"/>
    <mergeCell ref="G10:G11"/>
    <mergeCell ref="H10:H11"/>
    <mergeCell ref="X2:AP2"/>
    <mergeCell ref="AR2:BB2"/>
    <mergeCell ref="J2:L2"/>
    <mergeCell ref="O2:V2"/>
    <mergeCell ref="B6:B7"/>
    <mergeCell ref="C6:C7"/>
    <mergeCell ref="G4:G5"/>
    <mergeCell ref="H4:H5"/>
    <mergeCell ref="E6:E7"/>
    <mergeCell ref="F6:F7"/>
    <mergeCell ref="G6:G7"/>
    <mergeCell ref="H6:H7"/>
    <mergeCell ref="D4:D5"/>
    <mergeCell ref="D6:D7"/>
    <mergeCell ref="A8:A9"/>
    <mergeCell ref="B8:B9"/>
    <mergeCell ref="C8:C9"/>
    <mergeCell ref="E8:E9"/>
    <mergeCell ref="F8:F9"/>
    <mergeCell ref="A14:A15"/>
    <mergeCell ref="B14:B15"/>
    <mergeCell ref="C14:C15"/>
    <mergeCell ref="E14:E15"/>
    <mergeCell ref="F14:F15"/>
    <mergeCell ref="D8:D9"/>
    <mergeCell ref="D10:D11"/>
    <mergeCell ref="A12:A13"/>
    <mergeCell ref="B12:B13"/>
    <mergeCell ref="C12:C13"/>
    <mergeCell ref="E12:E13"/>
    <mergeCell ref="F12:F13"/>
    <mergeCell ref="D12:D13"/>
    <mergeCell ref="D14:D15"/>
    <mergeCell ref="D24:D25"/>
    <mergeCell ref="BX16:BX17"/>
    <mergeCell ref="G16:G17"/>
    <mergeCell ref="H16:H17"/>
    <mergeCell ref="A18:A19"/>
    <mergeCell ref="B18:B19"/>
    <mergeCell ref="C18:C19"/>
    <mergeCell ref="E18:E19"/>
    <mergeCell ref="F18:F19"/>
    <mergeCell ref="A16:A17"/>
    <mergeCell ref="B16:B17"/>
    <mergeCell ref="C16:C17"/>
    <mergeCell ref="E16:E17"/>
    <mergeCell ref="F16:F17"/>
    <mergeCell ref="D16:D17"/>
    <mergeCell ref="G24:G25"/>
    <mergeCell ref="H24:H25"/>
    <mergeCell ref="BX24:BX25"/>
    <mergeCell ref="A24:A25"/>
    <mergeCell ref="B24:B25"/>
    <mergeCell ref="C24:C25"/>
    <mergeCell ref="E24:E25"/>
    <mergeCell ref="F24:F25"/>
    <mergeCell ref="BX20:BX21"/>
    <mergeCell ref="BX14:BX15"/>
    <mergeCell ref="G14:G15"/>
    <mergeCell ref="H14:H15"/>
    <mergeCell ref="BX18:BX19"/>
    <mergeCell ref="G18:G19"/>
    <mergeCell ref="H18:H19"/>
    <mergeCell ref="BX12:BX13"/>
    <mergeCell ref="G12:G13"/>
    <mergeCell ref="H12:H13"/>
    <mergeCell ref="G20:G21"/>
    <mergeCell ref="H20:H21"/>
    <mergeCell ref="A22:A23"/>
    <mergeCell ref="B22:B23"/>
    <mergeCell ref="C22:C23"/>
    <mergeCell ref="E22:E23"/>
    <mergeCell ref="F22:F23"/>
    <mergeCell ref="BX22:BX23"/>
    <mergeCell ref="G22:G23"/>
    <mergeCell ref="H22:H23"/>
    <mergeCell ref="A20:A21"/>
    <mergeCell ref="B20:B21"/>
    <mergeCell ref="C20:C21"/>
    <mergeCell ref="E20:E21"/>
    <mergeCell ref="F20:F21"/>
    <mergeCell ref="D22:D23"/>
    <mergeCell ref="BX8:BX9"/>
    <mergeCell ref="G8:G9"/>
    <mergeCell ref="H8:H9"/>
    <mergeCell ref="BX4:BX5"/>
    <mergeCell ref="F26:F27"/>
    <mergeCell ref="G26:G27"/>
    <mergeCell ref="H26:H27"/>
    <mergeCell ref="BX26:BX27"/>
    <mergeCell ref="A28:A29"/>
    <mergeCell ref="B28:B29"/>
    <mergeCell ref="C28:C29"/>
    <mergeCell ref="D28:D29"/>
    <mergeCell ref="E28:E29"/>
    <mergeCell ref="F28:F29"/>
    <mergeCell ref="G28:G29"/>
    <mergeCell ref="H28:H29"/>
    <mergeCell ref="BX28:BX29"/>
    <mergeCell ref="A26:A27"/>
    <mergeCell ref="B26:B27"/>
    <mergeCell ref="C26:C27"/>
    <mergeCell ref="D26:D27"/>
    <mergeCell ref="E26:E27"/>
    <mergeCell ref="D18:D19"/>
    <mergeCell ref="D20:D21"/>
    <mergeCell ref="F30:F31"/>
    <mergeCell ref="G30:G31"/>
    <mergeCell ref="H30:H31"/>
    <mergeCell ref="BX30:BX31"/>
    <mergeCell ref="A30:A31"/>
    <mergeCell ref="B30:B31"/>
    <mergeCell ref="C30:C31"/>
    <mergeCell ref="D30:D31"/>
    <mergeCell ref="E30:E31"/>
  </mergeCells>
  <conditionalFormatting sqref="B2:D3 B64:D1048576">
    <cfRule type="cellIs" dxfId="673" priority="658" operator="equal">
      <formula>TRUE</formula>
    </cfRule>
  </conditionalFormatting>
  <conditionalFormatting sqref="B2:D3 B64:D1048576">
    <cfRule type="containsBlanks" dxfId="672" priority="656">
      <formula>LEN(TRIM(B2))=0</formula>
    </cfRule>
  </conditionalFormatting>
  <conditionalFormatting sqref="B2:D3 B64:D1048576">
    <cfRule type="cellIs" dxfId="671" priority="657" operator="equal">
      <formula>FALSE</formula>
    </cfRule>
  </conditionalFormatting>
  <conditionalFormatting sqref="B6">
    <cfRule type="cellIs" dxfId="670" priority="630" operator="equal">
      <formula>TRUE</formula>
    </cfRule>
  </conditionalFormatting>
  <conditionalFormatting sqref="B6">
    <cfRule type="containsBlanks" dxfId="669" priority="628">
      <formula>LEN(TRIM(B6))=0</formula>
    </cfRule>
  </conditionalFormatting>
  <conditionalFormatting sqref="B6">
    <cfRule type="cellIs" dxfId="668" priority="629" operator="equal">
      <formula>FALSE</formula>
    </cfRule>
  </conditionalFormatting>
  <conditionalFormatting sqref="B8">
    <cfRule type="cellIs" dxfId="667" priority="627" operator="equal">
      <formula>TRUE</formula>
    </cfRule>
  </conditionalFormatting>
  <conditionalFormatting sqref="B8">
    <cfRule type="containsBlanks" dxfId="666" priority="625">
      <formula>LEN(TRIM(B8))=0</formula>
    </cfRule>
  </conditionalFormatting>
  <conditionalFormatting sqref="B8">
    <cfRule type="cellIs" dxfId="665" priority="626" operator="equal">
      <formula>FALSE</formula>
    </cfRule>
  </conditionalFormatting>
  <conditionalFormatting sqref="B10">
    <cfRule type="cellIs" dxfId="664" priority="624" operator="equal">
      <formula>TRUE</formula>
    </cfRule>
  </conditionalFormatting>
  <conditionalFormatting sqref="B10">
    <cfRule type="containsBlanks" dxfId="663" priority="622">
      <formula>LEN(TRIM(B10))=0</formula>
    </cfRule>
  </conditionalFormatting>
  <conditionalFormatting sqref="B10">
    <cfRule type="cellIs" dxfId="662" priority="623" operator="equal">
      <formula>FALSE</formula>
    </cfRule>
  </conditionalFormatting>
  <conditionalFormatting sqref="A7:B7 F7:I7 M7 BX7:BY7 CK7:XFD7">
    <cfRule type="containsBlanks" dxfId="661" priority="597">
      <formula>LEN(TRIM(A7))=0</formula>
    </cfRule>
  </conditionalFormatting>
  <conditionalFormatting sqref="A7:B7 F7:I7 M7 BX7:BY7 CK7:XFD7">
    <cfRule type="cellIs" dxfId="660" priority="598" operator="equal">
      <formula>FALSE</formula>
    </cfRule>
  </conditionalFormatting>
  <conditionalFormatting sqref="B12">
    <cfRule type="cellIs" dxfId="659" priority="617" operator="equal">
      <formula>TRUE</formula>
    </cfRule>
  </conditionalFormatting>
  <conditionalFormatting sqref="B12">
    <cfRule type="containsBlanks" dxfId="658" priority="615">
      <formula>LEN(TRIM(B12))=0</formula>
    </cfRule>
  </conditionalFormatting>
  <conditionalFormatting sqref="B12">
    <cfRule type="cellIs" dxfId="657" priority="616" operator="equal">
      <formula>FALSE</formula>
    </cfRule>
  </conditionalFormatting>
  <conditionalFormatting sqref="B14">
    <cfRule type="cellIs" dxfId="656" priority="614" operator="equal">
      <formula>TRUE</formula>
    </cfRule>
  </conditionalFormatting>
  <conditionalFormatting sqref="B14">
    <cfRule type="containsBlanks" dxfId="655" priority="612">
      <formula>LEN(TRIM(B14))=0</formula>
    </cfRule>
  </conditionalFormatting>
  <conditionalFormatting sqref="B14">
    <cfRule type="cellIs" dxfId="654" priority="613" operator="equal">
      <formula>FALSE</formula>
    </cfRule>
  </conditionalFormatting>
  <conditionalFormatting sqref="B16">
    <cfRule type="cellIs" dxfId="653" priority="611" operator="equal">
      <formula>TRUE</formula>
    </cfRule>
  </conditionalFormatting>
  <conditionalFormatting sqref="B16">
    <cfRule type="containsBlanks" dxfId="652" priority="609">
      <formula>LEN(TRIM(B16))=0</formula>
    </cfRule>
  </conditionalFormatting>
  <conditionalFormatting sqref="B16">
    <cfRule type="cellIs" dxfId="651" priority="610" operator="equal">
      <formula>FALSE</formula>
    </cfRule>
  </conditionalFormatting>
  <conditionalFormatting sqref="B18">
    <cfRule type="cellIs" dxfId="650" priority="608" operator="equal">
      <formula>TRUE</formula>
    </cfRule>
  </conditionalFormatting>
  <conditionalFormatting sqref="B18">
    <cfRule type="containsBlanks" dxfId="649" priority="606">
      <formula>LEN(TRIM(B18))=0</formula>
    </cfRule>
  </conditionalFormatting>
  <conditionalFormatting sqref="B18">
    <cfRule type="cellIs" dxfId="648" priority="607" operator="equal">
      <formula>FALSE</formula>
    </cfRule>
  </conditionalFormatting>
  <conditionalFormatting sqref="B20">
    <cfRule type="cellIs" dxfId="647" priority="605" operator="equal">
      <formula>TRUE</formula>
    </cfRule>
  </conditionalFormatting>
  <conditionalFormatting sqref="B20">
    <cfRule type="containsBlanks" dxfId="646" priority="603">
      <formula>LEN(TRIM(B20))=0</formula>
    </cfRule>
  </conditionalFormatting>
  <conditionalFormatting sqref="B20">
    <cfRule type="cellIs" dxfId="645" priority="604" operator="equal">
      <formula>FALSE</formula>
    </cfRule>
  </conditionalFormatting>
  <conditionalFormatting sqref="B22:C22">
    <cfRule type="cellIs" dxfId="644" priority="602" operator="equal">
      <formula>TRUE</formula>
    </cfRule>
  </conditionalFormatting>
  <conditionalFormatting sqref="B22:C22">
    <cfRule type="containsBlanks" dxfId="643" priority="600">
      <formula>LEN(TRIM(B22))=0</formula>
    </cfRule>
  </conditionalFormatting>
  <conditionalFormatting sqref="B22:C22">
    <cfRule type="cellIs" dxfId="642" priority="601" operator="equal">
      <formula>FALSE</formula>
    </cfRule>
  </conditionalFormatting>
  <conditionalFormatting sqref="B7">
    <cfRule type="cellIs" dxfId="641" priority="599" operator="equal">
      <formula>TRUE</formula>
    </cfRule>
  </conditionalFormatting>
  <conditionalFormatting sqref="B9">
    <cfRule type="cellIs" dxfId="640" priority="596" operator="equal">
      <formula>TRUE</formula>
    </cfRule>
  </conditionalFormatting>
  <conditionalFormatting sqref="A9:B9 F9:I9 M9 BX9:BY9 CK9:XFD9">
    <cfRule type="containsBlanks" dxfId="639" priority="594">
      <formula>LEN(TRIM(A9))=0</formula>
    </cfRule>
  </conditionalFormatting>
  <conditionalFormatting sqref="A9:B9 F9:I9 M9 BX9:BY9 CK9:XFD9">
    <cfRule type="cellIs" dxfId="638" priority="595" operator="equal">
      <formula>FALSE</formula>
    </cfRule>
  </conditionalFormatting>
  <conditionalFormatting sqref="B11">
    <cfRule type="cellIs" dxfId="637" priority="593" operator="equal">
      <formula>TRUE</formula>
    </cfRule>
  </conditionalFormatting>
  <conditionalFormatting sqref="A11:B11 F11:I11 M11 BX11:BY11 CK11:XFD11">
    <cfRule type="containsBlanks" dxfId="636" priority="591">
      <formula>LEN(TRIM(A11))=0</formula>
    </cfRule>
  </conditionalFormatting>
  <conditionalFormatting sqref="A11:B11 F11:I11 M11 BX11:BY11 CK11:XFD11">
    <cfRule type="cellIs" dxfId="635" priority="592" operator="equal">
      <formula>FALSE</formula>
    </cfRule>
  </conditionalFormatting>
  <conditionalFormatting sqref="B13">
    <cfRule type="cellIs" dxfId="634" priority="590" operator="equal">
      <formula>TRUE</formula>
    </cfRule>
  </conditionalFormatting>
  <conditionalFormatting sqref="A13:B13 F13:I13 M13 BX13:BY13 CK13:XFD13">
    <cfRule type="containsBlanks" dxfId="633" priority="588">
      <formula>LEN(TRIM(A13))=0</formula>
    </cfRule>
  </conditionalFormatting>
  <conditionalFormatting sqref="A13:B13 F13:I13 M13 BX13:BY13 CK13:XFD13">
    <cfRule type="cellIs" dxfId="632" priority="589" operator="equal">
      <formula>FALSE</formula>
    </cfRule>
  </conditionalFormatting>
  <conditionalFormatting sqref="B15">
    <cfRule type="cellIs" dxfId="631" priority="587" operator="equal">
      <formula>TRUE</formula>
    </cfRule>
  </conditionalFormatting>
  <conditionalFormatting sqref="A15:B15 F15:I15 M15 BX15:BY15 CK15:XFD15">
    <cfRule type="containsBlanks" dxfId="630" priority="585">
      <formula>LEN(TRIM(A15))=0</formula>
    </cfRule>
  </conditionalFormatting>
  <conditionalFormatting sqref="A15:B15 F15:I15 M15 BX15:BY15 CK15:XFD15">
    <cfRule type="cellIs" dxfId="629" priority="586" operator="equal">
      <formula>FALSE</formula>
    </cfRule>
  </conditionalFormatting>
  <conditionalFormatting sqref="B17">
    <cfRule type="cellIs" dxfId="628" priority="584" operator="equal">
      <formula>TRUE</formula>
    </cfRule>
  </conditionalFormatting>
  <conditionalFormatting sqref="A17:B17 F17:I17 M17 BX17:BY17 CK17:XFD17">
    <cfRule type="containsBlanks" dxfId="627" priority="582">
      <formula>LEN(TRIM(A17))=0</formula>
    </cfRule>
  </conditionalFormatting>
  <conditionalFormatting sqref="A17:B17 F17:I17 M17 BX17:BY17 CK17:XFD17">
    <cfRule type="cellIs" dxfId="626" priority="583" operator="equal">
      <formula>FALSE</formula>
    </cfRule>
  </conditionalFormatting>
  <conditionalFormatting sqref="B19">
    <cfRule type="cellIs" dxfId="625" priority="581" operator="equal">
      <formula>TRUE</formula>
    </cfRule>
  </conditionalFormatting>
  <conditionalFormatting sqref="A19:B19 F19:I19 M19 BX19:BY19 CK19:XFD19">
    <cfRule type="containsBlanks" dxfId="624" priority="579">
      <formula>LEN(TRIM(A19))=0</formula>
    </cfRule>
  </conditionalFormatting>
  <conditionalFormatting sqref="A19:B19 F19:I19 M19 BX19:BY19 CK19:XFD19">
    <cfRule type="cellIs" dxfId="623" priority="580" operator="equal">
      <formula>FALSE</formula>
    </cfRule>
  </conditionalFormatting>
  <conditionalFormatting sqref="B21">
    <cfRule type="cellIs" dxfId="622" priority="578" operator="equal">
      <formula>TRUE</formula>
    </cfRule>
  </conditionalFormatting>
  <conditionalFormatting sqref="A21:B21 F21:I21 M21 BX21:BY21 CK21:XFD21">
    <cfRule type="containsBlanks" dxfId="621" priority="576">
      <formula>LEN(TRIM(A21))=0</formula>
    </cfRule>
  </conditionalFormatting>
  <conditionalFormatting sqref="A21:B21 F21:I21 M21 BX21:BY21 CK21:XFD21">
    <cfRule type="cellIs" dxfId="620" priority="577" operator="equal">
      <formula>FALSE</formula>
    </cfRule>
  </conditionalFormatting>
  <conditionalFormatting sqref="B23:C23">
    <cfRule type="cellIs" dxfId="619" priority="575" operator="equal">
      <formula>TRUE</formula>
    </cfRule>
  </conditionalFormatting>
  <conditionalFormatting sqref="A23:C23 F23:I23 BX23:BY23 CK23:XFD23 M23">
    <cfRule type="containsBlanks" dxfId="618" priority="573">
      <formula>LEN(TRIM(A23))=0</formula>
    </cfRule>
  </conditionalFormatting>
  <conditionalFormatting sqref="A23:C23 F23:I23 BX23:BY23 CK23:XFD23 M23">
    <cfRule type="cellIs" dxfId="617" priority="574" operator="equal">
      <formula>FALSE</formula>
    </cfRule>
  </conditionalFormatting>
  <conditionalFormatting sqref="C20">
    <cfRule type="cellIs" dxfId="616" priority="572" operator="equal">
      <formula>TRUE</formula>
    </cfRule>
  </conditionalFormatting>
  <conditionalFormatting sqref="C20">
    <cfRule type="containsBlanks" dxfId="615" priority="570">
      <formula>LEN(TRIM(C20))=0</formula>
    </cfRule>
  </conditionalFormatting>
  <conditionalFormatting sqref="C20">
    <cfRule type="cellIs" dxfId="614" priority="571" operator="equal">
      <formula>FALSE</formula>
    </cfRule>
  </conditionalFormatting>
  <conditionalFormatting sqref="C21">
    <cfRule type="cellIs" dxfId="613" priority="569" operator="equal">
      <formula>TRUE</formula>
    </cfRule>
  </conditionalFormatting>
  <conditionalFormatting sqref="C21">
    <cfRule type="containsBlanks" dxfId="612" priority="567">
      <formula>LEN(TRIM(C21))=0</formula>
    </cfRule>
  </conditionalFormatting>
  <conditionalFormatting sqref="C21">
    <cfRule type="cellIs" dxfId="611" priority="568" operator="equal">
      <formula>FALSE</formula>
    </cfRule>
  </conditionalFormatting>
  <conditionalFormatting sqref="C18">
    <cfRule type="cellIs" dxfId="610" priority="566" operator="equal">
      <formula>TRUE</formula>
    </cfRule>
  </conditionalFormatting>
  <conditionalFormatting sqref="C18">
    <cfRule type="containsBlanks" dxfId="609" priority="564">
      <formula>LEN(TRIM(C18))=0</formula>
    </cfRule>
  </conditionalFormatting>
  <conditionalFormatting sqref="C18">
    <cfRule type="cellIs" dxfId="608" priority="565" operator="equal">
      <formula>FALSE</formula>
    </cfRule>
  </conditionalFormatting>
  <conditionalFormatting sqref="C19">
    <cfRule type="cellIs" dxfId="607" priority="563" operator="equal">
      <formula>TRUE</formula>
    </cfRule>
  </conditionalFormatting>
  <conditionalFormatting sqref="C19">
    <cfRule type="containsBlanks" dxfId="606" priority="561">
      <formula>LEN(TRIM(C19))=0</formula>
    </cfRule>
  </conditionalFormatting>
  <conditionalFormatting sqref="C19">
    <cfRule type="cellIs" dxfId="605" priority="562" operator="equal">
      <formula>FALSE</formula>
    </cfRule>
  </conditionalFormatting>
  <conditionalFormatting sqref="C16">
    <cfRule type="cellIs" dxfId="604" priority="560" operator="equal">
      <formula>TRUE</formula>
    </cfRule>
  </conditionalFormatting>
  <conditionalFormatting sqref="C16">
    <cfRule type="containsBlanks" dxfId="603" priority="558">
      <formula>LEN(TRIM(C16))=0</formula>
    </cfRule>
  </conditionalFormatting>
  <conditionalFormatting sqref="C16">
    <cfRule type="cellIs" dxfId="602" priority="559" operator="equal">
      <formula>FALSE</formula>
    </cfRule>
  </conditionalFormatting>
  <conditionalFormatting sqref="C17">
    <cfRule type="cellIs" dxfId="601" priority="557" operator="equal">
      <formula>TRUE</formula>
    </cfRule>
  </conditionalFormatting>
  <conditionalFormatting sqref="C17">
    <cfRule type="containsBlanks" dxfId="600" priority="555">
      <formula>LEN(TRIM(C17))=0</formula>
    </cfRule>
  </conditionalFormatting>
  <conditionalFormatting sqref="C17">
    <cfRule type="cellIs" dxfId="599" priority="556" operator="equal">
      <formula>FALSE</formula>
    </cfRule>
  </conditionalFormatting>
  <conditionalFormatting sqref="C14">
    <cfRule type="cellIs" dxfId="598" priority="554" operator="equal">
      <formula>TRUE</formula>
    </cfRule>
  </conditionalFormatting>
  <conditionalFormatting sqref="C14">
    <cfRule type="containsBlanks" dxfId="597" priority="552">
      <formula>LEN(TRIM(C14))=0</formula>
    </cfRule>
  </conditionalFormatting>
  <conditionalFormatting sqref="C14">
    <cfRule type="cellIs" dxfId="596" priority="553" operator="equal">
      <formula>FALSE</formula>
    </cfRule>
  </conditionalFormatting>
  <conditionalFormatting sqref="C15">
    <cfRule type="cellIs" dxfId="595" priority="551" operator="equal">
      <formula>TRUE</formula>
    </cfRule>
  </conditionalFormatting>
  <conditionalFormatting sqref="C15">
    <cfRule type="containsBlanks" dxfId="594" priority="549">
      <formula>LEN(TRIM(C15))=0</formula>
    </cfRule>
  </conditionalFormatting>
  <conditionalFormatting sqref="C15">
    <cfRule type="cellIs" dxfId="593" priority="550" operator="equal">
      <formula>FALSE</formula>
    </cfRule>
  </conditionalFormatting>
  <conditionalFormatting sqref="C12">
    <cfRule type="cellIs" dxfId="592" priority="548" operator="equal">
      <formula>TRUE</formula>
    </cfRule>
  </conditionalFormatting>
  <conditionalFormatting sqref="C12">
    <cfRule type="containsBlanks" dxfId="591" priority="546">
      <formula>LEN(TRIM(C12))=0</formula>
    </cfRule>
  </conditionalFormatting>
  <conditionalFormatting sqref="C12">
    <cfRule type="cellIs" dxfId="590" priority="547" operator="equal">
      <formula>FALSE</formula>
    </cfRule>
  </conditionalFormatting>
  <conditionalFormatting sqref="C13">
    <cfRule type="cellIs" dxfId="589" priority="545" operator="equal">
      <formula>TRUE</formula>
    </cfRule>
  </conditionalFormatting>
  <conditionalFormatting sqref="C13">
    <cfRule type="containsBlanks" dxfId="588" priority="543">
      <formula>LEN(TRIM(C13))=0</formula>
    </cfRule>
  </conditionalFormatting>
  <conditionalFormatting sqref="C13">
    <cfRule type="cellIs" dxfId="587" priority="544" operator="equal">
      <formula>FALSE</formula>
    </cfRule>
  </conditionalFormatting>
  <conditionalFormatting sqref="C10">
    <cfRule type="cellIs" dxfId="586" priority="542" operator="equal">
      <formula>TRUE</formula>
    </cfRule>
  </conditionalFormatting>
  <conditionalFormatting sqref="C10">
    <cfRule type="containsBlanks" dxfId="585" priority="540">
      <formula>LEN(TRIM(C10))=0</formula>
    </cfRule>
  </conditionalFormatting>
  <conditionalFormatting sqref="C10">
    <cfRule type="cellIs" dxfId="584" priority="541" operator="equal">
      <formula>FALSE</formula>
    </cfRule>
  </conditionalFormatting>
  <conditionalFormatting sqref="C11">
    <cfRule type="cellIs" dxfId="583" priority="539" operator="equal">
      <formula>TRUE</formula>
    </cfRule>
  </conditionalFormatting>
  <conditionalFormatting sqref="C11">
    <cfRule type="containsBlanks" dxfId="582" priority="537">
      <formula>LEN(TRIM(C11))=0</formula>
    </cfRule>
  </conditionalFormatting>
  <conditionalFormatting sqref="C11">
    <cfRule type="cellIs" dxfId="581" priority="538" operator="equal">
      <formula>FALSE</formula>
    </cfRule>
  </conditionalFormatting>
  <conditionalFormatting sqref="C8">
    <cfRule type="cellIs" dxfId="580" priority="536" operator="equal">
      <formula>TRUE</formula>
    </cfRule>
  </conditionalFormatting>
  <conditionalFormatting sqref="C8">
    <cfRule type="containsBlanks" dxfId="579" priority="534">
      <formula>LEN(TRIM(C8))=0</formula>
    </cfRule>
  </conditionalFormatting>
  <conditionalFormatting sqref="C8">
    <cfRule type="cellIs" dxfId="578" priority="535" operator="equal">
      <formula>FALSE</formula>
    </cfRule>
  </conditionalFormatting>
  <conditionalFormatting sqref="C9">
    <cfRule type="cellIs" dxfId="577" priority="533" operator="equal">
      <formula>TRUE</formula>
    </cfRule>
  </conditionalFormatting>
  <conditionalFormatting sqref="C9">
    <cfRule type="containsBlanks" dxfId="576" priority="531">
      <formula>LEN(TRIM(C9))=0</formula>
    </cfRule>
  </conditionalFormatting>
  <conditionalFormatting sqref="C9">
    <cfRule type="cellIs" dxfId="575" priority="532" operator="equal">
      <formula>FALSE</formula>
    </cfRule>
  </conditionalFormatting>
  <conditionalFormatting sqref="C6">
    <cfRule type="cellIs" dxfId="574" priority="530" operator="equal">
      <formula>TRUE</formula>
    </cfRule>
  </conditionalFormatting>
  <conditionalFormatting sqref="C6">
    <cfRule type="containsBlanks" dxfId="573" priority="528">
      <formula>LEN(TRIM(C6))=0</formula>
    </cfRule>
  </conditionalFormatting>
  <conditionalFormatting sqref="C6">
    <cfRule type="cellIs" dxfId="572" priority="529" operator="equal">
      <formula>FALSE</formula>
    </cfRule>
  </conditionalFormatting>
  <conditionalFormatting sqref="C7">
    <cfRule type="cellIs" dxfId="571" priority="527" operator="equal">
      <formula>TRUE</formula>
    </cfRule>
  </conditionalFormatting>
  <conditionalFormatting sqref="C7">
    <cfRule type="containsBlanks" dxfId="570" priority="525">
      <formula>LEN(TRIM(C7))=0</formula>
    </cfRule>
  </conditionalFormatting>
  <conditionalFormatting sqref="C7">
    <cfRule type="cellIs" dxfId="569" priority="526" operator="equal">
      <formula>FALSE</formula>
    </cfRule>
  </conditionalFormatting>
  <conditionalFormatting sqref="N17:AE17 AG17:BW17">
    <cfRule type="containsBlanks" dxfId="568" priority="305">
      <formula>LEN(TRIM(N17))=0</formula>
    </cfRule>
  </conditionalFormatting>
  <conditionalFormatting sqref="N17:AE17 AG17:BW17">
    <cfRule type="cellIs" dxfId="567" priority="306" operator="equal">
      <formula>FALSE</formula>
    </cfRule>
  </conditionalFormatting>
  <conditionalFormatting sqref="A5:C5 E5:AE5 AG5:XFD5">
    <cfRule type="containsBlanks" dxfId="566" priority="489">
      <formula>LEN(TRIM(A5))=0</formula>
    </cfRule>
  </conditionalFormatting>
  <conditionalFormatting sqref="A5:C5 E5:AE5 AG5:XFD5">
    <cfRule type="cellIs" dxfId="565" priority="490" operator="equal">
      <formula>FALSE</formula>
    </cfRule>
  </conditionalFormatting>
  <conditionalFormatting sqref="B4:D4">
    <cfRule type="cellIs" dxfId="564" priority="494" operator="equal">
      <formula>TRUE</formula>
    </cfRule>
  </conditionalFormatting>
  <conditionalFormatting sqref="B4:D4">
    <cfRule type="containsBlanks" dxfId="563" priority="492">
      <formula>LEN(TRIM(B4))=0</formula>
    </cfRule>
  </conditionalFormatting>
  <conditionalFormatting sqref="B4:D4">
    <cfRule type="cellIs" dxfId="562" priority="493" operator="equal">
      <formula>FALSE</formula>
    </cfRule>
  </conditionalFormatting>
  <conditionalFormatting sqref="B5:C5">
    <cfRule type="cellIs" dxfId="561" priority="491" operator="equal">
      <formula>TRUE</formula>
    </cfRule>
  </conditionalFormatting>
  <conditionalFormatting sqref="B24:C24">
    <cfRule type="cellIs" dxfId="560" priority="488" operator="equal">
      <formula>TRUE</formula>
    </cfRule>
  </conditionalFormatting>
  <conditionalFormatting sqref="B24:C24">
    <cfRule type="containsBlanks" dxfId="559" priority="486">
      <formula>LEN(TRIM(B24))=0</formula>
    </cfRule>
  </conditionalFormatting>
  <conditionalFormatting sqref="B24:C24">
    <cfRule type="cellIs" dxfId="558" priority="487" operator="equal">
      <formula>FALSE</formula>
    </cfRule>
  </conditionalFormatting>
  <conditionalFormatting sqref="B25:C25">
    <cfRule type="cellIs" dxfId="557" priority="485" operator="equal">
      <formula>TRUE</formula>
    </cfRule>
  </conditionalFormatting>
  <conditionalFormatting sqref="A25:C25 F25:I25 BX25:BY25 CK25:XFD25 M25">
    <cfRule type="containsBlanks" dxfId="556" priority="483">
      <formula>LEN(TRIM(A25))=0</formula>
    </cfRule>
  </conditionalFormatting>
  <conditionalFormatting sqref="A25:C25 F25:I25 BX25:BY25 CK25:XFD25 M25">
    <cfRule type="cellIs" dxfId="555" priority="484" operator="equal">
      <formula>FALSE</formula>
    </cfRule>
  </conditionalFormatting>
  <conditionalFormatting sqref="D6">
    <cfRule type="cellIs" dxfId="554" priority="482" operator="equal">
      <formula>TRUE</formula>
    </cfRule>
  </conditionalFormatting>
  <conditionalFormatting sqref="D6">
    <cfRule type="containsBlanks" dxfId="553" priority="480">
      <formula>LEN(TRIM(D6))=0</formula>
    </cfRule>
  </conditionalFormatting>
  <conditionalFormatting sqref="D6">
    <cfRule type="cellIs" dxfId="552" priority="481" operator="equal">
      <formula>FALSE</formula>
    </cfRule>
  </conditionalFormatting>
  <conditionalFormatting sqref="D8">
    <cfRule type="cellIs" dxfId="551" priority="479" operator="equal">
      <formula>TRUE</formula>
    </cfRule>
  </conditionalFormatting>
  <conditionalFormatting sqref="D8">
    <cfRule type="containsBlanks" dxfId="550" priority="477">
      <formula>LEN(TRIM(D8))=0</formula>
    </cfRule>
  </conditionalFormatting>
  <conditionalFormatting sqref="D8">
    <cfRule type="cellIs" dxfId="549" priority="478" operator="equal">
      <formula>FALSE</formula>
    </cfRule>
  </conditionalFormatting>
  <conditionalFormatting sqref="D10">
    <cfRule type="cellIs" dxfId="548" priority="476" operator="equal">
      <formula>TRUE</formula>
    </cfRule>
  </conditionalFormatting>
  <conditionalFormatting sqref="D10">
    <cfRule type="containsBlanks" dxfId="547" priority="474">
      <formula>LEN(TRIM(D10))=0</formula>
    </cfRule>
  </conditionalFormatting>
  <conditionalFormatting sqref="D10">
    <cfRule type="cellIs" dxfId="546" priority="475" operator="equal">
      <formula>FALSE</formula>
    </cfRule>
  </conditionalFormatting>
  <conditionalFormatting sqref="D12">
    <cfRule type="cellIs" dxfId="545" priority="473" operator="equal">
      <formula>TRUE</formula>
    </cfRule>
  </conditionalFormatting>
  <conditionalFormatting sqref="D12">
    <cfRule type="containsBlanks" dxfId="544" priority="471">
      <formula>LEN(TRIM(D12))=0</formula>
    </cfRule>
  </conditionalFormatting>
  <conditionalFormatting sqref="D12">
    <cfRule type="cellIs" dxfId="543" priority="472" operator="equal">
      <formula>FALSE</formula>
    </cfRule>
  </conditionalFormatting>
  <conditionalFormatting sqref="D14">
    <cfRule type="cellIs" dxfId="542" priority="470" operator="equal">
      <formula>TRUE</formula>
    </cfRule>
  </conditionalFormatting>
  <conditionalFormatting sqref="D14">
    <cfRule type="containsBlanks" dxfId="541" priority="468">
      <formula>LEN(TRIM(D14))=0</formula>
    </cfRule>
  </conditionalFormatting>
  <conditionalFormatting sqref="D14">
    <cfRule type="cellIs" dxfId="540" priority="469" operator="equal">
      <formula>FALSE</formula>
    </cfRule>
  </conditionalFormatting>
  <conditionalFormatting sqref="D16">
    <cfRule type="cellIs" dxfId="539" priority="467" operator="equal">
      <formula>TRUE</formula>
    </cfRule>
  </conditionalFormatting>
  <conditionalFormatting sqref="D16">
    <cfRule type="containsBlanks" dxfId="538" priority="465">
      <formula>LEN(TRIM(D16))=0</formula>
    </cfRule>
  </conditionalFormatting>
  <conditionalFormatting sqref="D16">
    <cfRule type="cellIs" dxfId="537" priority="466" operator="equal">
      <formula>FALSE</formula>
    </cfRule>
  </conditionalFormatting>
  <conditionalFormatting sqref="D18">
    <cfRule type="cellIs" dxfId="536" priority="464" operator="equal">
      <formula>TRUE</formula>
    </cfRule>
  </conditionalFormatting>
  <conditionalFormatting sqref="D18">
    <cfRule type="containsBlanks" dxfId="535" priority="462">
      <formula>LEN(TRIM(D18))=0</formula>
    </cfRule>
  </conditionalFormatting>
  <conditionalFormatting sqref="D18">
    <cfRule type="cellIs" dxfId="534" priority="463" operator="equal">
      <formula>FALSE</formula>
    </cfRule>
  </conditionalFormatting>
  <conditionalFormatting sqref="D20">
    <cfRule type="cellIs" dxfId="533" priority="461" operator="equal">
      <formula>TRUE</formula>
    </cfRule>
  </conditionalFormatting>
  <conditionalFormatting sqref="D20">
    <cfRule type="containsBlanks" dxfId="532" priority="459">
      <formula>LEN(TRIM(D20))=0</formula>
    </cfRule>
  </conditionalFormatting>
  <conditionalFormatting sqref="D20">
    <cfRule type="cellIs" dxfId="531" priority="460" operator="equal">
      <formula>FALSE</formula>
    </cfRule>
  </conditionalFormatting>
  <conditionalFormatting sqref="D22">
    <cfRule type="cellIs" dxfId="530" priority="458" operator="equal">
      <formula>TRUE</formula>
    </cfRule>
  </conditionalFormatting>
  <conditionalFormatting sqref="D22">
    <cfRule type="containsBlanks" dxfId="529" priority="456">
      <formula>LEN(TRIM(D22))=0</formula>
    </cfRule>
  </conditionalFormatting>
  <conditionalFormatting sqref="D22">
    <cfRule type="cellIs" dxfId="528" priority="457" operator="equal">
      <formula>FALSE</formula>
    </cfRule>
  </conditionalFormatting>
  <conditionalFormatting sqref="D24">
    <cfRule type="cellIs" dxfId="527" priority="455" operator="equal">
      <formula>TRUE</formula>
    </cfRule>
  </conditionalFormatting>
  <conditionalFormatting sqref="D24">
    <cfRule type="containsBlanks" dxfId="526" priority="453">
      <formula>LEN(TRIM(D24))=0</formula>
    </cfRule>
  </conditionalFormatting>
  <conditionalFormatting sqref="D24">
    <cfRule type="cellIs" dxfId="525" priority="454" operator="equal">
      <formula>FALSE</formula>
    </cfRule>
  </conditionalFormatting>
  <conditionalFormatting sqref="E7">
    <cfRule type="containsBlanks" dxfId="524" priority="451">
      <formula>LEN(TRIM(E7))=0</formula>
    </cfRule>
  </conditionalFormatting>
  <conditionalFormatting sqref="E7">
    <cfRule type="cellIs" dxfId="523" priority="452" operator="equal">
      <formula>FALSE</formula>
    </cfRule>
  </conditionalFormatting>
  <conditionalFormatting sqref="E9">
    <cfRule type="containsBlanks" dxfId="522" priority="449">
      <formula>LEN(TRIM(E9))=0</formula>
    </cfRule>
  </conditionalFormatting>
  <conditionalFormatting sqref="E9">
    <cfRule type="cellIs" dxfId="521" priority="450" operator="equal">
      <formula>FALSE</formula>
    </cfRule>
  </conditionalFormatting>
  <conditionalFormatting sqref="E11">
    <cfRule type="containsBlanks" dxfId="520" priority="447">
      <formula>LEN(TRIM(E11))=0</formula>
    </cfRule>
  </conditionalFormatting>
  <conditionalFormatting sqref="E11">
    <cfRule type="cellIs" dxfId="519" priority="448" operator="equal">
      <formula>FALSE</formula>
    </cfRule>
  </conditionalFormatting>
  <conditionalFormatting sqref="E13">
    <cfRule type="containsBlanks" dxfId="518" priority="445">
      <formula>LEN(TRIM(E13))=0</formula>
    </cfRule>
  </conditionalFormatting>
  <conditionalFormatting sqref="E13">
    <cfRule type="cellIs" dxfId="517" priority="446" operator="equal">
      <formula>FALSE</formula>
    </cfRule>
  </conditionalFormatting>
  <conditionalFormatting sqref="E15">
    <cfRule type="containsBlanks" dxfId="516" priority="443">
      <formula>LEN(TRIM(E15))=0</formula>
    </cfRule>
  </conditionalFormatting>
  <conditionalFormatting sqref="E15">
    <cfRule type="cellIs" dxfId="515" priority="444" operator="equal">
      <formula>FALSE</formula>
    </cfRule>
  </conditionalFormatting>
  <conditionalFormatting sqref="E17">
    <cfRule type="containsBlanks" dxfId="514" priority="441">
      <formula>LEN(TRIM(E17))=0</formula>
    </cfRule>
  </conditionalFormatting>
  <conditionalFormatting sqref="E17">
    <cfRule type="cellIs" dxfId="513" priority="442" operator="equal">
      <formula>FALSE</formula>
    </cfRule>
  </conditionalFormatting>
  <conditionalFormatting sqref="E19">
    <cfRule type="containsBlanks" dxfId="512" priority="439">
      <formula>LEN(TRIM(E19))=0</formula>
    </cfRule>
  </conditionalFormatting>
  <conditionalFormatting sqref="E19">
    <cfRule type="cellIs" dxfId="511" priority="440" operator="equal">
      <formula>FALSE</formula>
    </cfRule>
  </conditionalFormatting>
  <conditionalFormatting sqref="E21">
    <cfRule type="containsBlanks" dxfId="510" priority="437">
      <formula>LEN(TRIM(E21))=0</formula>
    </cfRule>
  </conditionalFormatting>
  <conditionalFormatting sqref="E21">
    <cfRule type="cellIs" dxfId="509" priority="438" operator="equal">
      <formula>FALSE</formula>
    </cfRule>
  </conditionalFormatting>
  <conditionalFormatting sqref="E23">
    <cfRule type="containsBlanks" dxfId="508" priority="435">
      <formula>LEN(TRIM(E23))=0</formula>
    </cfRule>
  </conditionalFormatting>
  <conditionalFormatting sqref="E23">
    <cfRule type="cellIs" dxfId="507" priority="436" operator="equal">
      <formula>FALSE</formula>
    </cfRule>
  </conditionalFormatting>
  <conditionalFormatting sqref="E25">
    <cfRule type="containsBlanks" dxfId="506" priority="433">
      <formula>LEN(TRIM(E25))=0</formula>
    </cfRule>
  </conditionalFormatting>
  <conditionalFormatting sqref="E25">
    <cfRule type="cellIs" dxfId="505" priority="434" operator="equal">
      <formula>FALSE</formula>
    </cfRule>
  </conditionalFormatting>
  <conditionalFormatting sqref="A27:C27 E27:I27 CK27:XFD27 BX27:BY27 M27">
    <cfRule type="containsBlanks" dxfId="504" priority="427">
      <formula>LEN(TRIM(A27))=0</formula>
    </cfRule>
  </conditionalFormatting>
  <conditionalFormatting sqref="A27:C27 E27:I27 CK27:XFD27 BX27:BY27 M27">
    <cfRule type="cellIs" dxfId="503" priority="428" operator="equal">
      <formula>FALSE</formula>
    </cfRule>
  </conditionalFormatting>
  <conditionalFormatting sqref="B26:D26">
    <cfRule type="cellIs" dxfId="502" priority="432" operator="equal">
      <formula>TRUE</formula>
    </cfRule>
  </conditionalFormatting>
  <conditionalFormatting sqref="B26:D26">
    <cfRule type="containsBlanks" dxfId="501" priority="430">
      <formula>LEN(TRIM(B26))=0</formula>
    </cfRule>
  </conditionalFormatting>
  <conditionalFormatting sqref="B26:D26">
    <cfRule type="cellIs" dxfId="500" priority="431" operator="equal">
      <formula>FALSE</formula>
    </cfRule>
  </conditionalFormatting>
  <conditionalFormatting sqref="B27:C27">
    <cfRule type="cellIs" dxfId="499" priority="429" operator="equal">
      <formula>TRUE</formula>
    </cfRule>
  </conditionalFormatting>
  <conditionalFormatting sqref="AF5">
    <cfRule type="containsBlanks" dxfId="498" priority="383">
      <formula>LEN(TRIM(AF5))=0</formula>
    </cfRule>
  </conditionalFormatting>
  <conditionalFormatting sqref="AF5">
    <cfRule type="cellIs" dxfId="497" priority="384" operator="equal">
      <formula>FALSE</formula>
    </cfRule>
  </conditionalFormatting>
  <conditionalFormatting sqref="A29:C29 E29:I29 CK29:XFD29 BX29:BY29 M29">
    <cfRule type="containsBlanks" dxfId="496" priority="377">
      <formula>LEN(TRIM(A29))=0</formula>
    </cfRule>
  </conditionalFormatting>
  <conditionalFormatting sqref="A29:C29 E29:I29 CK29:XFD29 BX29:BY29 M29">
    <cfRule type="cellIs" dxfId="495" priority="378" operator="equal">
      <formula>FALSE</formula>
    </cfRule>
  </conditionalFormatting>
  <conditionalFormatting sqref="B28:D28">
    <cfRule type="cellIs" dxfId="494" priority="382" operator="equal">
      <formula>TRUE</formula>
    </cfRule>
  </conditionalFormatting>
  <conditionalFormatting sqref="B28:D28">
    <cfRule type="containsBlanks" dxfId="493" priority="380">
      <formula>LEN(TRIM(B28))=0</formula>
    </cfRule>
  </conditionalFormatting>
  <conditionalFormatting sqref="B28:D28">
    <cfRule type="cellIs" dxfId="492" priority="381" operator="equal">
      <formula>FALSE</formula>
    </cfRule>
  </conditionalFormatting>
  <conditionalFormatting sqref="B29:C29">
    <cfRule type="cellIs" dxfId="491" priority="379" operator="equal">
      <formula>TRUE</formula>
    </cfRule>
  </conditionalFormatting>
  <conditionalFormatting sqref="A31:C31 E31:I31 BX31:BY31 CK31:XFD31 M31">
    <cfRule type="containsBlanks" dxfId="490" priority="371">
      <formula>LEN(TRIM(A31))=0</formula>
    </cfRule>
  </conditionalFormatting>
  <conditionalFormatting sqref="A31:C31 E31:I31 BX31:BY31 CK31:XFD31 M31">
    <cfRule type="cellIs" dxfId="489" priority="372" operator="equal">
      <formula>FALSE</formula>
    </cfRule>
  </conditionalFormatting>
  <conditionalFormatting sqref="B30:D30">
    <cfRule type="cellIs" dxfId="488" priority="376" operator="equal">
      <formula>TRUE</formula>
    </cfRule>
  </conditionalFormatting>
  <conditionalFormatting sqref="B30:D30">
    <cfRule type="containsBlanks" dxfId="487" priority="374">
      <formula>LEN(TRIM(B30))=0</formula>
    </cfRule>
  </conditionalFormatting>
  <conditionalFormatting sqref="B30:D30">
    <cfRule type="cellIs" dxfId="486" priority="375" operator="equal">
      <formula>FALSE</formula>
    </cfRule>
  </conditionalFormatting>
  <conditionalFormatting sqref="B31:C31">
    <cfRule type="cellIs" dxfId="485" priority="373" operator="equal">
      <formula>TRUE</formula>
    </cfRule>
  </conditionalFormatting>
  <conditionalFormatting sqref="BZ29:CJ29">
    <cfRule type="containsBlanks" dxfId="484" priority="367">
      <formula>LEN(TRIM(BZ29))=0</formula>
    </cfRule>
  </conditionalFormatting>
  <conditionalFormatting sqref="BZ29:CJ29">
    <cfRule type="cellIs" dxfId="483" priority="368" operator="equal">
      <formula>FALSE</formula>
    </cfRule>
  </conditionalFormatting>
  <conditionalFormatting sqref="BZ27:CJ27">
    <cfRule type="containsBlanks" dxfId="482" priority="349">
      <formula>LEN(TRIM(BZ27))=0</formula>
    </cfRule>
  </conditionalFormatting>
  <conditionalFormatting sqref="BZ27:CJ27">
    <cfRule type="cellIs" dxfId="481" priority="350" operator="equal">
      <formula>FALSE</formula>
    </cfRule>
  </conditionalFormatting>
  <conditionalFormatting sqref="BZ25:CJ25">
    <cfRule type="containsBlanks" dxfId="480" priority="347">
      <formula>LEN(TRIM(BZ25))=0</formula>
    </cfRule>
  </conditionalFormatting>
  <conditionalFormatting sqref="BZ25:CJ25">
    <cfRule type="cellIs" dxfId="479" priority="348" operator="equal">
      <formula>FALSE</formula>
    </cfRule>
  </conditionalFormatting>
  <conditionalFormatting sqref="BZ23:CJ23">
    <cfRule type="containsBlanks" dxfId="478" priority="345">
      <formula>LEN(TRIM(BZ23))=0</formula>
    </cfRule>
  </conditionalFormatting>
  <conditionalFormatting sqref="BZ23:CJ23">
    <cfRule type="cellIs" dxfId="477" priority="346" operator="equal">
      <formula>FALSE</formula>
    </cfRule>
  </conditionalFormatting>
  <conditionalFormatting sqref="BZ31:CJ31">
    <cfRule type="containsBlanks" dxfId="476" priority="343">
      <formula>LEN(TRIM(BZ31))=0</formula>
    </cfRule>
  </conditionalFormatting>
  <conditionalFormatting sqref="BZ31:CJ31">
    <cfRule type="cellIs" dxfId="475" priority="344" operator="equal">
      <formula>FALSE</formula>
    </cfRule>
  </conditionalFormatting>
  <conditionalFormatting sqref="BZ21:CJ21">
    <cfRule type="containsBlanks" dxfId="474" priority="341">
      <formula>LEN(TRIM(BZ21))=0</formula>
    </cfRule>
  </conditionalFormatting>
  <conditionalFormatting sqref="BZ21:CJ21">
    <cfRule type="cellIs" dxfId="473" priority="342" operator="equal">
      <formula>FALSE</formula>
    </cfRule>
  </conditionalFormatting>
  <conditionalFormatting sqref="BZ19:CJ19">
    <cfRule type="containsBlanks" dxfId="472" priority="339">
      <formula>LEN(TRIM(BZ19))=0</formula>
    </cfRule>
  </conditionalFormatting>
  <conditionalFormatting sqref="BZ19:CJ19">
    <cfRule type="cellIs" dxfId="471" priority="340" operator="equal">
      <formula>FALSE</formula>
    </cfRule>
  </conditionalFormatting>
  <conditionalFormatting sqref="BZ17:CJ17">
    <cfRule type="containsBlanks" dxfId="470" priority="337">
      <formula>LEN(TRIM(BZ17))=0</formula>
    </cfRule>
  </conditionalFormatting>
  <conditionalFormatting sqref="BZ17:CJ17">
    <cfRule type="cellIs" dxfId="469" priority="338" operator="equal">
      <formula>FALSE</formula>
    </cfRule>
  </conditionalFormatting>
  <conditionalFormatting sqref="BZ15:CJ15">
    <cfRule type="containsBlanks" dxfId="468" priority="335">
      <formula>LEN(TRIM(BZ15))=0</formula>
    </cfRule>
  </conditionalFormatting>
  <conditionalFormatting sqref="BZ15:CJ15">
    <cfRule type="cellIs" dxfId="467" priority="336" operator="equal">
      <formula>FALSE</formula>
    </cfRule>
  </conditionalFormatting>
  <conditionalFormatting sqref="BZ13:CJ13">
    <cfRule type="containsBlanks" dxfId="466" priority="333">
      <formula>LEN(TRIM(BZ13))=0</formula>
    </cfRule>
  </conditionalFormatting>
  <conditionalFormatting sqref="BZ13:CJ13">
    <cfRule type="cellIs" dxfId="465" priority="334" operator="equal">
      <formula>FALSE</formula>
    </cfRule>
  </conditionalFormatting>
  <conditionalFormatting sqref="BZ11:CJ11">
    <cfRule type="containsBlanks" dxfId="464" priority="331">
      <formula>LEN(TRIM(BZ11))=0</formula>
    </cfRule>
  </conditionalFormatting>
  <conditionalFormatting sqref="BZ11:CJ11">
    <cfRule type="cellIs" dxfId="463" priority="332" operator="equal">
      <formula>FALSE</formula>
    </cfRule>
  </conditionalFormatting>
  <conditionalFormatting sqref="BZ9:CJ9">
    <cfRule type="containsBlanks" dxfId="462" priority="329">
      <formula>LEN(TRIM(BZ9))=0</formula>
    </cfRule>
  </conditionalFormatting>
  <conditionalFormatting sqref="BZ9:CJ9">
    <cfRule type="cellIs" dxfId="461" priority="330" operator="equal">
      <formula>FALSE</formula>
    </cfRule>
  </conditionalFormatting>
  <conditionalFormatting sqref="BZ7:CJ7">
    <cfRule type="containsBlanks" dxfId="460" priority="327">
      <formula>LEN(TRIM(BZ7))=0</formula>
    </cfRule>
  </conditionalFormatting>
  <conditionalFormatting sqref="BZ7:CJ7">
    <cfRule type="cellIs" dxfId="459" priority="328" operator="equal">
      <formula>FALSE</formula>
    </cfRule>
  </conditionalFormatting>
  <conditionalFormatting sqref="N7:AE7 AG7:BW7">
    <cfRule type="containsBlanks" dxfId="458" priority="325">
      <formula>LEN(TRIM(N7))=0</formula>
    </cfRule>
  </conditionalFormatting>
  <conditionalFormatting sqref="N7:AE7 AG7:BW7">
    <cfRule type="cellIs" dxfId="457" priority="326" operator="equal">
      <formula>FALSE</formula>
    </cfRule>
  </conditionalFormatting>
  <conditionalFormatting sqref="AF7">
    <cfRule type="containsBlanks" dxfId="456" priority="323">
      <formula>LEN(TRIM(AF7))=0</formula>
    </cfRule>
  </conditionalFormatting>
  <conditionalFormatting sqref="AF7">
    <cfRule type="cellIs" dxfId="455" priority="324" operator="equal">
      <formula>FALSE</formula>
    </cfRule>
  </conditionalFormatting>
  <conditionalFormatting sqref="N9:AE9 AG9:BW9">
    <cfRule type="containsBlanks" dxfId="454" priority="321">
      <formula>LEN(TRIM(N9))=0</formula>
    </cfRule>
  </conditionalFormatting>
  <conditionalFormatting sqref="N9:AE9 AG9:BW9">
    <cfRule type="cellIs" dxfId="453" priority="322" operator="equal">
      <formula>FALSE</formula>
    </cfRule>
  </conditionalFormatting>
  <conditionalFormatting sqref="AF9">
    <cfRule type="containsBlanks" dxfId="452" priority="319">
      <formula>LEN(TRIM(AF9))=0</formula>
    </cfRule>
  </conditionalFormatting>
  <conditionalFormatting sqref="AF9">
    <cfRule type="cellIs" dxfId="451" priority="320" operator="equal">
      <formula>FALSE</formula>
    </cfRule>
  </conditionalFormatting>
  <conditionalFormatting sqref="N11:AE11 AG11:BW11">
    <cfRule type="containsBlanks" dxfId="450" priority="317">
      <formula>LEN(TRIM(N11))=0</formula>
    </cfRule>
  </conditionalFormatting>
  <conditionalFormatting sqref="N11:AE11 AG11:BW11">
    <cfRule type="cellIs" dxfId="449" priority="318" operator="equal">
      <formula>FALSE</formula>
    </cfRule>
  </conditionalFormatting>
  <conditionalFormatting sqref="AF11">
    <cfRule type="containsBlanks" dxfId="448" priority="315">
      <formula>LEN(TRIM(AF11))=0</formula>
    </cfRule>
  </conditionalFormatting>
  <conditionalFormatting sqref="AF11">
    <cfRule type="cellIs" dxfId="447" priority="316" operator="equal">
      <formula>FALSE</formula>
    </cfRule>
  </conditionalFormatting>
  <conditionalFormatting sqref="N13:AE13 AG13:BW13">
    <cfRule type="containsBlanks" dxfId="446" priority="313">
      <formula>LEN(TRIM(N13))=0</formula>
    </cfRule>
  </conditionalFormatting>
  <conditionalFormatting sqref="N13:AE13 AG13:BW13">
    <cfRule type="cellIs" dxfId="445" priority="314" operator="equal">
      <formula>FALSE</formula>
    </cfRule>
  </conditionalFormatting>
  <conditionalFormatting sqref="AF13">
    <cfRule type="containsBlanks" dxfId="444" priority="311">
      <formula>LEN(TRIM(AF13))=0</formula>
    </cfRule>
  </conditionalFormatting>
  <conditionalFormatting sqref="AF13">
    <cfRule type="cellIs" dxfId="443" priority="312" operator="equal">
      <formula>FALSE</formula>
    </cfRule>
  </conditionalFormatting>
  <conditionalFormatting sqref="N15:AE15 AG15:BW15">
    <cfRule type="containsBlanks" dxfId="442" priority="309">
      <formula>LEN(TRIM(N15))=0</formula>
    </cfRule>
  </conditionalFormatting>
  <conditionalFormatting sqref="N15:AE15 AG15:BW15">
    <cfRule type="cellIs" dxfId="441" priority="310" operator="equal">
      <formula>FALSE</formula>
    </cfRule>
  </conditionalFormatting>
  <conditionalFormatting sqref="AF15">
    <cfRule type="containsBlanks" dxfId="440" priority="307">
      <formula>LEN(TRIM(AF15))=0</formula>
    </cfRule>
  </conditionalFormatting>
  <conditionalFormatting sqref="AF15">
    <cfRule type="cellIs" dxfId="439" priority="308" operator="equal">
      <formula>FALSE</formula>
    </cfRule>
  </conditionalFormatting>
  <conditionalFormatting sqref="AF17">
    <cfRule type="containsBlanks" dxfId="438" priority="303">
      <formula>LEN(TRIM(AF17))=0</formula>
    </cfRule>
  </conditionalFormatting>
  <conditionalFormatting sqref="AF17">
    <cfRule type="cellIs" dxfId="437" priority="304" operator="equal">
      <formula>FALSE</formula>
    </cfRule>
  </conditionalFormatting>
  <conditionalFormatting sqref="N19:AE19 AG19:BW19">
    <cfRule type="containsBlanks" dxfId="436" priority="301">
      <formula>LEN(TRIM(N19))=0</formula>
    </cfRule>
  </conditionalFormatting>
  <conditionalFormatting sqref="N19:AE19 AG19:BW19">
    <cfRule type="cellIs" dxfId="435" priority="302" operator="equal">
      <formula>FALSE</formula>
    </cfRule>
  </conditionalFormatting>
  <conditionalFormatting sqref="AF19">
    <cfRule type="containsBlanks" dxfId="434" priority="299">
      <formula>LEN(TRIM(AF19))=0</formula>
    </cfRule>
  </conditionalFormatting>
  <conditionalFormatting sqref="AF19">
    <cfRule type="cellIs" dxfId="433" priority="300" operator="equal">
      <formula>FALSE</formula>
    </cfRule>
  </conditionalFormatting>
  <conditionalFormatting sqref="N21:AE21 AG21:BW21">
    <cfRule type="containsBlanks" dxfId="432" priority="297">
      <formula>LEN(TRIM(N21))=0</formula>
    </cfRule>
  </conditionalFormatting>
  <conditionalFormatting sqref="N21:AE21 AG21:BW21">
    <cfRule type="cellIs" dxfId="431" priority="298" operator="equal">
      <formula>FALSE</formula>
    </cfRule>
  </conditionalFormatting>
  <conditionalFormatting sqref="AF21">
    <cfRule type="containsBlanks" dxfId="430" priority="295">
      <formula>LEN(TRIM(AF21))=0</formula>
    </cfRule>
  </conditionalFormatting>
  <conditionalFormatting sqref="AF21">
    <cfRule type="cellIs" dxfId="429" priority="296" operator="equal">
      <formula>FALSE</formula>
    </cfRule>
  </conditionalFormatting>
  <conditionalFormatting sqref="N23:AE23 AG23:BW23">
    <cfRule type="containsBlanks" dxfId="428" priority="293">
      <formula>LEN(TRIM(N23))=0</formula>
    </cfRule>
  </conditionalFormatting>
  <conditionalFormatting sqref="N23:AE23 AG23:BW23">
    <cfRule type="cellIs" dxfId="427" priority="294" operator="equal">
      <formula>FALSE</formula>
    </cfRule>
  </conditionalFormatting>
  <conditionalFormatting sqref="AF23">
    <cfRule type="containsBlanks" dxfId="426" priority="291">
      <formula>LEN(TRIM(AF23))=0</formula>
    </cfRule>
  </conditionalFormatting>
  <conditionalFormatting sqref="AF23">
    <cfRule type="cellIs" dxfId="425" priority="292" operator="equal">
      <formula>FALSE</formula>
    </cfRule>
  </conditionalFormatting>
  <conditionalFormatting sqref="N25:AE25 AG25:BW25">
    <cfRule type="containsBlanks" dxfId="424" priority="289">
      <formula>LEN(TRIM(N25))=0</formula>
    </cfRule>
  </conditionalFormatting>
  <conditionalFormatting sqref="N25:AE25 AG25:BW25">
    <cfRule type="cellIs" dxfId="423" priority="290" operator="equal">
      <formula>FALSE</formula>
    </cfRule>
  </conditionalFormatting>
  <conditionalFormatting sqref="AF25">
    <cfRule type="containsBlanks" dxfId="422" priority="287">
      <formula>LEN(TRIM(AF25))=0</formula>
    </cfRule>
  </conditionalFormatting>
  <conditionalFormatting sqref="AF25">
    <cfRule type="cellIs" dxfId="421" priority="288" operator="equal">
      <formula>FALSE</formula>
    </cfRule>
  </conditionalFormatting>
  <conditionalFormatting sqref="N27:AE27 AG27:BW27">
    <cfRule type="containsBlanks" dxfId="420" priority="285">
      <formula>LEN(TRIM(N27))=0</formula>
    </cfRule>
  </conditionalFormatting>
  <conditionalFormatting sqref="N27:AE27 AG27:BW27">
    <cfRule type="cellIs" dxfId="419" priority="286" operator="equal">
      <formula>FALSE</formula>
    </cfRule>
  </conditionalFormatting>
  <conditionalFormatting sqref="AF27">
    <cfRule type="containsBlanks" dxfId="418" priority="283">
      <formula>LEN(TRIM(AF27))=0</formula>
    </cfRule>
  </conditionalFormatting>
  <conditionalFormatting sqref="AF27">
    <cfRule type="cellIs" dxfId="417" priority="284" operator="equal">
      <formula>FALSE</formula>
    </cfRule>
  </conditionalFormatting>
  <conditionalFormatting sqref="N29:AE29 AG29:BW29">
    <cfRule type="containsBlanks" dxfId="416" priority="281">
      <formula>LEN(TRIM(N29))=0</formula>
    </cfRule>
  </conditionalFormatting>
  <conditionalFormatting sqref="N29:AE29 AG29:BW29">
    <cfRule type="cellIs" dxfId="415" priority="282" operator="equal">
      <formula>FALSE</formula>
    </cfRule>
  </conditionalFormatting>
  <conditionalFormatting sqref="AF29">
    <cfRule type="containsBlanks" dxfId="414" priority="279">
      <formula>LEN(TRIM(AF29))=0</formula>
    </cfRule>
  </conditionalFormatting>
  <conditionalFormatting sqref="AF29">
    <cfRule type="cellIs" dxfId="413" priority="280" operator="equal">
      <formula>FALSE</formula>
    </cfRule>
  </conditionalFormatting>
  <conditionalFormatting sqref="N31:AE31 AG31:BW31">
    <cfRule type="containsBlanks" dxfId="412" priority="277">
      <formula>LEN(TRIM(N31))=0</formula>
    </cfRule>
  </conditionalFormatting>
  <conditionalFormatting sqref="N31:AE31 AG31:BW31">
    <cfRule type="cellIs" dxfId="411" priority="278" operator="equal">
      <formula>FALSE</formula>
    </cfRule>
  </conditionalFormatting>
  <conditionalFormatting sqref="AF31">
    <cfRule type="containsBlanks" dxfId="410" priority="275">
      <formula>LEN(TRIM(AF31))=0</formula>
    </cfRule>
  </conditionalFormatting>
  <conditionalFormatting sqref="AF31">
    <cfRule type="cellIs" dxfId="409" priority="276" operator="equal">
      <formula>FALSE</formula>
    </cfRule>
  </conditionalFormatting>
  <conditionalFormatting sqref="A33:C33 E33:I33 AG33:XFD33 M33:AE33">
    <cfRule type="containsBlanks" dxfId="408" priority="269">
      <formula>LEN(TRIM(A33))=0</formula>
    </cfRule>
  </conditionalFormatting>
  <conditionalFormatting sqref="A33:C33 E33:I33 AG33:XFD33 M33:AE33">
    <cfRule type="cellIs" dxfId="407" priority="270" operator="equal">
      <formula>FALSE</formula>
    </cfRule>
  </conditionalFormatting>
  <conditionalFormatting sqref="B32:D32">
    <cfRule type="cellIs" dxfId="406" priority="274" operator="equal">
      <formula>TRUE</formula>
    </cfRule>
  </conditionalFormatting>
  <conditionalFormatting sqref="B32:D32">
    <cfRule type="containsBlanks" dxfId="405" priority="272">
      <formula>LEN(TRIM(B32))=0</formula>
    </cfRule>
  </conditionalFormatting>
  <conditionalFormatting sqref="B32:D32">
    <cfRule type="cellIs" dxfId="404" priority="273" operator="equal">
      <formula>FALSE</formula>
    </cfRule>
  </conditionalFormatting>
  <conditionalFormatting sqref="B33:C33">
    <cfRule type="cellIs" dxfId="403" priority="271" operator="equal">
      <formula>TRUE</formula>
    </cfRule>
  </conditionalFormatting>
  <conditionalFormatting sqref="AF33">
    <cfRule type="containsBlanks" dxfId="402" priority="267">
      <formula>LEN(TRIM(AF33))=0</formula>
    </cfRule>
  </conditionalFormatting>
  <conditionalFormatting sqref="AF33">
    <cfRule type="cellIs" dxfId="401" priority="268" operator="equal">
      <formula>FALSE</formula>
    </cfRule>
  </conditionalFormatting>
  <conditionalFormatting sqref="A35:C35 E35:I35 AG35:XFD35 M35:AE35">
    <cfRule type="containsBlanks" dxfId="400" priority="261">
      <formula>LEN(TRIM(A35))=0</formula>
    </cfRule>
  </conditionalFormatting>
  <conditionalFormatting sqref="A35:C35 E35:I35 AG35:XFD35 M35:AE35">
    <cfRule type="cellIs" dxfId="399" priority="262" operator="equal">
      <formula>FALSE</formula>
    </cfRule>
  </conditionalFormatting>
  <conditionalFormatting sqref="B34:D34">
    <cfRule type="cellIs" dxfId="398" priority="266" operator="equal">
      <formula>TRUE</formula>
    </cfRule>
  </conditionalFormatting>
  <conditionalFormatting sqref="B34:D34">
    <cfRule type="containsBlanks" dxfId="397" priority="264">
      <formula>LEN(TRIM(B34))=0</formula>
    </cfRule>
  </conditionalFormatting>
  <conditionalFormatting sqref="B34:D34">
    <cfRule type="cellIs" dxfId="396" priority="265" operator="equal">
      <formula>FALSE</formula>
    </cfRule>
  </conditionalFormatting>
  <conditionalFormatting sqref="B35:C35">
    <cfRule type="cellIs" dxfId="395" priority="263" operator="equal">
      <formula>TRUE</formula>
    </cfRule>
  </conditionalFormatting>
  <conditionalFormatting sqref="AF35">
    <cfRule type="containsBlanks" dxfId="394" priority="259">
      <formula>LEN(TRIM(AF35))=0</formula>
    </cfRule>
  </conditionalFormatting>
  <conditionalFormatting sqref="AF35">
    <cfRule type="cellIs" dxfId="393" priority="260" operator="equal">
      <formula>FALSE</formula>
    </cfRule>
  </conditionalFormatting>
  <conditionalFormatting sqref="A37:C37 AG37:XFD37 E37:AE37">
    <cfRule type="containsBlanks" dxfId="392" priority="253">
      <formula>LEN(TRIM(A37))=0</formula>
    </cfRule>
  </conditionalFormatting>
  <conditionalFormatting sqref="A37:C37 AG37:XFD37 E37:AE37">
    <cfRule type="cellIs" dxfId="391" priority="254" operator="equal">
      <formula>FALSE</formula>
    </cfRule>
  </conditionalFormatting>
  <conditionalFormatting sqref="B36:D36">
    <cfRule type="cellIs" dxfId="390" priority="258" operator="equal">
      <formula>TRUE</formula>
    </cfRule>
  </conditionalFormatting>
  <conditionalFormatting sqref="B36:D36">
    <cfRule type="containsBlanks" dxfId="389" priority="256">
      <formula>LEN(TRIM(B36))=0</formula>
    </cfRule>
  </conditionalFormatting>
  <conditionalFormatting sqref="B36:D36">
    <cfRule type="cellIs" dxfId="388" priority="257" operator="equal">
      <formula>FALSE</formula>
    </cfRule>
  </conditionalFormatting>
  <conditionalFormatting sqref="B37:C37">
    <cfRule type="cellIs" dxfId="387" priority="255" operator="equal">
      <formula>TRUE</formula>
    </cfRule>
  </conditionalFormatting>
  <conditionalFormatting sqref="AF37">
    <cfRule type="containsBlanks" dxfId="386" priority="251">
      <formula>LEN(TRIM(AF37))=0</formula>
    </cfRule>
  </conditionalFormatting>
  <conditionalFormatting sqref="AF37">
    <cfRule type="cellIs" dxfId="385" priority="252" operator="equal">
      <formula>FALSE</formula>
    </cfRule>
  </conditionalFormatting>
  <conditionalFormatting sqref="A39:C39 E39:I39 AG39:XFD39 M39:AE39">
    <cfRule type="containsBlanks" dxfId="384" priority="245">
      <formula>LEN(TRIM(A39))=0</formula>
    </cfRule>
  </conditionalFormatting>
  <conditionalFormatting sqref="A39:C39 E39:I39 AG39:XFD39 M39:AE39">
    <cfRule type="cellIs" dxfId="383" priority="246" operator="equal">
      <formula>FALSE</formula>
    </cfRule>
  </conditionalFormatting>
  <conditionalFormatting sqref="B38:D38">
    <cfRule type="cellIs" dxfId="382" priority="250" operator="equal">
      <formula>TRUE</formula>
    </cfRule>
  </conditionalFormatting>
  <conditionalFormatting sqref="B38:D38">
    <cfRule type="containsBlanks" dxfId="381" priority="248">
      <formula>LEN(TRIM(B38))=0</formula>
    </cfRule>
  </conditionalFormatting>
  <conditionalFormatting sqref="B38:D38">
    <cfRule type="cellIs" dxfId="380" priority="249" operator="equal">
      <formula>FALSE</formula>
    </cfRule>
  </conditionalFormatting>
  <conditionalFormatting sqref="B39:C39">
    <cfRule type="cellIs" dxfId="379" priority="247" operator="equal">
      <formula>TRUE</formula>
    </cfRule>
  </conditionalFormatting>
  <conditionalFormatting sqref="AF39">
    <cfRule type="containsBlanks" dxfId="378" priority="243">
      <formula>LEN(TRIM(AF39))=0</formula>
    </cfRule>
  </conditionalFormatting>
  <conditionalFormatting sqref="AF39">
    <cfRule type="cellIs" dxfId="377" priority="244" operator="equal">
      <formula>FALSE</formula>
    </cfRule>
  </conditionalFormatting>
  <conditionalFormatting sqref="A41:C41 E41:I41 AG41:XFD41 M41:AE41">
    <cfRule type="containsBlanks" dxfId="376" priority="237">
      <formula>LEN(TRIM(A41))=0</formula>
    </cfRule>
  </conditionalFormatting>
  <conditionalFormatting sqref="A41:C41 E41:I41 AG41:XFD41 M41:AE41">
    <cfRule type="cellIs" dxfId="375" priority="238" operator="equal">
      <formula>FALSE</formula>
    </cfRule>
  </conditionalFormatting>
  <conditionalFormatting sqref="B40:D40">
    <cfRule type="cellIs" dxfId="374" priority="242" operator="equal">
      <formula>TRUE</formula>
    </cfRule>
  </conditionalFormatting>
  <conditionalFormatting sqref="B40:D40">
    <cfRule type="containsBlanks" dxfId="373" priority="240">
      <formula>LEN(TRIM(B40))=0</formula>
    </cfRule>
  </conditionalFormatting>
  <conditionalFormatting sqref="B40:D40">
    <cfRule type="cellIs" dxfId="372" priority="241" operator="equal">
      <formula>FALSE</formula>
    </cfRule>
  </conditionalFormatting>
  <conditionalFormatting sqref="B41:C41">
    <cfRule type="cellIs" dxfId="371" priority="239" operator="equal">
      <formula>TRUE</formula>
    </cfRule>
  </conditionalFormatting>
  <conditionalFormatting sqref="AF41">
    <cfRule type="containsBlanks" dxfId="370" priority="235">
      <formula>LEN(TRIM(AF41))=0</formula>
    </cfRule>
  </conditionalFormatting>
  <conditionalFormatting sqref="AF41">
    <cfRule type="cellIs" dxfId="369" priority="236" operator="equal">
      <formula>FALSE</formula>
    </cfRule>
  </conditionalFormatting>
  <conditionalFormatting sqref="A43:C43 E43:I43 AG43:XFD43 M43:AE43">
    <cfRule type="containsBlanks" dxfId="368" priority="229">
      <formula>LEN(TRIM(A43))=0</formula>
    </cfRule>
  </conditionalFormatting>
  <conditionalFormatting sqref="A43:C43 E43:I43 AG43:XFD43 M43:AE43">
    <cfRule type="cellIs" dxfId="367" priority="230" operator="equal">
      <formula>FALSE</formula>
    </cfRule>
  </conditionalFormatting>
  <conditionalFormatting sqref="B42:D42">
    <cfRule type="cellIs" dxfId="366" priority="234" operator="equal">
      <formula>TRUE</formula>
    </cfRule>
  </conditionalFormatting>
  <conditionalFormatting sqref="B42:D42">
    <cfRule type="containsBlanks" dxfId="365" priority="232">
      <formula>LEN(TRIM(B42))=0</formula>
    </cfRule>
  </conditionalFormatting>
  <conditionalFormatting sqref="B42:D42">
    <cfRule type="cellIs" dxfId="364" priority="233" operator="equal">
      <formula>FALSE</formula>
    </cfRule>
  </conditionalFormatting>
  <conditionalFormatting sqref="B43:C43">
    <cfRule type="cellIs" dxfId="363" priority="231" operator="equal">
      <formula>TRUE</formula>
    </cfRule>
  </conditionalFormatting>
  <conditionalFormatting sqref="AF43">
    <cfRule type="containsBlanks" dxfId="362" priority="227">
      <formula>LEN(TRIM(AF43))=0</formula>
    </cfRule>
  </conditionalFormatting>
  <conditionalFormatting sqref="AF43">
    <cfRule type="cellIs" dxfId="361" priority="228" operator="equal">
      <formula>FALSE</formula>
    </cfRule>
  </conditionalFormatting>
  <conditionalFormatting sqref="J43:L43">
    <cfRule type="containsBlanks" dxfId="360" priority="225">
      <formula>LEN(TRIM(J43))=0</formula>
    </cfRule>
  </conditionalFormatting>
  <conditionalFormatting sqref="J43:L43">
    <cfRule type="cellIs" dxfId="359" priority="226" operator="equal">
      <formula>FALSE</formula>
    </cfRule>
  </conditionalFormatting>
  <conditionalFormatting sqref="J41:L41">
    <cfRule type="containsBlanks" dxfId="358" priority="223">
      <formula>LEN(TRIM(J41))=0</formula>
    </cfRule>
  </conditionalFormatting>
  <conditionalFormatting sqref="J41:L41">
    <cfRule type="cellIs" dxfId="357" priority="224" operator="equal">
      <formula>FALSE</formula>
    </cfRule>
  </conditionalFormatting>
  <conditionalFormatting sqref="J39:L39">
    <cfRule type="containsBlanks" dxfId="356" priority="221">
      <formula>LEN(TRIM(J39))=0</formula>
    </cfRule>
  </conditionalFormatting>
  <conditionalFormatting sqref="J39:L39">
    <cfRule type="cellIs" dxfId="355" priority="222" operator="equal">
      <formula>FALSE</formula>
    </cfRule>
  </conditionalFormatting>
  <conditionalFormatting sqref="J35:L35">
    <cfRule type="containsBlanks" dxfId="354" priority="219">
      <formula>LEN(TRIM(J35))=0</formula>
    </cfRule>
  </conditionalFormatting>
  <conditionalFormatting sqref="J35:L35">
    <cfRule type="cellIs" dxfId="353" priority="220" operator="equal">
      <formula>FALSE</formula>
    </cfRule>
  </conditionalFormatting>
  <conditionalFormatting sqref="J33:L33">
    <cfRule type="containsBlanks" dxfId="352" priority="217">
      <formula>LEN(TRIM(J33))=0</formula>
    </cfRule>
  </conditionalFormatting>
  <conditionalFormatting sqref="J33:L33">
    <cfRule type="cellIs" dxfId="351" priority="218" operator="equal">
      <formula>FALSE</formula>
    </cfRule>
  </conditionalFormatting>
  <conditionalFormatting sqref="J31:L31">
    <cfRule type="containsBlanks" dxfId="350" priority="215">
      <formula>LEN(TRIM(J31))=0</formula>
    </cfRule>
  </conditionalFormatting>
  <conditionalFormatting sqref="J31:L31">
    <cfRule type="cellIs" dxfId="349" priority="216" operator="equal">
      <formula>FALSE</formula>
    </cfRule>
  </conditionalFormatting>
  <conditionalFormatting sqref="J29:L29">
    <cfRule type="containsBlanks" dxfId="348" priority="213">
      <formula>LEN(TRIM(J29))=0</formula>
    </cfRule>
  </conditionalFormatting>
  <conditionalFormatting sqref="J29:L29">
    <cfRule type="cellIs" dxfId="347" priority="214" operator="equal">
      <formula>FALSE</formula>
    </cfRule>
  </conditionalFormatting>
  <conditionalFormatting sqref="J27:L27">
    <cfRule type="containsBlanks" dxfId="346" priority="211">
      <formula>LEN(TRIM(J27))=0</formula>
    </cfRule>
  </conditionalFormatting>
  <conditionalFormatting sqref="J27:L27">
    <cfRule type="cellIs" dxfId="345" priority="212" operator="equal">
      <formula>FALSE</formula>
    </cfRule>
  </conditionalFormatting>
  <conditionalFormatting sqref="J25:L25">
    <cfRule type="containsBlanks" dxfId="344" priority="209">
      <formula>LEN(TRIM(J25))=0</formula>
    </cfRule>
  </conditionalFormatting>
  <conditionalFormatting sqref="J25:L25">
    <cfRule type="cellIs" dxfId="343" priority="210" operator="equal">
      <formula>FALSE</formula>
    </cfRule>
  </conditionalFormatting>
  <conditionalFormatting sqref="J23:L23">
    <cfRule type="containsBlanks" dxfId="342" priority="207">
      <formula>LEN(TRIM(J23))=0</formula>
    </cfRule>
  </conditionalFormatting>
  <conditionalFormatting sqref="J23:L23">
    <cfRule type="cellIs" dxfId="341" priority="208" operator="equal">
      <formula>FALSE</formula>
    </cfRule>
  </conditionalFormatting>
  <conditionalFormatting sqref="J21:L21">
    <cfRule type="containsBlanks" dxfId="340" priority="205">
      <formula>LEN(TRIM(J21))=0</formula>
    </cfRule>
  </conditionalFormatting>
  <conditionalFormatting sqref="J21:L21">
    <cfRule type="cellIs" dxfId="339" priority="206" operator="equal">
      <formula>FALSE</formula>
    </cfRule>
  </conditionalFormatting>
  <conditionalFormatting sqref="J19:L19">
    <cfRule type="containsBlanks" dxfId="338" priority="203">
      <formula>LEN(TRIM(J19))=0</formula>
    </cfRule>
  </conditionalFormatting>
  <conditionalFormatting sqref="J19:L19">
    <cfRule type="cellIs" dxfId="337" priority="204" operator="equal">
      <formula>FALSE</formula>
    </cfRule>
  </conditionalFormatting>
  <conditionalFormatting sqref="J17:L17">
    <cfRule type="containsBlanks" dxfId="336" priority="201">
      <formula>LEN(TRIM(J17))=0</formula>
    </cfRule>
  </conditionalFormatting>
  <conditionalFormatting sqref="J17:L17">
    <cfRule type="cellIs" dxfId="335" priority="202" operator="equal">
      <formula>FALSE</formula>
    </cfRule>
  </conditionalFormatting>
  <conditionalFormatting sqref="J15:L15">
    <cfRule type="containsBlanks" dxfId="334" priority="199">
      <formula>LEN(TRIM(J15))=0</formula>
    </cfRule>
  </conditionalFormatting>
  <conditionalFormatting sqref="J15:L15">
    <cfRule type="cellIs" dxfId="333" priority="200" operator="equal">
      <formula>FALSE</formula>
    </cfRule>
  </conditionalFormatting>
  <conditionalFormatting sqref="J13:L13">
    <cfRule type="containsBlanks" dxfId="332" priority="197">
      <formula>LEN(TRIM(J13))=0</formula>
    </cfRule>
  </conditionalFormatting>
  <conditionalFormatting sqref="J13:L13">
    <cfRule type="cellIs" dxfId="331" priority="198" operator="equal">
      <formula>FALSE</formula>
    </cfRule>
  </conditionalFormatting>
  <conditionalFormatting sqref="J11:L11">
    <cfRule type="containsBlanks" dxfId="330" priority="195">
      <formula>LEN(TRIM(J11))=0</formula>
    </cfRule>
  </conditionalFormatting>
  <conditionalFormatting sqref="J11:L11">
    <cfRule type="cellIs" dxfId="329" priority="196" operator="equal">
      <formula>FALSE</formula>
    </cfRule>
  </conditionalFormatting>
  <conditionalFormatting sqref="J9:L9">
    <cfRule type="containsBlanks" dxfId="328" priority="193">
      <formula>LEN(TRIM(J9))=0</formula>
    </cfRule>
  </conditionalFormatting>
  <conditionalFormatting sqref="J9:L9">
    <cfRule type="cellIs" dxfId="327" priority="194" operator="equal">
      <formula>FALSE</formula>
    </cfRule>
  </conditionalFormatting>
  <conditionalFormatting sqref="J7:L7">
    <cfRule type="containsBlanks" dxfId="326" priority="191">
      <formula>LEN(TRIM(J7))=0</formula>
    </cfRule>
  </conditionalFormatting>
  <conditionalFormatting sqref="J7:L7">
    <cfRule type="cellIs" dxfId="325" priority="192" operator="equal">
      <formula>FALSE</formula>
    </cfRule>
  </conditionalFormatting>
  <conditionalFormatting sqref="B44:C44">
    <cfRule type="cellIs" dxfId="324" priority="190" operator="equal">
      <formula>TRUE</formula>
    </cfRule>
  </conditionalFormatting>
  <conditionalFormatting sqref="B44:C44">
    <cfRule type="containsBlanks" dxfId="323" priority="188">
      <formula>LEN(TRIM(B44))=0</formula>
    </cfRule>
  </conditionalFormatting>
  <conditionalFormatting sqref="B44:C44">
    <cfRule type="cellIs" dxfId="322" priority="189" operator="equal">
      <formula>FALSE</formula>
    </cfRule>
  </conditionalFormatting>
  <conditionalFormatting sqref="B45:C45">
    <cfRule type="cellIs" dxfId="321" priority="187" operator="equal">
      <formula>TRUE</formula>
    </cfRule>
  </conditionalFormatting>
  <conditionalFormatting sqref="A45:C45 F45:I45 BX45:BY45 CK45:XFD45 M45">
    <cfRule type="containsBlanks" dxfId="320" priority="185">
      <formula>LEN(TRIM(A45))=0</formula>
    </cfRule>
  </conditionalFormatting>
  <conditionalFormatting sqref="A45:C45 F45:I45 BX45:BY45 CK45:XFD45 M45">
    <cfRule type="cellIs" dxfId="319" priority="186" operator="equal">
      <formula>FALSE</formula>
    </cfRule>
  </conditionalFormatting>
  <conditionalFormatting sqref="D44">
    <cfRule type="cellIs" dxfId="318" priority="184" operator="equal">
      <formula>TRUE</formula>
    </cfRule>
  </conditionalFormatting>
  <conditionalFormatting sqref="D44">
    <cfRule type="containsBlanks" dxfId="317" priority="182">
      <formula>LEN(TRIM(D44))=0</formula>
    </cfRule>
  </conditionalFormatting>
  <conditionalFormatting sqref="D44">
    <cfRule type="cellIs" dxfId="316" priority="183" operator="equal">
      <formula>FALSE</formula>
    </cfRule>
  </conditionalFormatting>
  <conditionalFormatting sqref="E45">
    <cfRule type="containsBlanks" dxfId="315" priority="180">
      <formula>LEN(TRIM(E45))=0</formula>
    </cfRule>
  </conditionalFormatting>
  <conditionalFormatting sqref="E45">
    <cfRule type="cellIs" dxfId="314" priority="181" operator="equal">
      <formula>FALSE</formula>
    </cfRule>
  </conditionalFormatting>
  <conditionalFormatting sqref="BZ45:CJ45">
    <cfRule type="containsBlanks" dxfId="313" priority="178">
      <formula>LEN(TRIM(BZ45))=0</formula>
    </cfRule>
  </conditionalFormatting>
  <conditionalFormatting sqref="BZ45:CJ45">
    <cfRule type="cellIs" dxfId="312" priority="179" operator="equal">
      <formula>FALSE</formula>
    </cfRule>
  </conditionalFormatting>
  <conditionalFormatting sqref="N45:AE45 AG45:BW45">
    <cfRule type="containsBlanks" dxfId="311" priority="176">
      <formula>LEN(TRIM(N45))=0</formula>
    </cfRule>
  </conditionalFormatting>
  <conditionalFormatting sqref="N45:AE45 AG45:BW45">
    <cfRule type="cellIs" dxfId="310" priority="177" operator="equal">
      <formula>FALSE</formula>
    </cfRule>
  </conditionalFormatting>
  <conditionalFormatting sqref="AF45">
    <cfRule type="containsBlanks" dxfId="309" priority="174">
      <formula>LEN(TRIM(AF45))=0</formula>
    </cfRule>
  </conditionalFormatting>
  <conditionalFormatting sqref="AF45">
    <cfRule type="cellIs" dxfId="308" priority="175" operator="equal">
      <formula>FALSE</formula>
    </cfRule>
  </conditionalFormatting>
  <conditionalFormatting sqref="J45:L45">
    <cfRule type="containsBlanks" dxfId="307" priority="172">
      <formula>LEN(TRIM(J45))=0</formula>
    </cfRule>
  </conditionalFormatting>
  <conditionalFormatting sqref="J45:L45">
    <cfRule type="cellIs" dxfId="306" priority="173" operator="equal">
      <formula>FALSE</formula>
    </cfRule>
  </conditionalFormatting>
  <conditionalFormatting sqref="B46:C46">
    <cfRule type="cellIs" dxfId="305" priority="171" operator="equal">
      <formula>TRUE</formula>
    </cfRule>
  </conditionalFormatting>
  <conditionalFormatting sqref="B46:C46">
    <cfRule type="containsBlanks" dxfId="304" priority="169">
      <formula>LEN(TRIM(B46))=0</formula>
    </cfRule>
  </conditionalFormatting>
  <conditionalFormatting sqref="B46:C46">
    <cfRule type="cellIs" dxfId="303" priority="170" operator="equal">
      <formula>FALSE</formula>
    </cfRule>
  </conditionalFormatting>
  <conditionalFormatting sqref="B47:C47">
    <cfRule type="cellIs" dxfId="302" priority="168" operator="equal">
      <formula>TRUE</formula>
    </cfRule>
  </conditionalFormatting>
  <conditionalFormatting sqref="A47:C47 F47:I47 BX47:BY47 CK47:XFD47 M47">
    <cfRule type="containsBlanks" dxfId="301" priority="166">
      <formula>LEN(TRIM(A47))=0</formula>
    </cfRule>
  </conditionalFormatting>
  <conditionalFormatting sqref="A47:C47 F47:I47 BX47:BY47 CK47:XFD47 M47">
    <cfRule type="cellIs" dxfId="300" priority="167" operator="equal">
      <formula>FALSE</formula>
    </cfRule>
  </conditionalFormatting>
  <conditionalFormatting sqref="D46">
    <cfRule type="cellIs" dxfId="299" priority="165" operator="equal">
      <formula>TRUE</formula>
    </cfRule>
  </conditionalFormatting>
  <conditionalFormatting sqref="D46">
    <cfRule type="containsBlanks" dxfId="298" priority="163">
      <formula>LEN(TRIM(D46))=0</formula>
    </cfRule>
  </conditionalFormatting>
  <conditionalFormatting sqref="D46">
    <cfRule type="cellIs" dxfId="297" priority="164" operator="equal">
      <formula>FALSE</formula>
    </cfRule>
  </conditionalFormatting>
  <conditionalFormatting sqref="E47">
    <cfRule type="containsBlanks" dxfId="296" priority="161">
      <formula>LEN(TRIM(E47))=0</formula>
    </cfRule>
  </conditionalFormatting>
  <conditionalFormatting sqref="E47">
    <cfRule type="cellIs" dxfId="295" priority="162" operator="equal">
      <formula>FALSE</formula>
    </cfRule>
  </conditionalFormatting>
  <conditionalFormatting sqref="BZ47:CJ47">
    <cfRule type="containsBlanks" dxfId="294" priority="159">
      <formula>LEN(TRIM(BZ47))=0</formula>
    </cfRule>
  </conditionalFormatting>
  <conditionalFormatting sqref="BZ47:CJ47">
    <cfRule type="cellIs" dxfId="293" priority="160" operator="equal">
      <formula>FALSE</formula>
    </cfRule>
  </conditionalFormatting>
  <conditionalFormatting sqref="N47:AE47 AG47:BW47">
    <cfRule type="containsBlanks" dxfId="292" priority="157">
      <formula>LEN(TRIM(N47))=0</formula>
    </cfRule>
  </conditionalFormatting>
  <conditionalFormatting sqref="N47:AE47 AG47:BW47">
    <cfRule type="cellIs" dxfId="291" priority="158" operator="equal">
      <formula>FALSE</formula>
    </cfRule>
  </conditionalFormatting>
  <conditionalFormatting sqref="AF47">
    <cfRule type="containsBlanks" dxfId="290" priority="155">
      <formula>LEN(TRIM(AF47))=0</formula>
    </cfRule>
  </conditionalFormatting>
  <conditionalFormatting sqref="AF47">
    <cfRule type="cellIs" dxfId="289" priority="156" operator="equal">
      <formula>FALSE</formula>
    </cfRule>
  </conditionalFormatting>
  <conditionalFormatting sqref="J47:L47">
    <cfRule type="containsBlanks" dxfId="288" priority="153">
      <formula>LEN(TRIM(J47))=0</formula>
    </cfRule>
  </conditionalFormatting>
  <conditionalFormatting sqref="J47:L47">
    <cfRule type="cellIs" dxfId="287" priority="154" operator="equal">
      <formula>FALSE</formula>
    </cfRule>
  </conditionalFormatting>
  <conditionalFormatting sqref="B48:C48">
    <cfRule type="cellIs" dxfId="286" priority="152" operator="equal">
      <formula>TRUE</formula>
    </cfRule>
  </conditionalFormatting>
  <conditionalFormatting sqref="B48:C48">
    <cfRule type="containsBlanks" dxfId="285" priority="150">
      <formula>LEN(TRIM(B48))=0</formula>
    </cfRule>
  </conditionalFormatting>
  <conditionalFormatting sqref="B48:C48">
    <cfRule type="cellIs" dxfId="284" priority="151" operator="equal">
      <formula>FALSE</formula>
    </cfRule>
  </conditionalFormatting>
  <conditionalFormatting sqref="B49:C49">
    <cfRule type="cellIs" dxfId="283" priority="149" operator="equal">
      <formula>TRUE</formula>
    </cfRule>
  </conditionalFormatting>
  <conditionalFormatting sqref="A49:C49 F49:I49 BX49:BY49 CK49:XFD49 M49">
    <cfRule type="containsBlanks" dxfId="282" priority="147">
      <formula>LEN(TRIM(A49))=0</formula>
    </cfRule>
  </conditionalFormatting>
  <conditionalFormatting sqref="A49:C49 F49:I49 BX49:BY49 CK49:XFD49 M49">
    <cfRule type="cellIs" dxfId="281" priority="148" operator="equal">
      <formula>FALSE</formula>
    </cfRule>
  </conditionalFormatting>
  <conditionalFormatting sqref="D48">
    <cfRule type="cellIs" dxfId="280" priority="146" operator="equal">
      <formula>TRUE</formula>
    </cfRule>
  </conditionalFormatting>
  <conditionalFormatting sqref="D48">
    <cfRule type="containsBlanks" dxfId="279" priority="144">
      <formula>LEN(TRIM(D48))=0</formula>
    </cfRule>
  </conditionalFormatting>
  <conditionalFormatting sqref="D48">
    <cfRule type="cellIs" dxfId="278" priority="145" operator="equal">
      <formula>FALSE</formula>
    </cfRule>
  </conditionalFormatting>
  <conditionalFormatting sqref="E49">
    <cfRule type="containsBlanks" dxfId="277" priority="142">
      <formula>LEN(TRIM(E49))=0</formula>
    </cfRule>
  </conditionalFormatting>
  <conditionalFormatting sqref="E49">
    <cfRule type="cellIs" dxfId="276" priority="143" operator="equal">
      <formula>FALSE</formula>
    </cfRule>
  </conditionalFormatting>
  <conditionalFormatting sqref="BZ49:CJ49">
    <cfRule type="containsBlanks" dxfId="275" priority="140">
      <formula>LEN(TRIM(BZ49))=0</formula>
    </cfRule>
  </conditionalFormatting>
  <conditionalFormatting sqref="BZ49:CJ49">
    <cfRule type="cellIs" dxfId="274" priority="141" operator="equal">
      <formula>FALSE</formula>
    </cfRule>
  </conditionalFormatting>
  <conditionalFormatting sqref="N49:AE49 AG49:BW49">
    <cfRule type="containsBlanks" dxfId="273" priority="138">
      <formula>LEN(TRIM(N49))=0</formula>
    </cfRule>
  </conditionalFormatting>
  <conditionalFormatting sqref="N49:AE49 AG49:BW49">
    <cfRule type="cellIs" dxfId="272" priority="139" operator="equal">
      <formula>FALSE</formula>
    </cfRule>
  </conditionalFormatting>
  <conditionalFormatting sqref="AF49">
    <cfRule type="containsBlanks" dxfId="271" priority="136">
      <formula>LEN(TRIM(AF49))=0</formula>
    </cfRule>
  </conditionalFormatting>
  <conditionalFormatting sqref="AF49">
    <cfRule type="cellIs" dxfId="270" priority="137" operator="equal">
      <formula>FALSE</formula>
    </cfRule>
  </conditionalFormatting>
  <conditionalFormatting sqref="J49:L49">
    <cfRule type="containsBlanks" dxfId="269" priority="134">
      <formula>LEN(TRIM(J49))=0</formula>
    </cfRule>
  </conditionalFormatting>
  <conditionalFormatting sqref="J49:L49">
    <cfRule type="cellIs" dxfId="268" priority="135" operator="equal">
      <formula>FALSE</formula>
    </cfRule>
  </conditionalFormatting>
  <conditionalFormatting sqref="B50:C50">
    <cfRule type="cellIs" dxfId="267" priority="133" operator="equal">
      <formula>TRUE</formula>
    </cfRule>
  </conditionalFormatting>
  <conditionalFormatting sqref="B50:C50">
    <cfRule type="containsBlanks" dxfId="266" priority="131">
      <formula>LEN(TRIM(B50))=0</formula>
    </cfRule>
  </conditionalFormatting>
  <conditionalFormatting sqref="B50:C50">
    <cfRule type="cellIs" dxfId="265" priority="132" operator="equal">
      <formula>FALSE</formula>
    </cfRule>
  </conditionalFormatting>
  <conditionalFormatting sqref="B51:C51">
    <cfRule type="cellIs" dxfId="264" priority="130" operator="equal">
      <formula>TRUE</formula>
    </cfRule>
  </conditionalFormatting>
  <conditionalFormatting sqref="A51:C51 F51:I51 BX51:BY51 CK51:XFD51 M51">
    <cfRule type="containsBlanks" dxfId="263" priority="128">
      <formula>LEN(TRIM(A51))=0</formula>
    </cfRule>
  </conditionalFormatting>
  <conditionalFormatting sqref="A51:C51 F51:I51 BX51:BY51 CK51:XFD51 M51">
    <cfRule type="cellIs" dxfId="262" priority="129" operator="equal">
      <formula>FALSE</formula>
    </cfRule>
  </conditionalFormatting>
  <conditionalFormatting sqref="D50">
    <cfRule type="cellIs" dxfId="261" priority="127" operator="equal">
      <formula>TRUE</formula>
    </cfRule>
  </conditionalFormatting>
  <conditionalFormatting sqref="D50">
    <cfRule type="containsBlanks" dxfId="260" priority="125">
      <formula>LEN(TRIM(D50))=0</formula>
    </cfRule>
  </conditionalFormatting>
  <conditionalFormatting sqref="D50">
    <cfRule type="cellIs" dxfId="259" priority="126" operator="equal">
      <formula>FALSE</formula>
    </cfRule>
  </conditionalFormatting>
  <conditionalFormatting sqref="E51">
    <cfRule type="containsBlanks" dxfId="258" priority="123">
      <formula>LEN(TRIM(E51))=0</formula>
    </cfRule>
  </conditionalFormatting>
  <conditionalFormatting sqref="E51">
    <cfRule type="cellIs" dxfId="257" priority="124" operator="equal">
      <formula>FALSE</formula>
    </cfRule>
  </conditionalFormatting>
  <conditionalFormatting sqref="BZ51:CJ51">
    <cfRule type="containsBlanks" dxfId="256" priority="121">
      <formula>LEN(TRIM(BZ51))=0</formula>
    </cfRule>
  </conditionalFormatting>
  <conditionalFormatting sqref="BZ51:CJ51">
    <cfRule type="cellIs" dxfId="255" priority="122" operator="equal">
      <formula>FALSE</formula>
    </cfRule>
  </conditionalFormatting>
  <conditionalFormatting sqref="N51:AE51 AG51:BW51">
    <cfRule type="containsBlanks" dxfId="254" priority="119">
      <formula>LEN(TRIM(N51))=0</formula>
    </cfRule>
  </conditionalFormatting>
  <conditionalFormatting sqref="N51:AE51 AG51:BW51">
    <cfRule type="cellIs" dxfId="253" priority="120" operator="equal">
      <formula>FALSE</formula>
    </cfRule>
  </conditionalFormatting>
  <conditionalFormatting sqref="AF51">
    <cfRule type="containsBlanks" dxfId="252" priority="117">
      <formula>LEN(TRIM(AF51))=0</formula>
    </cfRule>
  </conditionalFormatting>
  <conditionalFormatting sqref="AF51">
    <cfRule type="cellIs" dxfId="251" priority="118" operator="equal">
      <formula>FALSE</formula>
    </cfRule>
  </conditionalFormatting>
  <conditionalFormatting sqref="J51:L51">
    <cfRule type="containsBlanks" dxfId="250" priority="115">
      <formula>LEN(TRIM(J51))=0</formula>
    </cfRule>
  </conditionalFormatting>
  <conditionalFormatting sqref="J51:L51">
    <cfRule type="cellIs" dxfId="249" priority="116" operator="equal">
      <formula>FALSE</formula>
    </cfRule>
  </conditionalFormatting>
  <conditionalFormatting sqref="B52:C52">
    <cfRule type="cellIs" dxfId="248" priority="114" operator="equal">
      <formula>TRUE</formula>
    </cfRule>
  </conditionalFormatting>
  <conditionalFormatting sqref="B52:C52">
    <cfRule type="containsBlanks" dxfId="247" priority="112">
      <formula>LEN(TRIM(B52))=0</formula>
    </cfRule>
  </conditionalFormatting>
  <conditionalFormatting sqref="B52:C52">
    <cfRule type="cellIs" dxfId="246" priority="113" operator="equal">
      <formula>FALSE</formula>
    </cfRule>
  </conditionalFormatting>
  <conditionalFormatting sqref="B53:C53">
    <cfRule type="cellIs" dxfId="245" priority="111" operator="equal">
      <formula>TRUE</formula>
    </cfRule>
  </conditionalFormatting>
  <conditionalFormatting sqref="A53:C53 F53:I53 BX53:BY53 CK53:XFD53 M53">
    <cfRule type="containsBlanks" dxfId="244" priority="109">
      <formula>LEN(TRIM(A53))=0</formula>
    </cfRule>
  </conditionalFormatting>
  <conditionalFormatting sqref="A53:C53 F53:I53 BX53:BY53 CK53:XFD53 M53">
    <cfRule type="cellIs" dxfId="243" priority="110" operator="equal">
      <formula>FALSE</formula>
    </cfRule>
  </conditionalFormatting>
  <conditionalFormatting sqref="D52">
    <cfRule type="cellIs" dxfId="242" priority="108" operator="equal">
      <formula>TRUE</formula>
    </cfRule>
  </conditionalFormatting>
  <conditionalFormatting sqref="D52">
    <cfRule type="containsBlanks" dxfId="241" priority="106">
      <formula>LEN(TRIM(D52))=0</formula>
    </cfRule>
  </conditionalFormatting>
  <conditionalFormatting sqref="D52">
    <cfRule type="cellIs" dxfId="240" priority="107" operator="equal">
      <formula>FALSE</formula>
    </cfRule>
  </conditionalFormatting>
  <conditionalFormatting sqref="E53">
    <cfRule type="containsBlanks" dxfId="239" priority="104">
      <formula>LEN(TRIM(E53))=0</formula>
    </cfRule>
  </conditionalFormatting>
  <conditionalFormatting sqref="E53">
    <cfRule type="cellIs" dxfId="238" priority="105" operator="equal">
      <formula>FALSE</formula>
    </cfRule>
  </conditionalFormatting>
  <conditionalFormatting sqref="BZ53:CJ53">
    <cfRule type="containsBlanks" dxfId="237" priority="102">
      <formula>LEN(TRIM(BZ53))=0</formula>
    </cfRule>
  </conditionalFormatting>
  <conditionalFormatting sqref="BZ53:CJ53">
    <cfRule type="cellIs" dxfId="236" priority="103" operator="equal">
      <formula>FALSE</formula>
    </cfRule>
  </conditionalFormatting>
  <conditionalFormatting sqref="N53:AE53 AG53:BW53">
    <cfRule type="containsBlanks" dxfId="235" priority="100">
      <formula>LEN(TRIM(N53))=0</formula>
    </cfRule>
  </conditionalFormatting>
  <conditionalFormatting sqref="N53:AE53 AG53:BW53">
    <cfRule type="cellIs" dxfId="234" priority="101" operator="equal">
      <formula>FALSE</formula>
    </cfRule>
  </conditionalFormatting>
  <conditionalFormatting sqref="AF53">
    <cfRule type="containsBlanks" dxfId="233" priority="98">
      <formula>LEN(TRIM(AF53))=0</formula>
    </cfRule>
  </conditionalFormatting>
  <conditionalFormatting sqref="AF53">
    <cfRule type="cellIs" dxfId="232" priority="99" operator="equal">
      <formula>FALSE</formula>
    </cfRule>
  </conditionalFormatting>
  <conditionalFormatting sqref="J53:L53">
    <cfRule type="containsBlanks" dxfId="231" priority="96">
      <formula>LEN(TRIM(J53))=0</formula>
    </cfRule>
  </conditionalFormatting>
  <conditionalFormatting sqref="J53:L53">
    <cfRule type="cellIs" dxfId="230" priority="97" operator="equal">
      <formula>FALSE</formula>
    </cfRule>
  </conditionalFormatting>
  <conditionalFormatting sqref="B54:C54">
    <cfRule type="cellIs" dxfId="229" priority="95" operator="equal">
      <formula>TRUE</formula>
    </cfRule>
  </conditionalFormatting>
  <conditionalFormatting sqref="B54:C54">
    <cfRule type="containsBlanks" dxfId="228" priority="93">
      <formula>LEN(TRIM(B54))=0</formula>
    </cfRule>
  </conditionalFormatting>
  <conditionalFormatting sqref="B54:C54">
    <cfRule type="cellIs" dxfId="227" priority="94" operator="equal">
      <formula>FALSE</formula>
    </cfRule>
  </conditionalFormatting>
  <conditionalFormatting sqref="B55:C55">
    <cfRule type="cellIs" dxfId="226" priority="92" operator="equal">
      <formula>TRUE</formula>
    </cfRule>
  </conditionalFormatting>
  <conditionalFormatting sqref="A55:C55 F55:I55 BX55:BY55 CK55:XFD55 M55">
    <cfRule type="containsBlanks" dxfId="225" priority="90">
      <formula>LEN(TRIM(A55))=0</formula>
    </cfRule>
  </conditionalFormatting>
  <conditionalFormatting sqref="A55:C55 F55:I55 BX55:BY55 CK55:XFD55 M55">
    <cfRule type="cellIs" dxfId="224" priority="91" operator="equal">
      <formula>FALSE</formula>
    </cfRule>
  </conditionalFormatting>
  <conditionalFormatting sqref="D54">
    <cfRule type="cellIs" dxfId="223" priority="89" operator="equal">
      <formula>TRUE</formula>
    </cfRule>
  </conditionalFormatting>
  <conditionalFormatting sqref="D54">
    <cfRule type="containsBlanks" dxfId="222" priority="87">
      <formula>LEN(TRIM(D54))=0</formula>
    </cfRule>
  </conditionalFormatting>
  <conditionalFormatting sqref="D54">
    <cfRule type="cellIs" dxfId="221" priority="88" operator="equal">
      <formula>FALSE</formula>
    </cfRule>
  </conditionalFormatting>
  <conditionalFormatting sqref="E55">
    <cfRule type="containsBlanks" dxfId="220" priority="85">
      <formula>LEN(TRIM(E55))=0</formula>
    </cfRule>
  </conditionalFormatting>
  <conditionalFormatting sqref="E55">
    <cfRule type="cellIs" dxfId="219" priority="86" operator="equal">
      <formula>FALSE</formula>
    </cfRule>
  </conditionalFormatting>
  <conditionalFormatting sqref="BZ55:CJ55">
    <cfRule type="containsBlanks" dxfId="218" priority="83">
      <formula>LEN(TRIM(BZ55))=0</formula>
    </cfRule>
  </conditionalFormatting>
  <conditionalFormatting sqref="BZ55:CJ55">
    <cfRule type="cellIs" dxfId="217" priority="84" operator="equal">
      <formula>FALSE</formula>
    </cfRule>
  </conditionalFormatting>
  <conditionalFormatting sqref="N55:AE55 AG55:BW55">
    <cfRule type="containsBlanks" dxfId="216" priority="81">
      <formula>LEN(TRIM(N55))=0</formula>
    </cfRule>
  </conditionalFormatting>
  <conditionalFormatting sqref="N55:AE55 AG55:BW55">
    <cfRule type="cellIs" dxfId="215" priority="82" operator="equal">
      <formula>FALSE</formula>
    </cfRule>
  </conditionalFormatting>
  <conditionalFormatting sqref="AF55">
    <cfRule type="containsBlanks" dxfId="214" priority="79">
      <formula>LEN(TRIM(AF55))=0</formula>
    </cfRule>
  </conditionalFormatting>
  <conditionalFormatting sqref="AF55">
    <cfRule type="cellIs" dxfId="213" priority="80" operator="equal">
      <formula>FALSE</formula>
    </cfRule>
  </conditionalFormatting>
  <conditionalFormatting sqref="J55:L55">
    <cfRule type="containsBlanks" dxfId="212" priority="77">
      <formula>LEN(TRIM(J55))=0</formula>
    </cfRule>
  </conditionalFormatting>
  <conditionalFormatting sqref="J55:L55">
    <cfRule type="cellIs" dxfId="211" priority="78" operator="equal">
      <formula>FALSE</formula>
    </cfRule>
  </conditionalFormatting>
  <conditionalFormatting sqref="B56:C56">
    <cfRule type="cellIs" dxfId="210" priority="76" operator="equal">
      <formula>TRUE</formula>
    </cfRule>
  </conditionalFormatting>
  <conditionalFormatting sqref="B56:C56">
    <cfRule type="containsBlanks" dxfId="209" priority="74">
      <formula>LEN(TRIM(B56))=0</formula>
    </cfRule>
  </conditionalFormatting>
  <conditionalFormatting sqref="B56:C56">
    <cfRule type="cellIs" dxfId="208" priority="75" operator="equal">
      <formula>FALSE</formula>
    </cfRule>
  </conditionalFormatting>
  <conditionalFormatting sqref="B57:C57">
    <cfRule type="cellIs" dxfId="207" priority="73" operator="equal">
      <formula>TRUE</formula>
    </cfRule>
  </conditionalFormatting>
  <conditionalFormatting sqref="A57:C57 F57:I57 BX57:BY57 CK57:XFD57 M57">
    <cfRule type="containsBlanks" dxfId="206" priority="71">
      <formula>LEN(TRIM(A57))=0</formula>
    </cfRule>
  </conditionalFormatting>
  <conditionalFormatting sqref="A57:C57 F57:I57 BX57:BY57 CK57:XFD57 M57">
    <cfRule type="cellIs" dxfId="205" priority="72" operator="equal">
      <formula>FALSE</formula>
    </cfRule>
  </conditionalFormatting>
  <conditionalFormatting sqref="D56">
    <cfRule type="cellIs" dxfId="204" priority="70" operator="equal">
      <formula>TRUE</formula>
    </cfRule>
  </conditionalFormatting>
  <conditionalFormatting sqref="D56">
    <cfRule type="containsBlanks" dxfId="203" priority="68">
      <formula>LEN(TRIM(D56))=0</formula>
    </cfRule>
  </conditionalFormatting>
  <conditionalFormatting sqref="D56">
    <cfRule type="cellIs" dxfId="202" priority="69" operator="equal">
      <formula>FALSE</formula>
    </cfRule>
  </conditionalFormatting>
  <conditionalFormatting sqref="E57">
    <cfRule type="containsBlanks" dxfId="201" priority="66">
      <formula>LEN(TRIM(E57))=0</formula>
    </cfRule>
  </conditionalFormatting>
  <conditionalFormatting sqref="E57">
    <cfRule type="cellIs" dxfId="200" priority="67" operator="equal">
      <formula>FALSE</formula>
    </cfRule>
  </conditionalFormatting>
  <conditionalFormatting sqref="BZ57:CJ57">
    <cfRule type="containsBlanks" dxfId="199" priority="64">
      <formula>LEN(TRIM(BZ57))=0</formula>
    </cfRule>
  </conditionalFormatting>
  <conditionalFormatting sqref="BZ57:CJ57">
    <cfRule type="cellIs" dxfId="198" priority="65" operator="equal">
      <formula>FALSE</formula>
    </cfRule>
  </conditionalFormatting>
  <conditionalFormatting sqref="N57:AE57 AG57:BW57">
    <cfRule type="containsBlanks" dxfId="197" priority="62">
      <formula>LEN(TRIM(N57))=0</formula>
    </cfRule>
  </conditionalFormatting>
  <conditionalFormatting sqref="N57:AE57 AG57:BW57">
    <cfRule type="cellIs" dxfId="196" priority="63" operator="equal">
      <formula>FALSE</formula>
    </cfRule>
  </conditionalFormatting>
  <conditionalFormatting sqref="AF57">
    <cfRule type="containsBlanks" dxfId="195" priority="60">
      <formula>LEN(TRIM(AF57))=0</formula>
    </cfRule>
  </conditionalFormatting>
  <conditionalFormatting sqref="AF57">
    <cfRule type="cellIs" dxfId="194" priority="61" operator="equal">
      <formula>FALSE</formula>
    </cfRule>
  </conditionalFormatting>
  <conditionalFormatting sqref="J57:L57">
    <cfRule type="containsBlanks" dxfId="193" priority="58">
      <formula>LEN(TRIM(J57))=0</formula>
    </cfRule>
  </conditionalFormatting>
  <conditionalFormatting sqref="J57:L57">
    <cfRule type="cellIs" dxfId="192" priority="59" operator="equal">
      <formula>FALSE</formula>
    </cfRule>
  </conditionalFormatting>
  <conditionalFormatting sqref="B58:C58">
    <cfRule type="cellIs" dxfId="191" priority="57" operator="equal">
      <formula>TRUE</formula>
    </cfRule>
  </conditionalFormatting>
  <conditionalFormatting sqref="B58:C58">
    <cfRule type="containsBlanks" dxfId="190" priority="55">
      <formula>LEN(TRIM(B58))=0</formula>
    </cfRule>
  </conditionalFormatting>
  <conditionalFormatting sqref="B58:C58">
    <cfRule type="cellIs" dxfId="189" priority="56" operator="equal">
      <formula>FALSE</formula>
    </cfRule>
  </conditionalFormatting>
  <conditionalFormatting sqref="B59:C59">
    <cfRule type="cellIs" dxfId="188" priority="54" operator="equal">
      <formula>TRUE</formula>
    </cfRule>
  </conditionalFormatting>
  <conditionalFormatting sqref="A59:C59 F59:I59 BX59:BY59 CK59:XFD59 M59">
    <cfRule type="containsBlanks" dxfId="187" priority="52">
      <formula>LEN(TRIM(A59))=0</formula>
    </cfRule>
  </conditionalFormatting>
  <conditionalFormatting sqref="A59:C59 F59:I59 BX59:BY59 CK59:XFD59 M59">
    <cfRule type="cellIs" dxfId="186" priority="53" operator="equal">
      <formula>FALSE</formula>
    </cfRule>
  </conditionalFormatting>
  <conditionalFormatting sqref="D58">
    <cfRule type="cellIs" dxfId="185" priority="51" operator="equal">
      <formula>TRUE</formula>
    </cfRule>
  </conditionalFormatting>
  <conditionalFormatting sqref="D58">
    <cfRule type="containsBlanks" dxfId="184" priority="49">
      <formula>LEN(TRIM(D58))=0</formula>
    </cfRule>
  </conditionalFormatting>
  <conditionalFormatting sqref="D58">
    <cfRule type="cellIs" dxfId="183" priority="50" operator="equal">
      <formula>FALSE</formula>
    </cfRule>
  </conditionalFormatting>
  <conditionalFormatting sqref="E59">
    <cfRule type="containsBlanks" dxfId="182" priority="47">
      <formula>LEN(TRIM(E59))=0</formula>
    </cfRule>
  </conditionalFormatting>
  <conditionalFormatting sqref="E59">
    <cfRule type="cellIs" dxfId="181" priority="48" operator="equal">
      <formula>FALSE</formula>
    </cfRule>
  </conditionalFormatting>
  <conditionalFormatting sqref="BZ59:CJ59">
    <cfRule type="containsBlanks" dxfId="180" priority="45">
      <formula>LEN(TRIM(BZ59))=0</formula>
    </cfRule>
  </conditionalFormatting>
  <conditionalFormatting sqref="BZ59:CJ59">
    <cfRule type="cellIs" dxfId="179" priority="46" operator="equal">
      <formula>FALSE</formula>
    </cfRule>
  </conditionalFormatting>
  <conditionalFormatting sqref="N59:AE59 AG59:BW59">
    <cfRule type="containsBlanks" dxfId="178" priority="43">
      <formula>LEN(TRIM(N59))=0</formula>
    </cfRule>
  </conditionalFormatting>
  <conditionalFormatting sqref="N59:AE59 AG59:BW59">
    <cfRule type="cellIs" dxfId="177" priority="44" operator="equal">
      <formula>FALSE</formula>
    </cfRule>
  </conditionalFormatting>
  <conditionalFormatting sqref="AF59">
    <cfRule type="containsBlanks" dxfId="176" priority="41">
      <formula>LEN(TRIM(AF59))=0</formula>
    </cfRule>
  </conditionalFormatting>
  <conditionalFormatting sqref="AF59">
    <cfRule type="cellIs" dxfId="175" priority="42" operator="equal">
      <formula>FALSE</formula>
    </cfRule>
  </conditionalFormatting>
  <conditionalFormatting sqref="J59:L59">
    <cfRule type="containsBlanks" dxfId="174" priority="39">
      <formula>LEN(TRIM(J59))=0</formula>
    </cfRule>
  </conditionalFormatting>
  <conditionalFormatting sqref="J59:L59">
    <cfRule type="cellIs" dxfId="173" priority="40" operator="equal">
      <formula>FALSE</formula>
    </cfRule>
  </conditionalFormatting>
  <conditionalFormatting sqref="B60:C60">
    <cfRule type="cellIs" dxfId="172" priority="38" operator="equal">
      <formula>TRUE</formula>
    </cfRule>
  </conditionalFormatting>
  <conditionalFormatting sqref="B60:C60">
    <cfRule type="containsBlanks" dxfId="171" priority="36">
      <formula>LEN(TRIM(B60))=0</formula>
    </cfRule>
  </conditionalFormatting>
  <conditionalFormatting sqref="B60:C60">
    <cfRule type="cellIs" dxfId="170" priority="37" operator="equal">
      <formula>FALSE</formula>
    </cfRule>
  </conditionalFormatting>
  <conditionalFormatting sqref="B61:C61">
    <cfRule type="cellIs" dxfId="169" priority="35" operator="equal">
      <formula>TRUE</formula>
    </cfRule>
  </conditionalFormatting>
  <conditionalFormatting sqref="A61:C61 F61:I61 BX61:BY61 CK61:XFD61 M61">
    <cfRule type="containsBlanks" dxfId="168" priority="33">
      <formula>LEN(TRIM(A61))=0</formula>
    </cfRule>
  </conditionalFormatting>
  <conditionalFormatting sqref="A61:C61 F61:I61 BX61:BY61 CK61:XFD61 M61">
    <cfRule type="cellIs" dxfId="167" priority="34" operator="equal">
      <formula>FALSE</formula>
    </cfRule>
  </conditionalFormatting>
  <conditionalFormatting sqref="D60">
    <cfRule type="cellIs" dxfId="166" priority="32" operator="equal">
      <formula>TRUE</formula>
    </cfRule>
  </conditionalFormatting>
  <conditionalFormatting sqref="D60">
    <cfRule type="containsBlanks" dxfId="165" priority="30">
      <formula>LEN(TRIM(D60))=0</formula>
    </cfRule>
  </conditionalFormatting>
  <conditionalFormatting sqref="D60">
    <cfRule type="cellIs" dxfId="164" priority="31" operator="equal">
      <formula>FALSE</formula>
    </cfRule>
  </conditionalFormatting>
  <conditionalFormatting sqref="E61">
    <cfRule type="containsBlanks" dxfId="163" priority="28">
      <formula>LEN(TRIM(E61))=0</formula>
    </cfRule>
  </conditionalFormatting>
  <conditionalFormatting sqref="E61">
    <cfRule type="cellIs" dxfId="162" priority="29" operator="equal">
      <formula>FALSE</formula>
    </cfRule>
  </conditionalFormatting>
  <conditionalFormatting sqref="BZ61:CJ61">
    <cfRule type="containsBlanks" dxfId="161" priority="26">
      <formula>LEN(TRIM(BZ61))=0</formula>
    </cfRule>
  </conditionalFormatting>
  <conditionalFormatting sqref="BZ61:CJ61">
    <cfRule type="cellIs" dxfId="160" priority="27" operator="equal">
      <formula>FALSE</formula>
    </cfRule>
  </conditionalFormatting>
  <conditionalFormatting sqref="N61:AE61 AG61:BW61">
    <cfRule type="containsBlanks" dxfId="159" priority="24">
      <formula>LEN(TRIM(N61))=0</formula>
    </cfRule>
  </conditionalFormatting>
  <conditionalFormatting sqref="N61:AE61 AG61:BW61">
    <cfRule type="cellIs" dxfId="158" priority="25" operator="equal">
      <formula>FALSE</formula>
    </cfRule>
  </conditionalFormatting>
  <conditionalFormatting sqref="AF61">
    <cfRule type="containsBlanks" dxfId="157" priority="22">
      <formula>LEN(TRIM(AF61))=0</formula>
    </cfRule>
  </conditionalFormatting>
  <conditionalFormatting sqref="AF61">
    <cfRule type="cellIs" dxfId="156" priority="23" operator="equal">
      <formula>FALSE</formula>
    </cfRule>
  </conditionalFormatting>
  <conditionalFormatting sqref="J61:L61">
    <cfRule type="containsBlanks" dxfId="155" priority="20">
      <formula>LEN(TRIM(J61))=0</formula>
    </cfRule>
  </conditionalFormatting>
  <conditionalFormatting sqref="J61:L61">
    <cfRule type="cellIs" dxfId="154" priority="21" operator="equal">
      <formula>FALSE</formula>
    </cfRule>
  </conditionalFormatting>
  <conditionalFormatting sqref="B62:C62">
    <cfRule type="cellIs" dxfId="153" priority="19" operator="equal">
      <formula>TRUE</formula>
    </cfRule>
  </conditionalFormatting>
  <conditionalFormatting sqref="B62:C62">
    <cfRule type="containsBlanks" dxfId="152" priority="17">
      <formula>LEN(TRIM(B62))=0</formula>
    </cfRule>
  </conditionalFormatting>
  <conditionalFormatting sqref="B62:C62">
    <cfRule type="cellIs" dxfId="151" priority="18" operator="equal">
      <formula>FALSE</formula>
    </cfRule>
  </conditionalFormatting>
  <conditionalFormatting sqref="B63:C63">
    <cfRule type="cellIs" dxfId="150" priority="16" operator="equal">
      <formula>TRUE</formula>
    </cfRule>
  </conditionalFormatting>
  <conditionalFormatting sqref="A63:C63 F63:I63 BX63:BY63 CK63:XFD63 M63">
    <cfRule type="containsBlanks" dxfId="149" priority="14">
      <formula>LEN(TRIM(A63))=0</formula>
    </cfRule>
  </conditionalFormatting>
  <conditionalFormatting sqref="A63:C63 F63:I63 BX63:BY63 CK63:XFD63 M63">
    <cfRule type="cellIs" dxfId="148" priority="15" operator="equal">
      <formula>FALSE</formula>
    </cfRule>
  </conditionalFormatting>
  <conditionalFormatting sqref="D62">
    <cfRule type="cellIs" dxfId="147" priority="13" operator="equal">
      <formula>TRUE</formula>
    </cfRule>
  </conditionalFormatting>
  <conditionalFormatting sqref="D62">
    <cfRule type="containsBlanks" dxfId="146" priority="11">
      <formula>LEN(TRIM(D62))=0</formula>
    </cfRule>
  </conditionalFormatting>
  <conditionalFormatting sqref="D62">
    <cfRule type="cellIs" dxfId="145" priority="12" operator="equal">
      <formula>FALSE</formula>
    </cfRule>
  </conditionalFormatting>
  <conditionalFormatting sqref="E63">
    <cfRule type="containsBlanks" dxfId="144" priority="9">
      <formula>LEN(TRIM(E63))=0</formula>
    </cfRule>
  </conditionalFormatting>
  <conditionalFormatting sqref="E63">
    <cfRule type="cellIs" dxfId="143" priority="10" operator="equal">
      <formula>FALSE</formula>
    </cfRule>
  </conditionalFormatting>
  <conditionalFormatting sqref="BZ63:CJ63">
    <cfRule type="containsBlanks" dxfId="142" priority="7">
      <formula>LEN(TRIM(BZ63))=0</formula>
    </cfRule>
  </conditionalFormatting>
  <conditionalFormatting sqref="BZ63:CJ63">
    <cfRule type="cellIs" dxfId="141" priority="8" operator="equal">
      <formula>FALSE</formula>
    </cfRule>
  </conditionalFormatting>
  <conditionalFormatting sqref="N63:AE63 AG63:BW63">
    <cfRule type="containsBlanks" dxfId="140" priority="5">
      <formula>LEN(TRIM(N63))=0</formula>
    </cfRule>
  </conditionalFormatting>
  <conditionalFormatting sqref="N63:AE63 AG63:BW63">
    <cfRule type="cellIs" dxfId="139" priority="6" operator="equal">
      <formula>FALSE</formula>
    </cfRule>
  </conditionalFormatting>
  <conditionalFormatting sqref="AF63">
    <cfRule type="containsBlanks" dxfId="138" priority="3">
      <formula>LEN(TRIM(AF63))=0</formula>
    </cfRule>
  </conditionalFormatting>
  <conditionalFormatting sqref="AF63">
    <cfRule type="cellIs" dxfId="137" priority="4" operator="equal">
      <formula>FALSE</formula>
    </cfRule>
  </conditionalFormatting>
  <conditionalFormatting sqref="J63:L63">
    <cfRule type="containsBlanks" dxfId="136" priority="1">
      <formula>LEN(TRIM(J63))=0</formula>
    </cfRule>
  </conditionalFormatting>
  <conditionalFormatting sqref="J63:L63">
    <cfRule type="cellIs" dxfId="135" priority="2" operator="equal">
      <formula>FALSE</formula>
    </cfRule>
  </conditionalFormatting>
  <dataValidations count="3">
    <dataValidation type="custom" allowBlank="1" showInputMessage="1" showErrorMessage="1" errorTitle="Don't Change this cell!" error="This is the Copypasta base merit.  Don't edit it.  Copy and add a new one." sqref="F13:I13 M15 F11:I11 CK9:XFD9 M13 CK11:XFD11 M19 CK13:XFD13 M17 CK15:XFD15 M9 CK17:XFD17 M21 CK19:XFD19 CK7:XFD7 CK21:XFD21 M11 F21:I21 A21:B21 A19:B19 A17:B17 A15:B15 A13:B13 A11:B11 A9:B9 A7:B7 F19:I19 F17:I17 F15:I15 F9:I9 F7:I7 BX21:BY21 BX19:BY19 BX17:BY17 BX15:BY15 BX13:BY13 BX11:BY11 BX9:BY9 BX7:BY7 M7">
      <formula1>"2.121j1291i291321"</formula1>
    </dataValidation>
    <dataValidation allowBlank="1" showInputMessage="1" showErrorMessage="1" errorTitle="Don't Change this cell!" error="This is the Copypasta base merit.  Don't edit it.  Copy and add a new one." sqref="CK14:XFD14 CK16:XFD16 CK18:XFD18 CK20:XFD20 A20:B20 A18:B18 A16:B16 A14:B14 A12:B12 F20:BY20 F18:BY18 F16:BY16 F14:BY14 F12:BY12 CK12:XFD12"/>
    <dataValidation type="textLength" errorStyle="warning" operator="greaterThanOrEqual" showInputMessage="1" showErrorMessage="1" errorTitle="Template" error="You are changing the base merit copypasta template." sqref="N7:BW7 A4:XFD5 BZ6:CJ31 N23:BW23 N21:BW21 N19:BW19 N17:BW17 N15:BW15 N13:BW13 N11:BW11 N9:BW9 N25:BW25 CK26:XFD31 A32:XFD43 A26:BY31 J25:L25 J23:L23 J21:L21 J19:L19 J17:L17 J15:L15 J13:L13 J11:L11 J9:L9 J7:L7 BZ44:CJ63 N45:BW45 J45:L45 N47:BW47 J47:L47 N49:BW49 J49:L49 N51:BW51 J51:L51 N53:BW53 J53:L53 N55:BW55 J55:L55 N57:BW57 J57:L57 N59:BW59 J59:L59 N61:BW61 J61:L61 N63:BW63 J63:L63">
      <formula1>0</formula1>
    </dataValidation>
  </dataValidations>
  <pageMargins left="0.7" right="0.7" top="0.75" bottom="0.75" header="0.3" footer="0.3"/>
  <pageSetup orientation="portrait"/>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Z38"/>
  <sheetViews>
    <sheetView workbookViewId="0">
      <selection activeCell="I14" sqref="I14"/>
    </sheetView>
  </sheetViews>
  <sheetFormatPr defaultColWidth="8.85546875" defaultRowHeight="15" x14ac:dyDescent="0.25"/>
  <sheetData>
    <row r="1" spans="1:23" x14ac:dyDescent="0.25">
      <c r="D1">
        <v>5</v>
      </c>
      <c r="I1" s="240">
        <f>10-E10</f>
        <v>5</v>
      </c>
      <c r="J1" s="717" t="s">
        <v>492</v>
      </c>
      <c r="K1" s="717"/>
      <c r="L1" s="717"/>
      <c r="M1" s="717"/>
      <c r="N1" s="717"/>
      <c r="O1" s="717"/>
      <c r="P1" s="717"/>
      <c r="Q1" s="717"/>
      <c r="R1" s="717"/>
      <c r="S1" s="717"/>
      <c r="T1" s="717"/>
      <c r="U1" s="717"/>
      <c r="V1" s="717"/>
      <c r="W1" s="717"/>
    </row>
    <row r="2" spans="1:23" x14ac:dyDescent="0.25">
      <c r="B2" s="17"/>
      <c r="I2" s="67" t="s">
        <v>18</v>
      </c>
      <c r="J2" s="70">
        <v>0</v>
      </c>
      <c r="K2" s="70">
        <v>1</v>
      </c>
      <c r="L2" s="70">
        <v>2</v>
      </c>
      <c r="M2" s="70">
        <v>3</v>
      </c>
      <c r="N2" s="70">
        <v>4</v>
      </c>
      <c r="O2" s="70">
        <v>5</v>
      </c>
      <c r="P2" s="70">
        <v>6</v>
      </c>
      <c r="Q2" s="70">
        <v>7</v>
      </c>
      <c r="R2" s="70">
        <v>8</v>
      </c>
      <c r="S2" s="70">
        <v>9</v>
      </c>
      <c r="T2" s="70">
        <v>10</v>
      </c>
      <c r="U2" s="70">
        <v>11</v>
      </c>
      <c r="V2" s="70">
        <v>12</v>
      </c>
      <c r="W2" s="70">
        <v>13</v>
      </c>
    </row>
    <row r="3" spans="1:23" ht="15" customHeight="1" x14ac:dyDescent="0.5">
      <c r="B3" s="17"/>
      <c r="F3" s="239"/>
      <c r="I3" s="67">
        <v>14</v>
      </c>
      <c r="J3" s="17">
        <f t="shared" ref="J3:J16" si="0">IF(J$2-1&lt;0,0,FACT($I3)/(FACT(J$2-1)*FACT($I3-(J$2-1)))*($I$1/10)^(J$2-1)*(1-$I$1/10)^($I3-(J$2-1)))</f>
        <v>0</v>
      </c>
      <c r="K3" s="34">
        <f t="shared" ref="K3:W3" si="1">IF(J3=1,1,IF(K$2-1&lt;0,0,J3+FACT($I3)/(FACT(K$2-1)*FACT($I3-(K$2-1)))*($I$1/10)^(K$2-1)*(1-$I$1/10)^($I3-(K$2-1))))</f>
        <v>6.103515625E-5</v>
      </c>
      <c r="L3" s="34">
        <f t="shared" si="1"/>
        <v>9.1552734375E-4</v>
      </c>
      <c r="M3" s="34">
        <f t="shared" si="1"/>
        <v>6.4697265625E-3</v>
      </c>
      <c r="N3" s="34">
        <f t="shared" si="1"/>
        <v>2.86865234375E-2</v>
      </c>
      <c r="O3" s="34">
        <f t="shared" si="1"/>
        <v>8.978271484375E-2</v>
      </c>
      <c r="P3" s="34">
        <f t="shared" si="1"/>
        <v>0.21197509765625</v>
      </c>
      <c r="Q3" s="34">
        <f t="shared" si="1"/>
        <v>0.395263671875</v>
      </c>
      <c r="R3" s="34">
        <f t="shared" si="1"/>
        <v>0.604736328125</v>
      </c>
      <c r="S3" s="34">
        <f t="shared" si="1"/>
        <v>0.78802490234375</v>
      </c>
      <c r="T3" s="34">
        <f t="shared" si="1"/>
        <v>0.91021728515625</v>
      </c>
      <c r="U3" s="34">
        <f t="shared" si="1"/>
        <v>0.9713134765625</v>
      </c>
      <c r="V3" s="34">
        <f t="shared" si="1"/>
        <v>0.9935302734375</v>
      </c>
      <c r="W3" s="34">
        <f t="shared" si="1"/>
        <v>0.99908447265625</v>
      </c>
    </row>
    <row r="4" spans="1:23" ht="15" customHeight="1" x14ac:dyDescent="0.5">
      <c r="B4" s="17"/>
      <c r="E4" s="239"/>
      <c r="F4" s="239"/>
      <c r="I4" s="67">
        <v>13</v>
      </c>
      <c r="J4" s="17">
        <f t="shared" si="0"/>
        <v>0</v>
      </c>
      <c r="K4" s="34">
        <f t="shared" ref="K4:W4" si="2">IF(J4=1,1,IF(K$2-1&lt;0,0,J4+FACT($I4)/(FACT(K$2-1)*FACT($I4-(K$2-1)))*($I$1/10)^(K$2-1)*(1-$I$1/10)^($I4-(K$2-1))))</f>
        <v>1.220703125E-4</v>
      </c>
      <c r="L4" s="34">
        <f t="shared" si="2"/>
        <v>1.708984375E-3</v>
      </c>
      <c r="M4" s="34">
        <f t="shared" si="2"/>
        <v>1.123046875E-2</v>
      </c>
      <c r="N4" s="34">
        <f t="shared" si="2"/>
        <v>4.6142578125E-2</v>
      </c>
      <c r="O4" s="34">
        <f t="shared" si="2"/>
        <v>0.1334228515625</v>
      </c>
      <c r="P4" s="34">
        <f t="shared" si="2"/>
        <v>0.29052734375</v>
      </c>
      <c r="Q4" s="34">
        <f t="shared" si="2"/>
        <v>0.5</v>
      </c>
      <c r="R4" s="34">
        <f t="shared" si="2"/>
        <v>0.70947265625</v>
      </c>
      <c r="S4" s="34">
        <f t="shared" si="2"/>
        <v>0.8665771484375</v>
      </c>
      <c r="T4" s="34">
        <f t="shared" si="2"/>
        <v>0.953857421875</v>
      </c>
      <c r="U4" s="34">
        <f t="shared" si="2"/>
        <v>0.98876953125</v>
      </c>
      <c r="V4" s="34">
        <f t="shared" si="2"/>
        <v>0.998291015625</v>
      </c>
      <c r="W4" s="34">
        <f t="shared" si="2"/>
        <v>0.9998779296875</v>
      </c>
    </row>
    <row r="5" spans="1:23" x14ac:dyDescent="0.25">
      <c r="B5" s="17"/>
      <c r="I5" s="67">
        <v>12</v>
      </c>
      <c r="J5" s="17">
        <f t="shared" si="0"/>
        <v>0</v>
      </c>
      <c r="K5" s="34">
        <f t="shared" ref="K5:W5" si="3">IF(J5=1,1,IF(K$2-1&lt;0,0,J5+FACT($I5)/(FACT(K$2-1)*FACT($I5-(K$2-1)))*($I$1/10)^(K$2-1)*(1-$I$1/10)^($I5-(K$2-1))))</f>
        <v>2.44140625E-4</v>
      </c>
      <c r="L5" s="34">
        <f t="shared" si="3"/>
        <v>3.173828125E-3</v>
      </c>
      <c r="M5" s="34">
        <f t="shared" si="3"/>
        <v>1.9287109375E-2</v>
      </c>
      <c r="N5" s="34">
        <f t="shared" si="3"/>
        <v>7.2998046875E-2</v>
      </c>
      <c r="O5" s="34">
        <f t="shared" si="3"/>
        <v>0.19384765625</v>
      </c>
      <c r="P5" s="34">
        <f t="shared" si="3"/>
        <v>0.38720703125</v>
      </c>
      <c r="Q5" s="34">
        <f t="shared" si="3"/>
        <v>0.61279296875</v>
      </c>
      <c r="R5" s="34">
        <f t="shared" si="3"/>
        <v>0.80615234375</v>
      </c>
      <c r="S5" s="34">
        <f t="shared" si="3"/>
        <v>0.927001953125</v>
      </c>
      <c r="T5" s="34">
        <f t="shared" si="3"/>
        <v>0.980712890625</v>
      </c>
      <c r="U5" s="34">
        <f t="shared" si="3"/>
        <v>0.996826171875</v>
      </c>
      <c r="V5" s="34">
        <f t="shared" si="3"/>
        <v>0.999755859375</v>
      </c>
      <c r="W5" s="34">
        <f t="shared" si="3"/>
        <v>1</v>
      </c>
    </row>
    <row r="6" spans="1:23" x14ac:dyDescent="0.25">
      <c r="B6" s="17"/>
      <c r="I6" s="67">
        <v>11</v>
      </c>
      <c r="J6" s="17">
        <f t="shared" si="0"/>
        <v>0</v>
      </c>
      <c r="K6" s="34">
        <f t="shared" ref="K6:W6" si="4">IF(J6=1,1,IF(K$2-1&lt;0,0,J6+FACT($I6)/(FACT(K$2-1)*FACT($I6-(K$2-1)))*($I$1/10)^(K$2-1)*(1-$I$1/10)^($I6-(K$2-1))))</f>
        <v>4.8828125E-4</v>
      </c>
      <c r="L6" s="34">
        <f t="shared" si="4"/>
        <v>5.859375E-3</v>
      </c>
      <c r="M6" s="34">
        <f t="shared" si="4"/>
        <v>3.271484375E-2</v>
      </c>
      <c r="N6" s="34">
        <f t="shared" si="4"/>
        <v>0.11328125</v>
      </c>
      <c r="O6" s="34">
        <f t="shared" si="4"/>
        <v>0.2744140625</v>
      </c>
      <c r="P6" s="34">
        <f t="shared" si="4"/>
        <v>0.5</v>
      </c>
      <c r="Q6" s="34">
        <f t="shared" si="4"/>
        <v>0.7255859375</v>
      </c>
      <c r="R6" s="34">
        <f t="shared" si="4"/>
        <v>0.88671875</v>
      </c>
      <c r="S6" s="34">
        <f t="shared" si="4"/>
        <v>0.96728515625</v>
      </c>
      <c r="T6" s="34">
        <f t="shared" si="4"/>
        <v>0.994140625</v>
      </c>
      <c r="U6" s="34">
        <f t="shared" si="4"/>
        <v>0.99951171875</v>
      </c>
      <c r="V6" s="34">
        <f t="shared" si="4"/>
        <v>1</v>
      </c>
      <c r="W6" s="34">
        <f t="shared" si="4"/>
        <v>1</v>
      </c>
    </row>
    <row r="7" spans="1:23" x14ac:dyDescent="0.25">
      <c r="B7" s="17"/>
      <c r="I7" s="67">
        <v>10</v>
      </c>
      <c r="J7" s="17">
        <f t="shared" si="0"/>
        <v>0</v>
      </c>
      <c r="K7" s="34">
        <f t="shared" ref="K7:W7" si="5">IF(J7=1,1,IF(K$2-1&lt;0,0,J7+FACT($I7)/(FACT(K$2-1)*FACT($I7-(K$2-1)))*($I$1/10)^(K$2-1)*(1-$I$1/10)^($I7-(K$2-1))))</f>
        <v>9.765625E-4</v>
      </c>
      <c r="L7" s="34">
        <f t="shared" si="5"/>
        <v>1.07421875E-2</v>
      </c>
      <c r="M7" s="34">
        <f t="shared" si="5"/>
        <v>5.46875E-2</v>
      </c>
      <c r="N7" s="34">
        <f t="shared" si="5"/>
        <v>0.171875</v>
      </c>
      <c r="O7" s="34">
        <f t="shared" si="5"/>
        <v>0.376953125</v>
      </c>
      <c r="P7" s="34">
        <f t="shared" si="5"/>
        <v>0.623046875</v>
      </c>
      <c r="Q7" s="34">
        <f t="shared" si="5"/>
        <v>0.828125</v>
      </c>
      <c r="R7" s="34">
        <f t="shared" si="5"/>
        <v>0.9453125</v>
      </c>
      <c r="S7" s="34">
        <f t="shared" si="5"/>
        <v>0.9892578125</v>
      </c>
      <c r="T7" s="34">
        <f t="shared" si="5"/>
        <v>0.9990234375</v>
      </c>
      <c r="U7" s="34">
        <f t="shared" si="5"/>
        <v>1</v>
      </c>
      <c r="V7" s="34">
        <f t="shared" si="5"/>
        <v>1</v>
      </c>
      <c r="W7" s="34">
        <f t="shared" si="5"/>
        <v>1</v>
      </c>
    </row>
    <row r="8" spans="1:23" ht="15" customHeight="1" x14ac:dyDescent="0.25">
      <c r="A8" s="722" t="s">
        <v>286</v>
      </c>
      <c r="B8" s="722"/>
      <c r="C8" s="722"/>
      <c r="D8" s="722"/>
      <c r="E8" s="716">
        <v>0</v>
      </c>
      <c r="F8" s="716"/>
      <c r="I8" s="67">
        <v>9</v>
      </c>
      <c r="J8" s="17">
        <f t="shared" si="0"/>
        <v>0</v>
      </c>
      <c r="K8" s="34">
        <f t="shared" ref="K8:W8" si="6">IF(J8=1,1,IF(K$2-1&lt;0,0,J8+FACT($I8)/(FACT(K$2-1)*FACT($I8-(K$2-1)))*($I$1/10)^(K$2-1)*(1-$I$1/10)^($I8-(K$2-1))))</f>
        <v>1.953125E-3</v>
      </c>
      <c r="L8" s="34">
        <f t="shared" si="6"/>
        <v>1.953125E-2</v>
      </c>
      <c r="M8" s="34">
        <f t="shared" si="6"/>
        <v>8.984375E-2</v>
      </c>
      <c r="N8" s="34">
        <f t="shared" si="6"/>
        <v>0.25390625</v>
      </c>
      <c r="O8" s="34">
        <f t="shared" si="6"/>
        <v>0.5</v>
      </c>
      <c r="P8" s="34">
        <f t="shared" si="6"/>
        <v>0.74609375</v>
      </c>
      <c r="Q8" s="34">
        <f t="shared" si="6"/>
        <v>0.91015625</v>
      </c>
      <c r="R8" s="34">
        <f t="shared" si="6"/>
        <v>0.98046875</v>
      </c>
      <c r="S8" s="34">
        <f t="shared" si="6"/>
        <v>0.998046875</v>
      </c>
      <c r="T8" s="34">
        <f t="shared" si="6"/>
        <v>1</v>
      </c>
      <c r="U8" s="34">
        <f t="shared" si="6"/>
        <v>1</v>
      </c>
      <c r="V8" s="34">
        <f t="shared" si="6"/>
        <v>1</v>
      </c>
      <c r="W8" s="34">
        <f t="shared" si="6"/>
        <v>1</v>
      </c>
    </row>
    <row r="9" spans="1:23" ht="15" customHeight="1" x14ac:dyDescent="0.25">
      <c r="A9" s="722"/>
      <c r="B9" s="722"/>
      <c r="C9" s="722"/>
      <c r="D9" s="722"/>
      <c r="E9" s="716"/>
      <c r="F9" s="716"/>
      <c r="H9" s="17" t="s">
        <v>83</v>
      </c>
      <c r="I9" s="67">
        <v>8</v>
      </c>
      <c r="J9" s="17">
        <f t="shared" si="0"/>
        <v>0</v>
      </c>
      <c r="K9" s="34">
        <f t="shared" ref="K9:W9" si="7">IF(J9=1,1,IF(K$2-1&lt;0,0,J9+FACT($I9)/(FACT(K$2-1)*FACT($I9-(K$2-1)))*($I$1/10)^(K$2-1)*(1-$I$1/10)^($I9-(K$2-1))))</f>
        <v>3.90625E-3</v>
      </c>
      <c r="L9" s="34">
        <f t="shared" si="7"/>
        <v>3.515625E-2</v>
      </c>
      <c r="M9" s="34">
        <f t="shared" si="7"/>
        <v>0.14453125</v>
      </c>
      <c r="N9" s="34">
        <f t="shared" si="7"/>
        <v>0.36328125</v>
      </c>
      <c r="O9" s="34">
        <f t="shared" si="7"/>
        <v>0.63671875</v>
      </c>
      <c r="P9" s="34">
        <f t="shared" si="7"/>
        <v>0.85546875</v>
      </c>
      <c r="Q9" s="34">
        <f t="shared" si="7"/>
        <v>0.96484375</v>
      </c>
      <c r="R9" s="34">
        <f t="shared" si="7"/>
        <v>0.99609375</v>
      </c>
      <c r="S9" s="34">
        <f t="shared" si="7"/>
        <v>1</v>
      </c>
      <c r="T9" s="34">
        <f t="shared" si="7"/>
        <v>1</v>
      </c>
      <c r="U9" s="34">
        <f t="shared" si="7"/>
        <v>1</v>
      </c>
      <c r="V9" s="34">
        <f t="shared" si="7"/>
        <v>1</v>
      </c>
      <c r="W9" s="34">
        <f t="shared" si="7"/>
        <v>1</v>
      </c>
    </row>
    <row r="10" spans="1:23" ht="15" customHeight="1" x14ac:dyDescent="0.25">
      <c r="A10" s="723" t="s">
        <v>290</v>
      </c>
      <c r="B10" s="723"/>
      <c r="C10" s="723"/>
      <c r="D10" s="723"/>
      <c r="E10" s="716">
        <v>5</v>
      </c>
      <c r="F10" s="716"/>
      <c r="I10" s="67">
        <v>7</v>
      </c>
      <c r="J10" s="17">
        <f t="shared" si="0"/>
        <v>0</v>
      </c>
      <c r="K10" s="34">
        <f t="shared" ref="K10:W10" si="8">IF(J10=1,1,IF(K$2-1&lt;0,0,J10+FACT($I10)/(FACT(K$2-1)*FACT($I10-(K$2-1)))*($I$1/10)^(K$2-1)*(1-$I$1/10)^($I10-(K$2-1))))</f>
        <v>7.8125E-3</v>
      </c>
      <c r="L10" s="34">
        <f t="shared" si="8"/>
        <v>6.25E-2</v>
      </c>
      <c r="M10" s="34">
        <f t="shared" si="8"/>
        <v>0.2265625</v>
      </c>
      <c r="N10" s="34">
        <f t="shared" si="8"/>
        <v>0.5</v>
      </c>
      <c r="O10" s="34">
        <f t="shared" si="8"/>
        <v>0.7734375</v>
      </c>
      <c r="P10" s="34">
        <f t="shared" si="8"/>
        <v>0.9375</v>
      </c>
      <c r="Q10" s="34">
        <f t="shared" si="8"/>
        <v>0.9921875</v>
      </c>
      <c r="R10" s="34">
        <f t="shared" si="8"/>
        <v>1</v>
      </c>
      <c r="S10" s="34">
        <f t="shared" si="8"/>
        <v>1</v>
      </c>
      <c r="T10" s="34">
        <f t="shared" si="8"/>
        <v>1</v>
      </c>
      <c r="U10" s="34">
        <f t="shared" si="8"/>
        <v>1</v>
      </c>
      <c r="V10" s="34">
        <f t="shared" si="8"/>
        <v>1</v>
      </c>
      <c r="W10" s="34">
        <f t="shared" si="8"/>
        <v>1</v>
      </c>
    </row>
    <row r="11" spans="1:23" ht="15" customHeight="1" x14ac:dyDescent="0.25">
      <c r="A11" s="723"/>
      <c r="B11" s="723"/>
      <c r="C11" s="723"/>
      <c r="D11" s="723"/>
      <c r="E11" s="716"/>
      <c r="F11" s="716"/>
      <c r="I11" s="67">
        <v>6</v>
      </c>
      <c r="J11" s="17">
        <f t="shared" si="0"/>
        <v>0</v>
      </c>
      <c r="K11" s="34">
        <f t="shared" ref="K11:W11" si="9">IF(J11=1,1,IF(K$2-1&lt;0,0,J11+FACT($I11)/(FACT(K$2-1)*FACT($I11-(K$2-1)))*($I$1/10)^(K$2-1)*(1-$I$1/10)^($I11-(K$2-1))))</f>
        <v>1.5625E-2</v>
      </c>
      <c r="L11" s="34">
        <f t="shared" si="9"/>
        <v>0.109375</v>
      </c>
      <c r="M11" s="34">
        <f t="shared" si="9"/>
        <v>0.34375</v>
      </c>
      <c r="N11" s="34">
        <f t="shared" si="9"/>
        <v>0.65625</v>
      </c>
      <c r="O11" s="34">
        <f t="shared" si="9"/>
        <v>0.890625</v>
      </c>
      <c r="P11" s="34">
        <f t="shared" si="9"/>
        <v>0.984375</v>
      </c>
      <c r="Q11" s="34">
        <f t="shared" si="9"/>
        <v>1</v>
      </c>
      <c r="R11" s="34">
        <f t="shared" si="9"/>
        <v>1</v>
      </c>
      <c r="S11" s="34">
        <f t="shared" si="9"/>
        <v>1</v>
      </c>
      <c r="T11" s="34">
        <f t="shared" si="9"/>
        <v>1</v>
      </c>
      <c r="U11" s="34">
        <f t="shared" si="9"/>
        <v>1</v>
      </c>
      <c r="V11" s="34">
        <f t="shared" si="9"/>
        <v>1</v>
      </c>
      <c r="W11" s="34">
        <f t="shared" si="9"/>
        <v>1</v>
      </c>
    </row>
    <row r="12" spans="1:23" ht="15" customHeight="1" x14ac:dyDescent="0.25">
      <c r="A12" s="721" t="s">
        <v>287</v>
      </c>
      <c r="B12" s="721"/>
      <c r="C12" s="721"/>
      <c r="D12" s="721"/>
      <c r="E12" s="716">
        <v>4</v>
      </c>
      <c r="F12" s="716"/>
      <c r="I12" s="67">
        <v>5</v>
      </c>
      <c r="J12" s="17">
        <f t="shared" si="0"/>
        <v>0</v>
      </c>
      <c r="K12" s="34">
        <f t="shared" ref="K12:W12" si="10">IF(J12=1,1,IF(K$2-1&lt;0,0,J12+FACT($I12)/(FACT(K$2-1)*FACT($I12-(K$2-1)))*($I$1/10)^(K$2-1)*(1-$I$1/10)^($I12-(K$2-1))))</f>
        <v>3.125E-2</v>
      </c>
      <c r="L12" s="34">
        <f t="shared" si="10"/>
        <v>0.1875</v>
      </c>
      <c r="M12" s="34">
        <f t="shared" si="10"/>
        <v>0.5</v>
      </c>
      <c r="N12" s="34">
        <f t="shared" si="10"/>
        <v>0.8125</v>
      </c>
      <c r="O12" s="34">
        <f t="shared" si="10"/>
        <v>0.96875</v>
      </c>
      <c r="P12" s="34">
        <f t="shared" si="10"/>
        <v>1</v>
      </c>
      <c r="Q12" s="34">
        <f t="shared" si="10"/>
        <v>1</v>
      </c>
      <c r="R12" s="34">
        <f t="shared" si="10"/>
        <v>1</v>
      </c>
      <c r="S12" s="34">
        <f t="shared" si="10"/>
        <v>1</v>
      </c>
      <c r="T12" s="34">
        <f t="shared" si="10"/>
        <v>1</v>
      </c>
      <c r="U12" s="34">
        <f t="shared" si="10"/>
        <v>1</v>
      </c>
      <c r="V12" s="34">
        <f t="shared" si="10"/>
        <v>1</v>
      </c>
      <c r="W12" s="34">
        <f t="shared" si="10"/>
        <v>1</v>
      </c>
    </row>
    <row r="13" spans="1:23" ht="15" customHeight="1" x14ac:dyDescent="0.25">
      <c r="A13" s="721"/>
      <c r="B13" s="721"/>
      <c r="C13" s="721"/>
      <c r="D13" s="721"/>
      <c r="E13" s="716"/>
      <c r="F13" s="716"/>
      <c r="I13" s="67">
        <v>4</v>
      </c>
      <c r="J13" s="17">
        <f t="shared" si="0"/>
        <v>0</v>
      </c>
      <c r="K13" s="34">
        <f t="shared" ref="K13:W13" si="11">IF(J13=1,1,IF(K$2-1&lt;0,0,J13+FACT($I13)/(FACT(K$2-1)*FACT($I13-(K$2-1)))*($I$1/10)^(K$2-1)*(1-$I$1/10)^($I13-(K$2-1))))</f>
        <v>6.25E-2</v>
      </c>
      <c r="L13" s="34">
        <f t="shared" si="11"/>
        <v>0.3125</v>
      </c>
      <c r="M13" s="34">
        <f t="shared" si="11"/>
        <v>0.6875</v>
      </c>
      <c r="N13" s="34">
        <f t="shared" si="11"/>
        <v>0.9375</v>
      </c>
      <c r="O13" s="34">
        <f t="shared" si="11"/>
        <v>1</v>
      </c>
      <c r="P13" s="34">
        <f t="shared" si="11"/>
        <v>1</v>
      </c>
      <c r="Q13" s="34">
        <f t="shared" si="11"/>
        <v>1</v>
      </c>
      <c r="R13" s="34">
        <f t="shared" si="11"/>
        <v>1</v>
      </c>
      <c r="S13" s="34">
        <f t="shared" si="11"/>
        <v>1</v>
      </c>
      <c r="T13" s="34">
        <f t="shared" si="11"/>
        <v>1</v>
      </c>
      <c r="U13" s="34">
        <f t="shared" si="11"/>
        <v>1</v>
      </c>
      <c r="V13" s="34">
        <f t="shared" si="11"/>
        <v>1</v>
      </c>
      <c r="W13" s="34">
        <f t="shared" si="11"/>
        <v>1</v>
      </c>
    </row>
    <row r="14" spans="1:23" ht="15" customHeight="1" x14ac:dyDescent="0.25">
      <c r="A14" s="718" t="s">
        <v>291</v>
      </c>
      <c r="B14" s="718"/>
      <c r="C14" s="718"/>
      <c r="D14" s="718"/>
      <c r="E14" s="716">
        <v>0</v>
      </c>
      <c r="F14" s="716"/>
      <c r="I14" s="67">
        <v>3</v>
      </c>
      <c r="J14" s="17">
        <f t="shared" si="0"/>
        <v>0</v>
      </c>
      <c r="K14" s="34">
        <f t="shared" ref="K14:W14" si="12">IF(J14=1,1,IF(K$2-1&lt;0,0,J14+FACT($I14)/(FACT(K$2-1)*FACT($I14-(K$2-1)))*($I$1/10)^(K$2-1)*(1-$I$1/10)^($I14-(K$2-1))))</f>
        <v>0.125</v>
      </c>
      <c r="L14" s="34">
        <f t="shared" si="12"/>
        <v>0.5</v>
      </c>
      <c r="M14" s="34">
        <f t="shared" si="12"/>
        <v>0.875</v>
      </c>
      <c r="N14" s="34">
        <f t="shared" si="12"/>
        <v>1</v>
      </c>
      <c r="O14" s="34">
        <f t="shared" si="12"/>
        <v>1</v>
      </c>
      <c r="P14" s="34">
        <f t="shared" si="12"/>
        <v>1</v>
      </c>
      <c r="Q14" s="34">
        <f t="shared" si="12"/>
        <v>1</v>
      </c>
      <c r="R14" s="34">
        <f t="shared" si="12"/>
        <v>1</v>
      </c>
      <c r="S14" s="34">
        <f t="shared" si="12"/>
        <v>1</v>
      </c>
      <c r="T14" s="34">
        <f t="shared" si="12"/>
        <v>1</v>
      </c>
      <c r="U14" s="34">
        <f t="shared" si="12"/>
        <v>1</v>
      </c>
      <c r="V14" s="34">
        <f t="shared" si="12"/>
        <v>1</v>
      </c>
      <c r="W14" s="34">
        <f t="shared" si="12"/>
        <v>1</v>
      </c>
    </row>
    <row r="15" spans="1:23" ht="15" customHeight="1" x14ac:dyDescent="0.25">
      <c r="A15" s="718"/>
      <c r="B15" s="718"/>
      <c r="C15" s="718"/>
      <c r="D15" s="718"/>
      <c r="E15" s="716"/>
      <c r="F15" s="716"/>
      <c r="I15" s="67">
        <v>2</v>
      </c>
      <c r="J15" s="17">
        <f t="shared" si="0"/>
        <v>0</v>
      </c>
      <c r="K15" s="34">
        <f t="shared" ref="K15:W15" si="13">IF(J15=1,1,IF(K$2-1&lt;0,0,J15+FACT($I15)/(FACT(K$2-1)*FACT($I15-(K$2-1)))*($I$1/10)^(K$2-1)*(1-$I$1/10)^($I15-(K$2-1))))</f>
        <v>0.25</v>
      </c>
      <c r="L15" s="34">
        <f t="shared" si="13"/>
        <v>0.75</v>
      </c>
      <c r="M15" s="34">
        <f t="shared" si="13"/>
        <v>1</v>
      </c>
      <c r="N15" s="34">
        <f t="shared" si="13"/>
        <v>1</v>
      </c>
      <c r="O15" s="34">
        <f t="shared" si="13"/>
        <v>1</v>
      </c>
      <c r="P15" s="34">
        <f t="shared" si="13"/>
        <v>1</v>
      </c>
      <c r="Q15" s="34">
        <f t="shared" si="13"/>
        <v>1</v>
      </c>
      <c r="R15" s="34">
        <f t="shared" si="13"/>
        <v>1</v>
      </c>
      <c r="S15" s="34">
        <f t="shared" si="13"/>
        <v>1</v>
      </c>
      <c r="T15" s="34">
        <f t="shared" si="13"/>
        <v>1</v>
      </c>
      <c r="U15" s="34">
        <f t="shared" si="13"/>
        <v>1</v>
      </c>
      <c r="V15" s="34">
        <f t="shared" si="13"/>
        <v>1</v>
      </c>
      <c r="W15" s="34">
        <f t="shared" si="13"/>
        <v>1</v>
      </c>
    </row>
    <row r="16" spans="1:23" ht="15" customHeight="1" x14ac:dyDescent="0.3">
      <c r="A16" s="69"/>
      <c r="B16" s="69"/>
      <c r="C16" s="69"/>
      <c r="D16" s="69"/>
      <c r="E16" s="10"/>
      <c r="F16" s="10"/>
      <c r="H16" s="17"/>
      <c r="I16" s="67">
        <v>1</v>
      </c>
      <c r="J16" s="17">
        <f t="shared" si="0"/>
        <v>0</v>
      </c>
      <c r="K16" s="34">
        <f t="shared" ref="K16:W16" si="14">IF(J16=1,1,IF(K$2-1&lt;0,0,J16+FACT($I16)/(FACT(K$2-1)*FACT($I16-(K$2-1)))*($I$1/10)^(K$2-1)*(1-$I$1/10)^($I16-(K$2-1))))</f>
        <v>0.5</v>
      </c>
      <c r="L16" s="34">
        <f t="shared" si="14"/>
        <v>1</v>
      </c>
      <c r="M16" s="34">
        <f t="shared" si="14"/>
        <v>1</v>
      </c>
      <c r="N16" s="34">
        <f t="shared" si="14"/>
        <v>1</v>
      </c>
      <c r="O16" s="34">
        <f t="shared" si="14"/>
        <v>1</v>
      </c>
      <c r="P16" s="34">
        <f t="shared" si="14"/>
        <v>1</v>
      </c>
      <c r="Q16" s="34">
        <f t="shared" si="14"/>
        <v>1</v>
      </c>
      <c r="R16" s="34">
        <f t="shared" si="14"/>
        <v>1</v>
      </c>
      <c r="S16" s="34">
        <f t="shared" si="14"/>
        <v>1</v>
      </c>
      <c r="T16" s="34">
        <f t="shared" si="14"/>
        <v>1</v>
      </c>
      <c r="U16" s="34">
        <f t="shared" si="14"/>
        <v>1</v>
      </c>
      <c r="V16" s="34">
        <f t="shared" si="14"/>
        <v>1</v>
      </c>
      <c r="W16" s="34">
        <f t="shared" si="14"/>
        <v>1</v>
      </c>
    </row>
    <row r="17" spans="1:26" ht="15" customHeight="1" x14ac:dyDescent="0.3">
      <c r="A17" s="69"/>
      <c r="B17" s="69"/>
      <c r="C17" s="69"/>
      <c r="D17" s="69"/>
      <c r="E17" s="10"/>
      <c r="F17" s="10"/>
      <c r="X17" s="17"/>
      <c r="Y17" s="17"/>
      <c r="Z17" s="17"/>
    </row>
    <row r="18" spans="1:26" ht="15" customHeight="1" x14ac:dyDescent="0.3">
      <c r="A18" s="69"/>
      <c r="F18" s="10"/>
      <c r="K18" s="34"/>
      <c r="L18" s="34"/>
      <c r="M18" s="34"/>
      <c r="N18" s="34"/>
      <c r="O18" s="34"/>
      <c r="P18" s="34"/>
      <c r="Q18" s="34"/>
      <c r="R18" s="34"/>
      <c r="S18" s="34"/>
      <c r="T18" s="34"/>
      <c r="U18" s="34"/>
      <c r="V18" s="34"/>
      <c r="W18" s="34"/>
    </row>
    <row r="19" spans="1:26" ht="15" customHeight="1" x14ac:dyDescent="0.3">
      <c r="A19" s="69"/>
      <c r="B19" s="719" t="s">
        <v>288</v>
      </c>
      <c r="C19" s="719"/>
      <c r="D19" s="719" t="s">
        <v>289</v>
      </c>
      <c r="E19" s="719"/>
      <c r="F19" s="10"/>
    </row>
    <row r="20" spans="1:26" ht="15" customHeight="1" x14ac:dyDescent="0.25">
      <c r="B20" s="719"/>
      <c r="C20" s="719"/>
      <c r="D20" s="719"/>
      <c r="E20" s="719"/>
      <c r="F20" s="10"/>
    </row>
    <row r="21" spans="1:26" ht="15" customHeight="1" x14ac:dyDescent="0.3">
      <c r="A21" s="69"/>
      <c r="B21" s="714" t="s">
        <v>293</v>
      </c>
      <c r="C21" s="714"/>
      <c r="D21" s="720">
        <f>HLOOKUP($E$8-$E$14+VALUE(LEFT(B21,1)),$I$24:W38,MATCH($E$12,$I$24:I38,0),0)</f>
        <v>0.9375</v>
      </c>
      <c r="E21" s="720"/>
    </row>
    <row r="22" spans="1:26" ht="15" customHeight="1" x14ac:dyDescent="0.3">
      <c r="A22" s="69"/>
      <c r="B22" s="714"/>
      <c r="C22" s="714"/>
      <c r="D22" s="720"/>
      <c r="E22" s="720"/>
    </row>
    <row r="23" spans="1:26" x14ac:dyDescent="0.25">
      <c r="B23" s="714" t="s">
        <v>294</v>
      </c>
      <c r="C23" s="714"/>
      <c r="D23" s="715">
        <f>HLOOKUP($E$8-$E$14+VALUE(LEFT(B23,1)),$I$24:W38,MATCH($E$12,$I$24:I38,0),0)</f>
        <v>0.6875</v>
      </c>
      <c r="E23" s="715"/>
      <c r="J23" s="714" t="s">
        <v>292</v>
      </c>
      <c r="K23" s="714"/>
      <c r="L23" s="714"/>
      <c r="M23" s="714"/>
      <c r="N23" s="714"/>
      <c r="O23" s="714"/>
      <c r="P23" s="714"/>
      <c r="Q23" s="714"/>
      <c r="R23" s="714"/>
      <c r="S23" s="714"/>
      <c r="T23" s="714"/>
      <c r="U23" s="714"/>
      <c r="V23" s="714"/>
      <c r="W23" s="714"/>
    </row>
    <row r="24" spans="1:26" x14ac:dyDescent="0.25">
      <c r="B24" s="714" t="s">
        <v>295</v>
      </c>
      <c r="C24" s="714"/>
      <c r="D24" s="715">
        <f>HLOOKUP($E$8-$E$14+VALUE(LEFT(B24,1)),$I$24:W39,MATCH($E$12,$I$24:I39,0),0)</f>
        <v>0.3125</v>
      </c>
      <c r="E24" s="715"/>
      <c r="J24" s="47">
        <v>0</v>
      </c>
      <c r="K24" s="47">
        <v>1</v>
      </c>
      <c r="L24" s="47">
        <v>2</v>
      </c>
      <c r="M24" s="47">
        <v>3</v>
      </c>
      <c r="N24" s="47">
        <v>4</v>
      </c>
      <c r="O24" s="47">
        <v>5</v>
      </c>
      <c r="P24" s="47">
        <v>6</v>
      </c>
      <c r="Q24" s="47">
        <v>7</v>
      </c>
      <c r="R24" s="47">
        <v>8</v>
      </c>
      <c r="S24" s="47">
        <v>9</v>
      </c>
      <c r="T24" s="47">
        <v>10</v>
      </c>
      <c r="U24" s="47">
        <v>11</v>
      </c>
      <c r="V24" s="47">
        <v>12</v>
      </c>
      <c r="W24" s="47">
        <v>13</v>
      </c>
    </row>
    <row r="25" spans="1:26" x14ac:dyDescent="0.25">
      <c r="B25" s="714" t="s">
        <v>296</v>
      </c>
      <c r="C25" s="714"/>
      <c r="D25" s="715">
        <f>HLOOKUP($E$8-$E$14+VALUE(LEFT(B25,1)),$I$24:W40,MATCH($E$12,$I$24:I40,0),0)</f>
        <v>6.25E-2</v>
      </c>
      <c r="E25" s="715"/>
      <c r="I25" s="17">
        <v>14</v>
      </c>
      <c r="J25" s="48">
        <f t="shared" ref="J25:W25" si="15">1-J3</f>
        <v>1</v>
      </c>
      <c r="K25" s="48">
        <f t="shared" si="15"/>
        <v>0.99993896484375</v>
      </c>
      <c r="L25" s="48">
        <f t="shared" si="15"/>
        <v>0.99908447265625</v>
      </c>
      <c r="M25" s="48">
        <f t="shared" si="15"/>
        <v>0.9935302734375</v>
      </c>
      <c r="N25" s="48">
        <f t="shared" si="15"/>
        <v>0.9713134765625</v>
      </c>
      <c r="O25" s="48">
        <f t="shared" si="15"/>
        <v>0.91021728515625</v>
      </c>
      <c r="P25" s="48">
        <f t="shared" si="15"/>
        <v>0.78802490234375</v>
      </c>
      <c r="Q25" s="48">
        <f t="shared" si="15"/>
        <v>0.604736328125</v>
      </c>
      <c r="R25" s="48">
        <f t="shared" si="15"/>
        <v>0.395263671875</v>
      </c>
      <c r="S25" s="48">
        <f t="shared" si="15"/>
        <v>0.21197509765625</v>
      </c>
      <c r="T25" s="48">
        <f t="shared" si="15"/>
        <v>8.978271484375E-2</v>
      </c>
      <c r="U25" s="48">
        <f t="shared" si="15"/>
        <v>2.86865234375E-2</v>
      </c>
      <c r="V25" s="48">
        <f t="shared" si="15"/>
        <v>6.4697265625E-3</v>
      </c>
      <c r="W25" s="48">
        <f t="shared" si="15"/>
        <v>9.1552734375E-4</v>
      </c>
    </row>
    <row r="26" spans="1:26" x14ac:dyDescent="0.25">
      <c r="B26" s="714" t="s">
        <v>297</v>
      </c>
      <c r="C26" s="714"/>
      <c r="D26" s="715">
        <f>HLOOKUP($E$8-$E$14+VALUE(LEFT(B26,1)),$I$24:W41,MATCH($E$12,$I$24:I41,0),0)</f>
        <v>0</v>
      </c>
      <c r="E26" s="715"/>
      <c r="I26" s="17">
        <v>13</v>
      </c>
      <c r="J26" s="48">
        <f t="shared" ref="J26:W26" si="16">1-J4</f>
        <v>1</v>
      </c>
      <c r="K26" s="48">
        <f t="shared" si="16"/>
        <v>0.9998779296875</v>
      </c>
      <c r="L26" s="48">
        <f t="shared" si="16"/>
        <v>0.998291015625</v>
      </c>
      <c r="M26" s="48">
        <f t="shared" si="16"/>
        <v>0.98876953125</v>
      </c>
      <c r="N26" s="48">
        <f t="shared" si="16"/>
        <v>0.953857421875</v>
      </c>
      <c r="O26" s="48">
        <f t="shared" si="16"/>
        <v>0.8665771484375</v>
      </c>
      <c r="P26" s="48">
        <f t="shared" si="16"/>
        <v>0.70947265625</v>
      </c>
      <c r="Q26" s="48">
        <f t="shared" si="16"/>
        <v>0.5</v>
      </c>
      <c r="R26" s="48">
        <f t="shared" si="16"/>
        <v>0.29052734375</v>
      </c>
      <c r="S26" s="48">
        <f t="shared" si="16"/>
        <v>0.1334228515625</v>
      </c>
      <c r="T26" s="48">
        <f t="shared" si="16"/>
        <v>4.6142578125E-2</v>
      </c>
      <c r="U26" s="48">
        <f t="shared" si="16"/>
        <v>1.123046875E-2</v>
      </c>
      <c r="V26" s="48">
        <f t="shared" si="16"/>
        <v>1.708984375E-3</v>
      </c>
      <c r="W26" s="48">
        <f t="shared" si="16"/>
        <v>1.220703125E-4</v>
      </c>
    </row>
    <row r="27" spans="1:26" x14ac:dyDescent="0.25">
      <c r="B27" s="714"/>
      <c r="C27" s="714"/>
      <c r="D27" s="714"/>
      <c r="E27" s="714"/>
      <c r="H27" s="17" t="s">
        <v>84</v>
      </c>
      <c r="I27" s="17">
        <v>12</v>
      </c>
      <c r="J27" s="48">
        <f t="shared" ref="J27:W27" si="17">1-J5</f>
        <v>1</v>
      </c>
      <c r="K27" s="48">
        <f t="shared" si="17"/>
        <v>0.999755859375</v>
      </c>
      <c r="L27" s="48">
        <f t="shared" si="17"/>
        <v>0.996826171875</v>
      </c>
      <c r="M27" s="48">
        <f t="shared" si="17"/>
        <v>0.980712890625</v>
      </c>
      <c r="N27" s="48">
        <f t="shared" si="17"/>
        <v>0.927001953125</v>
      </c>
      <c r="O27" s="48">
        <f t="shared" si="17"/>
        <v>0.80615234375</v>
      </c>
      <c r="P27" s="48">
        <f t="shared" si="17"/>
        <v>0.61279296875</v>
      </c>
      <c r="Q27" s="48">
        <f t="shared" si="17"/>
        <v>0.38720703125</v>
      </c>
      <c r="R27" s="48">
        <f t="shared" si="17"/>
        <v>0.19384765625</v>
      </c>
      <c r="S27" s="48">
        <f t="shared" si="17"/>
        <v>7.2998046875E-2</v>
      </c>
      <c r="T27" s="48">
        <f t="shared" si="17"/>
        <v>1.9287109375E-2</v>
      </c>
      <c r="U27" s="48">
        <f t="shared" si="17"/>
        <v>3.173828125E-3</v>
      </c>
      <c r="V27" s="48">
        <f t="shared" si="17"/>
        <v>2.44140625E-4</v>
      </c>
      <c r="W27" s="48">
        <f t="shared" si="17"/>
        <v>0</v>
      </c>
    </row>
    <row r="28" spans="1:26" x14ac:dyDescent="0.25">
      <c r="B28" s="714"/>
      <c r="C28" s="714"/>
      <c r="D28" s="714"/>
      <c r="E28" s="714"/>
      <c r="I28" s="17">
        <v>11</v>
      </c>
      <c r="J28" s="48">
        <f t="shared" ref="J28:W28" si="18">1-J6</f>
        <v>1</v>
      </c>
      <c r="K28" s="48">
        <f t="shared" si="18"/>
        <v>0.99951171875</v>
      </c>
      <c r="L28" s="48">
        <f t="shared" si="18"/>
        <v>0.994140625</v>
      </c>
      <c r="M28" s="48">
        <f t="shared" si="18"/>
        <v>0.96728515625</v>
      </c>
      <c r="N28" s="48">
        <f t="shared" si="18"/>
        <v>0.88671875</v>
      </c>
      <c r="O28" s="48">
        <f t="shared" si="18"/>
        <v>0.7255859375</v>
      </c>
      <c r="P28" s="48">
        <f t="shared" si="18"/>
        <v>0.5</v>
      </c>
      <c r="Q28" s="48">
        <f t="shared" si="18"/>
        <v>0.2744140625</v>
      </c>
      <c r="R28" s="48">
        <f t="shared" si="18"/>
        <v>0.11328125</v>
      </c>
      <c r="S28" s="48">
        <f t="shared" si="18"/>
        <v>3.271484375E-2</v>
      </c>
      <c r="T28" s="48">
        <f t="shared" si="18"/>
        <v>5.859375E-3</v>
      </c>
      <c r="U28" s="48">
        <f t="shared" si="18"/>
        <v>4.8828125E-4</v>
      </c>
      <c r="V28" s="48">
        <f t="shared" si="18"/>
        <v>0</v>
      </c>
      <c r="W28" s="48">
        <f t="shared" si="18"/>
        <v>0</v>
      </c>
    </row>
    <row r="29" spans="1:26" x14ac:dyDescent="0.25">
      <c r="I29" s="17">
        <v>10</v>
      </c>
      <c r="J29" s="48">
        <f t="shared" ref="J29:W29" si="19">1-J7</f>
        <v>1</v>
      </c>
      <c r="K29" s="48">
        <f t="shared" si="19"/>
        <v>0.9990234375</v>
      </c>
      <c r="L29" s="48">
        <f t="shared" si="19"/>
        <v>0.9892578125</v>
      </c>
      <c r="M29" s="48">
        <f t="shared" si="19"/>
        <v>0.9453125</v>
      </c>
      <c r="N29" s="48">
        <f t="shared" si="19"/>
        <v>0.828125</v>
      </c>
      <c r="O29" s="48">
        <f t="shared" si="19"/>
        <v>0.623046875</v>
      </c>
      <c r="P29" s="48">
        <f t="shared" si="19"/>
        <v>0.376953125</v>
      </c>
      <c r="Q29" s="48">
        <f t="shared" si="19"/>
        <v>0.171875</v>
      </c>
      <c r="R29" s="48">
        <f t="shared" si="19"/>
        <v>5.46875E-2</v>
      </c>
      <c r="S29" s="48">
        <f t="shared" si="19"/>
        <v>1.07421875E-2</v>
      </c>
      <c r="T29" s="48">
        <f t="shared" si="19"/>
        <v>9.765625E-4</v>
      </c>
      <c r="U29" s="48">
        <f t="shared" si="19"/>
        <v>0</v>
      </c>
      <c r="V29" s="48">
        <f t="shared" si="19"/>
        <v>0</v>
      </c>
      <c r="W29" s="48">
        <f t="shared" si="19"/>
        <v>0</v>
      </c>
    </row>
    <row r="30" spans="1:26" x14ac:dyDescent="0.25">
      <c r="I30" s="17">
        <v>9</v>
      </c>
      <c r="J30" s="48">
        <f t="shared" ref="J30:W30" si="20">1-J8</f>
        <v>1</v>
      </c>
      <c r="K30" s="48">
        <f t="shared" si="20"/>
        <v>0.998046875</v>
      </c>
      <c r="L30" s="48">
        <f t="shared" si="20"/>
        <v>0.98046875</v>
      </c>
      <c r="M30" s="48">
        <f t="shared" si="20"/>
        <v>0.91015625</v>
      </c>
      <c r="N30" s="48">
        <f t="shared" si="20"/>
        <v>0.74609375</v>
      </c>
      <c r="O30" s="48">
        <f t="shared" si="20"/>
        <v>0.5</v>
      </c>
      <c r="P30" s="48">
        <f t="shared" si="20"/>
        <v>0.25390625</v>
      </c>
      <c r="Q30" s="48">
        <f t="shared" si="20"/>
        <v>8.984375E-2</v>
      </c>
      <c r="R30" s="48">
        <f t="shared" si="20"/>
        <v>1.953125E-2</v>
      </c>
      <c r="S30" s="48">
        <f t="shared" si="20"/>
        <v>1.953125E-3</v>
      </c>
      <c r="T30" s="48">
        <f t="shared" si="20"/>
        <v>0</v>
      </c>
      <c r="U30" s="48">
        <f t="shared" si="20"/>
        <v>0</v>
      </c>
      <c r="V30" s="48">
        <f t="shared" si="20"/>
        <v>0</v>
      </c>
      <c r="W30" s="48">
        <f t="shared" si="20"/>
        <v>0</v>
      </c>
    </row>
    <row r="31" spans="1:26" x14ac:dyDescent="0.25">
      <c r="I31" s="17">
        <v>8</v>
      </c>
      <c r="J31" s="48">
        <f t="shared" ref="J31:W31" si="21">1-J9</f>
        <v>1</v>
      </c>
      <c r="K31" s="48">
        <f t="shared" si="21"/>
        <v>0.99609375</v>
      </c>
      <c r="L31" s="48">
        <f t="shared" si="21"/>
        <v>0.96484375</v>
      </c>
      <c r="M31" s="48">
        <f t="shared" si="21"/>
        <v>0.85546875</v>
      </c>
      <c r="N31" s="48">
        <f t="shared" si="21"/>
        <v>0.63671875</v>
      </c>
      <c r="O31" s="48">
        <f t="shared" si="21"/>
        <v>0.36328125</v>
      </c>
      <c r="P31" s="48">
        <f t="shared" si="21"/>
        <v>0.14453125</v>
      </c>
      <c r="Q31" s="48">
        <f t="shared" si="21"/>
        <v>3.515625E-2</v>
      </c>
      <c r="R31" s="48">
        <f t="shared" si="21"/>
        <v>3.90625E-3</v>
      </c>
      <c r="S31" s="48">
        <f t="shared" si="21"/>
        <v>0</v>
      </c>
      <c r="T31" s="48">
        <f t="shared" si="21"/>
        <v>0</v>
      </c>
      <c r="U31" s="48">
        <f t="shared" si="21"/>
        <v>0</v>
      </c>
      <c r="V31" s="48">
        <f t="shared" si="21"/>
        <v>0</v>
      </c>
      <c r="W31" s="48">
        <f t="shared" si="21"/>
        <v>0</v>
      </c>
    </row>
    <row r="32" spans="1:26" x14ac:dyDescent="0.25">
      <c r="I32" s="17">
        <v>7</v>
      </c>
      <c r="J32" s="48">
        <f t="shared" ref="J32:W32" si="22">1-J10</f>
        <v>1</v>
      </c>
      <c r="K32" s="48">
        <f t="shared" si="22"/>
        <v>0.9921875</v>
      </c>
      <c r="L32" s="48">
        <f t="shared" si="22"/>
        <v>0.9375</v>
      </c>
      <c r="M32" s="48">
        <f t="shared" si="22"/>
        <v>0.7734375</v>
      </c>
      <c r="N32" s="48">
        <f t="shared" si="22"/>
        <v>0.5</v>
      </c>
      <c r="O32" s="48">
        <f t="shared" si="22"/>
        <v>0.2265625</v>
      </c>
      <c r="P32" s="48">
        <f t="shared" si="22"/>
        <v>6.25E-2</v>
      </c>
      <c r="Q32" s="48">
        <f t="shared" si="22"/>
        <v>7.8125E-3</v>
      </c>
      <c r="R32" s="48">
        <f t="shared" si="22"/>
        <v>0</v>
      </c>
      <c r="S32" s="48">
        <f t="shared" si="22"/>
        <v>0</v>
      </c>
      <c r="T32" s="48">
        <f t="shared" si="22"/>
        <v>0</v>
      </c>
      <c r="U32" s="48">
        <f t="shared" si="22"/>
        <v>0</v>
      </c>
      <c r="V32" s="48">
        <f t="shared" si="22"/>
        <v>0</v>
      </c>
      <c r="W32" s="48">
        <f t="shared" si="22"/>
        <v>0</v>
      </c>
    </row>
    <row r="33" spans="9:23" x14ac:dyDescent="0.25">
      <c r="I33" s="17">
        <v>6</v>
      </c>
      <c r="J33" s="48">
        <f t="shared" ref="J33:W33" si="23">1-J11</f>
        <v>1</v>
      </c>
      <c r="K33" s="48">
        <f t="shared" si="23"/>
        <v>0.984375</v>
      </c>
      <c r="L33" s="48">
        <f t="shared" si="23"/>
        <v>0.890625</v>
      </c>
      <c r="M33" s="48">
        <f t="shared" si="23"/>
        <v>0.65625</v>
      </c>
      <c r="N33" s="48">
        <f t="shared" si="23"/>
        <v>0.34375</v>
      </c>
      <c r="O33" s="48">
        <f t="shared" si="23"/>
        <v>0.109375</v>
      </c>
      <c r="P33" s="48">
        <f t="shared" si="23"/>
        <v>1.5625E-2</v>
      </c>
      <c r="Q33" s="48">
        <f t="shared" si="23"/>
        <v>0</v>
      </c>
      <c r="R33" s="48">
        <f t="shared" si="23"/>
        <v>0</v>
      </c>
      <c r="S33" s="48">
        <f t="shared" si="23"/>
        <v>0</v>
      </c>
      <c r="T33" s="48">
        <f t="shared" si="23"/>
        <v>0</v>
      </c>
      <c r="U33" s="48">
        <f t="shared" si="23"/>
        <v>0</v>
      </c>
      <c r="V33" s="48">
        <f t="shared" si="23"/>
        <v>0</v>
      </c>
      <c r="W33" s="48">
        <f t="shared" si="23"/>
        <v>0</v>
      </c>
    </row>
    <row r="34" spans="9:23" x14ac:dyDescent="0.25">
      <c r="I34" s="17">
        <v>5</v>
      </c>
      <c r="J34" s="48">
        <f t="shared" ref="J34:W34" si="24">1-J12</f>
        <v>1</v>
      </c>
      <c r="K34" s="48">
        <f t="shared" si="24"/>
        <v>0.96875</v>
      </c>
      <c r="L34" s="48">
        <f t="shared" si="24"/>
        <v>0.8125</v>
      </c>
      <c r="M34" s="48">
        <f t="shared" si="24"/>
        <v>0.5</v>
      </c>
      <c r="N34" s="48">
        <f t="shared" si="24"/>
        <v>0.1875</v>
      </c>
      <c r="O34" s="48">
        <f t="shared" si="24"/>
        <v>3.125E-2</v>
      </c>
      <c r="P34" s="48">
        <f t="shared" si="24"/>
        <v>0</v>
      </c>
      <c r="Q34" s="48">
        <f t="shared" si="24"/>
        <v>0</v>
      </c>
      <c r="R34" s="48">
        <f t="shared" si="24"/>
        <v>0</v>
      </c>
      <c r="S34" s="48">
        <f t="shared" si="24"/>
        <v>0</v>
      </c>
      <c r="T34" s="48">
        <f t="shared" si="24"/>
        <v>0</v>
      </c>
      <c r="U34" s="48">
        <f t="shared" si="24"/>
        <v>0</v>
      </c>
      <c r="V34" s="48">
        <f t="shared" si="24"/>
        <v>0</v>
      </c>
      <c r="W34" s="48">
        <f t="shared" si="24"/>
        <v>0</v>
      </c>
    </row>
    <row r="35" spans="9:23" x14ac:dyDescent="0.25">
      <c r="I35" s="17">
        <v>4</v>
      </c>
      <c r="J35" s="48">
        <f t="shared" ref="J35:W35" si="25">1-J13</f>
        <v>1</v>
      </c>
      <c r="K35" s="48">
        <f t="shared" si="25"/>
        <v>0.9375</v>
      </c>
      <c r="L35" s="48">
        <f t="shared" si="25"/>
        <v>0.6875</v>
      </c>
      <c r="M35" s="48">
        <f t="shared" si="25"/>
        <v>0.3125</v>
      </c>
      <c r="N35" s="48">
        <f t="shared" si="25"/>
        <v>6.25E-2</v>
      </c>
      <c r="O35" s="48">
        <f t="shared" si="25"/>
        <v>0</v>
      </c>
      <c r="P35" s="48">
        <f t="shared" si="25"/>
        <v>0</v>
      </c>
      <c r="Q35" s="48">
        <f t="shared" si="25"/>
        <v>0</v>
      </c>
      <c r="R35" s="48">
        <f t="shared" si="25"/>
        <v>0</v>
      </c>
      <c r="S35" s="48">
        <f t="shared" si="25"/>
        <v>0</v>
      </c>
      <c r="T35" s="48">
        <f t="shared" si="25"/>
        <v>0</v>
      </c>
      <c r="U35" s="48">
        <f t="shared" si="25"/>
        <v>0</v>
      </c>
      <c r="V35" s="48">
        <f t="shared" si="25"/>
        <v>0</v>
      </c>
      <c r="W35" s="48">
        <f t="shared" si="25"/>
        <v>0</v>
      </c>
    </row>
    <row r="36" spans="9:23" x14ac:dyDescent="0.25">
      <c r="I36" s="17">
        <v>3</v>
      </c>
      <c r="J36" s="48">
        <f t="shared" ref="J36:W36" si="26">1-J14</f>
        <v>1</v>
      </c>
      <c r="K36" s="48">
        <f t="shared" si="26"/>
        <v>0.875</v>
      </c>
      <c r="L36" s="48">
        <f t="shared" si="26"/>
        <v>0.5</v>
      </c>
      <c r="M36" s="48">
        <f t="shared" si="26"/>
        <v>0.125</v>
      </c>
      <c r="N36" s="48">
        <f t="shared" si="26"/>
        <v>0</v>
      </c>
      <c r="O36" s="48">
        <f t="shared" si="26"/>
        <v>0</v>
      </c>
      <c r="P36" s="48">
        <f t="shared" si="26"/>
        <v>0</v>
      </c>
      <c r="Q36" s="48">
        <f t="shared" si="26"/>
        <v>0</v>
      </c>
      <c r="R36" s="48">
        <f t="shared" si="26"/>
        <v>0</v>
      </c>
      <c r="S36" s="48">
        <f t="shared" si="26"/>
        <v>0</v>
      </c>
      <c r="T36" s="48">
        <f t="shared" si="26"/>
        <v>0</v>
      </c>
      <c r="U36" s="48">
        <f t="shared" si="26"/>
        <v>0</v>
      </c>
      <c r="V36" s="48">
        <f t="shared" si="26"/>
        <v>0</v>
      </c>
      <c r="W36" s="48">
        <f t="shared" si="26"/>
        <v>0</v>
      </c>
    </row>
    <row r="37" spans="9:23" x14ac:dyDescent="0.25">
      <c r="I37" s="17">
        <v>2</v>
      </c>
      <c r="J37" s="48">
        <f t="shared" ref="J37:W37" si="27">1-J15</f>
        <v>1</v>
      </c>
      <c r="K37" s="48">
        <f t="shared" si="27"/>
        <v>0.75</v>
      </c>
      <c r="L37" s="48">
        <f t="shared" si="27"/>
        <v>0.25</v>
      </c>
      <c r="M37" s="48">
        <f t="shared" si="27"/>
        <v>0</v>
      </c>
      <c r="N37" s="48">
        <f t="shared" si="27"/>
        <v>0</v>
      </c>
      <c r="O37" s="48">
        <f t="shared" si="27"/>
        <v>0</v>
      </c>
      <c r="P37" s="48">
        <f t="shared" si="27"/>
        <v>0</v>
      </c>
      <c r="Q37" s="48">
        <f t="shared" si="27"/>
        <v>0</v>
      </c>
      <c r="R37" s="48">
        <f t="shared" si="27"/>
        <v>0</v>
      </c>
      <c r="S37" s="48">
        <f t="shared" si="27"/>
        <v>0</v>
      </c>
      <c r="T37" s="48">
        <f t="shared" si="27"/>
        <v>0</v>
      </c>
      <c r="U37" s="48">
        <f t="shared" si="27"/>
        <v>0</v>
      </c>
      <c r="V37" s="48">
        <f t="shared" si="27"/>
        <v>0</v>
      </c>
      <c r="W37" s="48">
        <f t="shared" si="27"/>
        <v>0</v>
      </c>
    </row>
    <row r="38" spans="9:23" x14ac:dyDescent="0.25">
      <c r="I38" s="17">
        <v>1</v>
      </c>
      <c r="J38" s="48">
        <f t="shared" ref="J38:W38" si="28">1-J16</f>
        <v>1</v>
      </c>
      <c r="K38" s="48">
        <f t="shared" si="28"/>
        <v>0.5</v>
      </c>
      <c r="L38" s="48">
        <f t="shared" si="28"/>
        <v>0</v>
      </c>
      <c r="M38" s="48">
        <f t="shared" si="28"/>
        <v>0</v>
      </c>
      <c r="N38" s="48">
        <f t="shared" si="28"/>
        <v>0</v>
      </c>
      <c r="O38" s="48">
        <f t="shared" si="28"/>
        <v>0</v>
      </c>
      <c r="P38" s="48">
        <f t="shared" si="28"/>
        <v>0</v>
      </c>
      <c r="Q38" s="48">
        <f t="shared" si="28"/>
        <v>0</v>
      </c>
      <c r="R38" s="48">
        <f t="shared" si="28"/>
        <v>0</v>
      </c>
      <c r="S38" s="48">
        <f t="shared" si="28"/>
        <v>0</v>
      </c>
      <c r="T38" s="48">
        <f t="shared" si="28"/>
        <v>0</v>
      </c>
      <c r="U38" s="48">
        <f t="shared" si="28"/>
        <v>0</v>
      </c>
      <c r="V38" s="48">
        <f t="shared" si="28"/>
        <v>0</v>
      </c>
      <c r="W38" s="48">
        <f t="shared" si="28"/>
        <v>0</v>
      </c>
    </row>
  </sheetData>
  <mergeCells count="26">
    <mergeCell ref="E10:F11"/>
    <mergeCell ref="J1:W1"/>
    <mergeCell ref="J23:W23"/>
    <mergeCell ref="B21:C22"/>
    <mergeCell ref="B26:C26"/>
    <mergeCell ref="D26:E26"/>
    <mergeCell ref="A14:D15"/>
    <mergeCell ref="E14:F15"/>
    <mergeCell ref="B19:C20"/>
    <mergeCell ref="D19:E20"/>
    <mergeCell ref="D21:E22"/>
    <mergeCell ref="A12:D13"/>
    <mergeCell ref="E12:F13"/>
    <mergeCell ref="A8:D9"/>
    <mergeCell ref="E8:F9"/>
    <mergeCell ref="A10:D11"/>
    <mergeCell ref="B27:C27"/>
    <mergeCell ref="D27:E27"/>
    <mergeCell ref="B28:C28"/>
    <mergeCell ref="D28:E28"/>
    <mergeCell ref="B23:C23"/>
    <mergeCell ref="D23:E23"/>
    <mergeCell ref="B24:C24"/>
    <mergeCell ref="D24:E24"/>
    <mergeCell ref="B25:C25"/>
    <mergeCell ref="D25:E25"/>
  </mergeCells>
  <pageMargins left="0.7" right="0.7" top="0.75" bottom="0.75" header="0.3" footer="0.3"/>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FB148"/>
  <sheetViews>
    <sheetView workbookViewId="0">
      <selection activeCell="D10" sqref="D10"/>
    </sheetView>
  </sheetViews>
  <sheetFormatPr defaultColWidth="1.42578125" defaultRowHeight="7.5" customHeight="1" x14ac:dyDescent="0.25"/>
  <sheetData>
    <row r="1" spans="1:158" ht="7.5" customHeight="1" x14ac:dyDescent="0.25">
      <c r="A1" s="738" t="s">
        <v>61</v>
      </c>
      <c r="B1" s="739"/>
      <c r="C1" s="739"/>
      <c r="D1" s="739"/>
      <c r="E1" s="739"/>
      <c r="F1" s="739"/>
      <c r="G1" s="739"/>
      <c r="H1" s="739"/>
      <c r="I1" s="739"/>
      <c r="J1" s="739"/>
      <c r="K1" s="739"/>
      <c r="L1" s="739"/>
      <c r="M1" s="739"/>
      <c r="N1" s="739"/>
      <c r="O1" s="739"/>
      <c r="P1" s="739"/>
      <c r="Q1" s="25"/>
      <c r="R1" s="738" t="s">
        <v>75</v>
      </c>
      <c r="S1" s="739"/>
      <c r="T1" s="739"/>
      <c r="U1" s="739"/>
      <c r="V1" s="739"/>
      <c r="W1" s="739"/>
      <c r="X1" s="739"/>
      <c r="Y1" s="739"/>
      <c r="Z1" s="739"/>
      <c r="AA1" s="739"/>
      <c r="AB1" s="739"/>
      <c r="AC1" s="739"/>
      <c r="AD1" s="739"/>
      <c r="AE1" s="739"/>
      <c r="AF1" s="739"/>
      <c r="AG1" s="739"/>
      <c r="AH1" s="11"/>
      <c r="AI1" s="738" t="s">
        <v>61</v>
      </c>
      <c r="AJ1" s="739"/>
      <c r="AK1" s="739"/>
      <c r="AL1" s="739"/>
      <c r="AM1" s="739"/>
      <c r="AN1" s="739"/>
      <c r="AO1" s="739"/>
      <c r="AP1" s="739"/>
      <c r="AQ1" s="739"/>
      <c r="AR1" s="739"/>
      <c r="AS1" s="739"/>
      <c r="AT1" s="739"/>
      <c r="AU1" s="739"/>
      <c r="AV1" s="739"/>
      <c r="AW1" s="739"/>
      <c r="AX1" s="739"/>
      <c r="AY1" s="25"/>
      <c r="AZ1" s="738" t="s">
        <v>75</v>
      </c>
      <c r="BA1" s="739"/>
      <c r="BB1" s="739"/>
      <c r="BC1" s="739"/>
      <c r="BD1" s="739"/>
      <c r="BE1" s="739"/>
      <c r="BF1" s="739"/>
      <c r="BG1" s="739"/>
      <c r="BH1" s="739"/>
      <c r="BI1" s="739"/>
      <c r="BJ1" s="739"/>
      <c r="BK1" s="739"/>
      <c r="BL1" s="739"/>
      <c r="BM1" s="739"/>
      <c r="BN1" s="739"/>
      <c r="BO1" s="739"/>
      <c r="BP1" s="6"/>
      <c r="BQ1" s="6"/>
      <c r="BR1" s="6"/>
      <c r="BS1" s="6"/>
      <c r="BT1" s="6"/>
      <c r="BU1" s="5"/>
      <c r="BV1" s="5"/>
      <c r="BW1" s="5"/>
      <c r="BX1" s="5"/>
      <c r="BY1" s="5"/>
      <c r="BZ1" s="5"/>
      <c r="CA1" s="5"/>
      <c r="CB1" s="5"/>
      <c r="CC1" s="5"/>
      <c r="CD1" s="5"/>
      <c r="CE1" s="5"/>
      <c r="CF1" s="5"/>
      <c r="CG1" s="5"/>
      <c r="CH1" s="5"/>
      <c r="CI1" s="5"/>
      <c r="CJ1" s="5"/>
      <c r="CK1" s="5"/>
    </row>
    <row r="2" spans="1:158" ht="7.5" customHeight="1" x14ac:dyDescent="0.25">
      <c r="A2" s="740"/>
      <c r="B2" s="740"/>
      <c r="C2" s="740"/>
      <c r="D2" s="740"/>
      <c r="E2" s="740"/>
      <c r="F2" s="740"/>
      <c r="G2" s="740"/>
      <c r="H2" s="740"/>
      <c r="I2" s="740"/>
      <c r="J2" s="740"/>
      <c r="K2" s="740"/>
      <c r="L2" s="740"/>
      <c r="M2" s="740"/>
      <c r="N2" s="740"/>
      <c r="O2" s="740"/>
      <c r="P2" s="740"/>
      <c r="Q2" s="24"/>
      <c r="R2" s="740"/>
      <c r="S2" s="740"/>
      <c r="T2" s="740"/>
      <c r="U2" s="740"/>
      <c r="V2" s="740"/>
      <c r="W2" s="740"/>
      <c r="X2" s="740"/>
      <c r="Y2" s="740"/>
      <c r="Z2" s="740"/>
      <c r="AA2" s="740"/>
      <c r="AB2" s="740"/>
      <c r="AC2" s="740"/>
      <c r="AD2" s="740"/>
      <c r="AE2" s="740"/>
      <c r="AF2" s="740"/>
      <c r="AG2" s="740"/>
      <c r="AH2" s="11"/>
      <c r="AI2" s="740"/>
      <c r="AJ2" s="740"/>
      <c r="AK2" s="740"/>
      <c r="AL2" s="740"/>
      <c r="AM2" s="740"/>
      <c r="AN2" s="740"/>
      <c r="AO2" s="740"/>
      <c r="AP2" s="740"/>
      <c r="AQ2" s="740"/>
      <c r="AR2" s="740"/>
      <c r="AS2" s="740"/>
      <c r="AT2" s="740"/>
      <c r="AU2" s="740"/>
      <c r="AV2" s="740"/>
      <c r="AW2" s="740"/>
      <c r="AX2" s="740"/>
      <c r="AY2" s="24"/>
      <c r="AZ2" s="740"/>
      <c r="BA2" s="740"/>
      <c r="BB2" s="740"/>
      <c r="BC2" s="740"/>
      <c r="BD2" s="740"/>
      <c r="BE2" s="740"/>
      <c r="BF2" s="740"/>
      <c r="BG2" s="740"/>
      <c r="BH2" s="740"/>
      <c r="BI2" s="740"/>
      <c r="BJ2" s="740"/>
      <c r="BK2" s="740"/>
      <c r="BL2" s="740"/>
      <c r="BM2" s="740"/>
      <c r="BN2" s="740"/>
      <c r="BO2" s="740"/>
      <c r="BP2" s="6"/>
      <c r="BQ2" s="6"/>
      <c r="BR2" s="6"/>
      <c r="BS2" s="6"/>
      <c r="BT2" s="6"/>
      <c r="BU2" s="5"/>
      <c r="BV2" s="5"/>
      <c r="BW2" s="5"/>
      <c r="BX2" s="5"/>
      <c r="BY2" s="5"/>
      <c r="BZ2" s="5"/>
      <c r="CA2" s="5"/>
      <c r="CB2" s="5"/>
      <c r="CC2" s="5"/>
      <c r="CD2" s="5"/>
      <c r="CE2" s="5"/>
      <c r="CF2" s="5"/>
      <c r="CG2" s="5"/>
      <c r="CH2" s="5"/>
      <c r="CI2" s="5"/>
      <c r="CJ2" s="5"/>
      <c r="CK2" s="5"/>
    </row>
    <row r="3" spans="1:158" ht="7.5" customHeight="1" x14ac:dyDescent="0.25">
      <c r="A3" s="24"/>
      <c r="B3" s="24"/>
      <c r="C3" s="24"/>
      <c r="D3" s="24"/>
      <c r="E3" s="24"/>
      <c r="F3" s="24"/>
      <c r="G3" s="24"/>
      <c r="H3" s="24"/>
      <c r="I3" s="24"/>
      <c r="J3" s="24"/>
      <c r="K3" s="26"/>
      <c r="L3" s="26"/>
      <c r="M3" s="26"/>
      <c r="N3" s="26"/>
      <c r="O3" s="26"/>
      <c r="P3" s="26"/>
      <c r="Q3" s="24"/>
      <c r="R3" s="27"/>
      <c r="S3" s="27"/>
      <c r="T3" s="27"/>
      <c r="U3" s="27"/>
      <c r="V3" s="27"/>
      <c r="W3" s="27"/>
      <c r="X3" s="27"/>
      <c r="Y3" s="27"/>
      <c r="Z3" s="27"/>
      <c r="AA3" s="27"/>
      <c r="AB3" s="27"/>
      <c r="AC3" s="27"/>
      <c r="AD3" s="27"/>
      <c r="AE3" s="27"/>
      <c r="AF3" s="27"/>
      <c r="AG3" s="27"/>
      <c r="AH3" s="9"/>
      <c r="AI3" s="24"/>
      <c r="AJ3" s="24"/>
      <c r="AK3" s="24"/>
      <c r="AL3" s="24"/>
      <c r="AM3" s="24"/>
      <c r="AN3" s="24"/>
      <c r="AO3" s="24"/>
      <c r="AP3" s="24"/>
      <c r="AQ3" s="24"/>
      <c r="AR3" s="24"/>
      <c r="AS3" s="26"/>
      <c r="AT3" s="26"/>
      <c r="AU3" s="26"/>
      <c r="AV3" s="26"/>
      <c r="AW3" s="26"/>
      <c r="AX3" s="26"/>
      <c r="AY3" s="24"/>
      <c r="AZ3" s="27"/>
      <c r="BA3" s="27"/>
      <c r="BB3" s="27"/>
      <c r="BC3" s="27"/>
      <c r="BD3" s="27"/>
      <c r="BE3" s="27"/>
      <c r="BF3" s="27"/>
      <c r="BG3" s="27"/>
      <c r="BH3" s="27"/>
      <c r="BI3" s="27"/>
      <c r="BJ3" s="27"/>
      <c r="BK3" s="27"/>
      <c r="BL3" s="27"/>
      <c r="BM3" s="27"/>
      <c r="BN3" s="27"/>
      <c r="BO3" s="27"/>
      <c r="BP3" s="6"/>
      <c r="BQ3" s="6"/>
      <c r="BR3" s="6"/>
      <c r="BS3" s="6"/>
      <c r="BT3" s="6"/>
      <c r="BU3" s="5"/>
      <c r="BV3" s="5"/>
      <c r="BW3" s="5"/>
      <c r="BX3" s="5"/>
      <c r="BY3" s="5"/>
      <c r="BZ3" s="5"/>
      <c r="CA3" s="5"/>
      <c r="CB3" s="5"/>
      <c r="CC3" s="5"/>
      <c r="CD3" s="5"/>
      <c r="CE3" s="5"/>
      <c r="CF3" s="5"/>
      <c r="CG3" s="5"/>
      <c r="CH3" s="5"/>
      <c r="CI3" s="5"/>
      <c r="CJ3" s="5"/>
      <c r="CK3" s="5"/>
    </row>
    <row r="4" spans="1:158" ht="7.5" customHeight="1" x14ac:dyDescent="0.4">
      <c r="A4" s="775"/>
      <c r="B4" s="776"/>
      <c r="C4" s="776"/>
      <c r="D4" s="776"/>
      <c r="E4" s="781"/>
      <c r="F4" s="781"/>
      <c r="G4" s="781"/>
      <c r="H4" s="781"/>
      <c r="I4" s="781"/>
      <c r="J4" s="781"/>
      <c r="K4" s="781"/>
      <c r="L4" s="781"/>
      <c r="M4" s="776"/>
      <c r="N4" s="776"/>
      <c r="O4" s="776"/>
      <c r="P4" s="815"/>
      <c r="Q4" s="28"/>
      <c r="R4" s="775"/>
      <c r="S4" s="776"/>
      <c r="T4" s="776"/>
      <c r="U4" s="776"/>
      <c r="V4" s="818">
        <v>-0.75</v>
      </c>
      <c r="W4" s="819"/>
      <c r="X4" s="819"/>
      <c r="Y4" s="820"/>
      <c r="Z4" s="818">
        <v>-0.5</v>
      </c>
      <c r="AA4" s="819"/>
      <c r="AB4" s="819"/>
      <c r="AC4" s="820"/>
      <c r="AD4" s="775"/>
      <c r="AE4" s="776"/>
      <c r="AF4" s="776"/>
      <c r="AG4" s="827"/>
      <c r="AH4" s="14"/>
      <c r="AI4" s="775"/>
      <c r="AJ4" s="776"/>
      <c r="AK4" s="776"/>
      <c r="AL4" s="776"/>
      <c r="AM4" s="781"/>
      <c r="AN4" s="781"/>
      <c r="AO4" s="781"/>
      <c r="AP4" s="781"/>
      <c r="AQ4" s="781"/>
      <c r="AR4" s="781"/>
      <c r="AS4" s="781"/>
      <c r="AT4" s="781"/>
      <c r="AU4" s="776"/>
      <c r="AV4" s="776"/>
      <c r="AW4" s="776"/>
      <c r="AX4" s="815"/>
      <c r="AY4" s="28"/>
      <c r="AZ4" s="775"/>
      <c r="BA4" s="776"/>
      <c r="BB4" s="776"/>
      <c r="BC4" s="776"/>
      <c r="BD4" s="818">
        <v>-0.75</v>
      </c>
      <c r="BE4" s="819"/>
      <c r="BF4" s="819"/>
      <c r="BG4" s="820"/>
      <c r="BH4" s="818">
        <v>-0.5</v>
      </c>
      <c r="BI4" s="819"/>
      <c r="BJ4" s="819"/>
      <c r="BK4" s="820"/>
      <c r="BL4" s="775"/>
      <c r="BM4" s="776"/>
      <c r="BN4" s="776"/>
      <c r="BO4" s="827"/>
      <c r="BP4" s="6"/>
      <c r="BQ4" s="6"/>
      <c r="BR4" s="6"/>
      <c r="BS4" s="6"/>
      <c r="BT4" s="6"/>
      <c r="BU4" s="5"/>
      <c r="BV4" s="5"/>
      <c r="BW4" s="5"/>
      <c r="BX4" s="5"/>
      <c r="BY4" s="5"/>
      <c r="BZ4" s="5"/>
      <c r="CA4" s="5"/>
      <c r="CB4" s="5"/>
      <c r="CC4" s="5"/>
      <c r="CD4" s="5"/>
      <c r="CE4" s="5"/>
      <c r="CF4" s="5"/>
      <c r="CG4" s="5"/>
      <c r="CH4" s="5"/>
      <c r="CI4" s="5"/>
      <c r="CJ4" s="5"/>
      <c r="CK4" s="5"/>
    </row>
    <row r="5" spans="1:158" ht="7.5" customHeight="1" x14ac:dyDescent="0.4">
      <c r="A5" s="777"/>
      <c r="B5" s="778"/>
      <c r="C5" s="778"/>
      <c r="D5" s="778"/>
      <c r="E5" s="781"/>
      <c r="F5" s="781"/>
      <c r="G5" s="781"/>
      <c r="H5" s="781"/>
      <c r="I5" s="781"/>
      <c r="J5" s="781"/>
      <c r="K5" s="781"/>
      <c r="L5" s="781"/>
      <c r="M5" s="778"/>
      <c r="N5" s="778"/>
      <c r="O5" s="778"/>
      <c r="P5" s="816"/>
      <c r="Q5" s="28"/>
      <c r="R5" s="777"/>
      <c r="S5" s="778"/>
      <c r="T5" s="778"/>
      <c r="U5" s="778"/>
      <c r="V5" s="821"/>
      <c r="W5" s="822"/>
      <c r="X5" s="822"/>
      <c r="Y5" s="823"/>
      <c r="Z5" s="821"/>
      <c r="AA5" s="822"/>
      <c r="AB5" s="822"/>
      <c r="AC5" s="823"/>
      <c r="AD5" s="777"/>
      <c r="AE5" s="778"/>
      <c r="AF5" s="778"/>
      <c r="AG5" s="828"/>
      <c r="AH5" s="14"/>
      <c r="AI5" s="777"/>
      <c r="AJ5" s="778"/>
      <c r="AK5" s="778"/>
      <c r="AL5" s="778"/>
      <c r="AM5" s="781"/>
      <c r="AN5" s="781"/>
      <c r="AO5" s="781"/>
      <c r="AP5" s="781"/>
      <c r="AQ5" s="781"/>
      <c r="AR5" s="781"/>
      <c r="AS5" s="781"/>
      <c r="AT5" s="781"/>
      <c r="AU5" s="778"/>
      <c r="AV5" s="778"/>
      <c r="AW5" s="778"/>
      <c r="AX5" s="816"/>
      <c r="AY5" s="28"/>
      <c r="AZ5" s="777"/>
      <c r="BA5" s="778"/>
      <c r="BB5" s="778"/>
      <c r="BC5" s="778"/>
      <c r="BD5" s="821"/>
      <c r="BE5" s="822"/>
      <c r="BF5" s="822"/>
      <c r="BG5" s="823"/>
      <c r="BH5" s="821"/>
      <c r="BI5" s="822"/>
      <c r="BJ5" s="822"/>
      <c r="BK5" s="823"/>
      <c r="BL5" s="777"/>
      <c r="BM5" s="778"/>
      <c r="BN5" s="778"/>
      <c r="BO5" s="828"/>
      <c r="BP5" s="6"/>
      <c r="BQ5" s="6"/>
      <c r="BR5" s="6"/>
      <c r="BS5" s="6"/>
      <c r="BT5" s="6"/>
      <c r="BU5" s="5"/>
      <c r="BV5" s="5"/>
      <c r="BW5" s="5"/>
      <c r="BX5" s="5"/>
      <c r="BY5" s="5"/>
      <c r="BZ5" s="5"/>
      <c r="CA5" s="5"/>
      <c r="CB5" s="5"/>
      <c r="CC5" s="5"/>
      <c r="CD5" s="5"/>
      <c r="CE5" s="5"/>
      <c r="CF5" s="5"/>
      <c r="CG5" s="5"/>
      <c r="CH5" s="5"/>
      <c r="CI5" s="5"/>
      <c r="CJ5" s="5"/>
      <c r="CK5" s="5"/>
    </row>
    <row r="6" spans="1:158" ht="7.5" customHeight="1" x14ac:dyDescent="0.4">
      <c r="A6" s="779"/>
      <c r="B6" s="780"/>
      <c r="C6" s="780"/>
      <c r="D6" s="780"/>
      <c r="E6" s="781"/>
      <c r="F6" s="781"/>
      <c r="G6" s="781"/>
      <c r="H6" s="781"/>
      <c r="I6" s="781"/>
      <c r="J6" s="781"/>
      <c r="K6" s="781"/>
      <c r="L6" s="781"/>
      <c r="M6" s="780"/>
      <c r="N6" s="780"/>
      <c r="O6" s="780"/>
      <c r="P6" s="817"/>
      <c r="Q6" s="28"/>
      <c r="R6" s="779"/>
      <c r="S6" s="780"/>
      <c r="T6" s="780"/>
      <c r="U6" s="780"/>
      <c r="V6" s="824"/>
      <c r="W6" s="825"/>
      <c r="X6" s="825"/>
      <c r="Y6" s="826"/>
      <c r="Z6" s="824"/>
      <c r="AA6" s="825"/>
      <c r="AB6" s="825"/>
      <c r="AC6" s="826"/>
      <c r="AD6" s="779"/>
      <c r="AE6" s="780"/>
      <c r="AF6" s="780"/>
      <c r="AG6" s="829"/>
      <c r="AH6" s="14"/>
      <c r="AI6" s="779"/>
      <c r="AJ6" s="780"/>
      <c r="AK6" s="780"/>
      <c r="AL6" s="780"/>
      <c r="AM6" s="781"/>
      <c r="AN6" s="781"/>
      <c r="AO6" s="781"/>
      <c r="AP6" s="781"/>
      <c r="AQ6" s="781"/>
      <c r="AR6" s="781"/>
      <c r="AS6" s="781"/>
      <c r="AT6" s="781"/>
      <c r="AU6" s="780"/>
      <c r="AV6" s="780"/>
      <c r="AW6" s="780"/>
      <c r="AX6" s="817"/>
      <c r="AY6" s="28"/>
      <c r="AZ6" s="779"/>
      <c r="BA6" s="780"/>
      <c r="BB6" s="780"/>
      <c r="BC6" s="780"/>
      <c r="BD6" s="824"/>
      <c r="BE6" s="825"/>
      <c r="BF6" s="825"/>
      <c r="BG6" s="826"/>
      <c r="BH6" s="824"/>
      <c r="BI6" s="825"/>
      <c r="BJ6" s="825"/>
      <c r="BK6" s="826"/>
      <c r="BL6" s="779"/>
      <c r="BM6" s="780"/>
      <c r="BN6" s="780"/>
      <c r="BO6" s="829"/>
      <c r="BP6" s="6"/>
      <c r="BQ6" s="6"/>
      <c r="BR6" s="6"/>
      <c r="BS6" s="6"/>
      <c r="BT6" s="6"/>
    </row>
    <row r="7" spans="1:158" ht="7.5" customHeight="1" x14ac:dyDescent="0.25">
      <c r="A7" s="830" t="s">
        <v>62</v>
      </c>
      <c r="B7" s="830"/>
      <c r="C7" s="830"/>
      <c r="D7" s="830"/>
      <c r="E7" s="831" t="s">
        <v>23</v>
      </c>
      <c r="F7" s="831"/>
      <c r="G7" s="831"/>
      <c r="H7" s="831"/>
      <c r="I7" s="831" t="s">
        <v>17</v>
      </c>
      <c r="J7" s="831"/>
      <c r="K7" s="831"/>
      <c r="L7" s="831"/>
      <c r="M7" s="830" t="s">
        <v>63</v>
      </c>
      <c r="N7" s="830"/>
      <c r="O7" s="830"/>
      <c r="P7" s="830"/>
      <c r="Q7" s="29"/>
      <c r="R7" s="832" t="s">
        <v>47</v>
      </c>
      <c r="S7" s="832"/>
      <c r="T7" s="832"/>
      <c r="U7" s="832"/>
      <c r="V7" s="832" t="s">
        <v>48</v>
      </c>
      <c r="W7" s="832"/>
      <c r="X7" s="832"/>
      <c r="Y7" s="832"/>
      <c r="Z7" s="832" t="s">
        <v>53</v>
      </c>
      <c r="AA7" s="832"/>
      <c r="AB7" s="832"/>
      <c r="AC7" s="832"/>
      <c r="AD7" s="832" t="s">
        <v>49</v>
      </c>
      <c r="AE7" s="832"/>
      <c r="AF7" s="832"/>
      <c r="AG7" s="832"/>
      <c r="AH7" s="11"/>
      <c r="AI7" s="830" t="s">
        <v>62</v>
      </c>
      <c r="AJ7" s="830"/>
      <c r="AK7" s="830"/>
      <c r="AL7" s="830"/>
      <c r="AM7" s="831" t="s">
        <v>23</v>
      </c>
      <c r="AN7" s="831"/>
      <c r="AO7" s="831"/>
      <c r="AP7" s="831"/>
      <c r="AQ7" s="831" t="s">
        <v>17</v>
      </c>
      <c r="AR7" s="831"/>
      <c r="AS7" s="831"/>
      <c r="AT7" s="831"/>
      <c r="AU7" s="830" t="s">
        <v>63</v>
      </c>
      <c r="AV7" s="830"/>
      <c r="AW7" s="830"/>
      <c r="AX7" s="830"/>
      <c r="AY7" s="29"/>
      <c r="AZ7" s="832" t="s">
        <v>47</v>
      </c>
      <c r="BA7" s="832"/>
      <c r="BB7" s="832"/>
      <c r="BC7" s="832"/>
      <c r="BD7" s="832" t="s">
        <v>48</v>
      </c>
      <c r="BE7" s="832"/>
      <c r="BF7" s="832"/>
      <c r="BG7" s="832"/>
      <c r="BH7" s="832" t="s">
        <v>53</v>
      </c>
      <c r="BI7" s="832"/>
      <c r="BJ7" s="832"/>
      <c r="BK7" s="832"/>
      <c r="BL7" s="832" t="s">
        <v>49</v>
      </c>
      <c r="BM7" s="832"/>
      <c r="BN7" s="832"/>
      <c r="BO7" s="832"/>
      <c r="BP7" s="6"/>
      <c r="BQ7" s="6"/>
      <c r="BR7" s="6"/>
      <c r="BS7" s="6"/>
      <c r="BT7" s="6"/>
    </row>
    <row r="8" spans="1:158" ht="7.5" customHeight="1" x14ac:dyDescent="0.25">
      <c r="A8" s="27"/>
      <c r="B8" s="27"/>
      <c r="C8" s="27"/>
      <c r="D8" s="27"/>
      <c r="E8" s="794" t="s">
        <v>28</v>
      </c>
      <c r="F8" s="795"/>
      <c r="G8" s="795"/>
      <c r="H8" s="795"/>
      <c r="I8" s="794" t="s">
        <v>28</v>
      </c>
      <c r="J8" s="799"/>
      <c r="K8" s="799"/>
      <c r="L8" s="800"/>
      <c r="M8" s="27"/>
      <c r="N8" s="27"/>
      <c r="O8" s="27"/>
      <c r="P8" s="27"/>
      <c r="Q8" s="27"/>
      <c r="R8" s="27"/>
      <c r="S8" s="27"/>
      <c r="T8" s="27"/>
      <c r="U8" s="27"/>
      <c r="V8" s="27"/>
      <c r="W8" s="27"/>
      <c r="X8" s="27"/>
      <c r="Y8" s="27"/>
      <c r="Z8" s="27"/>
      <c r="AA8" s="27"/>
      <c r="AB8" s="27"/>
      <c r="AC8" s="27"/>
      <c r="AD8" s="27"/>
      <c r="AE8" s="27"/>
      <c r="AF8" s="27"/>
      <c r="AG8" s="27"/>
      <c r="AH8" s="11"/>
      <c r="AI8" s="27"/>
      <c r="AJ8" s="27"/>
      <c r="AK8" s="27"/>
      <c r="AL8" s="27"/>
      <c r="AM8" s="794" t="s">
        <v>28</v>
      </c>
      <c r="AN8" s="795"/>
      <c r="AO8" s="795"/>
      <c r="AP8" s="795"/>
      <c r="AQ8" s="794" t="s">
        <v>28</v>
      </c>
      <c r="AR8" s="799"/>
      <c r="AS8" s="799"/>
      <c r="AT8" s="800"/>
      <c r="AU8" s="27"/>
      <c r="AV8" s="27"/>
      <c r="AW8" s="27"/>
      <c r="AX8" s="27"/>
      <c r="AY8" s="27"/>
      <c r="AZ8" s="27"/>
      <c r="BA8" s="27"/>
      <c r="BB8" s="27"/>
      <c r="BC8" s="27"/>
      <c r="BD8" s="27"/>
      <c r="BE8" s="27"/>
      <c r="BF8" s="27"/>
      <c r="BG8" s="27"/>
      <c r="BH8" s="27"/>
      <c r="BI8" s="27"/>
      <c r="BJ8" s="27"/>
      <c r="BK8" s="27"/>
      <c r="BL8" s="27"/>
      <c r="BM8" s="27"/>
      <c r="BN8" s="27"/>
      <c r="BO8" s="27"/>
      <c r="BP8" s="6"/>
      <c r="BQ8" s="6"/>
      <c r="BR8" s="6"/>
      <c r="BS8" s="6"/>
      <c r="BT8" s="6"/>
    </row>
    <row r="9" spans="1:158" ht="7.5" customHeight="1" x14ac:dyDescent="0.25">
      <c r="A9" s="27"/>
      <c r="B9" s="27"/>
      <c r="C9" s="27"/>
      <c r="D9" s="27"/>
      <c r="E9" s="796"/>
      <c r="F9" s="739"/>
      <c r="G9" s="739"/>
      <c r="H9" s="739"/>
      <c r="I9" s="801"/>
      <c r="J9" s="725"/>
      <c r="K9" s="725"/>
      <c r="L9" s="802"/>
      <c r="M9" s="27"/>
      <c r="N9" s="27"/>
      <c r="O9" s="725" t="str">
        <f>IF(G9=1,FLOOR(AGIm+INSm,1),"agi + ins")</f>
        <v>agi + ins</v>
      </c>
      <c r="P9" s="725"/>
      <c r="Q9" s="725"/>
      <c r="R9" s="725"/>
      <c r="S9" s="27"/>
      <c r="T9" s="725" t="s">
        <v>72</v>
      </c>
      <c r="U9" s="725"/>
      <c r="V9" s="725"/>
      <c r="W9" s="725"/>
      <c r="X9" s="27"/>
      <c r="Y9" s="725" t="s">
        <v>73</v>
      </c>
      <c r="Z9" s="725"/>
      <c r="AA9" s="725"/>
      <c r="AB9" s="725"/>
      <c r="AC9" s="27"/>
      <c r="AD9" s="725" t="s">
        <v>74</v>
      </c>
      <c r="AE9" s="725"/>
      <c r="AF9" s="725"/>
      <c r="AG9" s="725"/>
      <c r="AH9" s="11"/>
      <c r="AI9" s="27"/>
      <c r="AJ9" s="27"/>
      <c r="AK9" s="27"/>
      <c r="AL9" s="27"/>
      <c r="AM9" s="796"/>
      <c r="AN9" s="739"/>
      <c r="AO9" s="739"/>
      <c r="AP9" s="739"/>
      <c r="AQ9" s="801"/>
      <c r="AR9" s="725"/>
      <c r="AS9" s="725"/>
      <c r="AT9" s="802"/>
      <c r="AU9" s="27"/>
      <c r="AV9" s="27"/>
      <c r="AW9" s="725" t="str">
        <f>IF(AO9=1,FLOOR(AGIm+INSm,1),"agi + ins")</f>
        <v>agi + ins</v>
      </c>
      <c r="AX9" s="725"/>
      <c r="AY9" s="725"/>
      <c r="AZ9" s="725"/>
      <c r="BA9" s="27"/>
      <c r="BB9" s="725" t="s">
        <v>72</v>
      </c>
      <c r="BC9" s="725"/>
      <c r="BD9" s="725"/>
      <c r="BE9" s="725"/>
      <c r="BF9" s="27"/>
      <c r="BG9" s="725" t="s">
        <v>73</v>
      </c>
      <c r="BH9" s="725"/>
      <c r="BI9" s="725"/>
      <c r="BJ9" s="725"/>
      <c r="BK9" s="27"/>
      <c r="BL9" s="725" t="s">
        <v>74</v>
      </c>
      <c r="BM9" s="725"/>
      <c r="BN9" s="725"/>
      <c r="BO9" s="725"/>
      <c r="BP9" s="6"/>
      <c r="BQ9" s="6"/>
      <c r="BR9" s="6"/>
      <c r="BS9" s="6"/>
      <c r="BT9" s="6"/>
    </row>
    <row r="10" spans="1:158" ht="7.5" customHeight="1" x14ac:dyDescent="0.25">
      <c r="A10" s="27"/>
      <c r="B10" s="27"/>
      <c r="C10" s="27"/>
      <c r="D10" s="27"/>
      <c r="E10" s="797"/>
      <c r="F10" s="798"/>
      <c r="G10" s="798"/>
      <c r="H10" s="798"/>
      <c r="I10" s="803"/>
      <c r="J10" s="804"/>
      <c r="K10" s="804"/>
      <c r="L10" s="805"/>
      <c r="M10" s="27"/>
      <c r="N10" s="27"/>
      <c r="O10" s="725"/>
      <c r="P10" s="725"/>
      <c r="Q10" s="725"/>
      <c r="R10" s="725"/>
      <c r="S10" s="27"/>
      <c r="T10" s="725"/>
      <c r="U10" s="725"/>
      <c r="V10" s="725"/>
      <c r="W10" s="725"/>
      <c r="X10" s="27"/>
      <c r="Y10" s="725"/>
      <c r="Z10" s="725"/>
      <c r="AA10" s="725"/>
      <c r="AB10" s="725"/>
      <c r="AC10" s="27"/>
      <c r="AD10" s="725"/>
      <c r="AE10" s="725"/>
      <c r="AF10" s="725"/>
      <c r="AG10" s="725"/>
      <c r="AH10" s="11"/>
      <c r="AI10" s="27"/>
      <c r="AJ10" s="27"/>
      <c r="AK10" s="27"/>
      <c r="AL10" s="27"/>
      <c r="AM10" s="797"/>
      <c r="AN10" s="798"/>
      <c r="AO10" s="798"/>
      <c r="AP10" s="798"/>
      <c r="AQ10" s="803"/>
      <c r="AR10" s="804"/>
      <c r="AS10" s="804"/>
      <c r="AT10" s="805"/>
      <c r="AU10" s="27"/>
      <c r="AV10" s="27"/>
      <c r="AW10" s="725"/>
      <c r="AX10" s="725"/>
      <c r="AY10" s="725"/>
      <c r="AZ10" s="725"/>
      <c r="BA10" s="27"/>
      <c r="BB10" s="725"/>
      <c r="BC10" s="725"/>
      <c r="BD10" s="725"/>
      <c r="BE10" s="725"/>
      <c r="BF10" s="27"/>
      <c r="BG10" s="725"/>
      <c r="BH10" s="725"/>
      <c r="BI10" s="725"/>
      <c r="BJ10" s="725"/>
      <c r="BK10" s="27"/>
      <c r="BL10" s="725"/>
      <c r="BM10" s="725"/>
      <c r="BN10" s="725"/>
      <c r="BO10" s="725"/>
      <c r="BP10" s="6"/>
      <c r="BQ10" s="6"/>
      <c r="BR10" s="6"/>
      <c r="BS10" s="6"/>
      <c r="BT10" s="6"/>
    </row>
    <row r="11" spans="1:158" s="17" customFormat="1" ht="7.5" customHeight="1" thickBot="1" x14ac:dyDescent="0.3">
      <c r="E11" s="3"/>
      <c r="F11" s="3"/>
      <c r="G11" s="3"/>
      <c r="H11" s="3"/>
      <c r="I11" s="4"/>
      <c r="J11" s="4"/>
      <c r="K11" s="4"/>
      <c r="L11" s="4"/>
      <c r="O11" s="724" t="s">
        <v>57</v>
      </c>
      <c r="P11" s="724"/>
      <c r="Q11" s="724"/>
      <c r="R11" s="724"/>
      <c r="T11" s="724" t="s">
        <v>70</v>
      </c>
      <c r="U11" s="724"/>
      <c r="V11" s="724"/>
      <c r="W11" s="724"/>
      <c r="Y11" s="724" t="s">
        <v>71</v>
      </c>
      <c r="Z11" s="724"/>
      <c r="AA11" s="724"/>
      <c r="AB11" s="724"/>
      <c r="AD11" s="724" t="s">
        <v>60</v>
      </c>
      <c r="AE11" s="724"/>
      <c r="AF11" s="724"/>
      <c r="AG11" s="724"/>
      <c r="AH11" s="18"/>
      <c r="AM11" s="3"/>
      <c r="AN11" s="3"/>
      <c r="AO11" s="3"/>
      <c r="AP11" s="3"/>
      <c r="AQ11" s="4"/>
      <c r="AR11" s="4"/>
      <c r="AS11" s="4"/>
      <c r="AT11" s="4"/>
      <c r="AW11" s="724" t="s">
        <v>57</v>
      </c>
      <c r="AX11" s="724"/>
      <c r="AY11" s="724"/>
      <c r="AZ11" s="724"/>
      <c r="BB11" s="724" t="s">
        <v>70</v>
      </c>
      <c r="BC11" s="724"/>
      <c r="BD11" s="724"/>
      <c r="BE11" s="724"/>
      <c r="BG11" s="724" t="s">
        <v>71</v>
      </c>
      <c r="BH11" s="724"/>
      <c r="BI11" s="724"/>
      <c r="BJ11" s="724"/>
      <c r="BL11" s="724" t="s">
        <v>60</v>
      </c>
      <c r="BM11" s="724"/>
      <c r="BN11" s="724"/>
      <c r="BO11" s="724"/>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row>
    <row r="12" spans="1:158" ht="7.5" customHeight="1" thickBot="1" x14ac:dyDescent="0.3">
      <c r="AH12" s="8"/>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0"/>
      <c r="BQ12" s="10"/>
      <c r="BR12" s="10"/>
      <c r="BS12" s="6"/>
      <c r="BT12" s="6"/>
    </row>
    <row r="13" spans="1:158" ht="7.5" customHeight="1" thickBot="1" x14ac:dyDescent="0.3">
      <c r="A13" s="726" t="s">
        <v>1</v>
      </c>
      <c r="B13" s="726"/>
      <c r="C13" s="726"/>
      <c r="D13" s="782"/>
      <c r="E13" s="761"/>
      <c r="F13" s="762"/>
      <c r="G13" s="783" t="s">
        <v>64</v>
      </c>
      <c r="H13" s="783"/>
      <c r="I13" s="783"/>
      <c r="J13" s="729" t="s">
        <v>4</v>
      </c>
      <c r="K13" s="729"/>
      <c r="L13" s="729"/>
      <c r="M13" s="784"/>
      <c r="N13" s="767"/>
      <c r="O13" s="768"/>
      <c r="P13" s="836" t="s">
        <v>64</v>
      </c>
      <c r="Q13" s="836"/>
      <c r="R13" s="836"/>
      <c r="S13" s="792" t="s">
        <v>7</v>
      </c>
      <c r="T13" s="792"/>
      <c r="U13" s="792"/>
      <c r="V13" s="785"/>
      <c r="W13" s="786"/>
      <c r="X13" s="787"/>
      <c r="Y13" s="790" t="s">
        <v>64</v>
      </c>
      <c r="Z13" s="790"/>
      <c r="AA13" s="790"/>
      <c r="AB13" s="16"/>
      <c r="AC13" s="837" t="s">
        <v>65</v>
      </c>
      <c r="AD13" s="838"/>
      <c r="AE13" s="838"/>
      <c r="AF13" s="838"/>
      <c r="AG13" s="838"/>
      <c r="AH13" s="6"/>
      <c r="AI13" s="726" t="s">
        <v>1</v>
      </c>
      <c r="AJ13" s="726"/>
      <c r="AK13" s="726"/>
      <c r="AL13" s="782"/>
      <c r="AM13" s="761"/>
      <c r="AN13" s="762"/>
      <c r="AO13" s="783" t="s">
        <v>64</v>
      </c>
      <c r="AP13" s="783"/>
      <c r="AQ13" s="783"/>
      <c r="AR13" s="729" t="s">
        <v>4</v>
      </c>
      <c r="AS13" s="729"/>
      <c r="AT13" s="729"/>
      <c r="AU13" s="784"/>
      <c r="AV13" s="767"/>
      <c r="AW13" s="768"/>
      <c r="AX13" s="836" t="s">
        <v>64</v>
      </c>
      <c r="AY13" s="836"/>
      <c r="AZ13" s="836"/>
      <c r="BA13" s="792" t="s">
        <v>7</v>
      </c>
      <c r="BB13" s="792"/>
      <c r="BC13" s="792"/>
      <c r="BD13" s="785"/>
      <c r="BE13" s="786"/>
      <c r="BF13" s="787"/>
      <c r="BG13" s="790" t="s">
        <v>64</v>
      </c>
      <c r="BH13" s="790"/>
      <c r="BI13" s="790"/>
      <c r="BJ13" s="17"/>
      <c r="BK13" s="837" t="s">
        <v>65</v>
      </c>
      <c r="BL13" s="838"/>
      <c r="BM13" s="838"/>
      <c r="BN13" s="838"/>
      <c r="BO13" s="838"/>
      <c r="BP13" s="10"/>
      <c r="BQ13" s="10"/>
      <c r="BR13" s="10"/>
      <c r="BS13" s="10"/>
    </row>
    <row r="14" spans="1:158" ht="7.5" customHeight="1" thickBot="1" x14ac:dyDescent="0.3">
      <c r="A14" s="727"/>
      <c r="B14" s="727"/>
      <c r="C14" s="727"/>
      <c r="D14" s="761"/>
      <c r="E14" s="761"/>
      <c r="F14" s="762"/>
      <c r="G14" s="728"/>
      <c r="H14" s="728"/>
      <c r="I14" s="728"/>
      <c r="J14" s="730"/>
      <c r="K14" s="730"/>
      <c r="L14" s="730"/>
      <c r="M14" s="767"/>
      <c r="N14" s="767"/>
      <c r="O14" s="768"/>
      <c r="P14" s="737"/>
      <c r="Q14" s="737"/>
      <c r="R14" s="737"/>
      <c r="S14" s="793"/>
      <c r="T14" s="793"/>
      <c r="U14" s="793"/>
      <c r="V14" s="786"/>
      <c r="W14" s="786"/>
      <c r="X14" s="787"/>
      <c r="Y14" s="736"/>
      <c r="Z14" s="736"/>
      <c r="AA14" s="736"/>
      <c r="AB14" s="16"/>
      <c r="AC14" s="839"/>
      <c r="AD14" s="839"/>
      <c r="AE14" s="839"/>
      <c r="AF14" s="839"/>
      <c r="AG14" s="839"/>
      <c r="AH14" s="6"/>
      <c r="AI14" s="727"/>
      <c r="AJ14" s="727"/>
      <c r="AK14" s="727"/>
      <c r="AL14" s="761"/>
      <c r="AM14" s="761"/>
      <c r="AN14" s="762"/>
      <c r="AO14" s="728"/>
      <c r="AP14" s="728"/>
      <c r="AQ14" s="728"/>
      <c r="AR14" s="730"/>
      <c r="AS14" s="730"/>
      <c r="AT14" s="730"/>
      <c r="AU14" s="767"/>
      <c r="AV14" s="767"/>
      <c r="AW14" s="768"/>
      <c r="AX14" s="737"/>
      <c r="AY14" s="737"/>
      <c r="AZ14" s="737"/>
      <c r="BA14" s="793"/>
      <c r="BB14" s="793"/>
      <c r="BC14" s="793"/>
      <c r="BD14" s="786"/>
      <c r="BE14" s="786"/>
      <c r="BF14" s="787"/>
      <c r="BG14" s="736"/>
      <c r="BH14" s="736"/>
      <c r="BI14" s="736"/>
      <c r="BJ14" s="17"/>
      <c r="BK14" s="839"/>
      <c r="BL14" s="839"/>
      <c r="BM14" s="839"/>
      <c r="BN14" s="839"/>
      <c r="BO14" s="839"/>
      <c r="BP14" s="10"/>
      <c r="BQ14" s="10"/>
      <c r="BR14" s="10"/>
      <c r="BS14" s="10"/>
    </row>
    <row r="15" spans="1:158" ht="7.5" customHeight="1" thickBot="1" x14ac:dyDescent="0.4">
      <c r="A15" s="734"/>
      <c r="B15" s="735"/>
      <c r="C15" s="735"/>
      <c r="D15" s="763"/>
      <c r="E15" s="763"/>
      <c r="F15" s="764"/>
      <c r="G15" s="728"/>
      <c r="H15" s="728"/>
      <c r="I15" s="728"/>
      <c r="J15" s="731"/>
      <c r="K15" s="731"/>
      <c r="L15" s="731"/>
      <c r="M15" s="769"/>
      <c r="N15" s="769"/>
      <c r="O15" s="770"/>
      <c r="P15" s="737"/>
      <c r="Q15" s="737"/>
      <c r="R15" s="737"/>
      <c r="S15" s="732"/>
      <c r="T15" s="733"/>
      <c r="U15" s="733"/>
      <c r="V15" s="788"/>
      <c r="W15" s="788"/>
      <c r="X15" s="789"/>
      <c r="Y15" s="736"/>
      <c r="Z15" s="736"/>
      <c r="AA15" s="736"/>
      <c r="AB15" s="16"/>
      <c r="AC15" s="840"/>
      <c r="AD15" s="840"/>
      <c r="AE15" s="840"/>
      <c r="AF15" s="840"/>
      <c r="AG15" s="840"/>
      <c r="AH15" s="6"/>
      <c r="AI15" s="734"/>
      <c r="AJ15" s="735"/>
      <c r="AK15" s="735"/>
      <c r="AL15" s="763"/>
      <c r="AM15" s="763"/>
      <c r="AN15" s="764"/>
      <c r="AO15" s="728"/>
      <c r="AP15" s="728"/>
      <c r="AQ15" s="728"/>
      <c r="AR15" s="731"/>
      <c r="AS15" s="731"/>
      <c r="AT15" s="731"/>
      <c r="AU15" s="769"/>
      <c r="AV15" s="769"/>
      <c r="AW15" s="770"/>
      <c r="AX15" s="737"/>
      <c r="AY15" s="737"/>
      <c r="AZ15" s="737"/>
      <c r="BA15" s="732"/>
      <c r="BB15" s="733"/>
      <c r="BC15" s="733"/>
      <c r="BD15" s="788"/>
      <c r="BE15" s="788"/>
      <c r="BF15" s="789"/>
      <c r="BG15" s="736"/>
      <c r="BH15" s="736"/>
      <c r="BI15" s="736"/>
      <c r="BJ15" s="17"/>
      <c r="BK15" s="840"/>
      <c r="BL15" s="840"/>
      <c r="BM15" s="840"/>
      <c r="BN15" s="840"/>
      <c r="BO15" s="840"/>
      <c r="BP15" s="10"/>
      <c r="BQ15" s="10"/>
      <c r="BR15" s="10"/>
      <c r="BS15" s="6"/>
    </row>
    <row r="16" spans="1:158" ht="7.5" customHeight="1" thickBot="1" x14ac:dyDescent="0.3">
      <c r="A16" s="726" t="s">
        <v>2</v>
      </c>
      <c r="B16" s="726"/>
      <c r="C16" s="726"/>
      <c r="D16" s="791"/>
      <c r="E16" s="759"/>
      <c r="F16" s="760"/>
      <c r="G16" s="728" t="s">
        <v>64</v>
      </c>
      <c r="H16" s="728"/>
      <c r="I16" s="728"/>
      <c r="J16" s="729" t="s">
        <v>5</v>
      </c>
      <c r="K16" s="729"/>
      <c r="L16" s="729"/>
      <c r="M16" s="765"/>
      <c r="N16" s="765"/>
      <c r="O16" s="766"/>
      <c r="P16" s="737" t="s">
        <v>64</v>
      </c>
      <c r="Q16" s="737"/>
      <c r="R16" s="737"/>
      <c r="S16" s="792" t="s">
        <v>8</v>
      </c>
      <c r="T16" s="792"/>
      <c r="U16" s="792"/>
      <c r="V16" s="850"/>
      <c r="W16" s="850"/>
      <c r="X16" s="851"/>
      <c r="Y16" s="736" t="s">
        <v>64</v>
      </c>
      <c r="Z16" s="736"/>
      <c r="AA16" s="736"/>
      <c r="AB16" s="16"/>
      <c r="AC16" s="833" t="s">
        <v>66</v>
      </c>
      <c r="AD16" s="833"/>
      <c r="AE16" s="833"/>
      <c r="AF16" s="833"/>
      <c r="AG16" s="833"/>
      <c r="AH16" s="6"/>
      <c r="AI16" s="726" t="s">
        <v>2</v>
      </c>
      <c r="AJ16" s="726"/>
      <c r="AK16" s="726"/>
      <c r="AL16" s="791"/>
      <c r="AM16" s="759"/>
      <c r="AN16" s="760"/>
      <c r="AO16" s="728" t="s">
        <v>64</v>
      </c>
      <c r="AP16" s="728"/>
      <c r="AQ16" s="728"/>
      <c r="AR16" s="729" t="s">
        <v>5</v>
      </c>
      <c r="AS16" s="729"/>
      <c r="AT16" s="729"/>
      <c r="AU16" s="765"/>
      <c r="AV16" s="765"/>
      <c r="AW16" s="766"/>
      <c r="AX16" s="737" t="s">
        <v>64</v>
      </c>
      <c r="AY16" s="737"/>
      <c r="AZ16" s="737"/>
      <c r="BA16" s="792" t="s">
        <v>8</v>
      </c>
      <c r="BB16" s="792"/>
      <c r="BC16" s="792"/>
      <c r="BD16" s="850"/>
      <c r="BE16" s="850"/>
      <c r="BF16" s="851"/>
      <c r="BG16" s="736" t="s">
        <v>64</v>
      </c>
      <c r="BH16" s="736"/>
      <c r="BI16" s="736"/>
      <c r="BJ16" s="17"/>
      <c r="BK16" s="833" t="s">
        <v>66</v>
      </c>
      <c r="BL16" s="833"/>
      <c r="BM16" s="833"/>
      <c r="BN16" s="833"/>
      <c r="BO16" s="833"/>
      <c r="BP16" s="6"/>
      <c r="BQ16" s="6"/>
      <c r="BR16" s="6"/>
      <c r="BS16" s="6"/>
    </row>
    <row r="17" spans="1:72" ht="7.5" customHeight="1" thickBot="1" x14ac:dyDescent="0.3">
      <c r="A17" s="727"/>
      <c r="B17" s="727"/>
      <c r="C17" s="727"/>
      <c r="D17" s="761"/>
      <c r="E17" s="761"/>
      <c r="F17" s="762"/>
      <c r="G17" s="728"/>
      <c r="H17" s="728"/>
      <c r="I17" s="728"/>
      <c r="J17" s="730"/>
      <c r="K17" s="730"/>
      <c r="L17" s="730"/>
      <c r="M17" s="767"/>
      <c r="N17" s="767"/>
      <c r="O17" s="768"/>
      <c r="P17" s="737"/>
      <c r="Q17" s="737"/>
      <c r="R17" s="737"/>
      <c r="S17" s="793"/>
      <c r="T17" s="793"/>
      <c r="U17" s="793"/>
      <c r="V17" s="786"/>
      <c r="W17" s="786"/>
      <c r="X17" s="787"/>
      <c r="Y17" s="736"/>
      <c r="Z17" s="736"/>
      <c r="AA17" s="736"/>
      <c r="AB17" s="16"/>
      <c r="AC17" s="834"/>
      <c r="AD17" s="834"/>
      <c r="AE17" s="834"/>
      <c r="AF17" s="834"/>
      <c r="AG17" s="834"/>
      <c r="AH17" s="6"/>
      <c r="AI17" s="727"/>
      <c r="AJ17" s="727"/>
      <c r="AK17" s="727"/>
      <c r="AL17" s="761"/>
      <c r="AM17" s="761"/>
      <c r="AN17" s="762"/>
      <c r="AO17" s="728"/>
      <c r="AP17" s="728"/>
      <c r="AQ17" s="728"/>
      <c r="AR17" s="730"/>
      <c r="AS17" s="730"/>
      <c r="AT17" s="730"/>
      <c r="AU17" s="767"/>
      <c r="AV17" s="767"/>
      <c r="AW17" s="768"/>
      <c r="AX17" s="737"/>
      <c r="AY17" s="737"/>
      <c r="AZ17" s="737"/>
      <c r="BA17" s="793"/>
      <c r="BB17" s="793"/>
      <c r="BC17" s="793"/>
      <c r="BD17" s="786"/>
      <c r="BE17" s="786"/>
      <c r="BF17" s="787"/>
      <c r="BG17" s="736"/>
      <c r="BH17" s="736"/>
      <c r="BI17" s="736"/>
      <c r="BJ17" s="17"/>
      <c r="BK17" s="834"/>
      <c r="BL17" s="834"/>
      <c r="BM17" s="834"/>
      <c r="BN17" s="834"/>
      <c r="BO17" s="834"/>
      <c r="BP17" s="6"/>
      <c r="BQ17" s="6"/>
      <c r="BR17" s="6"/>
      <c r="BS17" s="6"/>
    </row>
    <row r="18" spans="1:72" ht="7.5" customHeight="1" thickBot="1" x14ac:dyDescent="0.4">
      <c r="A18" s="735"/>
      <c r="B18" s="735"/>
      <c r="C18" s="735"/>
      <c r="D18" s="763"/>
      <c r="E18" s="763"/>
      <c r="F18" s="764"/>
      <c r="G18" s="728"/>
      <c r="H18" s="728"/>
      <c r="I18" s="728"/>
      <c r="J18" s="731"/>
      <c r="K18" s="731"/>
      <c r="L18" s="731"/>
      <c r="M18" s="769"/>
      <c r="N18" s="769"/>
      <c r="O18" s="770"/>
      <c r="P18" s="737"/>
      <c r="Q18" s="737"/>
      <c r="R18" s="737"/>
      <c r="S18" s="835"/>
      <c r="T18" s="835"/>
      <c r="U18" s="835"/>
      <c r="V18" s="788"/>
      <c r="W18" s="788"/>
      <c r="X18" s="789"/>
      <c r="Y18" s="736"/>
      <c r="Z18" s="736"/>
      <c r="AA18" s="736"/>
      <c r="AC18" s="834"/>
      <c r="AD18" s="834"/>
      <c r="AE18" s="834"/>
      <c r="AF18" s="834"/>
      <c r="AG18" s="834"/>
      <c r="AH18" s="6"/>
      <c r="AI18" s="735"/>
      <c r="AJ18" s="735"/>
      <c r="AK18" s="735"/>
      <c r="AL18" s="763"/>
      <c r="AM18" s="763"/>
      <c r="AN18" s="764"/>
      <c r="AO18" s="728"/>
      <c r="AP18" s="728"/>
      <c r="AQ18" s="728"/>
      <c r="AR18" s="731"/>
      <c r="AS18" s="731"/>
      <c r="AT18" s="731"/>
      <c r="AU18" s="769"/>
      <c r="AV18" s="769"/>
      <c r="AW18" s="770"/>
      <c r="AX18" s="737"/>
      <c r="AY18" s="737"/>
      <c r="AZ18" s="737"/>
      <c r="BA18" s="835"/>
      <c r="BB18" s="835"/>
      <c r="BC18" s="835"/>
      <c r="BD18" s="788"/>
      <c r="BE18" s="788"/>
      <c r="BF18" s="789"/>
      <c r="BG18" s="736"/>
      <c r="BH18" s="736"/>
      <c r="BI18" s="736"/>
      <c r="BJ18" s="17"/>
      <c r="BK18" s="834"/>
      <c r="BL18" s="834"/>
      <c r="BM18" s="834"/>
      <c r="BN18" s="834"/>
      <c r="BO18" s="834"/>
      <c r="BP18" s="6"/>
      <c r="BQ18" s="6"/>
      <c r="BR18" s="6"/>
      <c r="BS18" s="6"/>
    </row>
    <row r="19" spans="1:72" ht="7.5" customHeight="1" thickBot="1" x14ac:dyDescent="0.3">
      <c r="A19" s="726" t="s">
        <v>3</v>
      </c>
      <c r="B19" s="726"/>
      <c r="C19" s="726"/>
      <c r="D19" s="758"/>
      <c r="E19" s="759"/>
      <c r="F19" s="760"/>
      <c r="G19" s="728" t="s">
        <v>64</v>
      </c>
      <c r="H19" s="728"/>
      <c r="I19" s="728"/>
      <c r="J19" s="729" t="s">
        <v>6</v>
      </c>
      <c r="K19" s="729"/>
      <c r="L19" s="729"/>
      <c r="M19" s="765"/>
      <c r="N19" s="765"/>
      <c r="O19" s="766"/>
      <c r="P19" s="853" t="s">
        <v>64</v>
      </c>
      <c r="Q19" s="854"/>
      <c r="R19" s="854"/>
      <c r="S19" s="792" t="s">
        <v>9</v>
      </c>
      <c r="T19" s="792"/>
      <c r="U19" s="792"/>
      <c r="V19" s="850"/>
      <c r="W19" s="850"/>
      <c r="X19" s="851"/>
      <c r="Y19" s="736" t="s">
        <v>64</v>
      </c>
      <c r="Z19" s="736"/>
      <c r="AA19" s="736"/>
      <c r="AC19" s="806" t="s">
        <v>67</v>
      </c>
      <c r="AD19" s="806"/>
      <c r="AE19" s="806"/>
      <c r="AF19" s="806"/>
      <c r="AG19" s="806"/>
      <c r="AH19" s="6"/>
      <c r="AI19" s="726" t="s">
        <v>3</v>
      </c>
      <c r="AJ19" s="726"/>
      <c r="AK19" s="726"/>
      <c r="AL19" s="758"/>
      <c r="AM19" s="759"/>
      <c r="AN19" s="760"/>
      <c r="AO19" s="728" t="s">
        <v>64</v>
      </c>
      <c r="AP19" s="728"/>
      <c r="AQ19" s="728"/>
      <c r="AR19" s="729" t="s">
        <v>6</v>
      </c>
      <c r="AS19" s="729"/>
      <c r="AT19" s="729"/>
      <c r="AU19" s="765"/>
      <c r="AV19" s="765"/>
      <c r="AW19" s="766"/>
      <c r="AX19" s="853" t="s">
        <v>64</v>
      </c>
      <c r="AY19" s="854"/>
      <c r="AZ19" s="854"/>
      <c r="BA19" s="792" t="s">
        <v>9</v>
      </c>
      <c r="BB19" s="792"/>
      <c r="BC19" s="792"/>
      <c r="BD19" s="850"/>
      <c r="BE19" s="850"/>
      <c r="BF19" s="851"/>
      <c r="BG19" s="736" t="s">
        <v>64</v>
      </c>
      <c r="BH19" s="736"/>
      <c r="BI19" s="736"/>
      <c r="BJ19" s="17"/>
      <c r="BK19" s="806" t="s">
        <v>67</v>
      </c>
      <c r="BL19" s="806"/>
      <c r="BM19" s="806"/>
      <c r="BN19" s="806"/>
      <c r="BO19" s="806"/>
      <c r="BP19" s="6"/>
      <c r="BQ19" s="6"/>
      <c r="BR19" s="6"/>
      <c r="BS19" s="6"/>
    </row>
    <row r="20" spans="1:72" ht="7.5" customHeight="1" thickBot="1" x14ac:dyDescent="0.3">
      <c r="A20" s="727"/>
      <c r="B20" s="727"/>
      <c r="C20" s="727"/>
      <c r="D20" s="761"/>
      <c r="E20" s="761"/>
      <c r="F20" s="762"/>
      <c r="G20" s="728"/>
      <c r="H20" s="728"/>
      <c r="I20" s="728"/>
      <c r="J20" s="730"/>
      <c r="K20" s="730"/>
      <c r="L20" s="730"/>
      <c r="M20" s="767"/>
      <c r="N20" s="767"/>
      <c r="O20" s="768"/>
      <c r="P20" s="855"/>
      <c r="Q20" s="856"/>
      <c r="R20" s="856"/>
      <c r="S20" s="793"/>
      <c r="T20" s="793"/>
      <c r="U20" s="793"/>
      <c r="V20" s="786"/>
      <c r="W20" s="786"/>
      <c r="X20" s="787"/>
      <c r="Y20" s="736"/>
      <c r="Z20" s="736"/>
      <c r="AA20" s="736"/>
      <c r="AC20" s="807"/>
      <c r="AD20" s="807"/>
      <c r="AE20" s="807"/>
      <c r="AF20" s="807"/>
      <c r="AG20" s="807"/>
      <c r="AH20" s="11"/>
      <c r="AI20" s="727"/>
      <c r="AJ20" s="727"/>
      <c r="AK20" s="727"/>
      <c r="AL20" s="761"/>
      <c r="AM20" s="761"/>
      <c r="AN20" s="762"/>
      <c r="AO20" s="728"/>
      <c r="AP20" s="728"/>
      <c r="AQ20" s="728"/>
      <c r="AR20" s="730"/>
      <c r="AS20" s="730"/>
      <c r="AT20" s="730"/>
      <c r="AU20" s="767"/>
      <c r="AV20" s="767"/>
      <c r="AW20" s="768"/>
      <c r="AX20" s="855"/>
      <c r="AY20" s="856"/>
      <c r="AZ20" s="856"/>
      <c r="BA20" s="793"/>
      <c r="BB20" s="793"/>
      <c r="BC20" s="793"/>
      <c r="BD20" s="786"/>
      <c r="BE20" s="786"/>
      <c r="BF20" s="787"/>
      <c r="BG20" s="736"/>
      <c r="BH20" s="736"/>
      <c r="BI20" s="736"/>
      <c r="BJ20" s="17"/>
      <c r="BK20" s="807"/>
      <c r="BL20" s="807"/>
      <c r="BM20" s="807"/>
      <c r="BN20" s="807"/>
      <c r="BO20" s="807"/>
      <c r="BP20" s="6"/>
      <c r="BQ20" s="6"/>
      <c r="BR20" s="6"/>
      <c r="BS20" s="6"/>
    </row>
    <row r="21" spans="1:72" ht="7.5" customHeight="1" thickBot="1" x14ac:dyDescent="0.3">
      <c r="A21" s="734"/>
      <c r="B21" s="735"/>
      <c r="C21" s="735"/>
      <c r="D21" s="763"/>
      <c r="E21" s="763"/>
      <c r="F21" s="764"/>
      <c r="G21" s="728"/>
      <c r="H21" s="728"/>
      <c r="I21" s="728"/>
      <c r="J21" s="852"/>
      <c r="K21" s="852"/>
      <c r="L21" s="852"/>
      <c r="M21" s="769"/>
      <c r="N21" s="769"/>
      <c r="O21" s="770"/>
      <c r="P21" s="857"/>
      <c r="Q21" s="836"/>
      <c r="R21" s="836"/>
      <c r="S21" s="733"/>
      <c r="T21" s="733"/>
      <c r="U21" s="733"/>
      <c r="V21" s="788"/>
      <c r="W21" s="788"/>
      <c r="X21" s="789"/>
      <c r="Y21" s="736"/>
      <c r="Z21" s="736"/>
      <c r="AA21" s="736"/>
      <c r="AB21" s="15"/>
      <c r="AC21" s="808"/>
      <c r="AD21" s="808"/>
      <c r="AE21" s="808"/>
      <c r="AF21" s="808"/>
      <c r="AG21" s="808"/>
      <c r="AH21" s="6"/>
      <c r="AI21" s="734"/>
      <c r="AJ21" s="735"/>
      <c r="AK21" s="735"/>
      <c r="AL21" s="763"/>
      <c r="AM21" s="763"/>
      <c r="AN21" s="764"/>
      <c r="AO21" s="728"/>
      <c r="AP21" s="728"/>
      <c r="AQ21" s="728"/>
      <c r="AR21" s="852"/>
      <c r="AS21" s="852"/>
      <c r="AT21" s="852"/>
      <c r="AU21" s="769"/>
      <c r="AV21" s="769"/>
      <c r="AW21" s="770"/>
      <c r="AX21" s="857"/>
      <c r="AY21" s="836"/>
      <c r="AZ21" s="836"/>
      <c r="BA21" s="733"/>
      <c r="BB21" s="733"/>
      <c r="BC21" s="733"/>
      <c r="BD21" s="788"/>
      <c r="BE21" s="788"/>
      <c r="BF21" s="789"/>
      <c r="BG21" s="736"/>
      <c r="BH21" s="736"/>
      <c r="BI21" s="736"/>
      <c r="BJ21" s="17"/>
      <c r="BK21" s="808"/>
      <c r="BL21" s="808"/>
      <c r="BM21" s="808"/>
      <c r="BN21" s="808"/>
      <c r="BO21" s="808"/>
      <c r="BP21" s="6"/>
      <c r="BQ21" s="6"/>
      <c r="BR21" s="6"/>
      <c r="BS21" s="6"/>
    </row>
    <row r="22" spans="1:72" ht="7.5" customHeight="1" thickBot="1" x14ac:dyDescent="0.3">
      <c r="AH22" s="11"/>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6"/>
      <c r="BQ22" s="6"/>
      <c r="BR22" s="6"/>
      <c r="BS22" s="6"/>
      <c r="BT22" s="6"/>
    </row>
    <row r="23" spans="1:72" ht="7.5" customHeight="1" thickTop="1" x14ac:dyDescent="0.25">
      <c r="A23" s="747"/>
      <c r="B23" s="748"/>
      <c r="C23" s="748"/>
      <c r="D23" s="748"/>
      <c r="E23" s="748"/>
      <c r="F23" s="748"/>
      <c r="G23" s="748"/>
      <c r="H23" s="748"/>
      <c r="I23" s="748"/>
      <c r="J23" s="748"/>
      <c r="K23" s="748"/>
      <c r="L23" s="748"/>
      <c r="M23" s="748"/>
      <c r="N23" s="748"/>
      <c r="O23" s="748"/>
      <c r="P23" s="748"/>
      <c r="Q23" s="748"/>
      <c r="R23" s="748"/>
      <c r="S23" s="748"/>
      <c r="T23" s="21"/>
      <c r="U23" s="20"/>
      <c r="V23" s="20"/>
      <c r="W23" s="20"/>
      <c r="X23" s="20"/>
      <c r="Y23" s="2"/>
      <c r="Z23" s="2"/>
      <c r="AA23" s="2"/>
      <c r="AB23" s="2"/>
      <c r="AC23" s="2"/>
      <c r="AD23" s="2"/>
      <c r="AE23" s="2"/>
      <c r="AF23" s="755"/>
      <c r="AG23" s="755"/>
      <c r="AH23" s="11"/>
      <c r="AI23" s="747"/>
      <c r="AJ23" s="748"/>
      <c r="AK23" s="748"/>
      <c r="AL23" s="748"/>
      <c r="AM23" s="748"/>
      <c r="AN23" s="748"/>
      <c r="AO23" s="748"/>
      <c r="AP23" s="748"/>
      <c r="AQ23" s="748"/>
      <c r="AR23" s="748"/>
      <c r="AS23" s="748"/>
      <c r="AT23" s="748"/>
      <c r="AU23" s="748"/>
      <c r="AV23" s="748"/>
      <c r="AW23" s="748"/>
      <c r="AX23" s="748"/>
      <c r="AY23" s="748"/>
      <c r="AZ23" s="748"/>
      <c r="BA23" s="748"/>
      <c r="BB23" s="21"/>
      <c r="BC23" s="20"/>
      <c r="BD23" s="20"/>
      <c r="BE23" s="20"/>
      <c r="BF23" s="20"/>
      <c r="BG23" s="2"/>
      <c r="BH23" s="2"/>
      <c r="BI23" s="2"/>
      <c r="BJ23" s="2"/>
      <c r="BK23" s="2"/>
      <c r="BL23" s="2"/>
      <c r="BM23" s="2"/>
      <c r="BN23" s="755"/>
      <c r="BO23" s="755"/>
      <c r="BP23" s="6"/>
      <c r="BQ23" s="6"/>
      <c r="BR23" s="11"/>
      <c r="BS23" s="11"/>
      <c r="BT23" s="6"/>
    </row>
    <row r="24" spans="1:72" ht="7.5" customHeight="1" x14ac:dyDescent="0.25">
      <c r="A24" s="749"/>
      <c r="B24" s="750"/>
      <c r="C24" s="750"/>
      <c r="D24" s="750"/>
      <c r="E24" s="750"/>
      <c r="F24" s="750"/>
      <c r="G24" s="750"/>
      <c r="H24" s="750"/>
      <c r="I24" s="750"/>
      <c r="J24" s="750"/>
      <c r="K24" s="750"/>
      <c r="L24" s="750"/>
      <c r="M24" s="750"/>
      <c r="N24" s="750"/>
      <c r="O24" s="750"/>
      <c r="P24" s="750"/>
      <c r="Q24" s="750"/>
      <c r="R24" s="750"/>
      <c r="S24" s="751"/>
      <c r="T24" s="17"/>
      <c r="U24" s="756"/>
      <c r="V24" s="756"/>
      <c r="W24" s="756"/>
      <c r="X24" s="756"/>
      <c r="Y24" s="756"/>
      <c r="Z24" s="17"/>
      <c r="AA24" s="741"/>
      <c r="AB24" s="741"/>
      <c r="AC24" s="741"/>
      <c r="AD24" s="741"/>
      <c r="AE24" s="741"/>
      <c r="AF24" s="741"/>
      <c r="AG24" s="742"/>
      <c r="AH24" s="11"/>
      <c r="AI24" s="749"/>
      <c r="AJ24" s="750"/>
      <c r="AK24" s="750"/>
      <c r="AL24" s="750"/>
      <c r="AM24" s="750"/>
      <c r="AN24" s="750"/>
      <c r="AO24" s="750"/>
      <c r="AP24" s="750"/>
      <c r="AQ24" s="750"/>
      <c r="AR24" s="750"/>
      <c r="AS24" s="750"/>
      <c r="AT24" s="750"/>
      <c r="AU24" s="750"/>
      <c r="AV24" s="750"/>
      <c r="AW24" s="750"/>
      <c r="AX24" s="750"/>
      <c r="AY24" s="750"/>
      <c r="AZ24" s="750"/>
      <c r="BA24" s="751"/>
      <c r="BB24" s="17"/>
      <c r="BC24" s="756"/>
      <c r="BD24" s="756"/>
      <c r="BE24" s="756"/>
      <c r="BF24" s="756"/>
      <c r="BG24" s="756"/>
      <c r="BH24" s="17"/>
      <c r="BI24" s="741"/>
      <c r="BJ24" s="741"/>
      <c r="BK24" s="741"/>
      <c r="BL24" s="741"/>
      <c r="BM24" s="741"/>
      <c r="BN24" s="741"/>
      <c r="BO24" s="742"/>
      <c r="BP24" s="6"/>
      <c r="BQ24" s="6"/>
      <c r="BR24" s="11"/>
      <c r="BS24" s="11"/>
      <c r="BT24" s="6"/>
    </row>
    <row r="25" spans="1:72" ht="7.5" customHeight="1" thickBot="1" x14ac:dyDescent="0.3">
      <c r="A25" s="752"/>
      <c r="B25" s="753"/>
      <c r="C25" s="753"/>
      <c r="D25" s="753"/>
      <c r="E25" s="753"/>
      <c r="F25" s="753"/>
      <c r="G25" s="753"/>
      <c r="H25" s="753"/>
      <c r="I25" s="753"/>
      <c r="J25" s="753"/>
      <c r="K25" s="753"/>
      <c r="L25" s="753"/>
      <c r="M25" s="753"/>
      <c r="N25" s="753"/>
      <c r="O25" s="753"/>
      <c r="P25" s="753"/>
      <c r="Q25" s="753"/>
      <c r="R25" s="753"/>
      <c r="S25" s="754"/>
      <c r="T25" s="17"/>
      <c r="U25" s="757"/>
      <c r="V25" s="757"/>
      <c r="W25" s="757"/>
      <c r="X25" s="757"/>
      <c r="Y25" s="757"/>
      <c r="Z25" s="17"/>
      <c r="AA25" s="743"/>
      <c r="AB25" s="743"/>
      <c r="AC25" s="743"/>
      <c r="AD25" s="743"/>
      <c r="AE25" s="743"/>
      <c r="AF25" s="743"/>
      <c r="AG25" s="744"/>
      <c r="AH25" s="11"/>
      <c r="AI25" s="752"/>
      <c r="AJ25" s="753"/>
      <c r="AK25" s="753"/>
      <c r="AL25" s="753"/>
      <c r="AM25" s="753"/>
      <c r="AN25" s="753"/>
      <c r="AO25" s="753"/>
      <c r="AP25" s="753"/>
      <c r="AQ25" s="753"/>
      <c r="AR25" s="753"/>
      <c r="AS25" s="753"/>
      <c r="AT25" s="753"/>
      <c r="AU25" s="753"/>
      <c r="AV25" s="753"/>
      <c r="AW25" s="753"/>
      <c r="AX25" s="753"/>
      <c r="AY25" s="753"/>
      <c r="AZ25" s="753"/>
      <c r="BA25" s="754"/>
      <c r="BB25" s="17"/>
      <c r="BC25" s="757"/>
      <c r="BD25" s="757"/>
      <c r="BE25" s="757"/>
      <c r="BF25" s="757"/>
      <c r="BG25" s="757"/>
      <c r="BH25" s="17"/>
      <c r="BI25" s="743"/>
      <c r="BJ25" s="743"/>
      <c r="BK25" s="743"/>
      <c r="BL25" s="743"/>
      <c r="BM25" s="743"/>
      <c r="BN25" s="743"/>
      <c r="BO25" s="744"/>
      <c r="BP25" s="6"/>
      <c r="BQ25" s="6"/>
      <c r="BR25" s="11"/>
      <c r="BS25" s="11"/>
      <c r="BT25" s="6"/>
    </row>
    <row r="26" spans="1:72" ht="7.5" customHeight="1" thickTop="1" x14ac:dyDescent="0.25">
      <c r="A26" s="771" t="s">
        <v>68</v>
      </c>
      <c r="B26" s="772"/>
      <c r="C26" s="772"/>
      <c r="D26" s="772"/>
      <c r="E26" s="772"/>
      <c r="F26" s="772"/>
      <c r="G26" s="772"/>
      <c r="H26" s="772"/>
      <c r="I26" s="772"/>
      <c r="J26" s="772"/>
      <c r="K26" s="772"/>
      <c r="L26" s="772"/>
      <c r="M26" s="772"/>
      <c r="N26" s="772"/>
      <c r="O26" s="772"/>
      <c r="P26" s="772"/>
      <c r="Q26" s="772"/>
      <c r="R26" s="772"/>
      <c r="S26" s="772"/>
      <c r="T26" s="17"/>
      <c r="U26" s="745" t="s">
        <v>24</v>
      </c>
      <c r="V26" s="745"/>
      <c r="W26" s="745"/>
      <c r="X26" s="745"/>
      <c r="Y26" s="745"/>
      <c r="Z26" s="17"/>
      <c r="AA26" s="745" t="s">
        <v>69</v>
      </c>
      <c r="AB26" s="745"/>
      <c r="AC26" s="745"/>
      <c r="AD26" s="745"/>
      <c r="AE26" s="745"/>
      <c r="AF26" s="745"/>
      <c r="AG26" s="746"/>
      <c r="AH26" s="11"/>
      <c r="AI26" s="771" t="s">
        <v>68</v>
      </c>
      <c r="AJ26" s="772"/>
      <c r="AK26" s="772"/>
      <c r="AL26" s="772"/>
      <c r="AM26" s="772"/>
      <c r="AN26" s="772"/>
      <c r="AO26" s="772"/>
      <c r="AP26" s="772"/>
      <c r="AQ26" s="772"/>
      <c r="AR26" s="772"/>
      <c r="AS26" s="772"/>
      <c r="AT26" s="772"/>
      <c r="AU26" s="772"/>
      <c r="AV26" s="772"/>
      <c r="AW26" s="772"/>
      <c r="AX26" s="772"/>
      <c r="AY26" s="772"/>
      <c r="AZ26" s="772"/>
      <c r="BA26" s="772"/>
      <c r="BB26" s="17"/>
      <c r="BC26" s="745" t="s">
        <v>24</v>
      </c>
      <c r="BD26" s="745"/>
      <c r="BE26" s="745"/>
      <c r="BF26" s="745"/>
      <c r="BG26" s="745"/>
      <c r="BH26" s="17"/>
      <c r="BI26" s="745" t="s">
        <v>69</v>
      </c>
      <c r="BJ26" s="745"/>
      <c r="BK26" s="745"/>
      <c r="BL26" s="745"/>
      <c r="BM26" s="745"/>
      <c r="BN26" s="745"/>
      <c r="BO26" s="746"/>
      <c r="BP26" s="6"/>
      <c r="BQ26" s="6"/>
      <c r="BR26" s="11"/>
      <c r="BS26" s="11"/>
      <c r="BT26" s="6"/>
    </row>
    <row r="27" spans="1:72" ht="7.5" customHeight="1" x14ac:dyDescent="0.25">
      <c r="A27" s="809" t="s">
        <v>31</v>
      </c>
      <c r="B27" s="810"/>
      <c r="C27" s="810"/>
      <c r="D27" s="810"/>
      <c r="E27" s="810"/>
      <c r="F27" s="810"/>
      <c r="G27" s="810"/>
      <c r="H27" s="810"/>
      <c r="I27" s="810"/>
      <c r="J27" s="810"/>
      <c r="K27" s="810"/>
      <c r="L27" s="810"/>
      <c r="M27" s="810"/>
      <c r="N27" s="810"/>
      <c r="O27" s="810"/>
      <c r="P27" s="810"/>
      <c r="Q27" s="810"/>
      <c r="R27" s="810"/>
      <c r="S27" s="810"/>
      <c r="T27" s="810"/>
      <c r="U27" s="810"/>
      <c r="V27" s="810"/>
      <c r="W27" s="810"/>
      <c r="X27" s="810"/>
      <c r="Y27" s="810"/>
      <c r="Z27" s="22"/>
      <c r="AA27" s="18"/>
      <c r="AB27" s="18"/>
      <c r="AC27" s="18"/>
      <c r="AD27" s="18"/>
      <c r="AE27" s="18"/>
      <c r="AF27" s="18"/>
      <c r="AG27" s="19"/>
      <c r="AH27" s="11"/>
      <c r="AI27" s="809" t="s">
        <v>31</v>
      </c>
      <c r="AJ27" s="810"/>
      <c r="AK27" s="810"/>
      <c r="AL27" s="810"/>
      <c r="AM27" s="810"/>
      <c r="AN27" s="810"/>
      <c r="AO27" s="810"/>
      <c r="AP27" s="810"/>
      <c r="AQ27" s="810"/>
      <c r="AR27" s="810"/>
      <c r="AS27" s="810"/>
      <c r="AT27" s="810"/>
      <c r="AU27" s="810"/>
      <c r="AV27" s="810"/>
      <c r="AW27" s="810"/>
      <c r="AX27" s="810"/>
      <c r="AY27" s="810"/>
      <c r="AZ27" s="810"/>
      <c r="BA27" s="810"/>
      <c r="BB27" s="810"/>
      <c r="BC27" s="810"/>
      <c r="BD27" s="810"/>
      <c r="BE27" s="810"/>
      <c r="BF27" s="810"/>
      <c r="BG27" s="810"/>
      <c r="BH27" s="22"/>
      <c r="BI27" s="18"/>
      <c r="BJ27" s="18"/>
      <c r="BK27" s="18"/>
      <c r="BL27" s="18"/>
      <c r="BM27" s="18"/>
      <c r="BN27" s="18"/>
      <c r="BO27" s="19"/>
      <c r="BP27" s="6"/>
      <c r="BQ27" s="6"/>
      <c r="BR27" s="11"/>
      <c r="BS27" s="11"/>
      <c r="BT27" s="6"/>
    </row>
    <row r="28" spans="1:72" ht="7.5" customHeight="1" x14ac:dyDescent="0.25">
      <c r="A28" s="809"/>
      <c r="B28" s="810"/>
      <c r="C28" s="810"/>
      <c r="D28" s="810"/>
      <c r="E28" s="810"/>
      <c r="F28" s="810"/>
      <c r="G28" s="810"/>
      <c r="H28" s="810"/>
      <c r="I28" s="810"/>
      <c r="J28" s="810"/>
      <c r="K28" s="810"/>
      <c r="L28" s="810"/>
      <c r="M28" s="810"/>
      <c r="N28" s="810"/>
      <c r="O28" s="810"/>
      <c r="P28" s="810"/>
      <c r="Q28" s="810"/>
      <c r="R28" s="810"/>
      <c r="S28" s="810"/>
      <c r="T28" s="810"/>
      <c r="U28" s="810"/>
      <c r="V28" s="810"/>
      <c r="W28" s="810"/>
      <c r="X28" s="810"/>
      <c r="Y28" s="810"/>
      <c r="Z28" s="22"/>
      <c r="AA28" s="741"/>
      <c r="AB28" s="741"/>
      <c r="AC28" s="741"/>
      <c r="AD28" s="741"/>
      <c r="AE28" s="741"/>
      <c r="AF28" s="741"/>
      <c r="AG28" s="742"/>
      <c r="AH28" s="11"/>
      <c r="AI28" s="809"/>
      <c r="AJ28" s="810"/>
      <c r="AK28" s="810"/>
      <c r="AL28" s="810"/>
      <c r="AM28" s="810"/>
      <c r="AN28" s="810"/>
      <c r="AO28" s="810"/>
      <c r="AP28" s="810"/>
      <c r="AQ28" s="810"/>
      <c r="AR28" s="810"/>
      <c r="AS28" s="810"/>
      <c r="AT28" s="810"/>
      <c r="AU28" s="810"/>
      <c r="AV28" s="810"/>
      <c r="AW28" s="810"/>
      <c r="AX28" s="810"/>
      <c r="AY28" s="810"/>
      <c r="AZ28" s="810"/>
      <c r="BA28" s="810"/>
      <c r="BB28" s="810"/>
      <c r="BC28" s="810"/>
      <c r="BD28" s="810"/>
      <c r="BE28" s="810"/>
      <c r="BF28" s="810"/>
      <c r="BG28" s="810"/>
      <c r="BH28" s="22"/>
      <c r="BI28" s="741"/>
      <c r="BJ28" s="741"/>
      <c r="BK28" s="741"/>
      <c r="BL28" s="741"/>
      <c r="BM28" s="741"/>
      <c r="BN28" s="741"/>
      <c r="BO28" s="742"/>
      <c r="BP28" s="6"/>
      <c r="BQ28" s="6"/>
      <c r="BR28" s="11"/>
      <c r="BS28" s="11"/>
      <c r="BT28" s="6"/>
    </row>
    <row r="29" spans="1:72" ht="7.5" customHeight="1" x14ac:dyDescent="0.25">
      <c r="A29" s="809"/>
      <c r="B29" s="810"/>
      <c r="C29" s="810"/>
      <c r="D29" s="810"/>
      <c r="E29" s="810"/>
      <c r="F29" s="810"/>
      <c r="G29" s="810"/>
      <c r="H29" s="810"/>
      <c r="I29" s="810"/>
      <c r="J29" s="810"/>
      <c r="K29" s="810"/>
      <c r="L29" s="810"/>
      <c r="M29" s="810"/>
      <c r="N29" s="810"/>
      <c r="O29" s="810"/>
      <c r="P29" s="810"/>
      <c r="Q29" s="810"/>
      <c r="R29" s="810"/>
      <c r="S29" s="810"/>
      <c r="T29" s="810"/>
      <c r="U29" s="810"/>
      <c r="V29" s="810"/>
      <c r="W29" s="810"/>
      <c r="X29" s="810"/>
      <c r="Y29" s="810"/>
      <c r="Z29" s="22"/>
      <c r="AA29" s="813"/>
      <c r="AB29" s="813"/>
      <c r="AC29" s="813"/>
      <c r="AD29" s="813"/>
      <c r="AE29" s="813"/>
      <c r="AF29" s="813"/>
      <c r="AG29" s="814"/>
      <c r="AH29" s="11"/>
      <c r="AI29" s="809"/>
      <c r="AJ29" s="810"/>
      <c r="AK29" s="810"/>
      <c r="AL29" s="810"/>
      <c r="AM29" s="810"/>
      <c r="AN29" s="810"/>
      <c r="AO29" s="810"/>
      <c r="AP29" s="810"/>
      <c r="AQ29" s="810"/>
      <c r="AR29" s="810"/>
      <c r="AS29" s="810"/>
      <c r="AT29" s="810"/>
      <c r="AU29" s="810"/>
      <c r="AV29" s="810"/>
      <c r="AW29" s="810"/>
      <c r="AX29" s="810"/>
      <c r="AY29" s="810"/>
      <c r="AZ29" s="810"/>
      <c r="BA29" s="810"/>
      <c r="BB29" s="810"/>
      <c r="BC29" s="810"/>
      <c r="BD29" s="810"/>
      <c r="BE29" s="810"/>
      <c r="BF29" s="810"/>
      <c r="BG29" s="810"/>
      <c r="BH29" s="22"/>
      <c r="BI29" s="813"/>
      <c r="BJ29" s="813"/>
      <c r="BK29" s="813"/>
      <c r="BL29" s="813"/>
      <c r="BM29" s="813"/>
      <c r="BN29" s="813"/>
      <c r="BO29" s="814"/>
      <c r="BP29" s="6"/>
      <c r="BQ29" s="6"/>
      <c r="BR29" s="11"/>
      <c r="BS29" s="11"/>
      <c r="BT29" s="6"/>
    </row>
    <row r="30" spans="1:72" ht="7.5" customHeight="1" thickBot="1" x14ac:dyDescent="0.3">
      <c r="A30" s="811"/>
      <c r="B30" s="812"/>
      <c r="C30" s="812"/>
      <c r="D30" s="812"/>
      <c r="E30" s="812"/>
      <c r="F30" s="812"/>
      <c r="G30" s="812"/>
      <c r="H30" s="812"/>
      <c r="I30" s="812"/>
      <c r="J30" s="812"/>
      <c r="K30" s="812"/>
      <c r="L30" s="812"/>
      <c r="M30" s="812"/>
      <c r="N30" s="812"/>
      <c r="O30" s="812"/>
      <c r="P30" s="812"/>
      <c r="Q30" s="812"/>
      <c r="R30" s="812"/>
      <c r="S30" s="812"/>
      <c r="T30" s="812"/>
      <c r="U30" s="812"/>
      <c r="V30" s="812"/>
      <c r="W30" s="812"/>
      <c r="X30" s="812"/>
      <c r="Y30" s="812"/>
      <c r="Z30" s="23"/>
      <c r="AA30" s="773" t="s">
        <v>51</v>
      </c>
      <c r="AB30" s="773"/>
      <c r="AC30" s="773"/>
      <c r="AD30" s="773"/>
      <c r="AE30" s="773"/>
      <c r="AF30" s="773"/>
      <c r="AG30" s="774"/>
      <c r="AH30" s="6"/>
      <c r="AI30" s="811"/>
      <c r="AJ30" s="812"/>
      <c r="AK30" s="812"/>
      <c r="AL30" s="812"/>
      <c r="AM30" s="812"/>
      <c r="AN30" s="812"/>
      <c r="AO30" s="812"/>
      <c r="AP30" s="812"/>
      <c r="AQ30" s="812"/>
      <c r="AR30" s="812"/>
      <c r="AS30" s="812"/>
      <c r="AT30" s="812"/>
      <c r="AU30" s="812"/>
      <c r="AV30" s="812"/>
      <c r="AW30" s="812"/>
      <c r="AX30" s="812"/>
      <c r="AY30" s="812"/>
      <c r="AZ30" s="812"/>
      <c r="BA30" s="812"/>
      <c r="BB30" s="812"/>
      <c r="BC30" s="812"/>
      <c r="BD30" s="812"/>
      <c r="BE30" s="812"/>
      <c r="BF30" s="812"/>
      <c r="BG30" s="812"/>
      <c r="BH30" s="23"/>
      <c r="BI30" s="773" t="s">
        <v>51</v>
      </c>
      <c r="BJ30" s="773"/>
      <c r="BK30" s="773"/>
      <c r="BL30" s="773"/>
      <c r="BM30" s="773"/>
      <c r="BN30" s="773"/>
      <c r="BO30" s="774"/>
      <c r="BP30" s="6"/>
      <c r="BQ30" s="6"/>
      <c r="BR30" s="11"/>
      <c r="BS30" s="11"/>
      <c r="BT30" s="6"/>
    </row>
    <row r="31" spans="1:72" ht="7.5" customHeight="1" thickTop="1" thickBot="1" x14ac:dyDescent="0.3">
      <c r="AH31" s="11"/>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6"/>
      <c r="BQ31" s="6"/>
      <c r="BR31" s="11"/>
      <c r="BS31" s="11"/>
      <c r="BT31" s="6"/>
    </row>
    <row r="32" spans="1:72" ht="7.5" customHeight="1" thickTop="1" x14ac:dyDescent="0.25">
      <c r="A32" s="747"/>
      <c r="B32" s="748"/>
      <c r="C32" s="748"/>
      <c r="D32" s="748"/>
      <c r="E32" s="748"/>
      <c r="F32" s="748"/>
      <c r="G32" s="748"/>
      <c r="H32" s="748"/>
      <c r="I32" s="748"/>
      <c r="J32" s="748"/>
      <c r="K32" s="748"/>
      <c r="L32" s="748"/>
      <c r="M32" s="748"/>
      <c r="N32" s="748"/>
      <c r="O32" s="748"/>
      <c r="P32" s="748"/>
      <c r="Q32" s="748"/>
      <c r="R32" s="748"/>
      <c r="S32" s="748"/>
      <c r="T32" s="21"/>
      <c r="U32" s="20"/>
      <c r="V32" s="20"/>
      <c r="W32" s="20"/>
      <c r="X32" s="20"/>
      <c r="Y32" s="2"/>
      <c r="Z32" s="2"/>
      <c r="AA32" s="2"/>
      <c r="AB32" s="2"/>
      <c r="AC32" s="2"/>
      <c r="AD32" s="2"/>
      <c r="AE32" s="2"/>
      <c r="AF32" s="755"/>
      <c r="AG32" s="755"/>
      <c r="AH32" s="11"/>
      <c r="AI32" s="747"/>
      <c r="AJ32" s="748"/>
      <c r="AK32" s="748"/>
      <c r="AL32" s="748"/>
      <c r="AM32" s="748"/>
      <c r="AN32" s="748"/>
      <c r="AO32" s="748"/>
      <c r="AP32" s="748"/>
      <c r="AQ32" s="748"/>
      <c r="AR32" s="748"/>
      <c r="AS32" s="748"/>
      <c r="AT32" s="748"/>
      <c r="AU32" s="748"/>
      <c r="AV32" s="748"/>
      <c r="AW32" s="748"/>
      <c r="AX32" s="748"/>
      <c r="AY32" s="748"/>
      <c r="AZ32" s="748"/>
      <c r="BA32" s="748"/>
      <c r="BB32" s="21"/>
      <c r="BC32" s="20"/>
      <c r="BD32" s="20"/>
      <c r="BE32" s="20"/>
      <c r="BF32" s="20"/>
      <c r="BG32" s="2"/>
      <c r="BH32" s="2"/>
      <c r="BI32" s="2"/>
      <c r="BJ32" s="2"/>
      <c r="BK32" s="2"/>
      <c r="BL32" s="2"/>
      <c r="BM32" s="2"/>
      <c r="BN32" s="755"/>
      <c r="BO32" s="755"/>
      <c r="BP32" s="6"/>
      <c r="BQ32" s="6"/>
      <c r="BR32" s="11"/>
      <c r="BS32" s="11"/>
      <c r="BT32" s="6"/>
    </row>
    <row r="33" spans="1:72" ht="7.5" customHeight="1" x14ac:dyDescent="0.25">
      <c r="A33" s="749"/>
      <c r="B33" s="750"/>
      <c r="C33" s="750"/>
      <c r="D33" s="750"/>
      <c r="E33" s="750"/>
      <c r="F33" s="750"/>
      <c r="G33" s="750"/>
      <c r="H33" s="750"/>
      <c r="I33" s="750"/>
      <c r="J33" s="750"/>
      <c r="K33" s="750"/>
      <c r="L33" s="750"/>
      <c r="M33" s="750"/>
      <c r="N33" s="750"/>
      <c r="O33" s="750"/>
      <c r="P33" s="750"/>
      <c r="Q33" s="750"/>
      <c r="R33" s="750"/>
      <c r="S33" s="751"/>
      <c r="T33" s="17"/>
      <c r="U33" s="756"/>
      <c r="V33" s="756"/>
      <c r="W33" s="756"/>
      <c r="X33" s="756"/>
      <c r="Y33" s="756"/>
      <c r="Z33" s="17"/>
      <c r="AA33" s="741"/>
      <c r="AB33" s="741"/>
      <c r="AC33" s="741"/>
      <c r="AD33" s="741"/>
      <c r="AE33" s="741"/>
      <c r="AF33" s="741"/>
      <c r="AG33" s="742"/>
      <c r="AH33" s="12"/>
      <c r="AI33" s="749"/>
      <c r="AJ33" s="750"/>
      <c r="AK33" s="750"/>
      <c r="AL33" s="750"/>
      <c r="AM33" s="750"/>
      <c r="AN33" s="750"/>
      <c r="AO33" s="750"/>
      <c r="AP33" s="750"/>
      <c r="AQ33" s="750"/>
      <c r="AR33" s="750"/>
      <c r="AS33" s="750"/>
      <c r="AT33" s="750"/>
      <c r="AU33" s="750"/>
      <c r="AV33" s="750"/>
      <c r="AW33" s="750"/>
      <c r="AX33" s="750"/>
      <c r="AY33" s="750"/>
      <c r="AZ33" s="750"/>
      <c r="BA33" s="751"/>
      <c r="BB33" s="17"/>
      <c r="BC33" s="756"/>
      <c r="BD33" s="756"/>
      <c r="BE33" s="756"/>
      <c r="BF33" s="756"/>
      <c r="BG33" s="756"/>
      <c r="BH33" s="17"/>
      <c r="BI33" s="741"/>
      <c r="BJ33" s="741"/>
      <c r="BK33" s="741"/>
      <c r="BL33" s="741"/>
      <c r="BM33" s="741"/>
      <c r="BN33" s="741"/>
      <c r="BO33" s="742"/>
      <c r="BP33" s="6"/>
      <c r="BQ33" s="6"/>
      <c r="BR33" s="11"/>
      <c r="BS33" s="11"/>
      <c r="BT33" s="6"/>
    </row>
    <row r="34" spans="1:72" ht="7.5" customHeight="1" thickBot="1" x14ac:dyDescent="0.3">
      <c r="A34" s="752"/>
      <c r="B34" s="753"/>
      <c r="C34" s="753"/>
      <c r="D34" s="753"/>
      <c r="E34" s="753"/>
      <c r="F34" s="753"/>
      <c r="G34" s="753"/>
      <c r="H34" s="753"/>
      <c r="I34" s="753"/>
      <c r="J34" s="753"/>
      <c r="K34" s="753"/>
      <c r="L34" s="753"/>
      <c r="M34" s="753"/>
      <c r="N34" s="753"/>
      <c r="O34" s="753"/>
      <c r="P34" s="753"/>
      <c r="Q34" s="753"/>
      <c r="R34" s="753"/>
      <c r="S34" s="754"/>
      <c r="T34" s="17"/>
      <c r="U34" s="757"/>
      <c r="V34" s="757"/>
      <c r="W34" s="757"/>
      <c r="X34" s="757"/>
      <c r="Y34" s="757"/>
      <c r="Z34" s="17"/>
      <c r="AA34" s="743"/>
      <c r="AB34" s="743"/>
      <c r="AC34" s="743"/>
      <c r="AD34" s="743"/>
      <c r="AE34" s="743"/>
      <c r="AF34" s="743"/>
      <c r="AG34" s="744"/>
      <c r="AH34" s="12"/>
      <c r="AI34" s="752"/>
      <c r="AJ34" s="753"/>
      <c r="AK34" s="753"/>
      <c r="AL34" s="753"/>
      <c r="AM34" s="753"/>
      <c r="AN34" s="753"/>
      <c r="AO34" s="753"/>
      <c r="AP34" s="753"/>
      <c r="AQ34" s="753"/>
      <c r="AR34" s="753"/>
      <c r="AS34" s="753"/>
      <c r="AT34" s="753"/>
      <c r="AU34" s="753"/>
      <c r="AV34" s="753"/>
      <c r="AW34" s="753"/>
      <c r="AX34" s="753"/>
      <c r="AY34" s="753"/>
      <c r="AZ34" s="753"/>
      <c r="BA34" s="754"/>
      <c r="BB34" s="17"/>
      <c r="BC34" s="757"/>
      <c r="BD34" s="757"/>
      <c r="BE34" s="757"/>
      <c r="BF34" s="757"/>
      <c r="BG34" s="757"/>
      <c r="BH34" s="17"/>
      <c r="BI34" s="743"/>
      <c r="BJ34" s="743"/>
      <c r="BK34" s="743"/>
      <c r="BL34" s="743"/>
      <c r="BM34" s="743"/>
      <c r="BN34" s="743"/>
      <c r="BO34" s="744"/>
      <c r="BP34" s="6"/>
      <c r="BQ34" s="6"/>
      <c r="BR34" s="11"/>
      <c r="BS34" s="11"/>
      <c r="BT34" s="5"/>
    </row>
    <row r="35" spans="1:72" ht="7.5" customHeight="1" thickTop="1" x14ac:dyDescent="0.25">
      <c r="A35" s="771" t="s">
        <v>68</v>
      </c>
      <c r="B35" s="772"/>
      <c r="C35" s="772"/>
      <c r="D35" s="772"/>
      <c r="E35" s="772"/>
      <c r="F35" s="772"/>
      <c r="G35" s="772"/>
      <c r="H35" s="772"/>
      <c r="I35" s="772"/>
      <c r="J35" s="772"/>
      <c r="K35" s="772"/>
      <c r="L35" s="772"/>
      <c r="M35" s="772"/>
      <c r="N35" s="772"/>
      <c r="O35" s="772"/>
      <c r="P35" s="772"/>
      <c r="Q35" s="772"/>
      <c r="R35" s="772"/>
      <c r="S35" s="772"/>
      <c r="T35" s="17"/>
      <c r="U35" s="745" t="s">
        <v>24</v>
      </c>
      <c r="V35" s="745"/>
      <c r="W35" s="745"/>
      <c r="X35" s="745"/>
      <c r="Y35" s="745"/>
      <c r="Z35" s="17"/>
      <c r="AA35" s="745" t="s">
        <v>69</v>
      </c>
      <c r="AB35" s="745"/>
      <c r="AC35" s="745"/>
      <c r="AD35" s="745"/>
      <c r="AE35" s="745"/>
      <c r="AF35" s="745"/>
      <c r="AG35" s="746"/>
      <c r="AH35" s="12"/>
      <c r="AI35" s="771" t="s">
        <v>68</v>
      </c>
      <c r="AJ35" s="772"/>
      <c r="AK35" s="772"/>
      <c r="AL35" s="772"/>
      <c r="AM35" s="772"/>
      <c r="AN35" s="772"/>
      <c r="AO35" s="772"/>
      <c r="AP35" s="772"/>
      <c r="AQ35" s="772"/>
      <c r="AR35" s="772"/>
      <c r="AS35" s="772"/>
      <c r="AT35" s="772"/>
      <c r="AU35" s="772"/>
      <c r="AV35" s="772"/>
      <c r="AW35" s="772"/>
      <c r="AX35" s="772"/>
      <c r="AY35" s="772"/>
      <c r="AZ35" s="772"/>
      <c r="BA35" s="772"/>
      <c r="BB35" s="17"/>
      <c r="BC35" s="745" t="s">
        <v>24</v>
      </c>
      <c r="BD35" s="745"/>
      <c r="BE35" s="745"/>
      <c r="BF35" s="745"/>
      <c r="BG35" s="745"/>
      <c r="BH35" s="17"/>
      <c r="BI35" s="745" t="s">
        <v>69</v>
      </c>
      <c r="BJ35" s="745"/>
      <c r="BK35" s="745"/>
      <c r="BL35" s="745"/>
      <c r="BM35" s="745"/>
      <c r="BN35" s="745"/>
      <c r="BO35" s="746"/>
      <c r="BP35" s="6"/>
      <c r="BQ35" s="6"/>
      <c r="BR35" s="6"/>
      <c r="BS35" s="6"/>
      <c r="BT35" s="5"/>
    </row>
    <row r="36" spans="1:72" ht="7.5" customHeight="1" x14ac:dyDescent="0.25">
      <c r="A36" s="809" t="s">
        <v>31</v>
      </c>
      <c r="B36" s="810"/>
      <c r="C36" s="810"/>
      <c r="D36" s="810"/>
      <c r="E36" s="810"/>
      <c r="F36" s="810"/>
      <c r="G36" s="810"/>
      <c r="H36" s="810"/>
      <c r="I36" s="810"/>
      <c r="J36" s="810"/>
      <c r="K36" s="810"/>
      <c r="L36" s="810"/>
      <c r="M36" s="810"/>
      <c r="N36" s="810"/>
      <c r="O36" s="810"/>
      <c r="P36" s="810"/>
      <c r="Q36" s="810"/>
      <c r="R36" s="810"/>
      <c r="S36" s="810"/>
      <c r="T36" s="810"/>
      <c r="U36" s="810"/>
      <c r="V36" s="810"/>
      <c r="W36" s="810"/>
      <c r="X36" s="810"/>
      <c r="Y36" s="810"/>
      <c r="Z36" s="22"/>
      <c r="AA36" s="18"/>
      <c r="AB36" s="18"/>
      <c r="AC36" s="18"/>
      <c r="AD36" s="18"/>
      <c r="AE36" s="18"/>
      <c r="AF36" s="18"/>
      <c r="AG36" s="19"/>
      <c r="AH36" s="12"/>
      <c r="AI36" s="809" t="s">
        <v>31</v>
      </c>
      <c r="AJ36" s="810"/>
      <c r="AK36" s="810"/>
      <c r="AL36" s="810"/>
      <c r="AM36" s="810"/>
      <c r="AN36" s="810"/>
      <c r="AO36" s="810"/>
      <c r="AP36" s="810"/>
      <c r="AQ36" s="810"/>
      <c r="AR36" s="810"/>
      <c r="AS36" s="810"/>
      <c r="AT36" s="810"/>
      <c r="AU36" s="810"/>
      <c r="AV36" s="810"/>
      <c r="AW36" s="810"/>
      <c r="AX36" s="810"/>
      <c r="AY36" s="810"/>
      <c r="AZ36" s="810"/>
      <c r="BA36" s="810"/>
      <c r="BB36" s="810"/>
      <c r="BC36" s="810"/>
      <c r="BD36" s="810"/>
      <c r="BE36" s="810"/>
      <c r="BF36" s="810"/>
      <c r="BG36" s="810"/>
      <c r="BH36" s="22"/>
      <c r="BI36" s="18"/>
      <c r="BJ36" s="18"/>
      <c r="BK36" s="18"/>
      <c r="BL36" s="18"/>
      <c r="BM36" s="18"/>
      <c r="BN36" s="18"/>
      <c r="BO36" s="19"/>
      <c r="BP36" s="6"/>
      <c r="BQ36" s="6"/>
      <c r="BR36" s="6"/>
      <c r="BS36" s="6"/>
      <c r="BT36" s="5"/>
    </row>
    <row r="37" spans="1:72" ht="7.5" customHeight="1" x14ac:dyDescent="0.25">
      <c r="A37" s="809"/>
      <c r="B37" s="810"/>
      <c r="C37" s="810"/>
      <c r="D37" s="810"/>
      <c r="E37" s="810"/>
      <c r="F37" s="810"/>
      <c r="G37" s="810"/>
      <c r="H37" s="810"/>
      <c r="I37" s="810"/>
      <c r="J37" s="810"/>
      <c r="K37" s="810"/>
      <c r="L37" s="810"/>
      <c r="M37" s="810"/>
      <c r="N37" s="810"/>
      <c r="O37" s="810"/>
      <c r="P37" s="810"/>
      <c r="Q37" s="810"/>
      <c r="R37" s="810"/>
      <c r="S37" s="810"/>
      <c r="T37" s="810"/>
      <c r="U37" s="810"/>
      <c r="V37" s="810"/>
      <c r="W37" s="810"/>
      <c r="X37" s="810"/>
      <c r="Y37" s="810"/>
      <c r="Z37" s="22"/>
      <c r="AA37" s="741"/>
      <c r="AB37" s="741"/>
      <c r="AC37" s="741"/>
      <c r="AD37" s="741"/>
      <c r="AE37" s="741"/>
      <c r="AF37" s="741"/>
      <c r="AG37" s="742"/>
      <c r="AH37" s="12"/>
      <c r="AI37" s="809"/>
      <c r="AJ37" s="810"/>
      <c r="AK37" s="810"/>
      <c r="AL37" s="810"/>
      <c r="AM37" s="810"/>
      <c r="AN37" s="810"/>
      <c r="AO37" s="810"/>
      <c r="AP37" s="810"/>
      <c r="AQ37" s="810"/>
      <c r="AR37" s="810"/>
      <c r="AS37" s="810"/>
      <c r="AT37" s="810"/>
      <c r="AU37" s="810"/>
      <c r="AV37" s="810"/>
      <c r="AW37" s="810"/>
      <c r="AX37" s="810"/>
      <c r="AY37" s="810"/>
      <c r="AZ37" s="810"/>
      <c r="BA37" s="810"/>
      <c r="BB37" s="810"/>
      <c r="BC37" s="810"/>
      <c r="BD37" s="810"/>
      <c r="BE37" s="810"/>
      <c r="BF37" s="810"/>
      <c r="BG37" s="810"/>
      <c r="BH37" s="22"/>
      <c r="BI37" s="741"/>
      <c r="BJ37" s="741"/>
      <c r="BK37" s="741"/>
      <c r="BL37" s="741"/>
      <c r="BM37" s="741"/>
      <c r="BN37" s="741"/>
      <c r="BO37" s="742"/>
      <c r="BP37" s="6"/>
      <c r="BQ37" s="6"/>
      <c r="BR37" s="6"/>
      <c r="BS37" s="6"/>
      <c r="BT37" s="5"/>
    </row>
    <row r="38" spans="1:72" ht="7.5" customHeight="1" x14ac:dyDescent="0.25">
      <c r="A38" s="809"/>
      <c r="B38" s="810"/>
      <c r="C38" s="810"/>
      <c r="D38" s="810"/>
      <c r="E38" s="810"/>
      <c r="F38" s="810"/>
      <c r="G38" s="810"/>
      <c r="H38" s="810"/>
      <c r="I38" s="810"/>
      <c r="J38" s="810"/>
      <c r="K38" s="810"/>
      <c r="L38" s="810"/>
      <c r="M38" s="810"/>
      <c r="N38" s="810"/>
      <c r="O38" s="810"/>
      <c r="P38" s="810"/>
      <c r="Q38" s="810"/>
      <c r="R38" s="810"/>
      <c r="S38" s="810"/>
      <c r="T38" s="810"/>
      <c r="U38" s="810"/>
      <c r="V38" s="810"/>
      <c r="W38" s="810"/>
      <c r="X38" s="810"/>
      <c r="Y38" s="810"/>
      <c r="Z38" s="22"/>
      <c r="AA38" s="813"/>
      <c r="AB38" s="813"/>
      <c r="AC38" s="813"/>
      <c r="AD38" s="813"/>
      <c r="AE38" s="813"/>
      <c r="AF38" s="813"/>
      <c r="AG38" s="814"/>
      <c r="AH38" s="11"/>
      <c r="AI38" s="809"/>
      <c r="AJ38" s="810"/>
      <c r="AK38" s="810"/>
      <c r="AL38" s="810"/>
      <c r="AM38" s="810"/>
      <c r="AN38" s="810"/>
      <c r="AO38" s="810"/>
      <c r="AP38" s="810"/>
      <c r="AQ38" s="810"/>
      <c r="AR38" s="810"/>
      <c r="AS38" s="810"/>
      <c r="AT38" s="810"/>
      <c r="AU38" s="810"/>
      <c r="AV38" s="810"/>
      <c r="AW38" s="810"/>
      <c r="AX38" s="810"/>
      <c r="AY38" s="810"/>
      <c r="AZ38" s="810"/>
      <c r="BA38" s="810"/>
      <c r="BB38" s="810"/>
      <c r="BC38" s="810"/>
      <c r="BD38" s="810"/>
      <c r="BE38" s="810"/>
      <c r="BF38" s="810"/>
      <c r="BG38" s="810"/>
      <c r="BH38" s="22"/>
      <c r="BI38" s="813"/>
      <c r="BJ38" s="813"/>
      <c r="BK38" s="813"/>
      <c r="BL38" s="813"/>
      <c r="BM38" s="813"/>
      <c r="BN38" s="813"/>
      <c r="BO38" s="814"/>
      <c r="BP38" s="6"/>
      <c r="BQ38" s="6"/>
      <c r="BR38" s="6"/>
      <c r="BS38" s="6"/>
      <c r="BT38" s="5"/>
    </row>
    <row r="39" spans="1:72" ht="7.5" customHeight="1" thickBot="1" x14ac:dyDescent="0.3">
      <c r="A39" s="811"/>
      <c r="B39" s="812"/>
      <c r="C39" s="812"/>
      <c r="D39" s="812"/>
      <c r="E39" s="812"/>
      <c r="F39" s="812"/>
      <c r="G39" s="812"/>
      <c r="H39" s="812"/>
      <c r="I39" s="812"/>
      <c r="J39" s="812"/>
      <c r="K39" s="812"/>
      <c r="L39" s="812"/>
      <c r="M39" s="812"/>
      <c r="N39" s="812"/>
      <c r="O39" s="812"/>
      <c r="P39" s="812"/>
      <c r="Q39" s="812"/>
      <c r="R39" s="812"/>
      <c r="S39" s="812"/>
      <c r="T39" s="812"/>
      <c r="U39" s="812"/>
      <c r="V39" s="812"/>
      <c r="W39" s="812"/>
      <c r="X39" s="812"/>
      <c r="Y39" s="812"/>
      <c r="Z39" s="23"/>
      <c r="AA39" s="773" t="s">
        <v>51</v>
      </c>
      <c r="AB39" s="773"/>
      <c r="AC39" s="773"/>
      <c r="AD39" s="773"/>
      <c r="AE39" s="773"/>
      <c r="AF39" s="773"/>
      <c r="AG39" s="774"/>
      <c r="AH39" s="11"/>
      <c r="AI39" s="811"/>
      <c r="AJ39" s="812"/>
      <c r="AK39" s="812"/>
      <c r="AL39" s="812"/>
      <c r="AM39" s="812"/>
      <c r="AN39" s="812"/>
      <c r="AO39" s="812"/>
      <c r="AP39" s="812"/>
      <c r="AQ39" s="812"/>
      <c r="AR39" s="812"/>
      <c r="AS39" s="812"/>
      <c r="AT39" s="812"/>
      <c r="AU39" s="812"/>
      <c r="AV39" s="812"/>
      <c r="AW39" s="812"/>
      <c r="AX39" s="812"/>
      <c r="AY39" s="812"/>
      <c r="AZ39" s="812"/>
      <c r="BA39" s="812"/>
      <c r="BB39" s="812"/>
      <c r="BC39" s="812"/>
      <c r="BD39" s="812"/>
      <c r="BE39" s="812"/>
      <c r="BF39" s="812"/>
      <c r="BG39" s="812"/>
      <c r="BH39" s="23"/>
      <c r="BI39" s="773" t="s">
        <v>51</v>
      </c>
      <c r="BJ39" s="773"/>
      <c r="BK39" s="773"/>
      <c r="BL39" s="773"/>
      <c r="BM39" s="773"/>
      <c r="BN39" s="773"/>
      <c r="BO39" s="774"/>
      <c r="BP39" s="6"/>
      <c r="BQ39" s="6"/>
      <c r="BR39" s="6"/>
      <c r="BS39" s="6"/>
      <c r="BT39" s="5"/>
    </row>
    <row r="40" spans="1:72" ht="7.5" customHeight="1" thickTop="1" x14ac:dyDescent="0.2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1"/>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6"/>
      <c r="BQ40" s="6"/>
      <c r="BR40" s="6"/>
      <c r="BS40" s="6"/>
      <c r="BT40" s="5"/>
    </row>
    <row r="41" spans="1:72" ht="7.5" customHeight="1" x14ac:dyDescent="0.25">
      <c r="A41" s="841" t="s">
        <v>31</v>
      </c>
      <c r="B41" s="842"/>
      <c r="C41" s="842"/>
      <c r="D41" s="842"/>
      <c r="E41" s="842"/>
      <c r="F41" s="842"/>
      <c r="G41" s="842"/>
      <c r="H41" s="842"/>
      <c r="I41" s="842"/>
      <c r="J41" s="842"/>
      <c r="K41" s="842"/>
      <c r="L41" s="842"/>
      <c r="M41" s="842"/>
      <c r="N41" s="842"/>
      <c r="O41" s="842"/>
      <c r="P41" s="842"/>
      <c r="Q41" s="842"/>
      <c r="R41" s="842"/>
      <c r="S41" s="842"/>
      <c r="T41" s="842"/>
      <c r="U41" s="842"/>
      <c r="V41" s="842"/>
      <c r="W41" s="842"/>
      <c r="X41" s="842"/>
      <c r="Y41" s="842"/>
      <c r="Z41" s="842"/>
      <c r="AA41" s="842"/>
      <c r="AB41" s="842"/>
      <c r="AC41" s="842"/>
      <c r="AD41" s="842"/>
      <c r="AE41" s="842"/>
      <c r="AF41" s="842"/>
      <c r="AG41" s="843"/>
      <c r="AH41" s="11"/>
      <c r="AI41" s="841" t="s">
        <v>31</v>
      </c>
      <c r="AJ41" s="842"/>
      <c r="AK41" s="842"/>
      <c r="AL41" s="842"/>
      <c r="AM41" s="842"/>
      <c r="AN41" s="842"/>
      <c r="AO41" s="842"/>
      <c r="AP41" s="842"/>
      <c r="AQ41" s="842"/>
      <c r="AR41" s="842"/>
      <c r="AS41" s="842"/>
      <c r="AT41" s="842"/>
      <c r="AU41" s="842"/>
      <c r="AV41" s="842"/>
      <c r="AW41" s="842"/>
      <c r="AX41" s="842"/>
      <c r="AY41" s="842"/>
      <c r="AZ41" s="842"/>
      <c r="BA41" s="842"/>
      <c r="BB41" s="842"/>
      <c r="BC41" s="842"/>
      <c r="BD41" s="842"/>
      <c r="BE41" s="842"/>
      <c r="BF41" s="842"/>
      <c r="BG41" s="842"/>
      <c r="BH41" s="842"/>
      <c r="BI41" s="842"/>
      <c r="BJ41" s="842"/>
      <c r="BK41" s="842"/>
      <c r="BL41" s="842"/>
      <c r="BM41" s="842"/>
      <c r="BN41" s="842"/>
      <c r="BO41" s="843"/>
      <c r="BP41" s="6"/>
      <c r="BQ41" s="6"/>
      <c r="BR41" s="6"/>
      <c r="BS41" s="6"/>
      <c r="BT41" s="5"/>
    </row>
    <row r="42" spans="1:72" ht="7.5" customHeight="1" x14ac:dyDescent="0.25">
      <c r="A42" s="844"/>
      <c r="B42" s="845"/>
      <c r="C42" s="845"/>
      <c r="D42" s="845"/>
      <c r="E42" s="845"/>
      <c r="F42" s="845"/>
      <c r="G42" s="845"/>
      <c r="H42" s="845"/>
      <c r="I42" s="845"/>
      <c r="J42" s="845"/>
      <c r="K42" s="845"/>
      <c r="L42" s="845"/>
      <c r="M42" s="845"/>
      <c r="N42" s="845"/>
      <c r="O42" s="845"/>
      <c r="P42" s="845"/>
      <c r="Q42" s="845"/>
      <c r="R42" s="845"/>
      <c r="S42" s="845"/>
      <c r="T42" s="845"/>
      <c r="U42" s="845"/>
      <c r="V42" s="845"/>
      <c r="W42" s="845"/>
      <c r="X42" s="845"/>
      <c r="Y42" s="845"/>
      <c r="Z42" s="845"/>
      <c r="AA42" s="845"/>
      <c r="AB42" s="845"/>
      <c r="AC42" s="845"/>
      <c r="AD42" s="845"/>
      <c r="AE42" s="845"/>
      <c r="AF42" s="845"/>
      <c r="AG42" s="846"/>
      <c r="AH42" s="11"/>
      <c r="AI42" s="844"/>
      <c r="AJ42" s="845"/>
      <c r="AK42" s="845"/>
      <c r="AL42" s="845"/>
      <c r="AM42" s="845"/>
      <c r="AN42" s="845"/>
      <c r="AO42" s="845"/>
      <c r="AP42" s="845"/>
      <c r="AQ42" s="845"/>
      <c r="AR42" s="845"/>
      <c r="AS42" s="845"/>
      <c r="AT42" s="845"/>
      <c r="AU42" s="845"/>
      <c r="AV42" s="845"/>
      <c r="AW42" s="845"/>
      <c r="AX42" s="845"/>
      <c r="AY42" s="845"/>
      <c r="AZ42" s="845"/>
      <c r="BA42" s="845"/>
      <c r="BB42" s="845"/>
      <c r="BC42" s="845"/>
      <c r="BD42" s="845"/>
      <c r="BE42" s="845"/>
      <c r="BF42" s="845"/>
      <c r="BG42" s="845"/>
      <c r="BH42" s="845"/>
      <c r="BI42" s="845"/>
      <c r="BJ42" s="845"/>
      <c r="BK42" s="845"/>
      <c r="BL42" s="845"/>
      <c r="BM42" s="845"/>
      <c r="BN42" s="845"/>
      <c r="BO42" s="846"/>
      <c r="BP42" s="6"/>
      <c r="BQ42" s="6"/>
      <c r="BR42" s="6"/>
      <c r="BS42" s="6"/>
      <c r="BT42" s="5"/>
    </row>
    <row r="43" spans="1:72" ht="7.5" customHeight="1" x14ac:dyDescent="0.25">
      <c r="A43" s="844"/>
      <c r="B43" s="845"/>
      <c r="C43" s="845"/>
      <c r="D43" s="845"/>
      <c r="E43" s="845"/>
      <c r="F43" s="845"/>
      <c r="G43" s="845"/>
      <c r="H43" s="845"/>
      <c r="I43" s="845"/>
      <c r="J43" s="845"/>
      <c r="K43" s="845"/>
      <c r="L43" s="845"/>
      <c r="M43" s="845"/>
      <c r="N43" s="845"/>
      <c r="O43" s="845"/>
      <c r="P43" s="845"/>
      <c r="Q43" s="845"/>
      <c r="R43" s="845"/>
      <c r="S43" s="845"/>
      <c r="T43" s="845"/>
      <c r="U43" s="845"/>
      <c r="V43" s="845"/>
      <c r="W43" s="845"/>
      <c r="X43" s="845"/>
      <c r="Y43" s="845"/>
      <c r="Z43" s="845"/>
      <c r="AA43" s="845"/>
      <c r="AB43" s="845"/>
      <c r="AC43" s="845"/>
      <c r="AD43" s="845"/>
      <c r="AE43" s="845"/>
      <c r="AF43" s="845"/>
      <c r="AG43" s="846"/>
      <c r="AH43" s="11"/>
      <c r="AI43" s="844"/>
      <c r="AJ43" s="845"/>
      <c r="AK43" s="845"/>
      <c r="AL43" s="845"/>
      <c r="AM43" s="845"/>
      <c r="AN43" s="845"/>
      <c r="AO43" s="845"/>
      <c r="AP43" s="845"/>
      <c r="AQ43" s="845"/>
      <c r="AR43" s="845"/>
      <c r="AS43" s="845"/>
      <c r="AT43" s="845"/>
      <c r="AU43" s="845"/>
      <c r="AV43" s="845"/>
      <c r="AW43" s="845"/>
      <c r="AX43" s="845"/>
      <c r="AY43" s="845"/>
      <c r="AZ43" s="845"/>
      <c r="BA43" s="845"/>
      <c r="BB43" s="845"/>
      <c r="BC43" s="845"/>
      <c r="BD43" s="845"/>
      <c r="BE43" s="845"/>
      <c r="BF43" s="845"/>
      <c r="BG43" s="845"/>
      <c r="BH43" s="845"/>
      <c r="BI43" s="845"/>
      <c r="BJ43" s="845"/>
      <c r="BK43" s="845"/>
      <c r="BL43" s="845"/>
      <c r="BM43" s="845"/>
      <c r="BN43" s="845"/>
      <c r="BO43" s="846"/>
      <c r="BP43" s="6"/>
      <c r="BQ43" s="6"/>
      <c r="BR43" s="6"/>
      <c r="BS43" s="6"/>
      <c r="BT43" s="5"/>
    </row>
    <row r="44" spans="1:72" ht="7.5" customHeight="1" x14ac:dyDescent="0.25">
      <c r="A44" s="844"/>
      <c r="B44" s="845"/>
      <c r="C44" s="845"/>
      <c r="D44" s="845"/>
      <c r="E44" s="845"/>
      <c r="F44" s="845"/>
      <c r="G44" s="845"/>
      <c r="H44" s="845"/>
      <c r="I44" s="845"/>
      <c r="J44" s="845"/>
      <c r="K44" s="845"/>
      <c r="L44" s="845"/>
      <c r="M44" s="845"/>
      <c r="N44" s="845"/>
      <c r="O44" s="845"/>
      <c r="P44" s="845"/>
      <c r="Q44" s="845"/>
      <c r="R44" s="845"/>
      <c r="S44" s="845"/>
      <c r="T44" s="845"/>
      <c r="U44" s="845"/>
      <c r="V44" s="845"/>
      <c r="W44" s="845"/>
      <c r="X44" s="845"/>
      <c r="Y44" s="845"/>
      <c r="Z44" s="845"/>
      <c r="AA44" s="845"/>
      <c r="AB44" s="845"/>
      <c r="AC44" s="845"/>
      <c r="AD44" s="845"/>
      <c r="AE44" s="845"/>
      <c r="AF44" s="845"/>
      <c r="AG44" s="846"/>
      <c r="AH44" s="11"/>
      <c r="AI44" s="844"/>
      <c r="AJ44" s="845"/>
      <c r="AK44" s="845"/>
      <c r="AL44" s="845"/>
      <c r="AM44" s="845"/>
      <c r="AN44" s="845"/>
      <c r="AO44" s="845"/>
      <c r="AP44" s="845"/>
      <c r="AQ44" s="845"/>
      <c r="AR44" s="845"/>
      <c r="AS44" s="845"/>
      <c r="AT44" s="845"/>
      <c r="AU44" s="845"/>
      <c r="AV44" s="845"/>
      <c r="AW44" s="845"/>
      <c r="AX44" s="845"/>
      <c r="AY44" s="845"/>
      <c r="AZ44" s="845"/>
      <c r="BA44" s="845"/>
      <c r="BB44" s="845"/>
      <c r="BC44" s="845"/>
      <c r="BD44" s="845"/>
      <c r="BE44" s="845"/>
      <c r="BF44" s="845"/>
      <c r="BG44" s="845"/>
      <c r="BH44" s="845"/>
      <c r="BI44" s="845"/>
      <c r="BJ44" s="845"/>
      <c r="BK44" s="845"/>
      <c r="BL44" s="845"/>
      <c r="BM44" s="845"/>
      <c r="BN44" s="845"/>
      <c r="BO44" s="846"/>
      <c r="BP44" s="6"/>
      <c r="BQ44" s="6"/>
      <c r="BR44" s="6"/>
      <c r="BS44" s="6"/>
      <c r="BT44" s="5"/>
    </row>
    <row r="45" spans="1:72" ht="7.5" customHeight="1" x14ac:dyDescent="0.25">
      <c r="A45" s="844"/>
      <c r="B45" s="845"/>
      <c r="C45" s="845"/>
      <c r="D45" s="845"/>
      <c r="E45" s="845"/>
      <c r="F45" s="845"/>
      <c r="G45" s="845"/>
      <c r="H45" s="845"/>
      <c r="I45" s="845"/>
      <c r="J45" s="845"/>
      <c r="K45" s="845"/>
      <c r="L45" s="845"/>
      <c r="M45" s="845"/>
      <c r="N45" s="845"/>
      <c r="O45" s="845"/>
      <c r="P45" s="845"/>
      <c r="Q45" s="845"/>
      <c r="R45" s="845"/>
      <c r="S45" s="845"/>
      <c r="T45" s="845"/>
      <c r="U45" s="845"/>
      <c r="V45" s="845"/>
      <c r="W45" s="845"/>
      <c r="X45" s="845"/>
      <c r="Y45" s="845"/>
      <c r="Z45" s="845"/>
      <c r="AA45" s="845"/>
      <c r="AB45" s="845"/>
      <c r="AC45" s="845"/>
      <c r="AD45" s="845"/>
      <c r="AE45" s="845"/>
      <c r="AF45" s="845"/>
      <c r="AG45" s="846"/>
      <c r="AH45" s="11"/>
      <c r="AI45" s="844"/>
      <c r="AJ45" s="845"/>
      <c r="AK45" s="845"/>
      <c r="AL45" s="845"/>
      <c r="AM45" s="845"/>
      <c r="AN45" s="845"/>
      <c r="AO45" s="845"/>
      <c r="AP45" s="845"/>
      <c r="AQ45" s="845"/>
      <c r="AR45" s="845"/>
      <c r="AS45" s="845"/>
      <c r="AT45" s="845"/>
      <c r="AU45" s="845"/>
      <c r="AV45" s="845"/>
      <c r="AW45" s="845"/>
      <c r="AX45" s="845"/>
      <c r="AY45" s="845"/>
      <c r="AZ45" s="845"/>
      <c r="BA45" s="845"/>
      <c r="BB45" s="845"/>
      <c r="BC45" s="845"/>
      <c r="BD45" s="845"/>
      <c r="BE45" s="845"/>
      <c r="BF45" s="845"/>
      <c r="BG45" s="845"/>
      <c r="BH45" s="845"/>
      <c r="BI45" s="845"/>
      <c r="BJ45" s="845"/>
      <c r="BK45" s="845"/>
      <c r="BL45" s="845"/>
      <c r="BM45" s="845"/>
      <c r="BN45" s="845"/>
      <c r="BO45" s="846"/>
      <c r="BP45" s="6"/>
      <c r="BQ45" s="6"/>
      <c r="BR45" s="6"/>
      <c r="BS45" s="6"/>
      <c r="BT45" s="5"/>
    </row>
    <row r="46" spans="1:72" ht="7.5" customHeight="1" x14ac:dyDescent="0.25">
      <c r="A46" s="844"/>
      <c r="B46" s="845"/>
      <c r="C46" s="845"/>
      <c r="D46" s="845"/>
      <c r="E46" s="845"/>
      <c r="F46" s="845"/>
      <c r="G46" s="845"/>
      <c r="H46" s="845"/>
      <c r="I46" s="845"/>
      <c r="J46" s="845"/>
      <c r="K46" s="845"/>
      <c r="L46" s="845"/>
      <c r="M46" s="845"/>
      <c r="N46" s="845"/>
      <c r="O46" s="845"/>
      <c r="P46" s="845"/>
      <c r="Q46" s="845"/>
      <c r="R46" s="845"/>
      <c r="S46" s="845"/>
      <c r="T46" s="845"/>
      <c r="U46" s="845"/>
      <c r="V46" s="845"/>
      <c r="W46" s="845"/>
      <c r="X46" s="845"/>
      <c r="Y46" s="845"/>
      <c r="Z46" s="845"/>
      <c r="AA46" s="845"/>
      <c r="AB46" s="845"/>
      <c r="AC46" s="845"/>
      <c r="AD46" s="845"/>
      <c r="AE46" s="845"/>
      <c r="AF46" s="845"/>
      <c r="AG46" s="846"/>
      <c r="AH46" s="11"/>
      <c r="AI46" s="844"/>
      <c r="AJ46" s="845"/>
      <c r="AK46" s="845"/>
      <c r="AL46" s="845"/>
      <c r="AM46" s="845"/>
      <c r="AN46" s="845"/>
      <c r="AO46" s="845"/>
      <c r="AP46" s="845"/>
      <c r="AQ46" s="845"/>
      <c r="AR46" s="845"/>
      <c r="AS46" s="845"/>
      <c r="AT46" s="845"/>
      <c r="AU46" s="845"/>
      <c r="AV46" s="845"/>
      <c r="AW46" s="845"/>
      <c r="AX46" s="845"/>
      <c r="AY46" s="845"/>
      <c r="AZ46" s="845"/>
      <c r="BA46" s="845"/>
      <c r="BB46" s="845"/>
      <c r="BC46" s="845"/>
      <c r="BD46" s="845"/>
      <c r="BE46" s="845"/>
      <c r="BF46" s="845"/>
      <c r="BG46" s="845"/>
      <c r="BH46" s="845"/>
      <c r="BI46" s="845"/>
      <c r="BJ46" s="845"/>
      <c r="BK46" s="845"/>
      <c r="BL46" s="845"/>
      <c r="BM46" s="845"/>
      <c r="BN46" s="845"/>
      <c r="BO46" s="846"/>
      <c r="BP46" s="6"/>
      <c r="BQ46" s="6"/>
      <c r="BR46" s="6"/>
      <c r="BS46" s="6"/>
      <c r="BT46" s="5"/>
    </row>
    <row r="47" spans="1:72" ht="7.5" customHeight="1" x14ac:dyDescent="0.25">
      <c r="A47" s="844"/>
      <c r="B47" s="845"/>
      <c r="C47" s="845"/>
      <c r="D47" s="845"/>
      <c r="E47" s="845"/>
      <c r="F47" s="845"/>
      <c r="G47" s="845"/>
      <c r="H47" s="845"/>
      <c r="I47" s="845"/>
      <c r="J47" s="845"/>
      <c r="K47" s="845"/>
      <c r="L47" s="845"/>
      <c r="M47" s="845"/>
      <c r="N47" s="845"/>
      <c r="O47" s="845"/>
      <c r="P47" s="845"/>
      <c r="Q47" s="845"/>
      <c r="R47" s="845"/>
      <c r="S47" s="845"/>
      <c r="T47" s="845"/>
      <c r="U47" s="845"/>
      <c r="V47" s="845"/>
      <c r="W47" s="845"/>
      <c r="X47" s="845"/>
      <c r="Y47" s="845"/>
      <c r="Z47" s="845"/>
      <c r="AA47" s="845"/>
      <c r="AB47" s="845"/>
      <c r="AC47" s="845"/>
      <c r="AD47" s="845"/>
      <c r="AE47" s="845"/>
      <c r="AF47" s="845"/>
      <c r="AG47" s="846"/>
      <c r="AH47" s="11"/>
      <c r="AI47" s="844"/>
      <c r="AJ47" s="845"/>
      <c r="AK47" s="845"/>
      <c r="AL47" s="845"/>
      <c r="AM47" s="845"/>
      <c r="AN47" s="845"/>
      <c r="AO47" s="845"/>
      <c r="AP47" s="845"/>
      <c r="AQ47" s="845"/>
      <c r="AR47" s="845"/>
      <c r="AS47" s="845"/>
      <c r="AT47" s="845"/>
      <c r="AU47" s="845"/>
      <c r="AV47" s="845"/>
      <c r="AW47" s="845"/>
      <c r="AX47" s="845"/>
      <c r="AY47" s="845"/>
      <c r="AZ47" s="845"/>
      <c r="BA47" s="845"/>
      <c r="BB47" s="845"/>
      <c r="BC47" s="845"/>
      <c r="BD47" s="845"/>
      <c r="BE47" s="845"/>
      <c r="BF47" s="845"/>
      <c r="BG47" s="845"/>
      <c r="BH47" s="845"/>
      <c r="BI47" s="845"/>
      <c r="BJ47" s="845"/>
      <c r="BK47" s="845"/>
      <c r="BL47" s="845"/>
      <c r="BM47" s="845"/>
      <c r="BN47" s="845"/>
      <c r="BO47" s="846"/>
      <c r="BP47" s="6"/>
      <c r="BQ47" s="6"/>
      <c r="BR47" s="6"/>
      <c r="BS47" s="6"/>
      <c r="BT47" s="5"/>
    </row>
    <row r="48" spans="1:72" ht="7.5" customHeight="1" x14ac:dyDescent="0.25">
      <c r="A48" s="844"/>
      <c r="B48" s="845"/>
      <c r="C48" s="845"/>
      <c r="D48" s="845"/>
      <c r="E48" s="845"/>
      <c r="F48" s="845"/>
      <c r="G48" s="845"/>
      <c r="H48" s="845"/>
      <c r="I48" s="845"/>
      <c r="J48" s="845"/>
      <c r="K48" s="845"/>
      <c r="L48" s="845"/>
      <c r="M48" s="845"/>
      <c r="N48" s="845"/>
      <c r="O48" s="845"/>
      <c r="P48" s="845"/>
      <c r="Q48" s="845"/>
      <c r="R48" s="845"/>
      <c r="S48" s="845"/>
      <c r="T48" s="845"/>
      <c r="U48" s="845"/>
      <c r="V48" s="845"/>
      <c r="W48" s="845"/>
      <c r="X48" s="845"/>
      <c r="Y48" s="845"/>
      <c r="Z48" s="845"/>
      <c r="AA48" s="845"/>
      <c r="AB48" s="845"/>
      <c r="AC48" s="845"/>
      <c r="AD48" s="845"/>
      <c r="AE48" s="845"/>
      <c r="AF48" s="845"/>
      <c r="AG48" s="846"/>
      <c r="AH48" s="11"/>
      <c r="AI48" s="844"/>
      <c r="AJ48" s="845"/>
      <c r="AK48" s="845"/>
      <c r="AL48" s="845"/>
      <c r="AM48" s="845"/>
      <c r="AN48" s="845"/>
      <c r="AO48" s="845"/>
      <c r="AP48" s="845"/>
      <c r="AQ48" s="845"/>
      <c r="AR48" s="845"/>
      <c r="AS48" s="845"/>
      <c r="AT48" s="845"/>
      <c r="AU48" s="845"/>
      <c r="AV48" s="845"/>
      <c r="AW48" s="845"/>
      <c r="AX48" s="845"/>
      <c r="AY48" s="845"/>
      <c r="AZ48" s="845"/>
      <c r="BA48" s="845"/>
      <c r="BB48" s="845"/>
      <c r="BC48" s="845"/>
      <c r="BD48" s="845"/>
      <c r="BE48" s="845"/>
      <c r="BF48" s="845"/>
      <c r="BG48" s="845"/>
      <c r="BH48" s="845"/>
      <c r="BI48" s="845"/>
      <c r="BJ48" s="845"/>
      <c r="BK48" s="845"/>
      <c r="BL48" s="845"/>
      <c r="BM48" s="845"/>
      <c r="BN48" s="845"/>
      <c r="BO48" s="846"/>
      <c r="BP48" s="6"/>
      <c r="BQ48" s="6"/>
      <c r="BR48" s="6"/>
      <c r="BS48" s="6"/>
      <c r="BT48" s="5"/>
    </row>
    <row r="49" spans="1:72" ht="7.5" customHeight="1" x14ac:dyDescent="0.25">
      <c r="A49" s="847"/>
      <c r="B49" s="848"/>
      <c r="C49" s="848"/>
      <c r="D49" s="848"/>
      <c r="E49" s="848"/>
      <c r="F49" s="848"/>
      <c r="G49" s="848"/>
      <c r="H49" s="848"/>
      <c r="I49" s="848"/>
      <c r="J49" s="848"/>
      <c r="K49" s="848"/>
      <c r="L49" s="848"/>
      <c r="M49" s="848"/>
      <c r="N49" s="848"/>
      <c r="O49" s="848"/>
      <c r="P49" s="848"/>
      <c r="Q49" s="848"/>
      <c r="R49" s="848"/>
      <c r="S49" s="848"/>
      <c r="T49" s="848"/>
      <c r="U49" s="848"/>
      <c r="V49" s="848"/>
      <c r="W49" s="848"/>
      <c r="X49" s="848"/>
      <c r="Y49" s="848"/>
      <c r="Z49" s="848"/>
      <c r="AA49" s="848"/>
      <c r="AB49" s="848"/>
      <c r="AC49" s="848"/>
      <c r="AD49" s="848"/>
      <c r="AE49" s="848"/>
      <c r="AF49" s="848"/>
      <c r="AG49" s="849"/>
      <c r="AH49" s="11"/>
      <c r="AI49" s="847"/>
      <c r="AJ49" s="848"/>
      <c r="AK49" s="848"/>
      <c r="AL49" s="848"/>
      <c r="AM49" s="848"/>
      <c r="AN49" s="848"/>
      <c r="AO49" s="848"/>
      <c r="AP49" s="848"/>
      <c r="AQ49" s="848"/>
      <c r="AR49" s="848"/>
      <c r="AS49" s="848"/>
      <c r="AT49" s="848"/>
      <c r="AU49" s="848"/>
      <c r="AV49" s="848"/>
      <c r="AW49" s="848"/>
      <c r="AX49" s="848"/>
      <c r="AY49" s="848"/>
      <c r="AZ49" s="848"/>
      <c r="BA49" s="848"/>
      <c r="BB49" s="848"/>
      <c r="BC49" s="848"/>
      <c r="BD49" s="848"/>
      <c r="BE49" s="848"/>
      <c r="BF49" s="848"/>
      <c r="BG49" s="848"/>
      <c r="BH49" s="848"/>
      <c r="BI49" s="848"/>
      <c r="BJ49" s="848"/>
      <c r="BK49" s="848"/>
      <c r="BL49" s="848"/>
      <c r="BM49" s="848"/>
      <c r="BN49" s="848"/>
      <c r="BO49" s="849"/>
      <c r="BP49" s="5"/>
      <c r="BQ49" s="5"/>
      <c r="BR49" s="5"/>
      <c r="BS49" s="5"/>
      <c r="BT49" s="5"/>
    </row>
    <row r="50" spans="1:72" ht="7.5" customHeight="1" x14ac:dyDescent="0.2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6"/>
      <c r="BH50" s="6"/>
      <c r="BI50" s="6"/>
      <c r="BJ50" s="6"/>
      <c r="BK50" s="6"/>
      <c r="BL50" s="6"/>
      <c r="BM50" s="6"/>
      <c r="BN50" s="6"/>
      <c r="BO50" s="6"/>
      <c r="BP50" s="5"/>
      <c r="BQ50" s="5"/>
      <c r="BR50" s="5"/>
      <c r="BS50" s="5"/>
      <c r="BT50" s="5"/>
    </row>
    <row r="51" spans="1:72" ht="7.5" customHeight="1" x14ac:dyDescent="0.25">
      <c r="A51" s="738" t="s">
        <v>61</v>
      </c>
      <c r="B51" s="739"/>
      <c r="C51" s="739"/>
      <c r="D51" s="739"/>
      <c r="E51" s="739"/>
      <c r="F51" s="739"/>
      <c r="G51" s="739"/>
      <c r="H51" s="739"/>
      <c r="I51" s="739"/>
      <c r="J51" s="739"/>
      <c r="K51" s="739"/>
      <c r="L51" s="739"/>
      <c r="M51" s="739"/>
      <c r="N51" s="739"/>
      <c r="O51" s="739"/>
      <c r="P51" s="739"/>
      <c r="Q51" s="25"/>
      <c r="R51" s="738" t="s">
        <v>75</v>
      </c>
      <c r="S51" s="739"/>
      <c r="T51" s="739"/>
      <c r="U51" s="739"/>
      <c r="V51" s="739"/>
      <c r="W51" s="739"/>
      <c r="X51" s="739"/>
      <c r="Y51" s="739"/>
      <c r="Z51" s="739"/>
      <c r="AA51" s="739"/>
      <c r="AB51" s="739"/>
      <c r="AC51" s="739"/>
      <c r="AD51" s="739"/>
      <c r="AE51" s="739"/>
      <c r="AF51" s="739"/>
      <c r="AG51" s="739"/>
      <c r="AH51" s="6"/>
      <c r="AI51" s="738" t="s">
        <v>61</v>
      </c>
      <c r="AJ51" s="739"/>
      <c r="AK51" s="739"/>
      <c r="AL51" s="739"/>
      <c r="AM51" s="739"/>
      <c r="AN51" s="739"/>
      <c r="AO51" s="739"/>
      <c r="AP51" s="739"/>
      <c r="AQ51" s="739"/>
      <c r="AR51" s="739"/>
      <c r="AS51" s="739"/>
      <c r="AT51" s="739"/>
      <c r="AU51" s="739"/>
      <c r="AV51" s="739"/>
      <c r="AW51" s="739"/>
      <c r="AX51" s="739"/>
      <c r="AY51" s="25"/>
      <c r="AZ51" s="738" t="s">
        <v>75</v>
      </c>
      <c r="BA51" s="739"/>
      <c r="BB51" s="739"/>
      <c r="BC51" s="739"/>
      <c r="BD51" s="739"/>
      <c r="BE51" s="739"/>
      <c r="BF51" s="739"/>
      <c r="BG51" s="739"/>
      <c r="BH51" s="739"/>
      <c r="BI51" s="739"/>
      <c r="BJ51" s="739"/>
      <c r="BK51" s="739"/>
      <c r="BL51" s="739"/>
      <c r="BM51" s="739"/>
      <c r="BN51" s="739"/>
      <c r="BO51" s="739"/>
      <c r="BP51" s="5"/>
      <c r="BQ51" s="5"/>
      <c r="BR51" s="5"/>
      <c r="BS51" s="5"/>
      <c r="BT51" s="5"/>
    </row>
    <row r="52" spans="1:72" ht="7.5" customHeight="1" x14ac:dyDescent="0.25">
      <c r="A52" s="740"/>
      <c r="B52" s="740"/>
      <c r="C52" s="740"/>
      <c r="D52" s="740"/>
      <c r="E52" s="740"/>
      <c r="F52" s="740"/>
      <c r="G52" s="740"/>
      <c r="H52" s="740"/>
      <c r="I52" s="740"/>
      <c r="J52" s="740"/>
      <c r="K52" s="740"/>
      <c r="L52" s="740"/>
      <c r="M52" s="740"/>
      <c r="N52" s="740"/>
      <c r="O52" s="740"/>
      <c r="P52" s="740"/>
      <c r="Q52" s="24"/>
      <c r="R52" s="740"/>
      <c r="S52" s="740"/>
      <c r="T52" s="740"/>
      <c r="U52" s="740"/>
      <c r="V52" s="740"/>
      <c r="W52" s="740"/>
      <c r="X52" s="740"/>
      <c r="Y52" s="740"/>
      <c r="Z52" s="740"/>
      <c r="AA52" s="740"/>
      <c r="AB52" s="740"/>
      <c r="AC52" s="740"/>
      <c r="AD52" s="740"/>
      <c r="AE52" s="740"/>
      <c r="AF52" s="740"/>
      <c r="AG52" s="740"/>
      <c r="AH52" s="6"/>
      <c r="AI52" s="740"/>
      <c r="AJ52" s="740"/>
      <c r="AK52" s="740"/>
      <c r="AL52" s="740"/>
      <c r="AM52" s="740"/>
      <c r="AN52" s="740"/>
      <c r="AO52" s="740"/>
      <c r="AP52" s="740"/>
      <c r="AQ52" s="740"/>
      <c r="AR52" s="740"/>
      <c r="AS52" s="740"/>
      <c r="AT52" s="740"/>
      <c r="AU52" s="740"/>
      <c r="AV52" s="740"/>
      <c r="AW52" s="740"/>
      <c r="AX52" s="740"/>
      <c r="AY52" s="24"/>
      <c r="AZ52" s="740"/>
      <c r="BA52" s="740"/>
      <c r="BB52" s="740"/>
      <c r="BC52" s="740"/>
      <c r="BD52" s="740"/>
      <c r="BE52" s="740"/>
      <c r="BF52" s="740"/>
      <c r="BG52" s="740"/>
      <c r="BH52" s="740"/>
      <c r="BI52" s="740"/>
      <c r="BJ52" s="740"/>
      <c r="BK52" s="740"/>
      <c r="BL52" s="740"/>
      <c r="BM52" s="740"/>
      <c r="BN52" s="740"/>
      <c r="BO52" s="740"/>
      <c r="BP52" s="5"/>
      <c r="BQ52" s="5"/>
      <c r="BR52" s="5"/>
      <c r="BS52" s="5"/>
      <c r="BT52" s="5"/>
    </row>
    <row r="53" spans="1:72" ht="7.5" customHeight="1" x14ac:dyDescent="0.25">
      <c r="A53" s="24"/>
      <c r="B53" s="24"/>
      <c r="C53" s="24"/>
      <c r="D53" s="24"/>
      <c r="E53" s="24"/>
      <c r="F53" s="24"/>
      <c r="G53" s="24"/>
      <c r="H53" s="24"/>
      <c r="I53" s="24"/>
      <c r="J53" s="24"/>
      <c r="K53" s="26"/>
      <c r="L53" s="26"/>
      <c r="M53" s="26"/>
      <c r="N53" s="26"/>
      <c r="O53" s="26"/>
      <c r="P53" s="26"/>
      <c r="Q53" s="24"/>
      <c r="R53" s="27"/>
      <c r="S53" s="27"/>
      <c r="T53" s="27"/>
      <c r="U53" s="27"/>
      <c r="V53" s="27"/>
      <c r="W53" s="27"/>
      <c r="X53" s="27"/>
      <c r="Y53" s="27"/>
      <c r="Z53" s="27"/>
      <c r="AA53" s="27"/>
      <c r="AB53" s="27"/>
      <c r="AC53" s="27"/>
      <c r="AD53" s="27"/>
      <c r="AE53" s="27"/>
      <c r="AF53" s="27"/>
      <c r="AG53" s="27"/>
      <c r="AH53" s="6"/>
      <c r="AI53" s="24"/>
      <c r="AJ53" s="24"/>
      <c r="AK53" s="24"/>
      <c r="AL53" s="24"/>
      <c r="AM53" s="24"/>
      <c r="AN53" s="24"/>
      <c r="AO53" s="24"/>
      <c r="AP53" s="24"/>
      <c r="AQ53" s="24"/>
      <c r="AR53" s="24"/>
      <c r="AS53" s="26"/>
      <c r="AT53" s="26"/>
      <c r="AU53" s="26"/>
      <c r="AV53" s="26"/>
      <c r="AW53" s="26"/>
      <c r="AX53" s="26"/>
      <c r="AY53" s="24"/>
      <c r="AZ53" s="27"/>
      <c r="BA53" s="27"/>
      <c r="BB53" s="27"/>
      <c r="BC53" s="27"/>
      <c r="BD53" s="27"/>
      <c r="BE53" s="27"/>
      <c r="BF53" s="27"/>
      <c r="BG53" s="27"/>
      <c r="BH53" s="27"/>
      <c r="BI53" s="27"/>
      <c r="BJ53" s="27"/>
      <c r="BK53" s="27"/>
      <c r="BL53" s="27"/>
      <c r="BM53" s="27"/>
      <c r="BN53" s="27"/>
      <c r="BO53" s="27"/>
      <c r="BP53" s="5"/>
      <c r="BQ53" s="5"/>
      <c r="BR53" s="5"/>
      <c r="BS53" s="5"/>
      <c r="BT53" s="5"/>
    </row>
    <row r="54" spans="1:72" ht="7.5" customHeight="1" x14ac:dyDescent="0.4">
      <c r="A54" s="775"/>
      <c r="B54" s="776"/>
      <c r="C54" s="776"/>
      <c r="D54" s="776"/>
      <c r="E54" s="781"/>
      <c r="F54" s="781"/>
      <c r="G54" s="781"/>
      <c r="H54" s="781"/>
      <c r="I54" s="781"/>
      <c r="J54" s="781"/>
      <c r="K54" s="781"/>
      <c r="L54" s="781"/>
      <c r="M54" s="776"/>
      <c r="N54" s="776"/>
      <c r="O54" s="776"/>
      <c r="P54" s="815"/>
      <c r="Q54" s="28"/>
      <c r="R54" s="775"/>
      <c r="S54" s="776"/>
      <c r="T54" s="776"/>
      <c r="U54" s="776"/>
      <c r="V54" s="818">
        <v>-0.75</v>
      </c>
      <c r="W54" s="819"/>
      <c r="X54" s="819"/>
      <c r="Y54" s="820"/>
      <c r="Z54" s="818">
        <v>-0.5</v>
      </c>
      <c r="AA54" s="819"/>
      <c r="AB54" s="819"/>
      <c r="AC54" s="820"/>
      <c r="AD54" s="775"/>
      <c r="AE54" s="776"/>
      <c r="AF54" s="776"/>
      <c r="AG54" s="827"/>
      <c r="AH54" s="13"/>
      <c r="AI54" s="775"/>
      <c r="AJ54" s="776"/>
      <c r="AK54" s="776"/>
      <c r="AL54" s="776"/>
      <c r="AM54" s="781"/>
      <c r="AN54" s="781"/>
      <c r="AO54" s="781"/>
      <c r="AP54" s="781"/>
      <c r="AQ54" s="781"/>
      <c r="AR54" s="781"/>
      <c r="AS54" s="781"/>
      <c r="AT54" s="781"/>
      <c r="AU54" s="776"/>
      <c r="AV54" s="776"/>
      <c r="AW54" s="776"/>
      <c r="AX54" s="815"/>
      <c r="AY54" s="28"/>
      <c r="AZ54" s="775"/>
      <c r="BA54" s="776"/>
      <c r="BB54" s="776"/>
      <c r="BC54" s="776"/>
      <c r="BD54" s="818">
        <v>-0.75</v>
      </c>
      <c r="BE54" s="819"/>
      <c r="BF54" s="819"/>
      <c r="BG54" s="820"/>
      <c r="BH54" s="818">
        <v>-0.5</v>
      </c>
      <c r="BI54" s="819"/>
      <c r="BJ54" s="819"/>
      <c r="BK54" s="820"/>
      <c r="BL54" s="775"/>
      <c r="BM54" s="776"/>
      <c r="BN54" s="776"/>
      <c r="BO54" s="827"/>
      <c r="BP54" s="5"/>
      <c r="BQ54" s="5"/>
      <c r="BR54" s="5"/>
      <c r="BS54" s="5"/>
      <c r="BT54" s="5"/>
    </row>
    <row r="55" spans="1:72" ht="7.5" customHeight="1" x14ac:dyDescent="0.4">
      <c r="A55" s="777"/>
      <c r="B55" s="778"/>
      <c r="C55" s="778"/>
      <c r="D55" s="778"/>
      <c r="E55" s="781"/>
      <c r="F55" s="781"/>
      <c r="G55" s="781"/>
      <c r="H55" s="781"/>
      <c r="I55" s="781"/>
      <c r="J55" s="781"/>
      <c r="K55" s="781"/>
      <c r="L55" s="781"/>
      <c r="M55" s="778"/>
      <c r="N55" s="778"/>
      <c r="O55" s="778"/>
      <c r="P55" s="816"/>
      <c r="Q55" s="28"/>
      <c r="R55" s="777"/>
      <c r="S55" s="778"/>
      <c r="T55" s="778"/>
      <c r="U55" s="778"/>
      <c r="V55" s="821"/>
      <c r="W55" s="822"/>
      <c r="X55" s="822"/>
      <c r="Y55" s="823"/>
      <c r="Z55" s="821"/>
      <c r="AA55" s="822"/>
      <c r="AB55" s="822"/>
      <c r="AC55" s="823"/>
      <c r="AD55" s="777"/>
      <c r="AE55" s="778"/>
      <c r="AF55" s="778"/>
      <c r="AG55" s="828"/>
      <c r="AH55" s="13"/>
      <c r="AI55" s="777"/>
      <c r="AJ55" s="778"/>
      <c r="AK55" s="778"/>
      <c r="AL55" s="778"/>
      <c r="AM55" s="781"/>
      <c r="AN55" s="781"/>
      <c r="AO55" s="781"/>
      <c r="AP55" s="781"/>
      <c r="AQ55" s="781"/>
      <c r="AR55" s="781"/>
      <c r="AS55" s="781"/>
      <c r="AT55" s="781"/>
      <c r="AU55" s="778"/>
      <c r="AV55" s="778"/>
      <c r="AW55" s="778"/>
      <c r="AX55" s="816"/>
      <c r="AY55" s="28"/>
      <c r="AZ55" s="777"/>
      <c r="BA55" s="778"/>
      <c r="BB55" s="778"/>
      <c r="BC55" s="778"/>
      <c r="BD55" s="821"/>
      <c r="BE55" s="822"/>
      <c r="BF55" s="822"/>
      <c r="BG55" s="823"/>
      <c r="BH55" s="821"/>
      <c r="BI55" s="822"/>
      <c r="BJ55" s="822"/>
      <c r="BK55" s="823"/>
      <c r="BL55" s="777"/>
      <c r="BM55" s="778"/>
      <c r="BN55" s="778"/>
      <c r="BO55" s="828"/>
      <c r="BP55" s="5"/>
      <c r="BQ55" s="5"/>
      <c r="BR55" s="5"/>
      <c r="BS55" s="5"/>
      <c r="BT55" s="5"/>
    </row>
    <row r="56" spans="1:72" ht="7.5" customHeight="1" x14ac:dyDescent="0.4">
      <c r="A56" s="779"/>
      <c r="B56" s="780"/>
      <c r="C56" s="780"/>
      <c r="D56" s="780"/>
      <c r="E56" s="781"/>
      <c r="F56" s="781"/>
      <c r="G56" s="781"/>
      <c r="H56" s="781"/>
      <c r="I56" s="781"/>
      <c r="J56" s="781"/>
      <c r="K56" s="781"/>
      <c r="L56" s="781"/>
      <c r="M56" s="780"/>
      <c r="N56" s="780"/>
      <c r="O56" s="780"/>
      <c r="P56" s="817"/>
      <c r="Q56" s="28"/>
      <c r="R56" s="779"/>
      <c r="S56" s="780"/>
      <c r="T56" s="780"/>
      <c r="U56" s="780"/>
      <c r="V56" s="824"/>
      <c r="W56" s="825"/>
      <c r="X56" s="825"/>
      <c r="Y56" s="826"/>
      <c r="Z56" s="824"/>
      <c r="AA56" s="825"/>
      <c r="AB56" s="825"/>
      <c r="AC56" s="826"/>
      <c r="AD56" s="779"/>
      <c r="AE56" s="780"/>
      <c r="AF56" s="780"/>
      <c r="AG56" s="829"/>
      <c r="AH56" s="13"/>
      <c r="AI56" s="779"/>
      <c r="AJ56" s="780"/>
      <c r="AK56" s="780"/>
      <c r="AL56" s="780"/>
      <c r="AM56" s="781"/>
      <c r="AN56" s="781"/>
      <c r="AO56" s="781"/>
      <c r="AP56" s="781"/>
      <c r="AQ56" s="781"/>
      <c r="AR56" s="781"/>
      <c r="AS56" s="781"/>
      <c r="AT56" s="781"/>
      <c r="AU56" s="780"/>
      <c r="AV56" s="780"/>
      <c r="AW56" s="780"/>
      <c r="AX56" s="817"/>
      <c r="AY56" s="28"/>
      <c r="AZ56" s="779"/>
      <c r="BA56" s="780"/>
      <c r="BB56" s="780"/>
      <c r="BC56" s="780"/>
      <c r="BD56" s="824"/>
      <c r="BE56" s="825"/>
      <c r="BF56" s="825"/>
      <c r="BG56" s="826"/>
      <c r="BH56" s="824"/>
      <c r="BI56" s="825"/>
      <c r="BJ56" s="825"/>
      <c r="BK56" s="826"/>
      <c r="BL56" s="779"/>
      <c r="BM56" s="780"/>
      <c r="BN56" s="780"/>
      <c r="BO56" s="829"/>
      <c r="BP56" s="5"/>
      <c r="BQ56" s="5"/>
      <c r="BR56" s="5"/>
      <c r="BS56" s="5"/>
      <c r="BT56" s="5"/>
    </row>
    <row r="57" spans="1:72" ht="7.5" customHeight="1" x14ac:dyDescent="0.25">
      <c r="A57" s="830" t="s">
        <v>62</v>
      </c>
      <c r="B57" s="830"/>
      <c r="C57" s="830"/>
      <c r="D57" s="830"/>
      <c r="E57" s="831" t="s">
        <v>23</v>
      </c>
      <c r="F57" s="831"/>
      <c r="G57" s="831"/>
      <c r="H57" s="831"/>
      <c r="I57" s="831" t="s">
        <v>17</v>
      </c>
      <c r="J57" s="831"/>
      <c r="K57" s="831"/>
      <c r="L57" s="831"/>
      <c r="M57" s="830" t="s">
        <v>63</v>
      </c>
      <c r="N57" s="830"/>
      <c r="O57" s="830"/>
      <c r="P57" s="830"/>
      <c r="Q57" s="29"/>
      <c r="R57" s="832" t="s">
        <v>47</v>
      </c>
      <c r="S57" s="832"/>
      <c r="T57" s="832"/>
      <c r="U57" s="832"/>
      <c r="V57" s="832" t="s">
        <v>48</v>
      </c>
      <c r="W57" s="832"/>
      <c r="X57" s="832"/>
      <c r="Y57" s="832"/>
      <c r="Z57" s="832" t="s">
        <v>53</v>
      </c>
      <c r="AA57" s="832"/>
      <c r="AB57" s="832"/>
      <c r="AC57" s="832"/>
      <c r="AD57" s="832" t="s">
        <v>49</v>
      </c>
      <c r="AE57" s="832"/>
      <c r="AF57" s="832"/>
      <c r="AG57" s="832"/>
      <c r="AH57" s="6"/>
      <c r="AI57" s="830" t="s">
        <v>62</v>
      </c>
      <c r="AJ57" s="830"/>
      <c r="AK57" s="830"/>
      <c r="AL57" s="830"/>
      <c r="AM57" s="831" t="s">
        <v>23</v>
      </c>
      <c r="AN57" s="831"/>
      <c r="AO57" s="831"/>
      <c r="AP57" s="831"/>
      <c r="AQ57" s="831" t="s">
        <v>17</v>
      </c>
      <c r="AR57" s="831"/>
      <c r="AS57" s="831"/>
      <c r="AT57" s="831"/>
      <c r="AU57" s="830" t="s">
        <v>63</v>
      </c>
      <c r="AV57" s="830"/>
      <c r="AW57" s="830"/>
      <c r="AX57" s="830"/>
      <c r="AY57" s="29"/>
      <c r="AZ57" s="832" t="s">
        <v>47</v>
      </c>
      <c r="BA57" s="832"/>
      <c r="BB57" s="832"/>
      <c r="BC57" s="832"/>
      <c r="BD57" s="832" t="s">
        <v>48</v>
      </c>
      <c r="BE57" s="832"/>
      <c r="BF57" s="832"/>
      <c r="BG57" s="832"/>
      <c r="BH57" s="832" t="s">
        <v>53</v>
      </c>
      <c r="BI57" s="832"/>
      <c r="BJ57" s="832"/>
      <c r="BK57" s="832"/>
      <c r="BL57" s="832" t="s">
        <v>49</v>
      </c>
      <c r="BM57" s="832"/>
      <c r="BN57" s="832"/>
      <c r="BO57" s="832"/>
      <c r="BP57" s="5"/>
      <c r="BQ57" s="5"/>
      <c r="BR57" s="5"/>
      <c r="BS57" s="5"/>
      <c r="BT57" s="5"/>
    </row>
    <row r="58" spans="1:72" ht="7.5" customHeight="1" x14ac:dyDescent="0.25">
      <c r="A58" s="27"/>
      <c r="B58" s="27"/>
      <c r="C58" s="27"/>
      <c r="D58" s="27"/>
      <c r="E58" s="794" t="s">
        <v>28</v>
      </c>
      <c r="F58" s="795"/>
      <c r="G58" s="795"/>
      <c r="H58" s="795"/>
      <c r="I58" s="794" t="s">
        <v>28</v>
      </c>
      <c r="J58" s="799"/>
      <c r="K58" s="799"/>
      <c r="L58" s="800"/>
      <c r="M58" s="27"/>
      <c r="N58" s="27"/>
      <c r="O58" s="27"/>
      <c r="P58" s="27"/>
      <c r="Q58" s="27"/>
      <c r="R58" s="27"/>
      <c r="S58" s="27"/>
      <c r="T58" s="27"/>
      <c r="U58" s="27"/>
      <c r="V58" s="27"/>
      <c r="W58" s="27"/>
      <c r="X58" s="27"/>
      <c r="Y58" s="27"/>
      <c r="Z58" s="27"/>
      <c r="AA58" s="27"/>
      <c r="AB58" s="27"/>
      <c r="AC58" s="27"/>
      <c r="AD58" s="27"/>
      <c r="AE58" s="27"/>
      <c r="AF58" s="27"/>
      <c r="AG58" s="27"/>
      <c r="AH58" s="6"/>
      <c r="AI58" s="27"/>
      <c r="AJ58" s="27"/>
      <c r="AK58" s="27"/>
      <c r="AL58" s="27"/>
      <c r="AM58" s="794" t="s">
        <v>28</v>
      </c>
      <c r="AN58" s="795"/>
      <c r="AO58" s="795"/>
      <c r="AP58" s="795"/>
      <c r="AQ58" s="794" t="s">
        <v>28</v>
      </c>
      <c r="AR58" s="799"/>
      <c r="AS58" s="799"/>
      <c r="AT58" s="800"/>
      <c r="AU58" s="27"/>
      <c r="AV58" s="27"/>
      <c r="AW58" s="27"/>
      <c r="AX58" s="27"/>
      <c r="AY58" s="27"/>
      <c r="AZ58" s="27"/>
      <c r="BA58" s="27"/>
      <c r="BB58" s="27"/>
      <c r="BC58" s="27"/>
      <c r="BD58" s="27"/>
      <c r="BE58" s="27"/>
      <c r="BF58" s="27"/>
      <c r="BG58" s="27"/>
      <c r="BH58" s="27"/>
      <c r="BI58" s="27"/>
      <c r="BJ58" s="27"/>
      <c r="BK58" s="27"/>
      <c r="BL58" s="27"/>
      <c r="BM58" s="27"/>
      <c r="BN58" s="27"/>
      <c r="BO58" s="27"/>
      <c r="BP58" s="5"/>
      <c r="BQ58" s="5"/>
      <c r="BR58" s="5"/>
      <c r="BS58" s="5"/>
      <c r="BT58" s="5"/>
    </row>
    <row r="59" spans="1:72" ht="7.5" customHeight="1" x14ac:dyDescent="0.25">
      <c r="A59" s="27"/>
      <c r="B59" s="27"/>
      <c r="C59" s="27"/>
      <c r="D59" s="27"/>
      <c r="E59" s="796"/>
      <c r="F59" s="739"/>
      <c r="G59" s="739"/>
      <c r="H59" s="739"/>
      <c r="I59" s="801"/>
      <c r="J59" s="725"/>
      <c r="K59" s="725"/>
      <c r="L59" s="802"/>
      <c r="M59" s="27"/>
      <c r="N59" s="27"/>
      <c r="O59" s="725" t="str">
        <f>IF(G59=1,FLOOR(AGIm+INSm,1),"agi + ins")</f>
        <v>agi + ins</v>
      </c>
      <c r="P59" s="725"/>
      <c r="Q59" s="725"/>
      <c r="R59" s="725"/>
      <c r="S59" s="27"/>
      <c r="T59" s="725" t="s">
        <v>72</v>
      </c>
      <c r="U59" s="725"/>
      <c r="V59" s="725"/>
      <c r="W59" s="725"/>
      <c r="X59" s="27"/>
      <c r="Y59" s="725" t="s">
        <v>73</v>
      </c>
      <c r="Z59" s="725"/>
      <c r="AA59" s="725"/>
      <c r="AB59" s="725"/>
      <c r="AC59" s="27"/>
      <c r="AD59" s="725" t="s">
        <v>74</v>
      </c>
      <c r="AE59" s="725"/>
      <c r="AF59" s="725"/>
      <c r="AG59" s="725"/>
      <c r="AH59" s="6"/>
      <c r="AI59" s="27"/>
      <c r="AJ59" s="27"/>
      <c r="AK59" s="27"/>
      <c r="AL59" s="27"/>
      <c r="AM59" s="796"/>
      <c r="AN59" s="739"/>
      <c r="AO59" s="739"/>
      <c r="AP59" s="739"/>
      <c r="AQ59" s="801"/>
      <c r="AR59" s="725"/>
      <c r="AS59" s="725"/>
      <c r="AT59" s="802"/>
      <c r="AU59" s="27"/>
      <c r="AV59" s="27"/>
      <c r="AW59" s="725" t="str">
        <f>IF(AO59=1,FLOOR(AGIm+INSm,1),"agi + ins")</f>
        <v>agi + ins</v>
      </c>
      <c r="AX59" s="725"/>
      <c r="AY59" s="725"/>
      <c r="AZ59" s="725"/>
      <c r="BA59" s="27"/>
      <c r="BB59" s="725" t="s">
        <v>72</v>
      </c>
      <c r="BC59" s="725"/>
      <c r="BD59" s="725"/>
      <c r="BE59" s="725"/>
      <c r="BF59" s="27"/>
      <c r="BG59" s="725" t="s">
        <v>73</v>
      </c>
      <c r="BH59" s="725"/>
      <c r="BI59" s="725"/>
      <c r="BJ59" s="725"/>
      <c r="BK59" s="27"/>
      <c r="BL59" s="725" t="s">
        <v>74</v>
      </c>
      <c r="BM59" s="725"/>
      <c r="BN59" s="725"/>
      <c r="BO59" s="725"/>
      <c r="BP59" s="5"/>
      <c r="BQ59" s="5"/>
      <c r="BR59" s="5"/>
      <c r="BS59" s="5"/>
      <c r="BT59" s="5"/>
    </row>
    <row r="60" spans="1:72" ht="7.5" customHeight="1" x14ac:dyDescent="0.25">
      <c r="A60" s="27"/>
      <c r="B60" s="27"/>
      <c r="C60" s="27"/>
      <c r="D60" s="27"/>
      <c r="E60" s="797"/>
      <c r="F60" s="798"/>
      <c r="G60" s="798"/>
      <c r="H60" s="798"/>
      <c r="I60" s="803"/>
      <c r="J60" s="804"/>
      <c r="K60" s="804"/>
      <c r="L60" s="805"/>
      <c r="M60" s="27"/>
      <c r="N60" s="27"/>
      <c r="O60" s="725"/>
      <c r="P60" s="725"/>
      <c r="Q60" s="725"/>
      <c r="R60" s="725"/>
      <c r="S60" s="27"/>
      <c r="T60" s="725"/>
      <c r="U60" s="725"/>
      <c r="V60" s="725"/>
      <c r="W60" s="725"/>
      <c r="X60" s="27"/>
      <c r="Y60" s="725"/>
      <c r="Z60" s="725"/>
      <c r="AA60" s="725"/>
      <c r="AB60" s="725"/>
      <c r="AC60" s="27"/>
      <c r="AD60" s="725"/>
      <c r="AE60" s="725"/>
      <c r="AF60" s="725"/>
      <c r="AG60" s="725"/>
      <c r="AH60" s="6"/>
      <c r="AI60" s="27"/>
      <c r="AJ60" s="27"/>
      <c r="AK60" s="27"/>
      <c r="AL60" s="27"/>
      <c r="AM60" s="797"/>
      <c r="AN60" s="798"/>
      <c r="AO60" s="798"/>
      <c r="AP60" s="798"/>
      <c r="AQ60" s="803"/>
      <c r="AR60" s="804"/>
      <c r="AS60" s="804"/>
      <c r="AT60" s="805"/>
      <c r="AU60" s="27"/>
      <c r="AV60" s="27"/>
      <c r="AW60" s="725"/>
      <c r="AX60" s="725"/>
      <c r="AY60" s="725"/>
      <c r="AZ60" s="725"/>
      <c r="BA60" s="27"/>
      <c r="BB60" s="725"/>
      <c r="BC60" s="725"/>
      <c r="BD60" s="725"/>
      <c r="BE60" s="725"/>
      <c r="BF60" s="27"/>
      <c r="BG60" s="725"/>
      <c r="BH60" s="725"/>
      <c r="BI60" s="725"/>
      <c r="BJ60" s="725"/>
      <c r="BK60" s="27"/>
      <c r="BL60" s="725"/>
      <c r="BM60" s="725"/>
      <c r="BN60" s="725"/>
      <c r="BO60" s="725"/>
      <c r="BP60" s="5"/>
      <c r="BQ60" s="5"/>
      <c r="BR60" s="5"/>
      <c r="BS60" s="5"/>
      <c r="BT60" s="5"/>
    </row>
    <row r="61" spans="1:72" ht="7.5" customHeight="1" thickBot="1" x14ac:dyDescent="0.3">
      <c r="A61" s="17"/>
      <c r="B61" s="17"/>
      <c r="C61" s="17"/>
      <c r="D61" s="17"/>
      <c r="E61" s="3"/>
      <c r="F61" s="3"/>
      <c r="G61" s="3"/>
      <c r="H61" s="3"/>
      <c r="I61" s="4"/>
      <c r="J61" s="4"/>
      <c r="K61" s="4"/>
      <c r="L61" s="4"/>
      <c r="M61" s="17"/>
      <c r="N61" s="17"/>
      <c r="O61" s="724" t="s">
        <v>57</v>
      </c>
      <c r="P61" s="724"/>
      <c r="Q61" s="724"/>
      <c r="R61" s="724"/>
      <c r="S61" s="17"/>
      <c r="T61" s="724" t="s">
        <v>70</v>
      </c>
      <c r="U61" s="724"/>
      <c r="V61" s="724"/>
      <c r="W61" s="724"/>
      <c r="X61" s="17"/>
      <c r="Y61" s="724" t="s">
        <v>71</v>
      </c>
      <c r="Z61" s="724"/>
      <c r="AA61" s="724"/>
      <c r="AB61" s="724"/>
      <c r="AC61" s="17"/>
      <c r="AD61" s="724" t="s">
        <v>60</v>
      </c>
      <c r="AE61" s="724"/>
      <c r="AF61" s="724"/>
      <c r="AG61" s="724"/>
      <c r="AH61" s="6"/>
      <c r="AI61" s="17"/>
      <c r="AJ61" s="17"/>
      <c r="AK61" s="17"/>
      <c r="AL61" s="17"/>
      <c r="AM61" s="3"/>
      <c r="AN61" s="3"/>
      <c r="AO61" s="3"/>
      <c r="AP61" s="3"/>
      <c r="AQ61" s="4"/>
      <c r="AR61" s="4"/>
      <c r="AS61" s="4"/>
      <c r="AT61" s="4"/>
      <c r="AU61" s="17"/>
      <c r="AV61" s="17"/>
      <c r="AW61" s="724" t="s">
        <v>57</v>
      </c>
      <c r="AX61" s="724"/>
      <c r="AY61" s="724"/>
      <c r="AZ61" s="724"/>
      <c r="BA61" s="17"/>
      <c r="BB61" s="724" t="s">
        <v>70</v>
      </c>
      <c r="BC61" s="724"/>
      <c r="BD61" s="724"/>
      <c r="BE61" s="724"/>
      <c r="BF61" s="17"/>
      <c r="BG61" s="724" t="s">
        <v>71</v>
      </c>
      <c r="BH61" s="724"/>
      <c r="BI61" s="724"/>
      <c r="BJ61" s="724"/>
      <c r="BK61" s="17"/>
      <c r="BL61" s="724" t="s">
        <v>60</v>
      </c>
      <c r="BM61" s="724"/>
      <c r="BN61" s="724"/>
      <c r="BO61" s="724"/>
      <c r="BP61" s="5"/>
      <c r="BQ61" s="5"/>
      <c r="BR61" s="5"/>
      <c r="BS61" s="5"/>
      <c r="BT61" s="5"/>
    </row>
    <row r="62" spans="1:72" ht="7.5" customHeight="1" thickBo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6"/>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5"/>
      <c r="BQ62" s="5"/>
      <c r="BR62" s="5"/>
      <c r="BS62" s="5"/>
      <c r="BT62" s="5"/>
    </row>
    <row r="63" spans="1:72" ht="7.5" customHeight="1" thickBot="1" x14ac:dyDescent="0.3">
      <c r="A63" s="726" t="s">
        <v>1</v>
      </c>
      <c r="B63" s="726"/>
      <c r="C63" s="726"/>
      <c r="D63" s="782"/>
      <c r="E63" s="761"/>
      <c r="F63" s="762"/>
      <c r="G63" s="783" t="s">
        <v>64</v>
      </c>
      <c r="H63" s="783"/>
      <c r="I63" s="783"/>
      <c r="J63" s="729" t="s">
        <v>4</v>
      </c>
      <c r="K63" s="729"/>
      <c r="L63" s="729"/>
      <c r="M63" s="784"/>
      <c r="N63" s="767"/>
      <c r="O63" s="768"/>
      <c r="P63" s="836" t="s">
        <v>64</v>
      </c>
      <c r="Q63" s="836"/>
      <c r="R63" s="836"/>
      <c r="S63" s="792" t="s">
        <v>7</v>
      </c>
      <c r="T63" s="792"/>
      <c r="U63" s="792"/>
      <c r="V63" s="785"/>
      <c r="W63" s="786"/>
      <c r="X63" s="787"/>
      <c r="Y63" s="790" t="s">
        <v>64</v>
      </c>
      <c r="Z63" s="790"/>
      <c r="AA63" s="790"/>
      <c r="AB63" s="17"/>
      <c r="AC63" s="837" t="s">
        <v>65</v>
      </c>
      <c r="AD63" s="838"/>
      <c r="AE63" s="838"/>
      <c r="AF63" s="838"/>
      <c r="AG63" s="838"/>
      <c r="AH63" s="6"/>
      <c r="AI63" s="726" t="s">
        <v>1</v>
      </c>
      <c r="AJ63" s="726"/>
      <c r="AK63" s="726"/>
      <c r="AL63" s="782"/>
      <c r="AM63" s="761"/>
      <c r="AN63" s="762"/>
      <c r="AO63" s="783" t="s">
        <v>64</v>
      </c>
      <c r="AP63" s="783"/>
      <c r="AQ63" s="783"/>
      <c r="AR63" s="729" t="s">
        <v>4</v>
      </c>
      <c r="AS63" s="729"/>
      <c r="AT63" s="729"/>
      <c r="AU63" s="784"/>
      <c r="AV63" s="767"/>
      <c r="AW63" s="768"/>
      <c r="AX63" s="836" t="s">
        <v>64</v>
      </c>
      <c r="AY63" s="836"/>
      <c r="AZ63" s="836"/>
      <c r="BA63" s="792" t="s">
        <v>7</v>
      </c>
      <c r="BB63" s="792"/>
      <c r="BC63" s="792"/>
      <c r="BD63" s="785"/>
      <c r="BE63" s="786"/>
      <c r="BF63" s="787"/>
      <c r="BG63" s="790" t="s">
        <v>64</v>
      </c>
      <c r="BH63" s="790"/>
      <c r="BI63" s="790"/>
      <c r="BJ63" s="17"/>
      <c r="BK63" s="837" t="s">
        <v>65</v>
      </c>
      <c r="BL63" s="838"/>
      <c r="BM63" s="838"/>
      <c r="BN63" s="838"/>
      <c r="BO63" s="838"/>
      <c r="BP63" s="5"/>
      <c r="BQ63" s="5"/>
      <c r="BR63" s="5"/>
      <c r="BS63" s="5"/>
      <c r="BT63" s="5"/>
    </row>
    <row r="64" spans="1:72" ht="7.5" customHeight="1" thickBot="1" x14ac:dyDescent="0.3">
      <c r="A64" s="727"/>
      <c r="B64" s="727"/>
      <c r="C64" s="727"/>
      <c r="D64" s="761"/>
      <c r="E64" s="761"/>
      <c r="F64" s="762"/>
      <c r="G64" s="728"/>
      <c r="H64" s="728"/>
      <c r="I64" s="728"/>
      <c r="J64" s="730"/>
      <c r="K64" s="730"/>
      <c r="L64" s="730"/>
      <c r="M64" s="767"/>
      <c r="N64" s="767"/>
      <c r="O64" s="768"/>
      <c r="P64" s="737"/>
      <c r="Q64" s="737"/>
      <c r="R64" s="737"/>
      <c r="S64" s="793"/>
      <c r="T64" s="793"/>
      <c r="U64" s="793"/>
      <c r="V64" s="786"/>
      <c r="W64" s="786"/>
      <c r="X64" s="787"/>
      <c r="Y64" s="736"/>
      <c r="Z64" s="736"/>
      <c r="AA64" s="736"/>
      <c r="AB64" s="17"/>
      <c r="AC64" s="839"/>
      <c r="AD64" s="839"/>
      <c r="AE64" s="839"/>
      <c r="AF64" s="839"/>
      <c r="AG64" s="839"/>
      <c r="AH64" s="6"/>
      <c r="AI64" s="727"/>
      <c r="AJ64" s="727"/>
      <c r="AK64" s="727"/>
      <c r="AL64" s="761"/>
      <c r="AM64" s="761"/>
      <c r="AN64" s="762"/>
      <c r="AO64" s="728"/>
      <c r="AP64" s="728"/>
      <c r="AQ64" s="728"/>
      <c r="AR64" s="730"/>
      <c r="AS64" s="730"/>
      <c r="AT64" s="730"/>
      <c r="AU64" s="767"/>
      <c r="AV64" s="767"/>
      <c r="AW64" s="768"/>
      <c r="AX64" s="737"/>
      <c r="AY64" s="737"/>
      <c r="AZ64" s="737"/>
      <c r="BA64" s="793"/>
      <c r="BB64" s="793"/>
      <c r="BC64" s="793"/>
      <c r="BD64" s="786"/>
      <c r="BE64" s="786"/>
      <c r="BF64" s="787"/>
      <c r="BG64" s="736"/>
      <c r="BH64" s="736"/>
      <c r="BI64" s="736"/>
      <c r="BJ64" s="17"/>
      <c r="BK64" s="839"/>
      <c r="BL64" s="839"/>
      <c r="BM64" s="839"/>
      <c r="BN64" s="839"/>
      <c r="BO64" s="839"/>
      <c r="BP64" s="5"/>
      <c r="BQ64" s="5"/>
      <c r="BR64" s="5"/>
      <c r="BS64" s="5"/>
      <c r="BT64" s="5"/>
    </row>
    <row r="65" spans="1:89" ht="7.5" customHeight="1" thickBot="1" x14ac:dyDescent="0.4">
      <c r="A65" s="734"/>
      <c r="B65" s="735"/>
      <c r="C65" s="735"/>
      <c r="D65" s="763"/>
      <c r="E65" s="763"/>
      <c r="F65" s="764"/>
      <c r="G65" s="728"/>
      <c r="H65" s="728"/>
      <c r="I65" s="728"/>
      <c r="J65" s="731"/>
      <c r="K65" s="731"/>
      <c r="L65" s="731"/>
      <c r="M65" s="769"/>
      <c r="N65" s="769"/>
      <c r="O65" s="770"/>
      <c r="P65" s="737"/>
      <c r="Q65" s="737"/>
      <c r="R65" s="737"/>
      <c r="S65" s="732"/>
      <c r="T65" s="733"/>
      <c r="U65" s="733"/>
      <c r="V65" s="788"/>
      <c r="W65" s="788"/>
      <c r="X65" s="789"/>
      <c r="Y65" s="736"/>
      <c r="Z65" s="736"/>
      <c r="AA65" s="736"/>
      <c r="AB65" s="17"/>
      <c r="AC65" s="840"/>
      <c r="AD65" s="840"/>
      <c r="AE65" s="840"/>
      <c r="AF65" s="840"/>
      <c r="AG65" s="840"/>
      <c r="AH65" s="6"/>
      <c r="AI65" s="734"/>
      <c r="AJ65" s="735"/>
      <c r="AK65" s="735"/>
      <c r="AL65" s="763"/>
      <c r="AM65" s="763"/>
      <c r="AN65" s="764"/>
      <c r="AO65" s="728"/>
      <c r="AP65" s="728"/>
      <c r="AQ65" s="728"/>
      <c r="AR65" s="731"/>
      <c r="AS65" s="731"/>
      <c r="AT65" s="731"/>
      <c r="AU65" s="769"/>
      <c r="AV65" s="769"/>
      <c r="AW65" s="770"/>
      <c r="AX65" s="737"/>
      <c r="AY65" s="737"/>
      <c r="AZ65" s="737"/>
      <c r="BA65" s="732"/>
      <c r="BB65" s="733"/>
      <c r="BC65" s="733"/>
      <c r="BD65" s="788"/>
      <c r="BE65" s="788"/>
      <c r="BF65" s="789"/>
      <c r="BG65" s="736"/>
      <c r="BH65" s="736"/>
      <c r="BI65" s="736"/>
      <c r="BJ65" s="17"/>
      <c r="BK65" s="840"/>
      <c r="BL65" s="840"/>
      <c r="BM65" s="840"/>
      <c r="BN65" s="840"/>
      <c r="BO65" s="840"/>
      <c r="BP65" s="5"/>
      <c r="BQ65" s="5"/>
      <c r="BR65" s="5"/>
      <c r="BS65" s="5"/>
      <c r="BT65" s="5"/>
    </row>
    <row r="66" spans="1:89" ht="7.5" customHeight="1" thickBot="1" x14ac:dyDescent="0.3">
      <c r="A66" s="726" t="s">
        <v>2</v>
      </c>
      <c r="B66" s="726"/>
      <c r="C66" s="726"/>
      <c r="D66" s="791"/>
      <c r="E66" s="759"/>
      <c r="F66" s="760"/>
      <c r="G66" s="728" t="s">
        <v>64</v>
      </c>
      <c r="H66" s="728"/>
      <c r="I66" s="728"/>
      <c r="J66" s="729" t="s">
        <v>5</v>
      </c>
      <c r="K66" s="729"/>
      <c r="L66" s="729"/>
      <c r="M66" s="765"/>
      <c r="N66" s="765"/>
      <c r="O66" s="766"/>
      <c r="P66" s="737" t="s">
        <v>64</v>
      </c>
      <c r="Q66" s="737"/>
      <c r="R66" s="737"/>
      <c r="S66" s="792" t="s">
        <v>8</v>
      </c>
      <c r="T66" s="792"/>
      <c r="U66" s="792"/>
      <c r="V66" s="850"/>
      <c r="W66" s="850"/>
      <c r="X66" s="851"/>
      <c r="Y66" s="736" t="s">
        <v>64</v>
      </c>
      <c r="Z66" s="736"/>
      <c r="AA66" s="736"/>
      <c r="AB66" s="17"/>
      <c r="AC66" s="833" t="s">
        <v>66</v>
      </c>
      <c r="AD66" s="833"/>
      <c r="AE66" s="833"/>
      <c r="AF66" s="833"/>
      <c r="AG66" s="833"/>
      <c r="AH66" s="6"/>
      <c r="AI66" s="726" t="s">
        <v>2</v>
      </c>
      <c r="AJ66" s="726"/>
      <c r="AK66" s="726"/>
      <c r="AL66" s="791"/>
      <c r="AM66" s="759"/>
      <c r="AN66" s="760"/>
      <c r="AO66" s="728" t="s">
        <v>64</v>
      </c>
      <c r="AP66" s="728"/>
      <c r="AQ66" s="728"/>
      <c r="AR66" s="729" t="s">
        <v>5</v>
      </c>
      <c r="AS66" s="729"/>
      <c r="AT66" s="729"/>
      <c r="AU66" s="765"/>
      <c r="AV66" s="765"/>
      <c r="AW66" s="766"/>
      <c r="AX66" s="737" t="s">
        <v>64</v>
      </c>
      <c r="AY66" s="737"/>
      <c r="AZ66" s="737"/>
      <c r="BA66" s="792" t="s">
        <v>8</v>
      </c>
      <c r="BB66" s="792"/>
      <c r="BC66" s="792"/>
      <c r="BD66" s="850"/>
      <c r="BE66" s="850"/>
      <c r="BF66" s="851"/>
      <c r="BG66" s="736" t="s">
        <v>64</v>
      </c>
      <c r="BH66" s="736"/>
      <c r="BI66" s="736"/>
      <c r="BJ66" s="17"/>
      <c r="BK66" s="833" t="s">
        <v>66</v>
      </c>
      <c r="BL66" s="833"/>
      <c r="BM66" s="833"/>
      <c r="BN66" s="833"/>
      <c r="BO66" s="833"/>
      <c r="BP66" s="5"/>
      <c r="BQ66" s="5"/>
      <c r="BR66" s="5"/>
      <c r="BS66" s="5"/>
      <c r="BT66" s="5"/>
    </row>
    <row r="67" spans="1:89" ht="7.5" customHeight="1" thickBot="1" x14ac:dyDescent="0.3">
      <c r="A67" s="727"/>
      <c r="B67" s="727"/>
      <c r="C67" s="727"/>
      <c r="D67" s="761"/>
      <c r="E67" s="761"/>
      <c r="F67" s="762"/>
      <c r="G67" s="728"/>
      <c r="H67" s="728"/>
      <c r="I67" s="728"/>
      <c r="J67" s="730"/>
      <c r="K67" s="730"/>
      <c r="L67" s="730"/>
      <c r="M67" s="767"/>
      <c r="N67" s="767"/>
      <c r="O67" s="768"/>
      <c r="P67" s="737"/>
      <c r="Q67" s="737"/>
      <c r="R67" s="737"/>
      <c r="S67" s="793"/>
      <c r="T67" s="793"/>
      <c r="U67" s="793"/>
      <c r="V67" s="786"/>
      <c r="W67" s="786"/>
      <c r="X67" s="787"/>
      <c r="Y67" s="736"/>
      <c r="Z67" s="736"/>
      <c r="AA67" s="736"/>
      <c r="AB67" s="17"/>
      <c r="AC67" s="834"/>
      <c r="AD67" s="834"/>
      <c r="AE67" s="834"/>
      <c r="AF67" s="834"/>
      <c r="AG67" s="834"/>
      <c r="AH67" s="6"/>
      <c r="AI67" s="727"/>
      <c r="AJ67" s="727"/>
      <c r="AK67" s="727"/>
      <c r="AL67" s="761"/>
      <c r="AM67" s="761"/>
      <c r="AN67" s="762"/>
      <c r="AO67" s="728"/>
      <c r="AP67" s="728"/>
      <c r="AQ67" s="728"/>
      <c r="AR67" s="730"/>
      <c r="AS67" s="730"/>
      <c r="AT67" s="730"/>
      <c r="AU67" s="767"/>
      <c r="AV67" s="767"/>
      <c r="AW67" s="768"/>
      <c r="AX67" s="737"/>
      <c r="AY67" s="737"/>
      <c r="AZ67" s="737"/>
      <c r="BA67" s="793"/>
      <c r="BB67" s="793"/>
      <c r="BC67" s="793"/>
      <c r="BD67" s="786"/>
      <c r="BE67" s="786"/>
      <c r="BF67" s="787"/>
      <c r="BG67" s="736"/>
      <c r="BH67" s="736"/>
      <c r="BI67" s="736"/>
      <c r="BJ67" s="17"/>
      <c r="BK67" s="834"/>
      <c r="BL67" s="834"/>
      <c r="BM67" s="834"/>
      <c r="BN67" s="834"/>
      <c r="BO67" s="834"/>
      <c r="BP67" s="5"/>
      <c r="BQ67" s="5"/>
      <c r="BR67" s="5"/>
      <c r="BS67" s="5"/>
      <c r="BT67" s="5"/>
    </row>
    <row r="68" spans="1:89" ht="7.5" customHeight="1" thickBot="1" x14ac:dyDescent="0.4">
      <c r="A68" s="735"/>
      <c r="B68" s="735"/>
      <c r="C68" s="735"/>
      <c r="D68" s="763"/>
      <c r="E68" s="763"/>
      <c r="F68" s="764"/>
      <c r="G68" s="728"/>
      <c r="H68" s="728"/>
      <c r="I68" s="728"/>
      <c r="J68" s="731"/>
      <c r="K68" s="731"/>
      <c r="L68" s="731"/>
      <c r="M68" s="769"/>
      <c r="N68" s="769"/>
      <c r="O68" s="770"/>
      <c r="P68" s="737"/>
      <c r="Q68" s="737"/>
      <c r="R68" s="737"/>
      <c r="S68" s="835"/>
      <c r="T68" s="835"/>
      <c r="U68" s="835"/>
      <c r="V68" s="788"/>
      <c r="W68" s="788"/>
      <c r="X68" s="789"/>
      <c r="Y68" s="736"/>
      <c r="Z68" s="736"/>
      <c r="AA68" s="736"/>
      <c r="AB68" s="17"/>
      <c r="AC68" s="834"/>
      <c r="AD68" s="834"/>
      <c r="AE68" s="834"/>
      <c r="AF68" s="834"/>
      <c r="AG68" s="834"/>
      <c r="AH68" s="6"/>
      <c r="AI68" s="735"/>
      <c r="AJ68" s="735"/>
      <c r="AK68" s="735"/>
      <c r="AL68" s="763"/>
      <c r="AM68" s="763"/>
      <c r="AN68" s="764"/>
      <c r="AO68" s="728"/>
      <c r="AP68" s="728"/>
      <c r="AQ68" s="728"/>
      <c r="AR68" s="731"/>
      <c r="AS68" s="731"/>
      <c r="AT68" s="731"/>
      <c r="AU68" s="769"/>
      <c r="AV68" s="769"/>
      <c r="AW68" s="770"/>
      <c r="AX68" s="737"/>
      <c r="AY68" s="737"/>
      <c r="AZ68" s="737"/>
      <c r="BA68" s="835"/>
      <c r="BB68" s="835"/>
      <c r="BC68" s="835"/>
      <c r="BD68" s="788"/>
      <c r="BE68" s="788"/>
      <c r="BF68" s="789"/>
      <c r="BG68" s="736"/>
      <c r="BH68" s="736"/>
      <c r="BI68" s="736"/>
      <c r="BJ68" s="17"/>
      <c r="BK68" s="834"/>
      <c r="BL68" s="834"/>
      <c r="BM68" s="834"/>
      <c r="BN68" s="834"/>
      <c r="BO68" s="834"/>
      <c r="BP68" s="5"/>
      <c r="BQ68" s="5"/>
      <c r="BR68" s="5"/>
      <c r="BS68" s="5"/>
      <c r="BT68" s="5"/>
    </row>
    <row r="69" spans="1:89" ht="7.5" customHeight="1" thickBot="1" x14ac:dyDescent="0.3">
      <c r="A69" s="726" t="s">
        <v>3</v>
      </c>
      <c r="B69" s="726"/>
      <c r="C69" s="726"/>
      <c r="D69" s="758"/>
      <c r="E69" s="759"/>
      <c r="F69" s="760"/>
      <c r="G69" s="728" t="s">
        <v>64</v>
      </c>
      <c r="H69" s="728"/>
      <c r="I69" s="728"/>
      <c r="J69" s="729" t="s">
        <v>6</v>
      </c>
      <c r="K69" s="729"/>
      <c r="L69" s="729"/>
      <c r="M69" s="765"/>
      <c r="N69" s="765"/>
      <c r="O69" s="766"/>
      <c r="P69" s="853" t="s">
        <v>64</v>
      </c>
      <c r="Q69" s="854"/>
      <c r="R69" s="854"/>
      <c r="S69" s="792" t="s">
        <v>9</v>
      </c>
      <c r="T69" s="792"/>
      <c r="U69" s="792"/>
      <c r="V69" s="850"/>
      <c r="W69" s="850"/>
      <c r="X69" s="851"/>
      <c r="Y69" s="736" t="s">
        <v>64</v>
      </c>
      <c r="Z69" s="736"/>
      <c r="AA69" s="736"/>
      <c r="AB69" s="17"/>
      <c r="AC69" s="806" t="s">
        <v>67</v>
      </c>
      <c r="AD69" s="806"/>
      <c r="AE69" s="806"/>
      <c r="AF69" s="806"/>
      <c r="AG69" s="806"/>
      <c r="AH69" s="6"/>
      <c r="AI69" s="726" t="s">
        <v>3</v>
      </c>
      <c r="AJ69" s="726"/>
      <c r="AK69" s="726"/>
      <c r="AL69" s="758"/>
      <c r="AM69" s="759"/>
      <c r="AN69" s="760"/>
      <c r="AO69" s="728" t="s">
        <v>64</v>
      </c>
      <c r="AP69" s="728"/>
      <c r="AQ69" s="728"/>
      <c r="AR69" s="729" t="s">
        <v>6</v>
      </c>
      <c r="AS69" s="729"/>
      <c r="AT69" s="729"/>
      <c r="AU69" s="765"/>
      <c r="AV69" s="765"/>
      <c r="AW69" s="766"/>
      <c r="AX69" s="853" t="s">
        <v>64</v>
      </c>
      <c r="AY69" s="854"/>
      <c r="AZ69" s="854"/>
      <c r="BA69" s="792" t="s">
        <v>9</v>
      </c>
      <c r="BB69" s="792"/>
      <c r="BC69" s="792"/>
      <c r="BD69" s="850"/>
      <c r="BE69" s="850"/>
      <c r="BF69" s="851"/>
      <c r="BG69" s="736" t="s">
        <v>64</v>
      </c>
      <c r="BH69" s="736"/>
      <c r="BI69" s="736"/>
      <c r="BJ69" s="17"/>
      <c r="BK69" s="806" t="s">
        <v>67</v>
      </c>
      <c r="BL69" s="806"/>
      <c r="BM69" s="806"/>
      <c r="BN69" s="806"/>
      <c r="BO69" s="806"/>
      <c r="BP69" s="5"/>
      <c r="BQ69" s="5"/>
      <c r="BR69" s="5"/>
      <c r="BS69" s="5"/>
      <c r="BT69" s="5"/>
    </row>
    <row r="70" spans="1:89" ht="7.5" customHeight="1" thickBot="1" x14ac:dyDescent="0.3">
      <c r="A70" s="727"/>
      <c r="B70" s="727"/>
      <c r="C70" s="727"/>
      <c r="D70" s="761"/>
      <c r="E70" s="761"/>
      <c r="F70" s="762"/>
      <c r="G70" s="728"/>
      <c r="H70" s="728"/>
      <c r="I70" s="728"/>
      <c r="J70" s="730"/>
      <c r="K70" s="730"/>
      <c r="L70" s="730"/>
      <c r="M70" s="767"/>
      <c r="N70" s="767"/>
      <c r="O70" s="768"/>
      <c r="P70" s="855"/>
      <c r="Q70" s="856"/>
      <c r="R70" s="856"/>
      <c r="S70" s="793"/>
      <c r="T70" s="793"/>
      <c r="U70" s="793"/>
      <c r="V70" s="786"/>
      <c r="W70" s="786"/>
      <c r="X70" s="787"/>
      <c r="Y70" s="736"/>
      <c r="Z70" s="736"/>
      <c r="AA70" s="736"/>
      <c r="AB70" s="17"/>
      <c r="AC70" s="807"/>
      <c r="AD70" s="807"/>
      <c r="AE70" s="807"/>
      <c r="AF70" s="807"/>
      <c r="AG70" s="807"/>
      <c r="AH70" s="6"/>
      <c r="AI70" s="727"/>
      <c r="AJ70" s="727"/>
      <c r="AK70" s="727"/>
      <c r="AL70" s="761"/>
      <c r="AM70" s="761"/>
      <c r="AN70" s="762"/>
      <c r="AO70" s="728"/>
      <c r="AP70" s="728"/>
      <c r="AQ70" s="728"/>
      <c r="AR70" s="730"/>
      <c r="AS70" s="730"/>
      <c r="AT70" s="730"/>
      <c r="AU70" s="767"/>
      <c r="AV70" s="767"/>
      <c r="AW70" s="768"/>
      <c r="AX70" s="855"/>
      <c r="AY70" s="856"/>
      <c r="AZ70" s="856"/>
      <c r="BA70" s="793"/>
      <c r="BB70" s="793"/>
      <c r="BC70" s="793"/>
      <c r="BD70" s="786"/>
      <c r="BE70" s="786"/>
      <c r="BF70" s="787"/>
      <c r="BG70" s="736"/>
      <c r="BH70" s="736"/>
      <c r="BI70" s="736"/>
      <c r="BJ70" s="17"/>
      <c r="BK70" s="807"/>
      <c r="BL70" s="807"/>
      <c r="BM70" s="807"/>
      <c r="BN70" s="807"/>
      <c r="BO70" s="807"/>
      <c r="BP70" s="5"/>
      <c r="BQ70" s="5"/>
      <c r="BR70" s="5"/>
      <c r="BS70" s="5"/>
      <c r="BT70" s="5"/>
    </row>
    <row r="71" spans="1:89" ht="7.5" customHeight="1" thickBot="1" x14ac:dyDescent="0.3">
      <c r="A71" s="734"/>
      <c r="B71" s="735"/>
      <c r="C71" s="735"/>
      <c r="D71" s="763"/>
      <c r="E71" s="763"/>
      <c r="F71" s="764"/>
      <c r="G71" s="728"/>
      <c r="H71" s="728"/>
      <c r="I71" s="728"/>
      <c r="J71" s="852"/>
      <c r="K71" s="852"/>
      <c r="L71" s="852"/>
      <c r="M71" s="769"/>
      <c r="N71" s="769"/>
      <c r="O71" s="770"/>
      <c r="P71" s="857"/>
      <c r="Q71" s="836"/>
      <c r="R71" s="836"/>
      <c r="S71" s="733"/>
      <c r="T71" s="733"/>
      <c r="U71" s="733"/>
      <c r="V71" s="788"/>
      <c r="W71" s="788"/>
      <c r="X71" s="789"/>
      <c r="Y71" s="736"/>
      <c r="Z71" s="736"/>
      <c r="AA71" s="736"/>
      <c r="AB71" s="17"/>
      <c r="AC71" s="808"/>
      <c r="AD71" s="808"/>
      <c r="AE71" s="808"/>
      <c r="AF71" s="808"/>
      <c r="AG71" s="808"/>
      <c r="AH71" s="6"/>
      <c r="AI71" s="734"/>
      <c r="AJ71" s="735"/>
      <c r="AK71" s="735"/>
      <c r="AL71" s="763"/>
      <c r="AM71" s="763"/>
      <c r="AN71" s="764"/>
      <c r="AO71" s="728"/>
      <c r="AP71" s="728"/>
      <c r="AQ71" s="728"/>
      <c r="AR71" s="852"/>
      <c r="AS71" s="852"/>
      <c r="AT71" s="852"/>
      <c r="AU71" s="769"/>
      <c r="AV71" s="769"/>
      <c r="AW71" s="770"/>
      <c r="AX71" s="857"/>
      <c r="AY71" s="836"/>
      <c r="AZ71" s="836"/>
      <c r="BA71" s="733"/>
      <c r="BB71" s="733"/>
      <c r="BC71" s="733"/>
      <c r="BD71" s="788"/>
      <c r="BE71" s="788"/>
      <c r="BF71" s="789"/>
      <c r="BG71" s="736"/>
      <c r="BH71" s="736"/>
      <c r="BI71" s="736"/>
      <c r="BJ71" s="17"/>
      <c r="BK71" s="808"/>
      <c r="BL71" s="808"/>
      <c r="BM71" s="808"/>
      <c r="BN71" s="808"/>
      <c r="BO71" s="808"/>
      <c r="BP71" s="5"/>
      <c r="BQ71" s="5"/>
      <c r="BR71" s="5"/>
      <c r="BS71" s="5"/>
      <c r="BT71" s="5"/>
    </row>
    <row r="72" spans="1:89" ht="7.5" customHeight="1" thickBo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6"/>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5"/>
      <c r="BQ72" s="5"/>
      <c r="BR72" s="5"/>
      <c r="BS72" s="5"/>
      <c r="BT72" s="5"/>
    </row>
    <row r="73" spans="1:89" ht="7.5" customHeight="1" thickTop="1" x14ac:dyDescent="0.25">
      <c r="A73" s="747"/>
      <c r="B73" s="748"/>
      <c r="C73" s="748"/>
      <c r="D73" s="748"/>
      <c r="E73" s="748"/>
      <c r="F73" s="748"/>
      <c r="G73" s="748"/>
      <c r="H73" s="748"/>
      <c r="I73" s="748"/>
      <c r="J73" s="748"/>
      <c r="K73" s="748"/>
      <c r="L73" s="748"/>
      <c r="M73" s="748"/>
      <c r="N73" s="748"/>
      <c r="O73" s="748"/>
      <c r="P73" s="748"/>
      <c r="Q73" s="748"/>
      <c r="R73" s="748"/>
      <c r="S73" s="748"/>
      <c r="T73" s="21"/>
      <c r="U73" s="20"/>
      <c r="V73" s="20"/>
      <c r="W73" s="20"/>
      <c r="X73" s="20"/>
      <c r="Y73" s="2"/>
      <c r="Z73" s="2"/>
      <c r="AA73" s="2"/>
      <c r="AB73" s="2"/>
      <c r="AC73" s="2"/>
      <c r="AD73" s="2"/>
      <c r="AE73" s="2"/>
      <c r="AF73" s="755"/>
      <c r="AG73" s="755"/>
      <c r="AH73" s="6"/>
      <c r="AI73" s="747"/>
      <c r="AJ73" s="748"/>
      <c r="AK73" s="748"/>
      <c r="AL73" s="748"/>
      <c r="AM73" s="748"/>
      <c r="AN73" s="748"/>
      <c r="AO73" s="748"/>
      <c r="AP73" s="748"/>
      <c r="AQ73" s="748"/>
      <c r="AR73" s="748"/>
      <c r="AS73" s="748"/>
      <c r="AT73" s="748"/>
      <c r="AU73" s="748"/>
      <c r="AV73" s="748"/>
      <c r="AW73" s="748"/>
      <c r="AX73" s="748"/>
      <c r="AY73" s="748"/>
      <c r="AZ73" s="748"/>
      <c r="BA73" s="748"/>
      <c r="BB73" s="21"/>
      <c r="BC73" s="20"/>
      <c r="BD73" s="20"/>
      <c r="BE73" s="20"/>
      <c r="BF73" s="20"/>
      <c r="BG73" s="2"/>
      <c r="BH73" s="2"/>
      <c r="BI73" s="2"/>
      <c r="BJ73" s="2"/>
      <c r="BK73" s="2"/>
      <c r="BL73" s="2"/>
      <c r="BM73" s="2"/>
      <c r="BN73" s="755"/>
      <c r="BO73" s="755"/>
      <c r="BP73" s="5"/>
      <c r="BQ73" s="5"/>
      <c r="BR73" s="5"/>
      <c r="BS73" s="5"/>
      <c r="BT73" s="5"/>
    </row>
    <row r="74" spans="1:89" ht="7.5" customHeight="1" x14ac:dyDescent="0.25">
      <c r="A74" s="749"/>
      <c r="B74" s="750"/>
      <c r="C74" s="750"/>
      <c r="D74" s="750"/>
      <c r="E74" s="750"/>
      <c r="F74" s="750"/>
      <c r="G74" s="750"/>
      <c r="H74" s="750"/>
      <c r="I74" s="750"/>
      <c r="J74" s="750"/>
      <c r="K74" s="750"/>
      <c r="L74" s="750"/>
      <c r="M74" s="750"/>
      <c r="N74" s="750"/>
      <c r="O74" s="750"/>
      <c r="P74" s="750"/>
      <c r="Q74" s="750"/>
      <c r="R74" s="750"/>
      <c r="S74" s="751"/>
      <c r="T74" s="17"/>
      <c r="U74" s="756"/>
      <c r="V74" s="756"/>
      <c r="W74" s="756"/>
      <c r="X74" s="756"/>
      <c r="Y74" s="756"/>
      <c r="Z74" s="17"/>
      <c r="AA74" s="741"/>
      <c r="AB74" s="741"/>
      <c r="AC74" s="741"/>
      <c r="AD74" s="741"/>
      <c r="AE74" s="741"/>
      <c r="AF74" s="741"/>
      <c r="AG74" s="742"/>
      <c r="AH74" s="6"/>
      <c r="AI74" s="749"/>
      <c r="AJ74" s="750"/>
      <c r="AK74" s="750"/>
      <c r="AL74" s="750"/>
      <c r="AM74" s="750"/>
      <c r="AN74" s="750"/>
      <c r="AO74" s="750"/>
      <c r="AP74" s="750"/>
      <c r="AQ74" s="750"/>
      <c r="AR74" s="750"/>
      <c r="AS74" s="750"/>
      <c r="AT74" s="750"/>
      <c r="AU74" s="750"/>
      <c r="AV74" s="750"/>
      <c r="AW74" s="750"/>
      <c r="AX74" s="750"/>
      <c r="AY74" s="750"/>
      <c r="AZ74" s="750"/>
      <c r="BA74" s="751"/>
      <c r="BB74" s="17"/>
      <c r="BC74" s="756"/>
      <c r="BD74" s="756"/>
      <c r="BE74" s="756"/>
      <c r="BF74" s="756"/>
      <c r="BG74" s="756"/>
      <c r="BH74" s="17"/>
      <c r="BI74" s="741"/>
      <c r="BJ74" s="741"/>
      <c r="BK74" s="741"/>
      <c r="BL74" s="741"/>
      <c r="BM74" s="741"/>
      <c r="BN74" s="741"/>
      <c r="BO74" s="742"/>
      <c r="BP74" s="5"/>
      <c r="BQ74" s="5"/>
      <c r="BR74" s="5"/>
      <c r="BS74" s="5"/>
      <c r="BT74" s="5"/>
    </row>
    <row r="75" spans="1:89" ht="7.5" customHeight="1" thickBot="1" x14ac:dyDescent="0.3">
      <c r="A75" s="752"/>
      <c r="B75" s="753"/>
      <c r="C75" s="753"/>
      <c r="D75" s="753"/>
      <c r="E75" s="753"/>
      <c r="F75" s="753"/>
      <c r="G75" s="753"/>
      <c r="H75" s="753"/>
      <c r="I75" s="753"/>
      <c r="J75" s="753"/>
      <c r="K75" s="753"/>
      <c r="L75" s="753"/>
      <c r="M75" s="753"/>
      <c r="N75" s="753"/>
      <c r="O75" s="753"/>
      <c r="P75" s="753"/>
      <c r="Q75" s="753"/>
      <c r="R75" s="753"/>
      <c r="S75" s="754"/>
      <c r="T75" s="17"/>
      <c r="U75" s="757"/>
      <c r="V75" s="757"/>
      <c r="W75" s="757"/>
      <c r="X75" s="757"/>
      <c r="Y75" s="757"/>
      <c r="Z75" s="17"/>
      <c r="AA75" s="743"/>
      <c r="AB75" s="743"/>
      <c r="AC75" s="743"/>
      <c r="AD75" s="743"/>
      <c r="AE75" s="743"/>
      <c r="AF75" s="743"/>
      <c r="AG75" s="744"/>
      <c r="AH75" s="6"/>
      <c r="AI75" s="752"/>
      <c r="AJ75" s="753"/>
      <c r="AK75" s="753"/>
      <c r="AL75" s="753"/>
      <c r="AM75" s="753"/>
      <c r="AN75" s="753"/>
      <c r="AO75" s="753"/>
      <c r="AP75" s="753"/>
      <c r="AQ75" s="753"/>
      <c r="AR75" s="753"/>
      <c r="AS75" s="753"/>
      <c r="AT75" s="753"/>
      <c r="AU75" s="753"/>
      <c r="AV75" s="753"/>
      <c r="AW75" s="753"/>
      <c r="AX75" s="753"/>
      <c r="AY75" s="753"/>
      <c r="AZ75" s="753"/>
      <c r="BA75" s="754"/>
      <c r="BB75" s="17"/>
      <c r="BC75" s="757"/>
      <c r="BD75" s="757"/>
      <c r="BE75" s="757"/>
      <c r="BF75" s="757"/>
      <c r="BG75" s="757"/>
      <c r="BH75" s="17"/>
      <c r="BI75" s="743"/>
      <c r="BJ75" s="743"/>
      <c r="BK75" s="743"/>
      <c r="BL75" s="743"/>
      <c r="BM75" s="743"/>
      <c r="BN75" s="743"/>
      <c r="BO75" s="744"/>
      <c r="BP75" s="5"/>
      <c r="BQ75" s="5"/>
      <c r="BR75" s="5"/>
      <c r="BS75" s="5"/>
      <c r="BT75" s="5"/>
    </row>
    <row r="76" spans="1:89" ht="7.5" customHeight="1" thickTop="1" x14ac:dyDescent="0.25">
      <c r="A76" s="771" t="s">
        <v>68</v>
      </c>
      <c r="B76" s="772"/>
      <c r="C76" s="772"/>
      <c r="D76" s="772"/>
      <c r="E76" s="772"/>
      <c r="F76" s="772"/>
      <c r="G76" s="772"/>
      <c r="H76" s="772"/>
      <c r="I76" s="772"/>
      <c r="J76" s="772"/>
      <c r="K76" s="772"/>
      <c r="L76" s="772"/>
      <c r="M76" s="772"/>
      <c r="N76" s="772"/>
      <c r="O76" s="772"/>
      <c r="P76" s="772"/>
      <c r="Q76" s="772"/>
      <c r="R76" s="772"/>
      <c r="S76" s="772"/>
      <c r="T76" s="17"/>
      <c r="U76" s="745" t="s">
        <v>24</v>
      </c>
      <c r="V76" s="745"/>
      <c r="W76" s="745"/>
      <c r="X76" s="745"/>
      <c r="Y76" s="745"/>
      <c r="Z76" s="17"/>
      <c r="AA76" s="745" t="s">
        <v>69</v>
      </c>
      <c r="AB76" s="745"/>
      <c r="AC76" s="745"/>
      <c r="AD76" s="745"/>
      <c r="AE76" s="745"/>
      <c r="AF76" s="745"/>
      <c r="AG76" s="746"/>
      <c r="AH76" s="6"/>
      <c r="AI76" s="771" t="s">
        <v>68</v>
      </c>
      <c r="AJ76" s="772"/>
      <c r="AK76" s="772"/>
      <c r="AL76" s="772"/>
      <c r="AM76" s="772"/>
      <c r="AN76" s="772"/>
      <c r="AO76" s="772"/>
      <c r="AP76" s="772"/>
      <c r="AQ76" s="772"/>
      <c r="AR76" s="772"/>
      <c r="AS76" s="772"/>
      <c r="AT76" s="772"/>
      <c r="AU76" s="772"/>
      <c r="AV76" s="772"/>
      <c r="AW76" s="772"/>
      <c r="AX76" s="772"/>
      <c r="AY76" s="772"/>
      <c r="AZ76" s="772"/>
      <c r="BA76" s="772"/>
      <c r="BB76" s="17"/>
      <c r="BC76" s="745" t="s">
        <v>24</v>
      </c>
      <c r="BD76" s="745"/>
      <c r="BE76" s="745"/>
      <c r="BF76" s="745"/>
      <c r="BG76" s="745"/>
      <c r="BH76" s="17"/>
      <c r="BI76" s="745" t="s">
        <v>69</v>
      </c>
      <c r="BJ76" s="745"/>
      <c r="BK76" s="745"/>
      <c r="BL76" s="745"/>
      <c r="BM76" s="745"/>
      <c r="BN76" s="745"/>
      <c r="BO76" s="746"/>
      <c r="BP76" s="5"/>
      <c r="BQ76" s="5"/>
      <c r="BR76" s="5"/>
      <c r="BS76" s="5"/>
      <c r="BT76" s="5"/>
    </row>
    <row r="77" spans="1:89" ht="7.5" customHeight="1" x14ac:dyDescent="0.25">
      <c r="A77" s="809" t="s">
        <v>31</v>
      </c>
      <c r="B77" s="810"/>
      <c r="C77" s="810"/>
      <c r="D77" s="810"/>
      <c r="E77" s="810"/>
      <c r="F77" s="810"/>
      <c r="G77" s="810"/>
      <c r="H77" s="810"/>
      <c r="I77" s="810"/>
      <c r="J77" s="810"/>
      <c r="K77" s="810"/>
      <c r="L77" s="810"/>
      <c r="M77" s="810"/>
      <c r="N77" s="810"/>
      <c r="O77" s="810"/>
      <c r="P77" s="810"/>
      <c r="Q77" s="810"/>
      <c r="R77" s="810"/>
      <c r="S77" s="810"/>
      <c r="T77" s="810"/>
      <c r="U77" s="810"/>
      <c r="V77" s="810"/>
      <c r="W77" s="810"/>
      <c r="X77" s="810"/>
      <c r="Y77" s="810"/>
      <c r="Z77" s="22"/>
      <c r="AA77" s="18"/>
      <c r="AB77" s="18"/>
      <c r="AC77" s="18"/>
      <c r="AD77" s="18"/>
      <c r="AE77" s="18"/>
      <c r="AF77" s="18"/>
      <c r="AG77" s="19"/>
      <c r="AH77" s="6"/>
      <c r="AI77" s="809" t="s">
        <v>31</v>
      </c>
      <c r="AJ77" s="810"/>
      <c r="AK77" s="810"/>
      <c r="AL77" s="810"/>
      <c r="AM77" s="810"/>
      <c r="AN77" s="810"/>
      <c r="AO77" s="810"/>
      <c r="AP77" s="810"/>
      <c r="AQ77" s="810"/>
      <c r="AR77" s="810"/>
      <c r="AS77" s="810"/>
      <c r="AT77" s="810"/>
      <c r="AU77" s="810"/>
      <c r="AV77" s="810"/>
      <c r="AW77" s="810"/>
      <c r="AX77" s="810"/>
      <c r="AY77" s="810"/>
      <c r="AZ77" s="810"/>
      <c r="BA77" s="810"/>
      <c r="BB77" s="810"/>
      <c r="BC77" s="810"/>
      <c r="BD77" s="810"/>
      <c r="BE77" s="810"/>
      <c r="BF77" s="810"/>
      <c r="BG77" s="810"/>
      <c r="BH77" s="22"/>
      <c r="BI77" s="18"/>
      <c r="BJ77" s="18"/>
      <c r="BK77" s="18"/>
      <c r="BL77" s="18"/>
      <c r="BM77" s="18"/>
      <c r="BN77" s="18"/>
      <c r="BO77" s="19"/>
      <c r="BP77" s="5"/>
      <c r="BQ77" s="5"/>
      <c r="BR77" s="5"/>
      <c r="BS77" s="5"/>
      <c r="BT77" s="5"/>
    </row>
    <row r="78" spans="1:89" ht="7.5" customHeight="1" x14ac:dyDescent="0.25">
      <c r="A78" s="809"/>
      <c r="B78" s="810"/>
      <c r="C78" s="810"/>
      <c r="D78" s="810"/>
      <c r="E78" s="810"/>
      <c r="F78" s="810"/>
      <c r="G78" s="810"/>
      <c r="H78" s="810"/>
      <c r="I78" s="810"/>
      <c r="J78" s="810"/>
      <c r="K78" s="810"/>
      <c r="L78" s="810"/>
      <c r="M78" s="810"/>
      <c r="N78" s="810"/>
      <c r="O78" s="810"/>
      <c r="P78" s="810"/>
      <c r="Q78" s="810"/>
      <c r="R78" s="810"/>
      <c r="S78" s="810"/>
      <c r="T78" s="810"/>
      <c r="U78" s="810"/>
      <c r="V78" s="810"/>
      <c r="W78" s="810"/>
      <c r="X78" s="810"/>
      <c r="Y78" s="810"/>
      <c r="Z78" s="22"/>
      <c r="AA78" s="741"/>
      <c r="AB78" s="741"/>
      <c r="AC78" s="741"/>
      <c r="AD78" s="741"/>
      <c r="AE78" s="741"/>
      <c r="AF78" s="741"/>
      <c r="AG78" s="742"/>
      <c r="AH78" s="6"/>
      <c r="AI78" s="809"/>
      <c r="AJ78" s="810"/>
      <c r="AK78" s="810"/>
      <c r="AL78" s="810"/>
      <c r="AM78" s="810"/>
      <c r="AN78" s="810"/>
      <c r="AO78" s="810"/>
      <c r="AP78" s="810"/>
      <c r="AQ78" s="810"/>
      <c r="AR78" s="810"/>
      <c r="AS78" s="810"/>
      <c r="AT78" s="810"/>
      <c r="AU78" s="810"/>
      <c r="AV78" s="810"/>
      <c r="AW78" s="810"/>
      <c r="AX78" s="810"/>
      <c r="AY78" s="810"/>
      <c r="AZ78" s="810"/>
      <c r="BA78" s="810"/>
      <c r="BB78" s="810"/>
      <c r="BC78" s="810"/>
      <c r="BD78" s="810"/>
      <c r="BE78" s="810"/>
      <c r="BF78" s="810"/>
      <c r="BG78" s="810"/>
      <c r="BH78" s="22"/>
      <c r="BI78" s="741"/>
      <c r="BJ78" s="741"/>
      <c r="BK78" s="741"/>
      <c r="BL78" s="741"/>
      <c r="BM78" s="741"/>
      <c r="BN78" s="741"/>
      <c r="BO78" s="742"/>
      <c r="BP78" s="5"/>
      <c r="BQ78" s="5"/>
      <c r="BR78" s="5"/>
      <c r="BS78" s="5"/>
      <c r="BT78" s="5"/>
    </row>
    <row r="79" spans="1:89" ht="7.5" customHeight="1" x14ac:dyDescent="0.25">
      <c r="A79" s="809"/>
      <c r="B79" s="810"/>
      <c r="C79" s="810"/>
      <c r="D79" s="810"/>
      <c r="E79" s="810"/>
      <c r="F79" s="810"/>
      <c r="G79" s="810"/>
      <c r="H79" s="810"/>
      <c r="I79" s="810"/>
      <c r="J79" s="810"/>
      <c r="K79" s="810"/>
      <c r="L79" s="810"/>
      <c r="M79" s="810"/>
      <c r="N79" s="810"/>
      <c r="O79" s="810"/>
      <c r="P79" s="810"/>
      <c r="Q79" s="810"/>
      <c r="R79" s="810"/>
      <c r="S79" s="810"/>
      <c r="T79" s="810"/>
      <c r="U79" s="810"/>
      <c r="V79" s="810"/>
      <c r="W79" s="810"/>
      <c r="X79" s="810"/>
      <c r="Y79" s="810"/>
      <c r="Z79" s="22"/>
      <c r="AA79" s="813"/>
      <c r="AB79" s="813"/>
      <c r="AC79" s="813"/>
      <c r="AD79" s="813"/>
      <c r="AE79" s="813"/>
      <c r="AF79" s="813"/>
      <c r="AG79" s="814"/>
      <c r="AH79" s="6"/>
      <c r="AI79" s="809"/>
      <c r="AJ79" s="810"/>
      <c r="AK79" s="810"/>
      <c r="AL79" s="810"/>
      <c r="AM79" s="810"/>
      <c r="AN79" s="810"/>
      <c r="AO79" s="810"/>
      <c r="AP79" s="810"/>
      <c r="AQ79" s="810"/>
      <c r="AR79" s="810"/>
      <c r="AS79" s="810"/>
      <c r="AT79" s="810"/>
      <c r="AU79" s="810"/>
      <c r="AV79" s="810"/>
      <c r="AW79" s="810"/>
      <c r="AX79" s="810"/>
      <c r="AY79" s="810"/>
      <c r="AZ79" s="810"/>
      <c r="BA79" s="810"/>
      <c r="BB79" s="810"/>
      <c r="BC79" s="810"/>
      <c r="BD79" s="810"/>
      <c r="BE79" s="810"/>
      <c r="BF79" s="810"/>
      <c r="BG79" s="810"/>
      <c r="BH79" s="22"/>
      <c r="BI79" s="813"/>
      <c r="BJ79" s="813"/>
      <c r="BK79" s="813"/>
      <c r="BL79" s="813"/>
      <c r="BM79" s="813"/>
      <c r="BN79" s="813"/>
      <c r="BO79" s="814"/>
      <c r="BP79" s="5"/>
      <c r="BQ79" s="5"/>
      <c r="BR79" s="5"/>
      <c r="BS79" s="5"/>
      <c r="BT79" s="5"/>
      <c r="BU79" s="5"/>
      <c r="BV79" s="5"/>
      <c r="BW79" s="5"/>
      <c r="BX79" s="5"/>
      <c r="BY79" s="5"/>
      <c r="BZ79" s="5"/>
      <c r="CA79" s="5"/>
      <c r="CB79" s="5"/>
      <c r="CC79" s="5"/>
      <c r="CD79" s="5"/>
      <c r="CE79" s="5"/>
      <c r="CF79" s="5"/>
      <c r="CG79" s="5"/>
      <c r="CH79" s="5"/>
      <c r="CI79" s="5"/>
      <c r="CJ79" s="5"/>
      <c r="CK79" s="5"/>
    </row>
    <row r="80" spans="1:89" ht="7.5" customHeight="1" thickBot="1" x14ac:dyDescent="0.3">
      <c r="A80" s="811"/>
      <c r="B80" s="812"/>
      <c r="C80" s="812"/>
      <c r="D80" s="812"/>
      <c r="E80" s="812"/>
      <c r="F80" s="812"/>
      <c r="G80" s="812"/>
      <c r="H80" s="812"/>
      <c r="I80" s="812"/>
      <c r="J80" s="812"/>
      <c r="K80" s="812"/>
      <c r="L80" s="812"/>
      <c r="M80" s="812"/>
      <c r="N80" s="812"/>
      <c r="O80" s="812"/>
      <c r="P80" s="812"/>
      <c r="Q80" s="812"/>
      <c r="R80" s="812"/>
      <c r="S80" s="812"/>
      <c r="T80" s="812"/>
      <c r="U80" s="812"/>
      <c r="V80" s="812"/>
      <c r="W80" s="812"/>
      <c r="X80" s="812"/>
      <c r="Y80" s="812"/>
      <c r="Z80" s="23"/>
      <c r="AA80" s="773" t="s">
        <v>51</v>
      </c>
      <c r="AB80" s="773"/>
      <c r="AC80" s="773"/>
      <c r="AD80" s="773"/>
      <c r="AE80" s="773"/>
      <c r="AF80" s="773"/>
      <c r="AG80" s="774"/>
      <c r="AH80" s="6"/>
      <c r="AI80" s="811"/>
      <c r="AJ80" s="812"/>
      <c r="AK80" s="812"/>
      <c r="AL80" s="812"/>
      <c r="AM80" s="812"/>
      <c r="AN80" s="812"/>
      <c r="AO80" s="812"/>
      <c r="AP80" s="812"/>
      <c r="AQ80" s="812"/>
      <c r="AR80" s="812"/>
      <c r="AS80" s="812"/>
      <c r="AT80" s="812"/>
      <c r="AU80" s="812"/>
      <c r="AV80" s="812"/>
      <c r="AW80" s="812"/>
      <c r="AX80" s="812"/>
      <c r="AY80" s="812"/>
      <c r="AZ80" s="812"/>
      <c r="BA80" s="812"/>
      <c r="BB80" s="812"/>
      <c r="BC80" s="812"/>
      <c r="BD80" s="812"/>
      <c r="BE80" s="812"/>
      <c r="BF80" s="812"/>
      <c r="BG80" s="812"/>
      <c r="BH80" s="23"/>
      <c r="BI80" s="773" t="s">
        <v>51</v>
      </c>
      <c r="BJ80" s="773"/>
      <c r="BK80" s="773"/>
      <c r="BL80" s="773"/>
      <c r="BM80" s="773"/>
      <c r="BN80" s="773"/>
      <c r="BO80" s="774"/>
      <c r="BP80" s="5"/>
      <c r="BQ80" s="5"/>
      <c r="BR80" s="5"/>
      <c r="BS80" s="5"/>
      <c r="BT80" s="5"/>
      <c r="BU80" s="5"/>
      <c r="BV80" s="5"/>
      <c r="BW80" s="5"/>
      <c r="BX80" s="5"/>
      <c r="BY80" s="5"/>
      <c r="BZ80" s="5"/>
      <c r="CA80" s="5"/>
      <c r="CB80" s="5"/>
      <c r="CC80" s="5"/>
      <c r="CD80" s="5"/>
      <c r="CE80" s="5"/>
      <c r="CF80" s="5"/>
      <c r="CG80" s="5"/>
      <c r="CH80" s="5"/>
      <c r="CI80" s="5"/>
      <c r="CJ80" s="5"/>
      <c r="CK80" s="5"/>
    </row>
    <row r="81" spans="1:89" ht="7.5" customHeight="1" thickTop="1" thickBo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6"/>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5"/>
      <c r="BQ81" s="5"/>
      <c r="BR81" s="5"/>
      <c r="BS81" s="5"/>
      <c r="BT81" s="5"/>
      <c r="BU81" s="5"/>
      <c r="BV81" s="5"/>
      <c r="BW81" s="5"/>
      <c r="BX81" s="5"/>
      <c r="BY81" s="5"/>
      <c r="BZ81" s="5"/>
      <c r="CA81" s="5"/>
      <c r="CB81" s="5"/>
      <c r="CC81" s="5"/>
      <c r="CD81" s="5"/>
      <c r="CE81" s="5"/>
      <c r="CF81" s="5"/>
      <c r="CG81" s="5"/>
      <c r="CH81" s="5"/>
      <c r="CI81" s="5"/>
      <c r="CJ81" s="5"/>
      <c r="CK81" s="5"/>
    </row>
    <row r="82" spans="1:89" ht="7.5" customHeight="1" thickTop="1" x14ac:dyDescent="0.25">
      <c r="A82" s="747"/>
      <c r="B82" s="748"/>
      <c r="C82" s="748"/>
      <c r="D82" s="748"/>
      <c r="E82" s="748"/>
      <c r="F82" s="748"/>
      <c r="G82" s="748"/>
      <c r="H82" s="748"/>
      <c r="I82" s="748"/>
      <c r="J82" s="748"/>
      <c r="K82" s="748"/>
      <c r="L82" s="748"/>
      <c r="M82" s="748"/>
      <c r="N82" s="748"/>
      <c r="O82" s="748"/>
      <c r="P82" s="748"/>
      <c r="Q82" s="748"/>
      <c r="R82" s="748"/>
      <c r="S82" s="748"/>
      <c r="T82" s="21"/>
      <c r="U82" s="20"/>
      <c r="V82" s="20"/>
      <c r="W82" s="20"/>
      <c r="X82" s="20"/>
      <c r="Y82" s="2"/>
      <c r="Z82" s="2"/>
      <c r="AA82" s="2"/>
      <c r="AB82" s="2"/>
      <c r="AC82" s="2"/>
      <c r="AD82" s="2"/>
      <c r="AE82" s="2"/>
      <c r="AF82" s="755"/>
      <c r="AG82" s="755"/>
      <c r="AH82" s="6"/>
      <c r="AI82" s="747"/>
      <c r="AJ82" s="748"/>
      <c r="AK82" s="748"/>
      <c r="AL82" s="748"/>
      <c r="AM82" s="748"/>
      <c r="AN82" s="748"/>
      <c r="AO82" s="748"/>
      <c r="AP82" s="748"/>
      <c r="AQ82" s="748"/>
      <c r="AR82" s="748"/>
      <c r="AS82" s="748"/>
      <c r="AT82" s="748"/>
      <c r="AU82" s="748"/>
      <c r="AV82" s="748"/>
      <c r="AW82" s="748"/>
      <c r="AX82" s="748"/>
      <c r="AY82" s="748"/>
      <c r="AZ82" s="748"/>
      <c r="BA82" s="748"/>
      <c r="BB82" s="21"/>
      <c r="BC82" s="20"/>
      <c r="BD82" s="20"/>
      <c r="BE82" s="20"/>
      <c r="BF82" s="20"/>
      <c r="BG82" s="2"/>
      <c r="BH82" s="2"/>
      <c r="BI82" s="2"/>
      <c r="BJ82" s="2"/>
      <c r="BK82" s="2"/>
      <c r="BL82" s="2"/>
      <c r="BM82" s="2"/>
      <c r="BN82" s="755"/>
      <c r="BO82" s="755"/>
      <c r="BP82" s="5"/>
      <c r="BQ82" s="5"/>
      <c r="BR82" s="5"/>
      <c r="BS82" s="5"/>
      <c r="BT82" s="5"/>
      <c r="BU82" s="5"/>
      <c r="BV82" s="5"/>
      <c r="BW82" s="5"/>
      <c r="BX82" s="5"/>
      <c r="BY82" s="5"/>
      <c r="BZ82" s="5"/>
      <c r="CA82" s="5"/>
      <c r="CB82" s="5"/>
      <c r="CC82" s="5"/>
      <c r="CD82" s="5"/>
      <c r="CE82" s="5"/>
      <c r="CF82" s="5"/>
      <c r="CG82" s="5"/>
      <c r="CH82" s="5"/>
      <c r="CI82" s="5"/>
      <c r="CJ82" s="5"/>
      <c r="CK82" s="5"/>
    </row>
    <row r="83" spans="1:89" ht="7.5" customHeight="1" x14ac:dyDescent="0.25">
      <c r="A83" s="749"/>
      <c r="B83" s="750"/>
      <c r="C83" s="750"/>
      <c r="D83" s="750"/>
      <c r="E83" s="750"/>
      <c r="F83" s="750"/>
      <c r="G83" s="750"/>
      <c r="H83" s="750"/>
      <c r="I83" s="750"/>
      <c r="J83" s="750"/>
      <c r="K83" s="750"/>
      <c r="L83" s="750"/>
      <c r="M83" s="750"/>
      <c r="N83" s="750"/>
      <c r="O83" s="750"/>
      <c r="P83" s="750"/>
      <c r="Q83" s="750"/>
      <c r="R83" s="750"/>
      <c r="S83" s="751"/>
      <c r="T83" s="17"/>
      <c r="U83" s="756"/>
      <c r="V83" s="756"/>
      <c r="W83" s="756"/>
      <c r="X83" s="756"/>
      <c r="Y83" s="756"/>
      <c r="Z83" s="17"/>
      <c r="AA83" s="741"/>
      <c r="AB83" s="741"/>
      <c r="AC83" s="741"/>
      <c r="AD83" s="741"/>
      <c r="AE83" s="741"/>
      <c r="AF83" s="741"/>
      <c r="AG83" s="742"/>
      <c r="AH83" s="6"/>
      <c r="AI83" s="749"/>
      <c r="AJ83" s="750"/>
      <c r="AK83" s="750"/>
      <c r="AL83" s="750"/>
      <c r="AM83" s="750"/>
      <c r="AN83" s="750"/>
      <c r="AO83" s="750"/>
      <c r="AP83" s="750"/>
      <c r="AQ83" s="750"/>
      <c r="AR83" s="750"/>
      <c r="AS83" s="750"/>
      <c r="AT83" s="750"/>
      <c r="AU83" s="750"/>
      <c r="AV83" s="750"/>
      <c r="AW83" s="750"/>
      <c r="AX83" s="750"/>
      <c r="AY83" s="750"/>
      <c r="AZ83" s="750"/>
      <c r="BA83" s="751"/>
      <c r="BB83" s="17"/>
      <c r="BC83" s="756"/>
      <c r="BD83" s="756"/>
      <c r="BE83" s="756"/>
      <c r="BF83" s="756"/>
      <c r="BG83" s="756"/>
      <c r="BH83" s="17"/>
      <c r="BI83" s="741"/>
      <c r="BJ83" s="741"/>
      <c r="BK83" s="741"/>
      <c r="BL83" s="741"/>
      <c r="BM83" s="741"/>
      <c r="BN83" s="741"/>
      <c r="BO83" s="742"/>
      <c r="BP83" s="5"/>
      <c r="BQ83" s="5"/>
      <c r="BR83" s="5"/>
      <c r="BS83" s="5"/>
      <c r="BT83" s="5"/>
      <c r="BU83" s="5"/>
      <c r="BV83" s="5"/>
      <c r="BW83" s="5"/>
      <c r="BX83" s="5"/>
      <c r="BY83" s="5"/>
      <c r="BZ83" s="5"/>
      <c r="CA83" s="5"/>
      <c r="CB83" s="5"/>
      <c r="CC83" s="5"/>
      <c r="CD83" s="5"/>
      <c r="CE83" s="5"/>
      <c r="CF83" s="5"/>
      <c r="CG83" s="5"/>
      <c r="CH83" s="5"/>
      <c r="CI83" s="5"/>
      <c r="CJ83" s="5"/>
      <c r="CK83" s="5"/>
    </row>
    <row r="84" spans="1:89" ht="7.5" customHeight="1" thickBot="1" x14ac:dyDescent="0.3">
      <c r="A84" s="752"/>
      <c r="B84" s="753"/>
      <c r="C84" s="753"/>
      <c r="D84" s="753"/>
      <c r="E84" s="753"/>
      <c r="F84" s="753"/>
      <c r="G84" s="753"/>
      <c r="H84" s="753"/>
      <c r="I84" s="753"/>
      <c r="J84" s="753"/>
      <c r="K84" s="753"/>
      <c r="L84" s="753"/>
      <c r="M84" s="753"/>
      <c r="N84" s="753"/>
      <c r="O84" s="753"/>
      <c r="P84" s="753"/>
      <c r="Q84" s="753"/>
      <c r="R84" s="753"/>
      <c r="S84" s="754"/>
      <c r="T84" s="17"/>
      <c r="U84" s="757"/>
      <c r="V84" s="757"/>
      <c r="W84" s="757"/>
      <c r="X84" s="757"/>
      <c r="Y84" s="757"/>
      <c r="Z84" s="17"/>
      <c r="AA84" s="743"/>
      <c r="AB84" s="743"/>
      <c r="AC84" s="743"/>
      <c r="AD84" s="743"/>
      <c r="AE84" s="743"/>
      <c r="AF84" s="743"/>
      <c r="AG84" s="744"/>
      <c r="AH84" s="6"/>
      <c r="AI84" s="752"/>
      <c r="AJ84" s="753"/>
      <c r="AK84" s="753"/>
      <c r="AL84" s="753"/>
      <c r="AM84" s="753"/>
      <c r="AN84" s="753"/>
      <c r="AO84" s="753"/>
      <c r="AP84" s="753"/>
      <c r="AQ84" s="753"/>
      <c r="AR84" s="753"/>
      <c r="AS84" s="753"/>
      <c r="AT84" s="753"/>
      <c r="AU84" s="753"/>
      <c r="AV84" s="753"/>
      <c r="AW84" s="753"/>
      <c r="AX84" s="753"/>
      <c r="AY84" s="753"/>
      <c r="AZ84" s="753"/>
      <c r="BA84" s="754"/>
      <c r="BB84" s="17"/>
      <c r="BC84" s="757"/>
      <c r="BD84" s="757"/>
      <c r="BE84" s="757"/>
      <c r="BF84" s="757"/>
      <c r="BG84" s="757"/>
      <c r="BH84" s="17"/>
      <c r="BI84" s="743"/>
      <c r="BJ84" s="743"/>
      <c r="BK84" s="743"/>
      <c r="BL84" s="743"/>
      <c r="BM84" s="743"/>
      <c r="BN84" s="743"/>
      <c r="BO84" s="744"/>
      <c r="BP84" s="5"/>
      <c r="BQ84" s="5"/>
      <c r="BR84" s="5"/>
      <c r="BS84" s="5"/>
      <c r="BT84" s="5"/>
      <c r="BU84" s="5"/>
      <c r="BV84" s="5"/>
      <c r="BW84" s="5"/>
      <c r="BX84" s="5"/>
      <c r="BY84" s="5"/>
      <c r="BZ84" s="5"/>
      <c r="CA84" s="5"/>
      <c r="CB84" s="5"/>
      <c r="CC84" s="5"/>
      <c r="CD84" s="5"/>
      <c r="CE84" s="5"/>
      <c r="CF84" s="5"/>
      <c r="CG84" s="5"/>
      <c r="CH84" s="5"/>
      <c r="CI84" s="5"/>
      <c r="CJ84" s="5"/>
      <c r="CK84" s="5"/>
    </row>
    <row r="85" spans="1:89" ht="7.5" customHeight="1" thickTop="1" x14ac:dyDescent="0.25">
      <c r="A85" s="771" t="s">
        <v>68</v>
      </c>
      <c r="B85" s="772"/>
      <c r="C85" s="772"/>
      <c r="D85" s="772"/>
      <c r="E85" s="772"/>
      <c r="F85" s="772"/>
      <c r="G85" s="772"/>
      <c r="H85" s="772"/>
      <c r="I85" s="772"/>
      <c r="J85" s="772"/>
      <c r="K85" s="772"/>
      <c r="L85" s="772"/>
      <c r="M85" s="772"/>
      <c r="N85" s="772"/>
      <c r="O85" s="772"/>
      <c r="P85" s="772"/>
      <c r="Q85" s="772"/>
      <c r="R85" s="772"/>
      <c r="S85" s="772"/>
      <c r="T85" s="17"/>
      <c r="U85" s="745" t="s">
        <v>24</v>
      </c>
      <c r="V85" s="745"/>
      <c r="W85" s="745"/>
      <c r="X85" s="745"/>
      <c r="Y85" s="745"/>
      <c r="Z85" s="17"/>
      <c r="AA85" s="745" t="s">
        <v>69</v>
      </c>
      <c r="AB85" s="745"/>
      <c r="AC85" s="745"/>
      <c r="AD85" s="745"/>
      <c r="AE85" s="745"/>
      <c r="AF85" s="745"/>
      <c r="AG85" s="746"/>
      <c r="AH85" s="6"/>
      <c r="AI85" s="771" t="s">
        <v>68</v>
      </c>
      <c r="AJ85" s="772"/>
      <c r="AK85" s="772"/>
      <c r="AL85" s="772"/>
      <c r="AM85" s="772"/>
      <c r="AN85" s="772"/>
      <c r="AO85" s="772"/>
      <c r="AP85" s="772"/>
      <c r="AQ85" s="772"/>
      <c r="AR85" s="772"/>
      <c r="AS85" s="772"/>
      <c r="AT85" s="772"/>
      <c r="AU85" s="772"/>
      <c r="AV85" s="772"/>
      <c r="AW85" s="772"/>
      <c r="AX85" s="772"/>
      <c r="AY85" s="772"/>
      <c r="AZ85" s="772"/>
      <c r="BA85" s="772"/>
      <c r="BB85" s="17"/>
      <c r="BC85" s="745" t="s">
        <v>24</v>
      </c>
      <c r="BD85" s="745"/>
      <c r="BE85" s="745"/>
      <c r="BF85" s="745"/>
      <c r="BG85" s="745"/>
      <c r="BH85" s="17"/>
      <c r="BI85" s="745" t="s">
        <v>69</v>
      </c>
      <c r="BJ85" s="745"/>
      <c r="BK85" s="745"/>
      <c r="BL85" s="745"/>
      <c r="BM85" s="745"/>
      <c r="BN85" s="745"/>
      <c r="BO85" s="746"/>
      <c r="BP85" s="5"/>
      <c r="BQ85" s="5"/>
      <c r="BR85" s="5"/>
      <c r="BS85" s="5"/>
      <c r="BT85" s="5"/>
      <c r="BU85" s="5"/>
      <c r="BV85" s="5"/>
      <c r="BW85" s="5"/>
      <c r="BX85" s="5"/>
      <c r="BY85" s="5"/>
      <c r="BZ85" s="5"/>
      <c r="CA85" s="5"/>
      <c r="CB85" s="5"/>
      <c r="CC85" s="5"/>
      <c r="CD85" s="5"/>
      <c r="CE85" s="5"/>
      <c r="CF85" s="5"/>
      <c r="CG85" s="5"/>
      <c r="CH85" s="5"/>
      <c r="CI85" s="5"/>
      <c r="CJ85" s="5"/>
      <c r="CK85" s="5"/>
    </row>
    <row r="86" spans="1:89" ht="7.5" customHeight="1" x14ac:dyDescent="0.25">
      <c r="A86" s="809" t="s">
        <v>31</v>
      </c>
      <c r="B86" s="810"/>
      <c r="C86" s="810"/>
      <c r="D86" s="810"/>
      <c r="E86" s="810"/>
      <c r="F86" s="810"/>
      <c r="G86" s="810"/>
      <c r="H86" s="810"/>
      <c r="I86" s="810"/>
      <c r="J86" s="810"/>
      <c r="K86" s="810"/>
      <c r="L86" s="810"/>
      <c r="M86" s="810"/>
      <c r="N86" s="810"/>
      <c r="O86" s="810"/>
      <c r="P86" s="810"/>
      <c r="Q86" s="810"/>
      <c r="R86" s="810"/>
      <c r="S86" s="810"/>
      <c r="T86" s="810"/>
      <c r="U86" s="810"/>
      <c r="V86" s="810"/>
      <c r="W86" s="810"/>
      <c r="X86" s="810"/>
      <c r="Y86" s="810"/>
      <c r="Z86" s="22"/>
      <c r="AA86" s="18"/>
      <c r="AB86" s="18"/>
      <c r="AC86" s="18"/>
      <c r="AD86" s="18"/>
      <c r="AE86" s="18"/>
      <c r="AF86" s="18"/>
      <c r="AG86" s="19"/>
      <c r="AH86" s="6"/>
      <c r="AI86" s="809" t="s">
        <v>31</v>
      </c>
      <c r="AJ86" s="810"/>
      <c r="AK86" s="810"/>
      <c r="AL86" s="810"/>
      <c r="AM86" s="810"/>
      <c r="AN86" s="810"/>
      <c r="AO86" s="810"/>
      <c r="AP86" s="810"/>
      <c r="AQ86" s="810"/>
      <c r="AR86" s="810"/>
      <c r="AS86" s="810"/>
      <c r="AT86" s="810"/>
      <c r="AU86" s="810"/>
      <c r="AV86" s="810"/>
      <c r="AW86" s="810"/>
      <c r="AX86" s="810"/>
      <c r="AY86" s="810"/>
      <c r="AZ86" s="810"/>
      <c r="BA86" s="810"/>
      <c r="BB86" s="810"/>
      <c r="BC86" s="810"/>
      <c r="BD86" s="810"/>
      <c r="BE86" s="810"/>
      <c r="BF86" s="810"/>
      <c r="BG86" s="810"/>
      <c r="BH86" s="22"/>
      <c r="BI86" s="18"/>
      <c r="BJ86" s="18"/>
      <c r="BK86" s="18"/>
      <c r="BL86" s="18"/>
      <c r="BM86" s="18"/>
      <c r="BN86" s="18"/>
      <c r="BO86" s="19"/>
      <c r="BP86" s="5"/>
      <c r="BQ86" s="5"/>
      <c r="BR86" s="5"/>
      <c r="BS86" s="5"/>
      <c r="BT86" s="5"/>
      <c r="BU86" s="5"/>
      <c r="BV86" s="5"/>
      <c r="BW86" s="5"/>
      <c r="BX86" s="5"/>
      <c r="BY86" s="5"/>
      <c r="BZ86" s="5"/>
      <c r="CA86" s="5"/>
      <c r="CB86" s="5"/>
      <c r="CC86" s="5"/>
      <c r="CD86" s="5"/>
      <c r="CE86" s="5"/>
      <c r="CF86" s="5"/>
      <c r="CG86" s="5"/>
      <c r="CH86" s="5"/>
      <c r="CI86" s="5"/>
      <c r="CJ86" s="5"/>
      <c r="CK86" s="5"/>
    </row>
    <row r="87" spans="1:89" ht="7.5" customHeight="1" x14ac:dyDescent="0.25">
      <c r="A87" s="809"/>
      <c r="B87" s="810"/>
      <c r="C87" s="810"/>
      <c r="D87" s="810"/>
      <c r="E87" s="810"/>
      <c r="F87" s="810"/>
      <c r="G87" s="810"/>
      <c r="H87" s="810"/>
      <c r="I87" s="810"/>
      <c r="J87" s="810"/>
      <c r="K87" s="810"/>
      <c r="L87" s="810"/>
      <c r="M87" s="810"/>
      <c r="N87" s="810"/>
      <c r="O87" s="810"/>
      <c r="P87" s="810"/>
      <c r="Q87" s="810"/>
      <c r="R87" s="810"/>
      <c r="S87" s="810"/>
      <c r="T87" s="810"/>
      <c r="U87" s="810"/>
      <c r="V87" s="810"/>
      <c r="W87" s="810"/>
      <c r="X87" s="810"/>
      <c r="Y87" s="810"/>
      <c r="Z87" s="22"/>
      <c r="AA87" s="741"/>
      <c r="AB87" s="741"/>
      <c r="AC87" s="741"/>
      <c r="AD87" s="741"/>
      <c r="AE87" s="741"/>
      <c r="AF87" s="741"/>
      <c r="AG87" s="742"/>
      <c r="AH87" s="6"/>
      <c r="AI87" s="809"/>
      <c r="AJ87" s="810"/>
      <c r="AK87" s="810"/>
      <c r="AL87" s="810"/>
      <c r="AM87" s="810"/>
      <c r="AN87" s="810"/>
      <c r="AO87" s="810"/>
      <c r="AP87" s="810"/>
      <c r="AQ87" s="810"/>
      <c r="AR87" s="810"/>
      <c r="AS87" s="810"/>
      <c r="AT87" s="810"/>
      <c r="AU87" s="810"/>
      <c r="AV87" s="810"/>
      <c r="AW87" s="810"/>
      <c r="AX87" s="810"/>
      <c r="AY87" s="810"/>
      <c r="AZ87" s="810"/>
      <c r="BA87" s="810"/>
      <c r="BB87" s="810"/>
      <c r="BC87" s="810"/>
      <c r="BD87" s="810"/>
      <c r="BE87" s="810"/>
      <c r="BF87" s="810"/>
      <c r="BG87" s="810"/>
      <c r="BH87" s="22"/>
      <c r="BI87" s="741"/>
      <c r="BJ87" s="741"/>
      <c r="BK87" s="741"/>
      <c r="BL87" s="741"/>
      <c r="BM87" s="741"/>
      <c r="BN87" s="741"/>
      <c r="BO87" s="742"/>
      <c r="BP87" s="5"/>
      <c r="BQ87" s="5"/>
      <c r="BR87" s="5"/>
      <c r="BS87" s="5"/>
      <c r="BT87" s="5"/>
      <c r="BU87" s="5"/>
      <c r="BV87" s="5"/>
      <c r="BW87" s="5"/>
      <c r="BX87" s="5"/>
      <c r="BY87" s="5"/>
      <c r="BZ87" s="5"/>
      <c r="CA87" s="5"/>
      <c r="CB87" s="5"/>
      <c r="CC87" s="5"/>
      <c r="CD87" s="5"/>
      <c r="CE87" s="5"/>
      <c r="CF87" s="5"/>
      <c r="CG87" s="5"/>
      <c r="CH87" s="5"/>
      <c r="CI87" s="5"/>
      <c r="CJ87" s="5"/>
      <c r="CK87" s="5"/>
    </row>
    <row r="88" spans="1:89" ht="7.5" customHeight="1" x14ac:dyDescent="0.25">
      <c r="A88" s="809"/>
      <c r="B88" s="810"/>
      <c r="C88" s="810"/>
      <c r="D88" s="810"/>
      <c r="E88" s="810"/>
      <c r="F88" s="810"/>
      <c r="G88" s="810"/>
      <c r="H88" s="810"/>
      <c r="I88" s="810"/>
      <c r="J88" s="810"/>
      <c r="K88" s="810"/>
      <c r="L88" s="810"/>
      <c r="M88" s="810"/>
      <c r="N88" s="810"/>
      <c r="O88" s="810"/>
      <c r="P88" s="810"/>
      <c r="Q88" s="810"/>
      <c r="R88" s="810"/>
      <c r="S88" s="810"/>
      <c r="T88" s="810"/>
      <c r="U88" s="810"/>
      <c r="V88" s="810"/>
      <c r="W88" s="810"/>
      <c r="X88" s="810"/>
      <c r="Y88" s="810"/>
      <c r="Z88" s="22"/>
      <c r="AA88" s="813"/>
      <c r="AB88" s="813"/>
      <c r="AC88" s="813"/>
      <c r="AD88" s="813"/>
      <c r="AE88" s="813"/>
      <c r="AF88" s="813"/>
      <c r="AG88" s="814"/>
      <c r="AH88" s="6"/>
      <c r="AI88" s="809"/>
      <c r="AJ88" s="810"/>
      <c r="AK88" s="810"/>
      <c r="AL88" s="810"/>
      <c r="AM88" s="810"/>
      <c r="AN88" s="810"/>
      <c r="AO88" s="810"/>
      <c r="AP88" s="810"/>
      <c r="AQ88" s="810"/>
      <c r="AR88" s="810"/>
      <c r="AS88" s="810"/>
      <c r="AT88" s="810"/>
      <c r="AU88" s="810"/>
      <c r="AV88" s="810"/>
      <c r="AW88" s="810"/>
      <c r="AX88" s="810"/>
      <c r="AY88" s="810"/>
      <c r="AZ88" s="810"/>
      <c r="BA88" s="810"/>
      <c r="BB88" s="810"/>
      <c r="BC88" s="810"/>
      <c r="BD88" s="810"/>
      <c r="BE88" s="810"/>
      <c r="BF88" s="810"/>
      <c r="BG88" s="810"/>
      <c r="BH88" s="22"/>
      <c r="BI88" s="813"/>
      <c r="BJ88" s="813"/>
      <c r="BK88" s="813"/>
      <c r="BL88" s="813"/>
      <c r="BM88" s="813"/>
      <c r="BN88" s="813"/>
      <c r="BO88" s="814"/>
      <c r="BP88" s="5"/>
      <c r="BQ88" s="5"/>
      <c r="BR88" s="5"/>
      <c r="BS88" s="5"/>
      <c r="BT88" s="5"/>
      <c r="BU88" s="5"/>
      <c r="BV88" s="5"/>
      <c r="BW88" s="5"/>
      <c r="BX88" s="5"/>
      <c r="BY88" s="5"/>
      <c r="BZ88" s="5"/>
      <c r="CA88" s="5"/>
      <c r="CB88" s="5"/>
      <c r="CC88" s="5"/>
      <c r="CD88" s="5"/>
      <c r="CE88" s="5"/>
      <c r="CF88" s="5"/>
      <c r="CG88" s="5"/>
      <c r="CH88" s="5"/>
      <c r="CI88" s="5"/>
      <c r="CJ88" s="5"/>
      <c r="CK88" s="5"/>
    </row>
    <row r="89" spans="1:89" ht="7.5" customHeight="1" thickBot="1" x14ac:dyDescent="0.3">
      <c r="A89" s="811"/>
      <c r="B89" s="812"/>
      <c r="C89" s="812"/>
      <c r="D89" s="812"/>
      <c r="E89" s="812"/>
      <c r="F89" s="812"/>
      <c r="G89" s="812"/>
      <c r="H89" s="812"/>
      <c r="I89" s="812"/>
      <c r="J89" s="812"/>
      <c r="K89" s="812"/>
      <c r="L89" s="812"/>
      <c r="M89" s="812"/>
      <c r="N89" s="812"/>
      <c r="O89" s="812"/>
      <c r="P89" s="812"/>
      <c r="Q89" s="812"/>
      <c r="R89" s="812"/>
      <c r="S89" s="812"/>
      <c r="T89" s="812"/>
      <c r="U89" s="812"/>
      <c r="V89" s="812"/>
      <c r="W89" s="812"/>
      <c r="X89" s="812"/>
      <c r="Y89" s="812"/>
      <c r="Z89" s="23"/>
      <c r="AA89" s="773" t="s">
        <v>51</v>
      </c>
      <c r="AB89" s="773"/>
      <c r="AC89" s="773"/>
      <c r="AD89" s="773"/>
      <c r="AE89" s="773"/>
      <c r="AF89" s="773"/>
      <c r="AG89" s="774"/>
      <c r="AH89" s="6"/>
      <c r="AI89" s="811"/>
      <c r="AJ89" s="812"/>
      <c r="AK89" s="812"/>
      <c r="AL89" s="812"/>
      <c r="AM89" s="812"/>
      <c r="AN89" s="812"/>
      <c r="AO89" s="812"/>
      <c r="AP89" s="812"/>
      <c r="AQ89" s="812"/>
      <c r="AR89" s="812"/>
      <c r="AS89" s="812"/>
      <c r="AT89" s="812"/>
      <c r="AU89" s="812"/>
      <c r="AV89" s="812"/>
      <c r="AW89" s="812"/>
      <c r="AX89" s="812"/>
      <c r="AY89" s="812"/>
      <c r="AZ89" s="812"/>
      <c r="BA89" s="812"/>
      <c r="BB89" s="812"/>
      <c r="BC89" s="812"/>
      <c r="BD89" s="812"/>
      <c r="BE89" s="812"/>
      <c r="BF89" s="812"/>
      <c r="BG89" s="812"/>
      <c r="BH89" s="23"/>
      <c r="BI89" s="773" t="s">
        <v>51</v>
      </c>
      <c r="BJ89" s="773"/>
      <c r="BK89" s="773"/>
      <c r="BL89" s="773"/>
      <c r="BM89" s="773"/>
      <c r="BN89" s="773"/>
      <c r="BO89" s="774"/>
      <c r="BP89" s="5"/>
      <c r="BQ89" s="5"/>
      <c r="BR89" s="5"/>
      <c r="BS89" s="5"/>
      <c r="BT89" s="5"/>
      <c r="BU89" s="5"/>
      <c r="BV89" s="5"/>
      <c r="BW89" s="5"/>
      <c r="BX89" s="5"/>
      <c r="BY89" s="5"/>
      <c r="BZ89" s="5"/>
      <c r="CA89" s="5"/>
      <c r="CB89" s="5"/>
      <c r="CC89" s="5"/>
      <c r="CD89" s="5"/>
      <c r="CE89" s="5"/>
      <c r="CF89" s="5"/>
      <c r="CG89" s="5"/>
      <c r="CH89" s="5"/>
      <c r="CI89" s="5"/>
      <c r="CJ89" s="5"/>
      <c r="CK89" s="5"/>
    </row>
    <row r="90" spans="1:89" ht="7.5" customHeight="1" thickTop="1" x14ac:dyDescent="0.25">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6"/>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5"/>
      <c r="BQ90" s="5"/>
      <c r="BR90" s="5"/>
      <c r="BS90" s="5"/>
      <c r="BT90" s="5"/>
      <c r="BU90" s="5"/>
      <c r="BV90" s="5"/>
      <c r="BW90" s="5"/>
      <c r="BX90" s="5"/>
      <c r="BY90" s="5"/>
      <c r="BZ90" s="5"/>
      <c r="CA90" s="5"/>
      <c r="CB90" s="5"/>
      <c r="CC90" s="5"/>
      <c r="CD90" s="5"/>
      <c r="CE90" s="5"/>
      <c r="CF90" s="5"/>
      <c r="CG90" s="5"/>
      <c r="CH90" s="5"/>
      <c r="CI90" s="5"/>
      <c r="CJ90" s="5"/>
      <c r="CK90" s="5"/>
    </row>
    <row r="91" spans="1:89" ht="7.5" customHeight="1" x14ac:dyDescent="0.25">
      <c r="A91" s="841" t="s">
        <v>31</v>
      </c>
      <c r="B91" s="842"/>
      <c r="C91" s="842"/>
      <c r="D91" s="842"/>
      <c r="E91" s="842"/>
      <c r="F91" s="842"/>
      <c r="G91" s="842"/>
      <c r="H91" s="842"/>
      <c r="I91" s="842"/>
      <c r="J91" s="842"/>
      <c r="K91" s="842"/>
      <c r="L91" s="842"/>
      <c r="M91" s="842"/>
      <c r="N91" s="842"/>
      <c r="O91" s="842"/>
      <c r="P91" s="842"/>
      <c r="Q91" s="842"/>
      <c r="R91" s="842"/>
      <c r="S91" s="842"/>
      <c r="T91" s="842"/>
      <c r="U91" s="842"/>
      <c r="V91" s="842"/>
      <c r="W91" s="842"/>
      <c r="X91" s="842"/>
      <c r="Y91" s="842"/>
      <c r="Z91" s="842"/>
      <c r="AA91" s="842"/>
      <c r="AB91" s="842"/>
      <c r="AC91" s="842"/>
      <c r="AD91" s="842"/>
      <c r="AE91" s="842"/>
      <c r="AF91" s="842"/>
      <c r="AG91" s="843"/>
      <c r="AH91" s="6"/>
      <c r="AI91" s="841" t="s">
        <v>31</v>
      </c>
      <c r="AJ91" s="842"/>
      <c r="AK91" s="842"/>
      <c r="AL91" s="842"/>
      <c r="AM91" s="842"/>
      <c r="AN91" s="842"/>
      <c r="AO91" s="842"/>
      <c r="AP91" s="842"/>
      <c r="AQ91" s="842"/>
      <c r="AR91" s="842"/>
      <c r="AS91" s="842"/>
      <c r="AT91" s="842"/>
      <c r="AU91" s="842"/>
      <c r="AV91" s="842"/>
      <c r="AW91" s="842"/>
      <c r="AX91" s="842"/>
      <c r="AY91" s="842"/>
      <c r="AZ91" s="842"/>
      <c r="BA91" s="842"/>
      <c r="BB91" s="842"/>
      <c r="BC91" s="842"/>
      <c r="BD91" s="842"/>
      <c r="BE91" s="842"/>
      <c r="BF91" s="842"/>
      <c r="BG91" s="842"/>
      <c r="BH91" s="842"/>
      <c r="BI91" s="842"/>
      <c r="BJ91" s="842"/>
      <c r="BK91" s="842"/>
      <c r="BL91" s="842"/>
      <c r="BM91" s="842"/>
      <c r="BN91" s="842"/>
      <c r="BO91" s="843"/>
      <c r="BP91" s="5"/>
      <c r="BQ91" s="5"/>
      <c r="BR91" s="5"/>
      <c r="BS91" s="5"/>
      <c r="BT91" s="5"/>
      <c r="BU91" s="5"/>
      <c r="BV91" s="5"/>
      <c r="BW91" s="5"/>
      <c r="BX91" s="5"/>
      <c r="BY91" s="5"/>
      <c r="BZ91" s="5"/>
      <c r="CA91" s="5"/>
      <c r="CB91" s="5"/>
      <c r="CC91" s="5"/>
      <c r="CD91" s="5"/>
      <c r="CE91" s="5"/>
      <c r="CF91" s="5"/>
      <c r="CG91" s="5"/>
      <c r="CH91" s="5"/>
      <c r="CI91" s="5"/>
      <c r="CJ91" s="5"/>
      <c r="CK91" s="5"/>
    </row>
    <row r="92" spans="1:89" ht="7.5" customHeight="1" x14ac:dyDescent="0.25">
      <c r="A92" s="844"/>
      <c r="B92" s="845"/>
      <c r="C92" s="845"/>
      <c r="D92" s="845"/>
      <c r="E92" s="845"/>
      <c r="F92" s="845"/>
      <c r="G92" s="845"/>
      <c r="H92" s="845"/>
      <c r="I92" s="845"/>
      <c r="J92" s="845"/>
      <c r="K92" s="845"/>
      <c r="L92" s="845"/>
      <c r="M92" s="845"/>
      <c r="N92" s="845"/>
      <c r="O92" s="845"/>
      <c r="P92" s="845"/>
      <c r="Q92" s="845"/>
      <c r="R92" s="845"/>
      <c r="S92" s="845"/>
      <c r="T92" s="845"/>
      <c r="U92" s="845"/>
      <c r="V92" s="845"/>
      <c r="W92" s="845"/>
      <c r="X92" s="845"/>
      <c r="Y92" s="845"/>
      <c r="Z92" s="845"/>
      <c r="AA92" s="845"/>
      <c r="AB92" s="845"/>
      <c r="AC92" s="845"/>
      <c r="AD92" s="845"/>
      <c r="AE92" s="845"/>
      <c r="AF92" s="845"/>
      <c r="AG92" s="846"/>
      <c r="AH92" s="6"/>
      <c r="AI92" s="844"/>
      <c r="AJ92" s="845"/>
      <c r="AK92" s="845"/>
      <c r="AL92" s="845"/>
      <c r="AM92" s="845"/>
      <c r="AN92" s="845"/>
      <c r="AO92" s="845"/>
      <c r="AP92" s="845"/>
      <c r="AQ92" s="845"/>
      <c r="AR92" s="845"/>
      <c r="AS92" s="845"/>
      <c r="AT92" s="845"/>
      <c r="AU92" s="845"/>
      <c r="AV92" s="845"/>
      <c r="AW92" s="845"/>
      <c r="AX92" s="845"/>
      <c r="AY92" s="845"/>
      <c r="AZ92" s="845"/>
      <c r="BA92" s="845"/>
      <c r="BB92" s="845"/>
      <c r="BC92" s="845"/>
      <c r="BD92" s="845"/>
      <c r="BE92" s="845"/>
      <c r="BF92" s="845"/>
      <c r="BG92" s="845"/>
      <c r="BH92" s="845"/>
      <c r="BI92" s="845"/>
      <c r="BJ92" s="845"/>
      <c r="BK92" s="845"/>
      <c r="BL92" s="845"/>
      <c r="BM92" s="845"/>
      <c r="BN92" s="845"/>
      <c r="BO92" s="846"/>
      <c r="BP92" s="5"/>
      <c r="BQ92" s="5"/>
      <c r="BR92" s="5"/>
      <c r="BS92" s="5"/>
      <c r="BT92" s="5"/>
      <c r="BU92" s="5"/>
      <c r="BV92" s="5"/>
      <c r="BW92" s="5"/>
      <c r="BX92" s="5"/>
      <c r="BY92" s="5"/>
      <c r="BZ92" s="5"/>
      <c r="CA92" s="5"/>
      <c r="CB92" s="5"/>
      <c r="CC92" s="5"/>
      <c r="CD92" s="5"/>
      <c r="CE92" s="5"/>
      <c r="CF92" s="5"/>
      <c r="CG92" s="5"/>
      <c r="CH92" s="5"/>
      <c r="CI92" s="5"/>
      <c r="CJ92" s="5"/>
      <c r="CK92" s="5"/>
    </row>
    <row r="93" spans="1:89" ht="7.5" customHeight="1" x14ac:dyDescent="0.25">
      <c r="A93" s="844"/>
      <c r="B93" s="845"/>
      <c r="C93" s="845"/>
      <c r="D93" s="845"/>
      <c r="E93" s="845"/>
      <c r="F93" s="845"/>
      <c r="G93" s="845"/>
      <c r="H93" s="845"/>
      <c r="I93" s="845"/>
      <c r="J93" s="845"/>
      <c r="K93" s="845"/>
      <c r="L93" s="845"/>
      <c r="M93" s="845"/>
      <c r="N93" s="845"/>
      <c r="O93" s="845"/>
      <c r="P93" s="845"/>
      <c r="Q93" s="845"/>
      <c r="R93" s="845"/>
      <c r="S93" s="845"/>
      <c r="T93" s="845"/>
      <c r="U93" s="845"/>
      <c r="V93" s="845"/>
      <c r="W93" s="845"/>
      <c r="X93" s="845"/>
      <c r="Y93" s="845"/>
      <c r="Z93" s="845"/>
      <c r="AA93" s="845"/>
      <c r="AB93" s="845"/>
      <c r="AC93" s="845"/>
      <c r="AD93" s="845"/>
      <c r="AE93" s="845"/>
      <c r="AF93" s="845"/>
      <c r="AG93" s="846"/>
      <c r="AH93" s="6"/>
      <c r="AI93" s="844"/>
      <c r="AJ93" s="845"/>
      <c r="AK93" s="845"/>
      <c r="AL93" s="845"/>
      <c r="AM93" s="845"/>
      <c r="AN93" s="845"/>
      <c r="AO93" s="845"/>
      <c r="AP93" s="845"/>
      <c r="AQ93" s="845"/>
      <c r="AR93" s="845"/>
      <c r="AS93" s="845"/>
      <c r="AT93" s="845"/>
      <c r="AU93" s="845"/>
      <c r="AV93" s="845"/>
      <c r="AW93" s="845"/>
      <c r="AX93" s="845"/>
      <c r="AY93" s="845"/>
      <c r="AZ93" s="845"/>
      <c r="BA93" s="845"/>
      <c r="BB93" s="845"/>
      <c r="BC93" s="845"/>
      <c r="BD93" s="845"/>
      <c r="BE93" s="845"/>
      <c r="BF93" s="845"/>
      <c r="BG93" s="845"/>
      <c r="BH93" s="845"/>
      <c r="BI93" s="845"/>
      <c r="BJ93" s="845"/>
      <c r="BK93" s="845"/>
      <c r="BL93" s="845"/>
      <c r="BM93" s="845"/>
      <c r="BN93" s="845"/>
      <c r="BO93" s="846"/>
      <c r="BP93" s="5"/>
      <c r="BQ93" s="5"/>
      <c r="BR93" s="5"/>
      <c r="BS93" s="5"/>
      <c r="BT93" s="5"/>
      <c r="BU93" s="5"/>
      <c r="BV93" s="5"/>
      <c r="BW93" s="5"/>
      <c r="BX93" s="5"/>
      <c r="BY93" s="5"/>
      <c r="BZ93" s="5"/>
      <c r="CA93" s="5"/>
      <c r="CB93" s="5"/>
      <c r="CC93" s="5"/>
      <c r="CD93" s="5"/>
      <c r="CE93" s="5"/>
      <c r="CF93" s="5"/>
      <c r="CG93" s="5"/>
      <c r="CH93" s="5"/>
      <c r="CI93" s="5"/>
      <c r="CJ93" s="5"/>
      <c r="CK93" s="5"/>
    </row>
    <row r="94" spans="1:89" ht="7.5" customHeight="1" x14ac:dyDescent="0.25">
      <c r="A94" s="844"/>
      <c r="B94" s="845"/>
      <c r="C94" s="845"/>
      <c r="D94" s="845"/>
      <c r="E94" s="845"/>
      <c r="F94" s="845"/>
      <c r="G94" s="845"/>
      <c r="H94" s="845"/>
      <c r="I94" s="845"/>
      <c r="J94" s="845"/>
      <c r="K94" s="845"/>
      <c r="L94" s="845"/>
      <c r="M94" s="845"/>
      <c r="N94" s="845"/>
      <c r="O94" s="845"/>
      <c r="P94" s="845"/>
      <c r="Q94" s="845"/>
      <c r="R94" s="845"/>
      <c r="S94" s="845"/>
      <c r="T94" s="845"/>
      <c r="U94" s="845"/>
      <c r="V94" s="845"/>
      <c r="W94" s="845"/>
      <c r="X94" s="845"/>
      <c r="Y94" s="845"/>
      <c r="Z94" s="845"/>
      <c r="AA94" s="845"/>
      <c r="AB94" s="845"/>
      <c r="AC94" s="845"/>
      <c r="AD94" s="845"/>
      <c r="AE94" s="845"/>
      <c r="AF94" s="845"/>
      <c r="AG94" s="846"/>
      <c r="AH94" s="6"/>
      <c r="AI94" s="844"/>
      <c r="AJ94" s="845"/>
      <c r="AK94" s="845"/>
      <c r="AL94" s="845"/>
      <c r="AM94" s="845"/>
      <c r="AN94" s="845"/>
      <c r="AO94" s="845"/>
      <c r="AP94" s="845"/>
      <c r="AQ94" s="845"/>
      <c r="AR94" s="845"/>
      <c r="AS94" s="845"/>
      <c r="AT94" s="845"/>
      <c r="AU94" s="845"/>
      <c r="AV94" s="845"/>
      <c r="AW94" s="845"/>
      <c r="AX94" s="845"/>
      <c r="AY94" s="845"/>
      <c r="AZ94" s="845"/>
      <c r="BA94" s="845"/>
      <c r="BB94" s="845"/>
      <c r="BC94" s="845"/>
      <c r="BD94" s="845"/>
      <c r="BE94" s="845"/>
      <c r="BF94" s="845"/>
      <c r="BG94" s="845"/>
      <c r="BH94" s="845"/>
      <c r="BI94" s="845"/>
      <c r="BJ94" s="845"/>
      <c r="BK94" s="845"/>
      <c r="BL94" s="845"/>
      <c r="BM94" s="845"/>
      <c r="BN94" s="845"/>
      <c r="BO94" s="846"/>
      <c r="BP94" s="5"/>
      <c r="BQ94" s="5"/>
      <c r="BR94" s="5"/>
      <c r="BS94" s="5"/>
      <c r="BT94" s="5"/>
      <c r="BU94" s="5"/>
      <c r="BV94" s="5"/>
      <c r="BW94" s="5"/>
      <c r="BX94" s="5"/>
      <c r="BY94" s="5"/>
      <c r="BZ94" s="5"/>
      <c r="CA94" s="5"/>
      <c r="CB94" s="5"/>
      <c r="CC94" s="5"/>
      <c r="CD94" s="5"/>
      <c r="CE94" s="5"/>
      <c r="CF94" s="5"/>
      <c r="CG94" s="5"/>
      <c r="CH94" s="5"/>
      <c r="CI94" s="5"/>
      <c r="CJ94" s="5"/>
      <c r="CK94" s="5"/>
    </row>
    <row r="95" spans="1:89" ht="7.5" customHeight="1" x14ac:dyDescent="0.25">
      <c r="A95" s="844"/>
      <c r="B95" s="845"/>
      <c r="C95" s="845"/>
      <c r="D95" s="845"/>
      <c r="E95" s="845"/>
      <c r="F95" s="845"/>
      <c r="G95" s="845"/>
      <c r="H95" s="845"/>
      <c r="I95" s="845"/>
      <c r="J95" s="845"/>
      <c r="K95" s="845"/>
      <c r="L95" s="845"/>
      <c r="M95" s="845"/>
      <c r="N95" s="845"/>
      <c r="O95" s="845"/>
      <c r="P95" s="845"/>
      <c r="Q95" s="845"/>
      <c r="R95" s="845"/>
      <c r="S95" s="845"/>
      <c r="T95" s="845"/>
      <c r="U95" s="845"/>
      <c r="V95" s="845"/>
      <c r="W95" s="845"/>
      <c r="X95" s="845"/>
      <c r="Y95" s="845"/>
      <c r="Z95" s="845"/>
      <c r="AA95" s="845"/>
      <c r="AB95" s="845"/>
      <c r="AC95" s="845"/>
      <c r="AD95" s="845"/>
      <c r="AE95" s="845"/>
      <c r="AF95" s="845"/>
      <c r="AG95" s="846"/>
      <c r="AH95" s="6"/>
      <c r="AI95" s="844"/>
      <c r="AJ95" s="845"/>
      <c r="AK95" s="845"/>
      <c r="AL95" s="845"/>
      <c r="AM95" s="845"/>
      <c r="AN95" s="845"/>
      <c r="AO95" s="845"/>
      <c r="AP95" s="845"/>
      <c r="AQ95" s="845"/>
      <c r="AR95" s="845"/>
      <c r="AS95" s="845"/>
      <c r="AT95" s="845"/>
      <c r="AU95" s="845"/>
      <c r="AV95" s="845"/>
      <c r="AW95" s="845"/>
      <c r="AX95" s="845"/>
      <c r="AY95" s="845"/>
      <c r="AZ95" s="845"/>
      <c r="BA95" s="845"/>
      <c r="BB95" s="845"/>
      <c r="BC95" s="845"/>
      <c r="BD95" s="845"/>
      <c r="BE95" s="845"/>
      <c r="BF95" s="845"/>
      <c r="BG95" s="845"/>
      <c r="BH95" s="845"/>
      <c r="BI95" s="845"/>
      <c r="BJ95" s="845"/>
      <c r="BK95" s="845"/>
      <c r="BL95" s="845"/>
      <c r="BM95" s="845"/>
      <c r="BN95" s="845"/>
      <c r="BO95" s="846"/>
      <c r="BP95" s="5"/>
      <c r="BQ95" s="5"/>
      <c r="BR95" s="5"/>
      <c r="BS95" s="5"/>
      <c r="BT95" s="5"/>
      <c r="BU95" s="5"/>
      <c r="BV95" s="5"/>
      <c r="BW95" s="5"/>
      <c r="BX95" s="5"/>
      <c r="BY95" s="5"/>
      <c r="BZ95" s="5"/>
      <c r="CA95" s="5"/>
      <c r="CB95" s="5"/>
      <c r="CC95" s="5"/>
      <c r="CD95" s="5"/>
      <c r="CE95" s="5"/>
      <c r="CF95" s="5"/>
      <c r="CG95" s="5"/>
      <c r="CH95" s="5"/>
      <c r="CI95" s="5"/>
      <c r="CJ95" s="5"/>
      <c r="CK95" s="5"/>
    </row>
    <row r="96" spans="1:89" ht="7.5" customHeight="1" x14ac:dyDescent="0.25">
      <c r="A96" s="844"/>
      <c r="B96" s="845"/>
      <c r="C96" s="845"/>
      <c r="D96" s="845"/>
      <c r="E96" s="845"/>
      <c r="F96" s="845"/>
      <c r="G96" s="845"/>
      <c r="H96" s="845"/>
      <c r="I96" s="845"/>
      <c r="J96" s="845"/>
      <c r="K96" s="845"/>
      <c r="L96" s="845"/>
      <c r="M96" s="845"/>
      <c r="N96" s="845"/>
      <c r="O96" s="845"/>
      <c r="P96" s="845"/>
      <c r="Q96" s="845"/>
      <c r="R96" s="845"/>
      <c r="S96" s="845"/>
      <c r="T96" s="845"/>
      <c r="U96" s="845"/>
      <c r="V96" s="845"/>
      <c r="W96" s="845"/>
      <c r="X96" s="845"/>
      <c r="Y96" s="845"/>
      <c r="Z96" s="845"/>
      <c r="AA96" s="845"/>
      <c r="AB96" s="845"/>
      <c r="AC96" s="845"/>
      <c r="AD96" s="845"/>
      <c r="AE96" s="845"/>
      <c r="AF96" s="845"/>
      <c r="AG96" s="846"/>
      <c r="AH96" s="6"/>
      <c r="AI96" s="844"/>
      <c r="AJ96" s="845"/>
      <c r="AK96" s="845"/>
      <c r="AL96" s="845"/>
      <c r="AM96" s="845"/>
      <c r="AN96" s="845"/>
      <c r="AO96" s="845"/>
      <c r="AP96" s="845"/>
      <c r="AQ96" s="845"/>
      <c r="AR96" s="845"/>
      <c r="AS96" s="845"/>
      <c r="AT96" s="845"/>
      <c r="AU96" s="845"/>
      <c r="AV96" s="845"/>
      <c r="AW96" s="845"/>
      <c r="AX96" s="845"/>
      <c r="AY96" s="845"/>
      <c r="AZ96" s="845"/>
      <c r="BA96" s="845"/>
      <c r="BB96" s="845"/>
      <c r="BC96" s="845"/>
      <c r="BD96" s="845"/>
      <c r="BE96" s="845"/>
      <c r="BF96" s="845"/>
      <c r="BG96" s="845"/>
      <c r="BH96" s="845"/>
      <c r="BI96" s="845"/>
      <c r="BJ96" s="845"/>
      <c r="BK96" s="845"/>
      <c r="BL96" s="845"/>
      <c r="BM96" s="845"/>
      <c r="BN96" s="845"/>
      <c r="BO96" s="846"/>
      <c r="BP96" s="5"/>
      <c r="BQ96" s="5"/>
      <c r="BR96" s="5"/>
      <c r="BS96" s="5"/>
      <c r="BT96" s="5"/>
      <c r="BU96" s="5"/>
      <c r="BV96" s="5"/>
      <c r="BW96" s="5"/>
      <c r="BX96" s="5"/>
      <c r="BY96" s="5"/>
      <c r="BZ96" s="5"/>
      <c r="CA96" s="5"/>
      <c r="CB96" s="5"/>
      <c r="CC96" s="5"/>
      <c r="CD96" s="5"/>
      <c r="CE96" s="5"/>
      <c r="CF96" s="5"/>
      <c r="CG96" s="5"/>
      <c r="CH96" s="5"/>
      <c r="CI96" s="5"/>
      <c r="CJ96" s="5"/>
      <c r="CK96" s="5"/>
    </row>
    <row r="97" spans="1:89" ht="7.5" customHeight="1" x14ac:dyDescent="0.25">
      <c r="A97" s="844"/>
      <c r="B97" s="845"/>
      <c r="C97" s="845"/>
      <c r="D97" s="845"/>
      <c r="E97" s="845"/>
      <c r="F97" s="845"/>
      <c r="G97" s="845"/>
      <c r="H97" s="845"/>
      <c r="I97" s="845"/>
      <c r="J97" s="845"/>
      <c r="K97" s="845"/>
      <c r="L97" s="845"/>
      <c r="M97" s="845"/>
      <c r="N97" s="845"/>
      <c r="O97" s="845"/>
      <c r="P97" s="845"/>
      <c r="Q97" s="845"/>
      <c r="R97" s="845"/>
      <c r="S97" s="845"/>
      <c r="T97" s="845"/>
      <c r="U97" s="845"/>
      <c r="V97" s="845"/>
      <c r="W97" s="845"/>
      <c r="X97" s="845"/>
      <c r="Y97" s="845"/>
      <c r="Z97" s="845"/>
      <c r="AA97" s="845"/>
      <c r="AB97" s="845"/>
      <c r="AC97" s="845"/>
      <c r="AD97" s="845"/>
      <c r="AE97" s="845"/>
      <c r="AF97" s="845"/>
      <c r="AG97" s="846"/>
      <c r="AH97" s="6"/>
      <c r="AI97" s="844"/>
      <c r="AJ97" s="845"/>
      <c r="AK97" s="845"/>
      <c r="AL97" s="845"/>
      <c r="AM97" s="845"/>
      <c r="AN97" s="845"/>
      <c r="AO97" s="845"/>
      <c r="AP97" s="845"/>
      <c r="AQ97" s="845"/>
      <c r="AR97" s="845"/>
      <c r="AS97" s="845"/>
      <c r="AT97" s="845"/>
      <c r="AU97" s="845"/>
      <c r="AV97" s="845"/>
      <c r="AW97" s="845"/>
      <c r="AX97" s="845"/>
      <c r="AY97" s="845"/>
      <c r="AZ97" s="845"/>
      <c r="BA97" s="845"/>
      <c r="BB97" s="845"/>
      <c r="BC97" s="845"/>
      <c r="BD97" s="845"/>
      <c r="BE97" s="845"/>
      <c r="BF97" s="845"/>
      <c r="BG97" s="845"/>
      <c r="BH97" s="845"/>
      <c r="BI97" s="845"/>
      <c r="BJ97" s="845"/>
      <c r="BK97" s="845"/>
      <c r="BL97" s="845"/>
      <c r="BM97" s="845"/>
      <c r="BN97" s="845"/>
      <c r="BO97" s="846"/>
      <c r="BP97" s="5"/>
      <c r="BQ97" s="5"/>
      <c r="BR97" s="5"/>
      <c r="BS97" s="5"/>
      <c r="BT97" s="5"/>
      <c r="BU97" s="5"/>
      <c r="BV97" s="5"/>
      <c r="BW97" s="5"/>
      <c r="BX97" s="5"/>
      <c r="BY97" s="5"/>
      <c r="BZ97" s="5"/>
      <c r="CA97" s="5"/>
      <c r="CB97" s="5"/>
      <c r="CC97" s="5"/>
      <c r="CD97" s="5"/>
      <c r="CE97" s="5"/>
      <c r="CF97" s="5"/>
      <c r="CG97" s="5"/>
      <c r="CH97" s="5"/>
      <c r="CI97" s="5"/>
      <c r="CJ97" s="5"/>
      <c r="CK97" s="5"/>
    </row>
    <row r="98" spans="1:89" ht="7.5" customHeight="1" x14ac:dyDescent="0.25">
      <c r="A98" s="844"/>
      <c r="B98" s="845"/>
      <c r="C98" s="845"/>
      <c r="D98" s="845"/>
      <c r="E98" s="845"/>
      <c r="F98" s="845"/>
      <c r="G98" s="845"/>
      <c r="H98" s="845"/>
      <c r="I98" s="845"/>
      <c r="J98" s="845"/>
      <c r="K98" s="845"/>
      <c r="L98" s="845"/>
      <c r="M98" s="845"/>
      <c r="N98" s="845"/>
      <c r="O98" s="845"/>
      <c r="P98" s="845"/>
      <c r="Q98" s="845"/>
      <c r="R98" s="845"/>
      <c r="S98" s="845"/>
      <c r="T98" s="845"/>
      <c r="U98" s="845"/>
      <c r="V98" s="845"/>
      <c r="W98" s="845"/>
      <c r="X98" s="845"/>
      <c r="Y98" s="845"/>
      <c r="Z98" s="845"/>
      <c r="AA98" s="845"/>
      <c r="AB98" s="845"/>
      <c r="AC98" s="845"/>
      <c r="AD98" s="845"/>
      <c r="AE98" s="845"/>
      <c r="AF98" s="845"/>
      <c r="AG98" s="846"/>
      <c r="AH98" s="6"/>
      <c r="AI98" s="844"/>
      <c r="AJ98" s="845"/>
      <c r="AK98" s="845"/>
      <c r="AL98" s="845"/>
      <c r="AM98" s="845"/>
      <c r="AN98" s="845"/>
      <c r="AO98" s="845"/>
      <c r="AP98" s="845"/>
      <c r="AQ98" s="845"/>
      <c r="AR98" s="845"/>
      <c r="AS98" s="845"/>
      <c r="AT98" s="845"/>
      <c r="AU98" s="845"/>
      <c r="AV98" s="845"/>
      <c r="AW98" s="845"/>
      <c r="AX98" s="845"/>
      <c r="AY98" s="845"/>
      <c r="AZ98" s="845"/>
      <c r="BA98" s="845"/>
      <c r="BB98" s="845"/>
      <c r="BC98" s="845"/>
      <c r="BD98" s="845"/>
      <c r="BE98" s="845"/>
      <c r="BF98" s="845"/>
      <c r="BG98" s="845"/>
      <c r="BH98" s="845"/>
      <c r="BI98" s="845"/>
      <c r="BJ98" s="845"/>
      <c r="BK98" s="845"/>
      <c r="BL98" s="845"/>
      <c r="BM98" s="845"/>
      <c r="BN98" s="845"/>
      <c r="BO98" s="846"/>
      <c r="BP98" s="5"/>
      <c r="BQ98" s="5"/>
      <c r="BR98" s="5"/>
      <c r="BS98" s="5"/>
      <c r="BT98" s="5"/>
      <c r="BU98" s="5"/>
      <c r="BV98" s="5"/>
      <c r="BW98" s="5"/>
      <c r="BX98" s="5"/>
      <c r="BY98" s="5"/>
      <c r="BZ98" s="5"/>
      <c r="CA98" s="5"/>
      <c r="CB98" s="5"/>
      <c r="CC98" s="5"/>
      <c r="CD98" s="5"/>
      <c r="CE98" s="5"/>
      <c r="CF98" s="5"/>
      <c r="CG98" s="5"/>
      <c r="CH98" s="5"/>
      <c r="CI98" s="5"/>
      <c r="CJ98" s="5"/>
      <c r="CK98" s="5"/>
    </row>
    <row r="99" spans="1:89" ht="7.5" customHeight="1" x14ac:dyDescent="0.25">
      <c r="A99" s="847"/>
      <c r="B99" s="848"/>
      <c r="C99" s="848"/>
      <c r="D99" s="848"/>
      <c r="E99" s="848"/>
      <c r="F99" s="848"/>
      <c r="G99" s="848"/>
      <c r="H99" s="848"/>
      <c r="I99" s="848"/>
      <c r="J99" s="848"/>
      <c r="K99" s="848"/>
      <c r="L99" s="848"/>
      <c r="M99" s="848"/>
      <c r="N99" s="848"/>
      <c r="O99" s="848"/>
      <c r="P99" s="848"/>
      <c r="Q99" s="848"/>
      <c r="R99" s="848"/>
      <c r="S99" s="848"/>
      <c r="T99" s="848"/>
      <c r="U99" s="848"/>
      <c r="V99" s="848"/>
      <c r="W99" s="848"/>
      <c r="X99" s="848"/>
      <c r="Y99" s="848"/>
      <c r="Z99" s="848"/>
      <c r="AA99" s="848"/>
      <c r="AB99" s="848"/>
      <c r="AC99" s="848"/>
      <c r="AD99" s="848"/>
      <c r="AE99" s="848"/>
      <c r="AF99" s="848"/>
      <c r="AG99" s="849"/>
      <c r="AH99" s="6"/>
      <c r="AI99" s="847"/>
      <c r="AJ99" s="848"/>
      <c r="AK99" s="848"/>
      <c r="AL99" s="848"/>
      <c r="AM99" s="848"/>
      <c r="AN99" s="848"/>
      <c r="AO99" s="848"/>
      <c r="AP99" s="848"/>
      <c r="AQ99" s="848"/>
      <c r="AR99" s="848"/>
      <c r="AS99" s="848"/>
      <c r="AT99" s="848"/>
      <c r="AU99" s="848"/>
      <c r="AV99" s="848"/>
      <c r="AW99" s="848"/>
      <c r="AX99" s="848"/>
      <c r="AY99" s="848"/>
      <c r="AZ99" s="848"/>
      <c r="BA99" s="848"/>
      <c r="BB99" s="848"/>
      <c r="BC99" s="848"/>
      <c r="BD99" s="848"/>
      <c r="BE99" s="848"/>
      <c r="BF99" s="848"/>
      <c r="BG99" s="848"/>
      <c r="BH99" s="848"/>
      <c r="BI99" s="848"/>
      <c r="BJ99" s="848"/>
      <c r="BK99" s="848"/>
      <c r="BL99" s="848"/>
      <c r="BM99" s="848"/>
      <c r="BN99" s="848"/>
      <c r="BO99" s="849"/>
      <c r="BP99" s="5"/>
      <c r="BQ99" s="5"/>
      <c r="BR99" s="5"/>
      <c r="BS99" s="5"/>
      <c r="BT99" s="5"/>
      <c r="BU99" s="5"/>
      <c r="BV99" s="5"/>
      <c r="BW99" s="5"/>
      <c r="BX99" s="5"/>
      <c r="BY99" s="5"/>
      <c r="BZ99" s="5"/>
      <c r="CA99" s="5"/>
      <c r="CB99" s="5"/>
      <c r="CC99" s="5"/>
      <c r="CD99" s="5"/>
      <c r="CE99" s="5"/>
      <c r="CF99" s="5"/>
      <c r="CG99" s="5"/>
      <c r="CH99" s="5"/>
      <c r="CI99" s="5"/>
      <c r="CJ99" s="5"/>
      <c r="CK99" s="5"/>
    </row>
    <row r="100" spans="1:89" ht="7.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row>
    <row r="101" spans="1:89" ht="7.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row>
    <row r="102" spans="1:89" ht="7.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row>
    <row r="103" spans="1:89" ht="7.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row>
    <row r="104" spans="1:89" ht="7.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row>
    <row r="105" spans="1:89" ht="7.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row>
    <row r="106" spans="1:89" ht="7.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row>
    <row r="107" spans="1:89" ht="7.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row>
    <row r="108" spans="1:89" ht="7.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row>
    <row r="109" spans="1:89" ht="7.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row>
    <row r="110" spans="1:89" ht="7.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row>
    <row r="111" spans="1:89" ht="7.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row>
    <row r="112" spans="1:89" ht="7.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row>
    <row r="113" spans="1:89" ht="7.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row>
    <row r="114" spans="1:89" ht="7.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row>
    <row r="115" spans="1:89" ht="7.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row>
    <row r="116" spans="1:89" ht="7.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row>
    <row r="117" spans="1:89" ht="7.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row>
    <row r="118" spans="1:89" ht="7.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row>
    <row r="119" spans="1:89" ht="7.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row>
    <row r="120" spans="1:89" ht="7.5"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row>
    <row r="121" spans="1:89" ht="7.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row>
    <row r="122" spans="1:89" ht="7.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row>
    <row r="123" spans="1:89" ht="7.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row>
    <row r="124" spans="1:89" ht="7.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row>
    <row r="125" spans="1:89" ht="7.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row>
    <row r="126" spans="1:89" ht="7.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row>
    <row r="127" spans="1:89" ht="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row>
    <row r="128" spans="1:89" ht="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row>
    <row r="129" spans="1:89" ht="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row>
    <row r="130" spans="1:89" ht="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row>
    <row r="131" spans="1:89" ht="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row>
    <row r="132" spans="1:89" ht="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row>
    <row r="133" spans="1:89" ht="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row>
    <row r="134" spans="1:89" ht="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row>
    <row r="135" spans="1:89" ht="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row>
    <row r="136" spans="1:89" ht="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row>
    <row r="137" spans="1:89" ht="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row>
    <row r="138" spans="1:89" ht="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11"/>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row>
    <row r="139" spans="1:89" ht="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1"/>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row>
    <row r="140" spans="1:89" ht="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1"/>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row>
    <row r="141" spans="1:89" ht="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1"/>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7"/>
      <c r="CG141" s="7"/>
      <c r="CH141" s="7"/>
      <c r="CI141" s="7"/>
      <c r="CJ141" s="7"/>
      <c r="CK141" s="7"/>
    </row>
    <row r="142" spans="1:89" ht="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1"/>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row>
    <row r="143" spans="1:89" ht="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1"/>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row>
    <row r="144" spans="1:89" ht="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1"/>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row>
    <row r="145" spans="1:89" ht="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1"/>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7"/>
      <c r="CG145" s="7"/>
      <c r="CH145" s="7"/>
      <c r="CI145" s="7"/>
      <c r="CJ145" s="7"/>
      <c r="CK145" s="7"/>
    </row>
    <row r="146" spans="1:89" ht="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1"/>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row>
    <row r="147" spans="1:89" ht="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1"/>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row>
    <row r="148" spans="1:89" ht="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1"/>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row>
  </sheetData>
  <mergeCells count="352">
    <mergeCell ref="BL4:BO6"/>
    <mergeCell ref="BD7:BG7"/>
    <mergeCell ref="BH7:BK7"/>
    <mergeCell ref="BL7:BO7"/>
    <mergeCell ref="BH4:BK6"/>
    <mergeCell ref="AU7:AX7"/>
    <mergeCell ref="AZ7:BC7"/>
    <mergeCell ref="AI1:AX2"/>
    <mergeCell ref="AI4:AL6"/>
    <mergeCell ref="AM4:AP6"/>
    <mergeCell ref="AQ4:AT6"/>
    <mergeCell ref="AU4:AX6"/>
    <mergeCell ref="AZ4:BC6"/>
    <mergeCell ref="BD4:BG6"/>
    <mergeCell ref="V4:Y6"/>
    <mergeCell ref="Z4:AC6"/>
    <mergeCell ref="AD4:AG6"/>
    <mergeCell ref="V7:Y7"/>
    <mergeCell ref="R4:U6"/>
    <mergeCell ref="R7:U7"/>
    <mergeCell ref="Z7:AC7"/>
    <mergeCell ref="AD7:AG7"/>
    <mergeCell ref="AQ8:AT10"/>
    <mergeCell ref="AI7:AL7"/>
    <mergeCell ref="AM7:AP7"/>
    <mergeCell ref="AQ7:AT7"/>
    <mergeCell ref="AC16:AG18"/>
    <mergeCell ref="A21:C21"/>
    <mergeCell ref="J21:L21"/>
    <mergeCell ref="S21:U21"/>
    <mergeCell ref="Y19:AA21"/>
    <mergeCell ref="AC19:AG21"/>
    <mergeCell ref="P19:R21"/>
    <mergeCell ref="D16:F18"/>
    <mergeCell ref="S16:U17"/>
    <mergeCell ref="A85:S85"/>
    <mergeCell ref="U85:Y85"/>
    <mergeCell ref="AA85:AG85"/>
    <mergeCell ref="A86:Y89"/>
    <mergeCell ref="AA87:AG88"/>
    <mergeCell ref="AA89:AG89"/>
    <mergeCell ref="A91:AG99"/>
    <mergeCell ref="AW9:AZ10"/>
    <mergeCell ref="BB9:BE10"/>
    <mergeCell ref="AW11:AZ11"/>
    <mergeCell ref="BB11:BE11"/>
    <mergeCell ref="AW61:AZ61"/>
    <mergeCell ref="BB61:BE61"/>
    <mergeCell ref="AC13:AG15"/>
    <mergeCell ref="J13:L14"/>
    <mergeCell ref="M13:O15"/>
    <mergeCell ref="A13:C14"/>
    <mergeCell ref="D13:F15"/>
    <mergeCell ref="G13:I15"/>
    <mergeCell ref="P13:R15"/>
    <mergeCell ref="S13:U14"/>
    <mergeCell ref="V13:X15"/>
    <mergeCell ref="Y13:AA15"/>
    <mergeCell ref="V16:X18"/>
    <mergeCell ref="BI85:BO85"/>
    <mergeCell ref="BI87:BO88"/>
    <mergeCell ref="BI89:BO89"/>
    <mergeCell ref="AI91:BO99"/>
    <mergeCell ref="M69:O71"/>
    <mergeCell ref="P69:R71"/>
    <mergeCell ref="S69:U70"/>
    <mergeCell ref="V69:X71"/>
    <mergeCell ref="Y69:AA71"/>
    <mergeCell ref="AF73:AG73"/>
    <mergeCell ref="U74:Y75"/>
    <mergeCell ref="AA74:AG75"/>
    <mergeCell ref="A76:S76"/>
    <mergeCell ref="U76:Y76"/>
    <mergeCell ref="AA76:AG76"/>
    <mergeCell ref="A77:Y80"/>
    <mergeCell ref="AA78:AG79"/>
    <mergeCell ref="AA80:AG80"/>
    <mergeCell ref="A82:S84"/>
    <mergeCell ref="AF82:AG82"/>
    <mergeCell ref="A71:C71"/>
    <mergeCell ref="J71:L71"/>
    <mergeCell ref="U83:Y84"/>
    <mergeCell ref="AA83:AG84"/>
    <mergeCell ref="AI85:BA85"/>
    <mergeCell ref="AI86:BG89"/>
    <mergeCell ref="V66:X68"/>
    <mergeCell ref="Y66:AA68"/>
    <mergeCell ref="AC66:AG68"/>
    <mergeCell ref="S68:U68"/>
    <mergeCell ref="AX66:AZ68"/>
    <mergeCell ref="BA66:BC67"/>
    <mergeCell ref="BD66:BF68"/>
    <mergeCell ref="BG66:BI68"/>
    <mergeCell ref="AR66:AT67"/>
    <mergeCell ref="AU66:AW68"/>
    <mergeCell ref="AR68:AT68"/>
    <mergeCell ref="AR69:AT70"/>
    <mergeCell ref="AU69:AW71"/>
    <mergeCell ref="AC69:AG71"/>
    <mergeCell ref="S71:U71"/>
    <mergeCell ref="AX69:AZ71"/>
    <mergeCell ref="BA69:BC70"/>
    <mergeCell ref="BD69:BF71"/>
    <mergeCell ref="BG69:BI71"/>
    <mergeCell ref="AR71:AT71"/>
    <mergeCell ref="BA71:BC71"/>
    <mergeCell ref="BC85:BG85"/>
    <mergeCell ref="A51:P52"/>
    <mergeCell ref="AI65:AK65"/>
    <mergeCell ref="AI66:AK67"/>
    <mergeCell ref="AO66:AQ68"/>
    <mergeCell ref="AI68:AK68"/>
    <mergeCell ref="AI69:AK70"/>
    <mergeCell ref="AL69:AN71"/>
    <mergeCell ref="AO69:AQ71"/>
    <mergeCell ref="AI71:AK71"/>
    <mergeCell ref="A69:C70"/>
    <mergeCell ref="D69:F71"/>
    <mergeCell ref="G69:I71"/>
    <mergeCell ref="J69:L70"/>
    <mergeCell ref="AM57:AP57"/>
    <mergeCell ref="AQ57:AT57"/>
    <mergeCell ref="AI63:AK64"/>
    <mergeCell ref="P63:R65"/>
    <mergeCell ref="AC63:AG65"/>
    <mergeCell ref="S65:U65"/>
    <mergeCell ref="AR65:AT65"/>
    <mergeCell ref="A63:C64"/>
    <mergeCell ref="S63:U64"/>
    <mergeCell ref="A65:C65"/>
    <mergeCell ref="J65:L65"/>
    <mergeCell ref="BL61:BO61"/>
    <mergeCell ref="AD59:AG60"/>
    <mergeCell ref="AD61:AG61"/>
    <mergeCell ref="O59:R60"/>
    <mergeCell ref="T59:W60"/>
    <mergeCell ref="Y59:AB60"/>
    <mergeCell ref="O61:R61"/>
    <mergeCell ref="T61:W61"/>
    <mergeCell ref="Y61:AB61"/>
    <mergeCell ref="BG61:BJ61"/>
    <mergeCell ref="AQ58:AT60"/>
    <mergeCell ref="BL59:BO60"/>
    <mergeCell ref="AW59:AZ60"/>
    <mergeCell ref="BB59:BE60"/>
    <mergeCell ref="BG59:BJ60"/>
    <mergeCell ref="AM58:AP60"/>
    <mergeCell ref="BK16:BO18"/>
    <mergeCell ref="AI18:AK18"/>
    <mergeCell ref="AR18:AT18"/>
    <mergeCell ref="BA18:BC18"/>
    <mergeCell ref="AI19:AK20"/>
    <mergeCell ref="AA37:AG38"/>
    <mergeCell ref="AA39:AG39"/>
    <mergeCell ref="A36:Y39"/>
    <mergeCell ref="A35:S35"/>
    <mergeCell ref="AL19:AN21"/>
    <mergeCell ref="AO19:AQ21"/>
    <mergeCell ref="AR19:AT20"/>
    <mergeCell ref="AU19:AW21"/>
    <mergeCell ref="AX19:AZ21"/>
    <mergeCell ref="M19:O21"/>
    <mergeCell ref="S18:U18"/>
    <mergeCell ref="S19:U20"/>
    <mergeCell ref="V19:X21"/>
    <mergeCell ref="AF32:AG32"/>
    <mergeCell ref="BA19:BC20"/>
    <mergeCell ref="BD19:BF21"/>
    <mergeCell ref="BG19:BI21"/>
    <mergeCell ref="BK19:BO21"/>
    <mergeCell ref="AI21:AK21"/>
    <mergeCell ref="BG16:BI18"/>
    <mergeCell ref="A1:P2"/>
    <mergeCell ref="AA26:AG26"/>
    <mergeCell ref="A27:Y30"/>
    <mergeCell ref="AA28:AG29"/>
    <mergeCell ref="AA30:AG30"/>
    <mergeCell ref="M4:P6"/>
    <mergeCell ref="A4:D6"/>
    <mergeCell ref="A41:AG49"/>
    <mergeCell ref="E4:H6"/>
    <mergeCell ref="I4:L6"/>
    <mergeCell ref="E8:H10"/>
    <mergeCell ref="I8:L10"/>
    <mergeCell ref="A7:D7"/>
    <mergeCell ref="E7:H7"/>
    <mergeCell ref="I7:L7"/>
    <mergeCell ref="M7:P7"/>
    <mergeCell ref="AR21:AT21"/>
    <mergeCell ref="BA21:BC21"/>
    <mergeCell ref="AI26:BA26"/>
    <mergeCell ref="AI32:BA34"/>
    <mergeCell ref="A32:S34"/>
    <mergeCell ref="BG9:BJ10"/>
    <mergeCell ref="BG11:BJ11"/>
    <mergeCell ref="BA15:BC15"/>
    <mergeCell ref="AI16:AK17"/>
    <mergeCell ref="AL16:AN18"/>
    <mergeCell ref="AO16:AQ18"/>
    <mergeCell ref="AR16:AT17"/>
    <mergeCell ref="AU16:AW18"/>
    <mergeCell ref="AX16:AZ18"/>
    <mergeCell ref="BA16:BC17"/>
    <mergeCell ref="BD16:BF18"/>
    <mergeCell ref="AI36:BG39"/>
    <mergeCell ref="BI37:BO38"/>
    <mergeCell ref="BI39:BO39"/>
    <mergeCell ref="BC35:BG35"/>
    <mergeCell ref="BI35:BO35"/>
    <mergeCell ref="BL9:BO10"/>
    <mergeCell ref="BL11:BO11"/>
    <mergeCell ref="AI13:AK14"/>
    <mergeCell ref="AL13:AN15"/>
    <mergeCell ref="AO13:AQ15"/>
    <mergeCell ref="AR13:AT14"/>
    <mergeCell ref="AU13:AW15"/>
    <mergeCell ref="AX13:AZ15"/>
    <mergeCell ref="BA13:BC14"/>
    <mergeCell ref="AM8:AP10"/>
    <mergeCell ref="AI23:BA25"/>
    <mergeCell ref="BN23:BO23"/>
    <mergeCell ref="AI27:BG30"/>
    <mergeCell ref="BI28:BO29"/>
    <mergeCell ref="BD13:BF15"/>
    <mergeCell ref="BG13:BI15"/>
    <mergeCell ref="BK13:BO15"/>
    <mergeCell ref="AI15:AK15"/>
    <mergeCell ref="AR15:AT15"/>
    <mergeCell ref="AU57:AX57"/>
    <mergeCell ref="AI41:BO49"/>
    <mergeCell ref="AI51:AX52"/>
    <mergeCell ref="AI54:AL56"/>
    <mergeCell ref="AM54:AP56"/>
    <mergeCell ref="AQ54:AT56"/>
    <mergeCell ref="AU54:AX56"/>
    <mergeCell ref="AZ54:BC56"/>
    <mergeCell ref="BD54:BG56"/>
    <mergeCell ref="BH54:BK56"/>
    <mergeCell ref="BL54:BO56"/>
    <mergeCell ref="AI57:AL57"/>
    <mergeCell ref="AZ57:BC57"/>
    <mergeCell ref="BD57:BG57"/>
    <mergeCell ref="BH57:BK57"/>
    <mergeCell ref="BL57:BO57"/>
    <mergeCell ref="BK66:BO68"/>
    <mergeCell ref="BA68:BC68"/>
    <mergeCell ref="AL63:AN65"/>
    <mergeCell ref="AO63:AQ65"/>
    <mergeCell ref="AR63:AT64"/>
    <mergeCell ref="AU63:AW65"/>
    <mergeCell ref="AX63:AZ65"/>
    <mergeCell ref="BD63:BF65"/>
    <mergeCell ref="BG63:BI65"/>
    <mergeCell ref="BK63:BO65"/>
    <mergeCell ref="BA63:BC64"/>
    <mergeCell ref="M54:P56"/>
    <mergeCell ref="R54:U56"/>
    <mergeCell ref="V54:Y56"/>
    <mergeCell ref="Z54:AC56"/>
    <mergeCell ref="AD54:AG56"/>
    <mergeCell ref="A57:D57"/>
    <mergeCell ref="E57:H57"/>
    <mergeCell ref="I57:L57"/>
    <mergeCell ref="M57:P57"/>
    <mergeCell ref="R57:U57"/>
    <mergeCell ref="V57:Y57"/>
    <mergeCell ref="Z57:AC57"/>
    <mergeCell ref="AD57:AG57"/>
    <mergeCell ref="BN82:BO82"/>
    <mergeCell ref="BC83:BG84"/>
    <mergeCell ref="BI83:BO84"/>
    <mergeCell ref="AI76:BA76"/>
    <mergeCell ref="BC76:BG76"/>
    <mergeCell ref="BI76:BO76"/>
    <mergeCell ref="BK69:BO71"/>
    <mergeCell ref="A73:S75"/>
    <mergeCell ref="AI77:BG80"/>
    <mergeCell ref="BI78:BO79"/>
    <mergeCell ref="BI80:BO80"/>
    <mergeCell ref="J66:L67"/>
    <mergeCell ref="M66:O68"/>
    <mergeCell ref="P66:R68"/>
    <mergeCell ref="S66:U67"/>
    <mergeCell ref="A68:C68"/>
    <mergeCell ref="J68:L68"/>
    <mergeCell ref="E58:H60"/>
    <mergeCell ref="I58:L60"/>
    <mergeCell ref="AI82:BA84"/>
    <mergeCell ref="BA65:BC65"/>
    <mergeCell ref="AL66:AN68"/>
    <mergeCell ref="A26:S26"/>
    <mergeCell ref="U26:Y26"/>
    <mergeCell ref="AI73:BA75"/>
    <mergeCell ref="BN73:BO73"/>
    <mergeCell ref="BC74:BG75"/>
    <mergeCell ref="BI74:BO75"/>
    <mergeCell ref="U33:Y34"/>
    <mergeCell ref="BI30:BO30"/>
    <mergeCell ref="BC26:BG26"/>
    <mergeCell ref="BI26:BO26"/>
    <mergeCell ref="BC33:BG34"/>
    <mergeCell ref="BI33:BO34"/>
    <mergeCell ref="A54:D56"/>
    <mergeCell ref="E54:H56"/>
    <mergeCell ref="I54:L56"/>
    <mergeCell ref="D63:F65"/>
    <mergeCell ref="G63:I65"/>
    <mergeCell ref="J63:L64"/>
    <mergeCell ref="M63:O65"/>
    <mergeCell ref="V63:X65"/>
    <mergeCell ref="Y63:AA65"/>
    <mergeCell ref="A66:C67"/>
    <mergeCell ref="D66:F68"/>
    <mergeCell ref="G66:I68"/>
    <mergeCell ref="R1:AG2"/>
    <mergeCell ref="AZ1:BO2"/>
    <mergeCell ref="R51:AG52"/>
    <mergeCell ref="AZ51:BO52"/>
    <mergeCell ref="O11:R11"/>
    <mergeCell ref="O9:R10"/>
    <mergeCell ref="T9:W10"/>
    <mergeCell ref="AA33:AG34"/>
    <mergeCell ref="U35:Y35"/>
    <mergeCell ref="AA35:AG35"/>
    <mergeCell ref="AD9:AG10"/>
    <mergeCell ref="AD11:AG11"/>
    <mergeCell ref="A23:S25"/>
    <mergeCell ref="AF23:AG23"/>
    <mergeCell ref="U24:Y25"/>
    <mergeCell ref="AA24:AG25"/>
    <mergeCell ref="D19:F21"/>
    <mergeCell ref="G16:I18"/>
    <mergeCell ref="M16:O18"/>
    <mergeCell ref="A18:C18"/>
    <mergeCell ref="BC24:BG25"/>
    <mergeCell ref="BI24:BO25"/>
    <mergeCell ref="BN32:BO32"/>
    <mergeCell ref="AI35:BA35"/>
    <mergeCell ref="T11:W11"/>
    <mergeCell ref="Y9:AB10"/>
    <mergeCell ref="Y11:AB11"/>
    <mergeCell ref="A19:C20"/>
    <mergeCell ref="G19:I21"/>
    <mergeCell ref="J19:L20"/>
    <mergeCell ref="J18:L18"/>
    <mergeCell ref="S15:U15"/>
    <mergeCell ref="A15:C15"/>
    <mergeCell ref="J15:L15"/>
    <mergeCell ref="Y16:AA18"/>
    <mergeCell ref="A16:C17"/>
    <mergeCell ref="J16:L17"/>
    <mergeCell ref="P16:R18"/>
  </mergeCells>
  <pageMargins left="0.5" right="0.5" top="0.5" bottom="0.5" header="0.3" footer="0.3"/>
  <pageSetup orientation="portrait"/>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BB71"/>
  <sheetViews>
    <sheetView zoomScale="190" zoomScaleNormal="190" zoomScalePageLayoutView="190" workbookViewId="0">
      <selection activeCell="S48" sqref="S48:AG49"/>
    </sheetView>
  </sheetViews>
  <sheetFormatPr defaultColWidth="1.42578125" defaultRowHeight="7.5" customHeight="1" x14ac:dyDescent="0.25"/>
  <sheetData>
    <row r="1" spans="1:54" ht="7.5" customHeight="1" x14ac:dyDescent="0.25">
      <c r="A1" s="896" t="s">
        <v>30</v>
      </c>
      <c r="B1" s="897"/>
      <c r="C1" s="897"/>
      <c r="D1" s="897"/>
      <c r="E1" s="897"/>
      <c r="F1" s="897"/>
      <c r="G1" s="897"/>
      <c r="H1" s="897"/>
      <c r="I1" s="897"/>
      <c r="J1" s="897"/>
      <c r="K1" s="897"/>
      <c r="L1" s="897"/>
      <c r="M1" s="894"/>
      <c r="N1" s="894"/>
      <c r="O1" s="96"/>
      <c r="P1" s="896" t="s">
        <v>29</v>
      </c>
      <c r="Q1" s="897"/>
      <c r="R1" s="897"/>
      <c r="S1" s="897"/>
      <c r="T1" s="897"/>
      <c r="U1" s="897"/>
      <c r="V1" s="897"/>
      <c r="W1" s="897"/>
      <c r="X1" s="897"/>
      <c r="Y1" s="897"/>
      <c r="Z1" s="897"/>
      <c r="AA1" s="894"/>
      <c r="AB1" s="894"/>
      <c r="AC1" s="97"/>
      <c r="AD1" s="896" t="s">
        <v>30</v>
      </c>
      <c r="AE1" s="897"/>
      <c r="AF1" s="897"/>
      <c r="AG1" s="897"/>
      <c r="AH1" s="897"/>
      <c r="AI1" s="897"/>
      <c r="AJ1" s="897"/>
      <c r="AK1" s="897"/>
      <c r="AL1" s="897"/>
      <c r="AM1" s="897"/>
      <c r="AN1" s="897"/>
      <c r="AO1" s="897"/>
      <c r="AP1" s="894"/>
      <c r="AQ1" s="894"/>
      <c r="AR1" s="97"/>
      <c r="AS1" s="896" t="s">
        <v>45</v>
      </c>
      <c r="AT1" s="897"/>
      <c r="AU1" s="897"/>
      <c r="AV1" s="897"/>
      <c r="AW1" s="897"/>
      <c r="AX1" s="897"/>
      <c r="AY1" s="897"/>
      <c r="AZ1" s="897"/>
      <c r="BA1" s="894"/>
      <c r="BB1" s="894"/>
    </row>
    <row r="2" spans="1:54" ht="7.5" customHeight="1" x14ac:dyDescent="0.25">
      <c r="A2" s="898"/>
      <c r="B2" s="899"/>
      <c r="C2" s="899"/>
      <c r="D2" s="899"/>
      <c r="E2" s="899"/>
      <c r="F2" s="899"/>
      <c r="G2" s="899"/>
      <c r="H2" s="899"/>
      <c r="I2" s="899"/>
      <c r="J2" s="899"/>
      <c r="K2" s="899"/>
      <c r="L2" s="899"/>
      <c r="M2" s="895"/>
      <c r="N2" s="895"/>
      <c r="O2" s="98"/>
      <c r="P2" s="898"/>
      <c r="Q2" s="899"/>
      <c r="R2" s="899"/>
      <c r="S2" s="899"/>
      <c r="T2" s="899"/>
      <c r="U2" s="899"/>
      <c r="V2" s="899"/>
      <c r="W2" s="899"/>
      <c r="X2" s="899"/>
      <c r="Y2" s="899"/>
      <c r="Z2" s="899"/>
      <c r="AA2" s="895"/>
      <c r="AB2" s="895"/>
      <c r="AC2" s="97"/>
      <c r="AD2" s="898"/>
      <c r="AE2" s="899"/>
      <c r="AF2" s="899"/>
      <c r="AG2" s="899"/>
      <c r="AH2" s="899"/>
      <c r="AI2" s="899"/>
      <c r="AJ2" s="899"/>
      <c r="AK2" s="899"/>
      <c r="AL2" s="899"/>
      <c r="AM2" s="899"/>
      <c r="AN2" s="899"/>
      <c r="AO2" s="899"/>
      <c r="AP2" s="895"/>
      <c r="AQ2" s="895"/>
      <c r="AR2" s="97"/>
      <c r="AS2" s="898"/>
      <c r="AT2" s="899"/>
      <c r="AU2" s="899"/>
      <c r="AV2" s="899"/>
      <c r="AW2" s="899"/>
      <c r="AX2" s="899"/>
      <c r="AY2" s="899"/>
      <c r="AZ2" s="899"/>
      <c r="BA2" s="895"/>
      <c r="BB2" s="895"/>
    </row>
    <row r="3" spans="1:54" ht="7.5" customHeight="1" x14ac:dyDescent="0.25">
      <c r="A3" s="858"/>
      <c r="B3" s="859"/>
      <c r="C3" s="859"/>
      <c r="D3" s="859"/>
      <c r="E3" s="859"/>
      <c r="F3" s="859"/>
      <c r="G3" s="859"/>
      <c r="H3" s="859"/>
      <c r="I3" s="859"/>
      <c r="J3" s="859"/>
      <c r="K3" s="859"/>
      <c r="L3" s="859"/>
      <c r="M3" s="859"/>
      <c r="N3" s="884"/>
      <c r="O3" s="99"/>
      <c r="P3" s="858"/>
      <c r="Q3" s="859"/>
      <c r="R3" s="859"/>
      <c r="S3" s="859"/>
      <c r="T3" s="859"/>
      <c r="U3" s="859"/>
      <c r="V3" s="859"/>
      <c r="W3" s="859"/>
      <c r="X3" s="859"/>
      <c r="Y3" s="859"/>
      <c r="Z3" s="859"/>
      <c r="AA3" s="859"/>
      <c r="AB3" s="884"/>
      <c r="AC3" s="100"/>
      <c r="AD3" s="858"/>
      <c r="AE3" s="859"/>
      <c r="AF3" s="859"/>
      <c r="AG3" s="859"/>
      <c r="AH3" s="859"/>
      <c r="AI3" s="859"/>
      <c r="AJ3" s="859"/>
      <c r="AK3" s="859"/>
      <c r="AL3" s="859"/>
      <c r="AM3" s="859"/>
      <c r="AN3" s="859"/>
      <c r="AO3" s="859"/>
      <c r="AP3" s="859"/>
      <c r="AQ3" s="884"/>
      <c r="AR3" s="100"/>
      <c r="AS3" s="858"/>
      <c r="AT3" s="884"/>
      <c r="AU3" s="858"/>
      <c r="AV3" s="884"/>
      <c r="AW3" s="858"/>
      <c r="AX3" s="884"/>
      <c r="AY3" s="858"/>
      <c r="AZ3" s="884"/>
      <c r="BA3" s="858"/>
      <c r="BB3" s="884"/>
    </row>
    <row r="4" spans="1:54" ht="7.5" customHeight="1" x14ac:dyDescent="0.25">
      <c r="A4" s="891"/>
      <c r="B4" s="892"/>
      <c r="C4" s="892"/>
      <c r="D4" s="892"/>
      <c r="E4" s="892"/>
      <c r="F4" s="892"/>
      <c r="G4" s="892"/>
      <c r="H4" s="892"/>
      <c r="I4" s="892"/>
      <c r="J4" s="892"/>
      <c r="K4" s="892"/>
      <c r="L4" s="892"/>
      <c r="M4" s="892"/>
      <c r="N4" s="893"/>
      <c r="O4" s="99"/>
      <c r="P4" s="891"/>
      <c r="Q4" s="892"/>
      <c r="R4" s="892"/>
      <c r="S4" s="892"/>
      <c r="T4" s="892"/>
      <c r="U4" s="892"/>
      <c r="V4" s="892"/>
      <c r="W4" s="892"/>
      <c r="X4" s="892"/>
      <c r="Y4" s="892"/>
      <c r="Z4" s="892"/>
      <c r="AA4" s="892"/>
      <c r="AB4" s="893"/>
      <c r="AC4" s="100"/>
      <c r="AD4" s="891"/>
      <c r="AE4" s="892"/>
      <c r="AF4" s="892"/>
      <c r="AG4" s="892"/>
      <c r="AH4" s="892"/>
      <c r="AI4" s="892"/>
      <c r="AJ4" s="892"/>
      <c r="AK4" s="892"/>
      <c r="AL4" s="892"/>
      <c r="AM4" s="892"/>
      <c r="AN4" s="892"/>
      <c r="AO4" s="892"/>
      <c r="AP4" s="892"/>
      <c r="AQ4" s="893"/>
      <c r="AR4" s="100"/>
      <c r="AS4" s="860"/>
      <c r="AT4" s="885"/>
      <c r="AU4" s="860"/>
      <c r="AV4" s="885"/>
      <c r="AW4" s="860"/>
      <c r="AX4" s="885"/>
      <c r="AY4" s="860"/>
      <c r="AZ4" s="885"/>
      <c r="BA4" s="860"/>
      <c r="BB4" s="885"/>
    </row>
    <row r="5" spans="1:54" ht="7.5" customHeight="1" x14ac:dyDescent="0.25">
      <c r="A5" s="891"/>
      <c r="B5" s="892"/>
      <c r="C5" s="892"/>
      <c r="D5" s="892"/>
      <c r="E5" s="892"/>
      <c r="F5" s="892"/>
      <c r="G5" s="892"/>
      <c r="H5" s="892"/>
      <c r="I5" s="892"/>
      <c r="J5" s="892"/>
      <c r="K5" s="892"/>
      <c r="L5" s="892"/>
      <c r="M5" s="892"/>
      <c r="N5" s="893"/>
      <c r="O5" s="99"/>
      <c r="P5" s="891"/>
      <c r="Q5" s="892"/>
      <c r="R5" s="892"/>
      <c r="S5" s="892"/>
      <c r="T5" s="892"/>
      <c r="U5" s="892"/>
      <c r="V5" s="892"/>
      <c r="W5" s="892"/>
      <c r="X5" s="892"/>
      <c r="Y5" s="892"/>
      <c r="Z5" s="892"/>
      <c r="AA5" s="892"/>
      <c r="AB5" s="893"/>
      <c r="AC5" s="100"/>
      <c r="AD5" s="891"/>
      <c r="AE5" s="892"/>
      <c r="AF5" s="892"/>
      <c r="AG5" s="892"/>
      <c r="AH5" s="892"/>
      <c r="AI5" s="892"/>
      <c r="AJ5" s="892"/>
      <c r="AK5" s="892"/>
      <c r="AL5" s="892"/>
      <c r="AM5" s="892"/>
      <c r="AN5" s="892"/>
      <c r="AO5" s="892"/>
      <c r="AP5" s="892"/>
      <c r="AQ5" s="893"/>
      <c r="AR5" s="100"/>
      <c r="AS5" s="858"/>
      <c r="AT5" s="884"/>
      <c r="AU5" s="858"/>
      <c r="AV5" s="884"/>
      <c r="AW5" s="858"/>
      <c r="AX5" s="884"/>
      <c r="AY5" s="858"/>
      <c r="AZ5" s="884"/>
      <c r="BA5" s="858"/>
      <c r="BB5" s="884"/>
    </row>
    <row r="6" spans="1:54" ht="7.5" customHeight="1" x14ac:dyDescent="0.25">
      <c r="A6" s="891"/>
      <c r="B6" s="892"/>
      <c r="C6" s="892"/>
      <c r="D6" s="892"/>
      <c r="E6" s="892"/>
      <c r="F6" s="892"/>
      <c r="G6" s="892"/>
      <c r="H6" s="892"/>
      <c r="I6" s="892"/>
      <c r="J6" s="892"/>
      <c r="K6" s="892"/>
      <c r="L6" s="892"/>
      <c r="M6" s="892"/>
      <c r="N6" s="893"/>
      <c r="O6" s="99"/>
      <c r="P6" s="891"/>
      <c r="Q6" s="892"/>
      <c r="R6" s="892"/>
      <c r="S6" s="892"/>
      <c r="T6" s="892"/>
      <c r="U6" s="892"/>
      <c r="V6" s="892"/>
      <c r="W6" s="892"/>
      <c r="X6" s="892"/>
      <c r="Y6" s="892"/>
      <c r="Z6" s="892"/>
      <c r="AA6" s="892"/>
      <c r="AB6" s="893"/>
      <c r="AC6" s="100"/>
      <c r="AD6" s="891"/>
      <c r="AE6" s="892"/>
      <c r="AF6" s="892"/>
      <c r="AG6" s="892"/>
      <c r="AH6" s="892"/>
      <c r="AI6" s="892"/>
      <c r="AJ6" s="892"/>
      <c r="AK6" s="892"/>
      <c r="AL6" s="892"/>
      <c r="AM6" s="892"/>
      <c r="AN6" s="892"/>
      <c r="AO6" s="892"/>
      <c r="AP6" s="892"/>
      <c r="AQ6" s="893"/>
      <c r="AR6" s="100"/>
      <c r="AS6" s="860"/>
      <c r="AT6" s="885"/>
      <c r="AU6" s="860"/>
      <c r="AV6" s="885"/>
      <c r="AW6" s="860"/>
      <c r="AX6" s="885"/>
      <c r="AY6" s="860"/>
      <c r="AZ6" s="885"/>
      <c r="BA6" s="860"/>
      <c r="BB6" s="885"/>
    </row>
    <row r="7" spans="1:54" ht="7.5" customHeight="1" x14ac:dyDescent="0.25">
      <c r="A7" s="891"/>
      <c r="B7" s="892"/>
      <c r="C7" s="892"/>
      <c r="D7" s="892"/>
      <c r="E7" s="892"/>
      <c r="F7" s="892"/>
      <c r="G7" s="892"/>
      <c r="H7" s="892"/>
      <c r="I7" s="892"/>
      <c r="J7" s="892"/>
      <c r="K7" s="892"/>
      <c r="L7" s="892"/>
      <c r="M7" s="892"/>
      <c r="N7" s="893"/>
      <c r="O7" s="99"/>
      <c r="P7" s="891"/>
      <c r="Q7" s="892"/>
      <c r="R7" s="892"/>
      <c r="S7" s="892"/>
      <c r="T7" s="892"/>
      <c r="U7" s="892"/>
      <c r="V7" s="892"/>
      <c r="W7" s="892"/>
      <c r="X7" s="892"/>
      <c r="Y7" s="892"/>
      <c r="Z7" s="892"/>
      <c r="AA7" s="892"/>
      <c r="AB7" s="893"/>
      <c r="AC7" s="100"/>
      <c r="AD7" s="891"/>
      <c r="AE7" s="892"/>
      <c r="AF7" s="892"/>
      <c r="AG7" s="892"/>
      <c r="AH7" s="892"/>
      <c r="AI7" s="892"/>
      <c r="AJ7" s="892"/>
      <c r="AK7" s="892"/>
      <c r="AL7" s="892"/>
      <c r="AM7" s="892"/>
      <c r="AN7" s="892"/>
      <c r="AO7" s="892"/>
      <c r="AP7" s="892"/>
      <c r="AQ7" s="893"/>
      <c r="AR7" s="100"/>
      <c r="AS7" s="858"/>
      <c r="AT7" s="884"/>
      <c r="AU7" s="858"/>
      <c r="AV7" s="884"/>
      <c r="AW7" s="858"/>
      <c r="AX7" s="884"/>
      <c r="AY7" s="858"/>
      <c r="AZ7" s="884"/>
      <c r="BA7" s="858"/>
      <c r="BB7" s="884"/>
    </row>
    <row r="8" spans="1:54" ht="7.5" customHeight="1" x14ac:dyDescent="0.25">
      <c r="A8" s="891"/>
      <c r="B8" s="892"/>
      <c r="C8" s="892"/>
      <c r="D8" s="892"/>
      <c r="E8" s="892"/>
      <c r="F8" s="892"/>
      <c r="G8" s="892"/>
      <c r="H8" s="892"/>
      <c r="I8" s="892"/>
      <c r="J8" s="892"/>
      <c r="K8" s="892"/>
      <c r="L8" s="892"/>
      <c r="M8" s="892"/>
      <c r="N8" s="893"/>
      <c r="O8" s="99"/>
      <c r="P8" s="891"/>
      <c r="Q8" s="892"/>
      <c r="R8" s="892"/>
      <c r="S8" s="892"/>
      <c r="T8" s="892"/>
      <c r="U8" s="892"/>
      <c r="V8" s="892"/>
      <c r="W8" s="892"/>
      <c r="X8" s="892"/>
      <c r="Y8" s="892"/>
      <c r="Z8" s="892"/>
      <c r="AA8" s="892"/>
      <c r="AB8" s="893"/>
      <c r="AC8" s="100"/>
      <c r="AD8" s="891"/>
      <c r="AE8" s="892"/>
      <c r="AF8" s="892"/>
      <c r="AG8" s="892"/>
      <c r="AH8" s="892"/>
      <c r="AI8" s="892"/>
      <c r="AJ8" s="892"/>
      <c r="AK8" s="892"/>
      <c r="AL8" s="892"/>
      <c r="AM8" s="892"/>
      <c r="AN8" s="892"/>
      <c r="AO8" s="892"/>
      <c r="AP8" s="892"/>
      <c r="AQ8" s="893"/>
      <c r="AR8" s="100"/>
      <c r="AS8" s="860"/>
      <c r="AT8" s="885"/>
      <c r="AU8" s="860"/>
      <c r="AV8" s="885"/>
      <c r="AW8" s="860"/>
      <c r="AX8" s="885"/>
      <c r="AY8" s="860"/>
      <c r="AZ8" s="885"/>
      <c r="BA8" s="860"/>
      <c r="BB8" s="885"/>
    </row>
    <row r="9" spans="1:54" ht="7.5" customHeight="1" x14ac:dyDescent="0.25">
      <c r="A9" s="891"/>
      <c r="B9" s="892"/>
      <c r="C9" s="892"/>
      <c r="D9" s="892"/>
      <c r="E9" s="892"/>
      <c r="F9" s="892"/>
      <c r="G9" s="892"/>
      <c r="H9" s="892"/>
      <c r="I9" s="892"/>
      <c r="J9" s="892"/>
      <c r="K9" s="892"/>
      <c r="L9" s="892"/>
      <c r="M9" s="892"/>
      <c r="N9" s="893"/>
      <c r="O9" s="99"/>
      <c r="P9" s="891"/>
      <c r="Q9" s="892"/>
      <c r="R9" s="892"/>
      <c r="S9" s="892"/>
      <c r="T9" s="892"/>
      <c r="U9" s="892"/>
      <c r="V9" s="892"/>
      <c r="W9" s="892"/>
      <c r="X9" s="892"/>
      <c r="Y9" s="892"/>
      <c r="Z9" s="892"/>
      <c r="AA9" s="892"/>
      <c r="AB9" s="893"/>
      <c r="AC9" s="100"/>
      <c r="AD9" s="891"/>
      <c r="AE9" s="892"/>
      <c r="AF9" s="892"/>
      <c r="AG9" s="892"/>
      <c r="AH9" s="892"/>
      <c r="AI9" s="892"/>
      <c r="AJ9" s="892"/>
      <c r="AK9" s="892"/>
      <c r="AL9" s="892"/>
      <c r="AM9" s="892"/>
      <c r="AN9" s="892"/>
      <c r="AO9" s="892"/>
      <c r="AP9" s="892"/>
      <c r="AQ9" s="893"/>
      <c r="AR9" s="100"/>
      <c r="AS9" s="858"/>
      <c r="AT9" s="884"/>
      <c r="AU9" s="858"/>
      <c r="AV9" s="884"/>
      <c r="AW9" s="858"/>
      <c r="AX9" s="884"/>
      <c r="AY9" s="858"/>
      <c r="AZ9" s="884"/>
      <c r="BA9" s="858"/>
      <c r="BB9" s="884"/>
    </row>
    <row r="10" spans="1:54" ht="7.5" customHeight="1" x14ac:dyDescent="0.25">
      <c r="A10" s="860"/>
      <c r="B10" s="861"/>
      <c r="C10" s="861"/>
      <c r="D10" s="861"/>
      <c r="E10" s="861"/>
      <c r="F10" s="861"/>
      <c r="G10" s="861"/>
      <c r="H10" s="861"/>
      <c r="I10" s="861"/>
      <c r="J10" s="861"/>
      <c r="K10" s="861"/>
      <c r="L10" s="861"/>
      <c r="M10" s="861"/>
      <c r="N10" s="885"/>
      <c r="O10" s="99"/>
      <c r="P10" s="860"/>
      <c r="Q10" s="861"/>
      <c r="R10" s="861"/>
      <c r="S10" s="861"/>
      <c r="T10" s="861"/>
      <c r="U10" s="861"/>
      <c r="V10" s="861"/>
      <c r="W10" s="861"/>
      <c r="X10" s="861"/>
      <c r="Y10" s="861"/>
      <c r="Z10" s="861"/>
      <c r="AA10" s="861"/>
      <c r="AB10" s="885"/>
      <c r="AC10" s="100"/>
      <c r="AD10" s="860"/>
      <c r="AE10" s="861"/>
      <c r="AF10" s="861"/>
      <c r="AG10" s="861"/>
      <c r="AH10" s="861"/>
      <c r="AI10" s="861"/>
      <c r="AJ10" s="861"/>
      <c r="AK10" s="861"/>
      <c r="AL10" s="861"/>
      <c r="AM10" s="861"/>
      <c r="AN10" s="861"/>
      <c r="AO10" s="861"/>
      <c r="AP10" s="861"/>
      <c r="AQ10" s="885"/>
      <c r="AR10" s="100"/>
      <c r="AS10" s="860"/>
      <c r="AT10" s="885"/>
      <c r="AU10" s="860"/>
      <c r="AV10" s="885"/>
      <c r="AW10" s="860"/>
      <c r="AX10" s="885"/>
      <c r="AY10" s="860"/>
      <c r="AZ10" s="885"/>
      <c r="BA10" s="860"/>
      <c r="BB10" s="885"/>
    </row>
    <row r="11" spans="1:54" ht="7.5" customHeight="1" x14ac:dyDescent="0.25">
      <c r="A11" s="100"/>
      <c r="B11" s="100"/>
      <c r="C11" s="100"/>
      <c r="D11" s="100"/>
      <c r="E11" s="100"/>
      <c r="F11" s="100"/>
      <c r="G11" s="100"/>
      <c r="H11" s="100"/>
      <c r="I11" s="100"/>
      <c r="J11" s="100"/>
      <c r="K11" s="100"/>
      <c r="L11" s="100"/>
      <c r="M11" s="100"/>
      <c r="N11" s="100"/>
      <c r="O11" s="100"/>
      <c r="P11" s="100"/>
      <c r="Q11" s="100"/>
      <c r="R11" s="100"/>
      <c r="S11" s="100"/>
      <c r="T11" s="100"/>
      <c r="U11" s="100"/>
      <c r="V11" s="100"/>
      <c r="W11" s="100"/>
      <c r="X11" s="100"/>
      <c r="Y11" s="100"/>
      <c r="Z11" s="100"/>
      <c r="AA11" s="100"/>
      <c r="AB11" s="100"/>
      <c r="AC11" s="100"/>
      <c r="AD11" s="100"/>
      <c r="AE11" s="100"/>
      <c r="AF11" s="100"/>
      <c r="AG11" s="100"/>
      <c r="AH11" s="100"/>
      <c r="AI11" s="100"/>
      <c r="AJ11" s="100"/>
      <c r="AK11" s="100"/>
      <c r="AL11" s="100"/>
      <c r="AM11" s="100"/>
      <c r="AN11" s="100"/>
      <c r="AO11" s="100"/>
      <c r="AP11" s="100"/>
      <c r="AQ11" s="100"/>
      <c r="AR11" s="100"/>
      <c r="AS11" s="858"/>
      <c r="AT11" s="884"/>
      <c r="AU11" s="858"/>
      <c r="AV11" s="884"/>
      <c r="AW11" s="858"/>
      <c r="AX11" s="884"/>
      <c r="AY11" s="858"/>
      <c r="AZ11" s="884"/>
      <c r="BA11" s="858"/>
      <c r="BB11" s="884"/>
    </row>
    <row r="12" spans="1:54" ht="7.5" customHeight="1" x14ac:dyDescent="0.25">
      <c r="A12" s="858" t="s">
        <v>40</v>
      </c>
      <c r="B12" s="859"/>
      <c r="C12" s="859"/>
      <c r="D12" s="859"/>
      <c r="E12" s="859"/>
      <c r="F12" s="859"/>
      <c r="G12" s="859"/>
      <c r="H12" s="859"/>
      <c r="I12" s="859"/>
      <c r="J12" s="859"/>
      <c r="K12" s="859"/>
      <c r="L12" s="859"/>
      <c r="M12" s="868"/>
      <c r="N12" s="868"/>
      <c r="O12" s="100"/>
      <c r="P12" s="858" t="s">
        <v>30</v>
      </c>
      <c r="Q12" s="859"/>
      <c r="R12" s="859"/>
      <c r="S12" s="859"/>
      <c r="T12" s="859"/>
      <c r="U12" s="859"/>
      <c r="V12" s="859"/>
      <c r="W12" s="859"/>
      <c r="X12" s="859"/>
      <c r="Y12" s="859"/>
      <c r="Z12" s="859"/>
      <c r="AA12" s="868"/>
      <c r="AB12" s="868"/>
      <c r="AC12" s="100"/>
      <c r="AD12" s="858" t="s">
        <v>41</v>
      </c>
      <c r="AE12" s="859"/>
      <c r="AF12" s="859"/>
      <c r="AG12" s="859"/>
      <c r="AH12" s="859"/>
      <c r="AI12" s="859"/>
      <c r="AJ12" s="859"/>
      <c r="AK12" s="859"/>
      <c r="AL12" s="859"/>
      <c r="AM12" s="859"/>
      <c r="AN12" s="859"/>
      <c r="AO12" s="859"/>
      <c r="AP12" s="868"/>
      <c r="AQ12" s="868"/>
      <c r="AR12" s="100"/>
      <c r="AS12" s="860"/>
      <c r="AT12" s="885"/>
      <c r="AU12" s="860"/>
      <c r="AV12" s="885"/>
      <c r="AW12" s="860"/>
      <c r="AX12" s="885"/>
      <c r="AY12" s="860"/>
      <c r="AZ12" s="885"/>
      <c r="BA12" s="860"/>
      <c r="BB12" s="885"/>
    </row>
    <row r="13" spans="1:54" ht="7.5" customHeight="1" x14ac:dyDescent="0.25">
      <c r="A13" s="860"/>
      <c r="B13" s="861"/>
      <c r="C13" s="861"/>
      <c r="D13" s="861"/>
      <c r="E13" s="861"/>
      <c r="F13" s="861"/>
      <c r="G13" s="861"/>
      <c r="H13" s="861"/>
      <c r="I13" s="861"/>
      <c r="J13" s="861"/>
      <c r="K13" s="861"/>
      <c r="L13" s="861"/>
      <c r="M13" s="869"/>
      <c r="N13" s="869"/>
      <c r="O13" s="100"/>
      <c r="P13" s="860"/>
      <c r="Q13" s="861"/>
      <c r="R13" s="861"/>
      <c r="S13" s="861"/>
      <c r="T13" s="861"/>
      <c r="U13" s="861"/>
      <c r="V13" s="861"/>
      <c r="W13" s="861"/>
      <c r="X13" s="861"/>
      <c r="Y13" s="861"/>
      <c r="Z13" s="861"/>
      <c r="AA13" s="869"/>
      <c r="AB13" s="869"/>
      <c r="AC13" s="100"/>
      <c r="AD13" s="860"/>
      <c r="AE13" s="861"/>
      <c r="AF13" s="861"/>
      <c r="AG13" s="861"/>
      <c r="AH13" s="861"/>
      <c r="AI13" s="861"/>
      <c r="AJ13" s="861"/>
      <c r="AK13" s="861"/>
      <c r="AL13" s="861"/>
      <c r="AM13" s="861"/>
      <c r="AN13" s="861"/>
      <c r="AO13" s="861"/>
      <c r="AP13" s="869"/>
      <c r="AQ13" s="869"/>
      <c r="AR13" s="100"/>
      <c r="AS13" s="858"/>
      <c r="AT13" s="884"/>
      <c r="AU13" s="858"/>
      <c r="AV13" s="884"/>
      <c r="AW13" s="858"/>
      <c r="AX13" s="884"/>
      <c r="AY13" s="858"/>
      <c r="AZ13" s="884"/>
      <c r="BA13" s="858"/>
      <c r="BB13" s="884"/>
    </row>
    <row r="14" spans="1:54" ht="7.5" customHeight="1" x14ac:dyDescent="0.25">
      <c r="A14" s="858"/>
      <c r="B14" s="859"/>
      <c r="C14" s="859"/>
      <c r="D14" s="859"/>
      <c r="E14" s="859"/>
      <c r="F14" s="859"/>
      <c r="G14" s="859"/>
      <c r="H14" s="859"/>
      <c r="I14" s="859"/>
      <c r="J14" s="859"/>
      <c r="K14" s="859"/>
      <c r="L14" s="859"/>
      <c r="M14" s="859"/>
      <c r="N14" s="884"/>
      <c r="O14" s="100"/>
      <c r="P14" s="858"/>
      <c r="Q14" s="859"/>
      <c r="R14" s="859"/>
      <c r="S14" s="859"/>
      <c r="T14" s="859"/>
      <c r="U14" s="859"/>
      <c r="V14" s="859"/>
      <c r="W14" s="859"/>
      <c r="X14" s="859"/>
      <c r="Y14" s="859"/>
      <c r="Z14" s="859"/>
      <c r="AA14" s="859"/>
      <c r="AB14" s="884"/>
      <c r="AC14" s="100"/>
      <c r="AD14" s="858"/>
      <c r="AE14" s="859"/>
      <c r="AF14" s="859"/>
      <c r="AG14" s="859"/>
      <c r="AH14" s="859"/>
      <c r="AI14" s="859"/>
      <c r="AJ14" s="859"/>
      <c r="AK14" s="859"/>
      <c r="AL14" s="859"/>
      <c r="AM14" s="859"/>
      <c r="AN14" s="859"/>
      <c r="AO14" s="859"/>
      <c r="AP14" s="859"/>
      <c r="AQ14" s="884"/>
      <c r="AR14" s="100"/>
      <c r="AS14" s="860"/>
      <c r="AT14" s="885"/>
      <c r="AU14" s="860"/>
      <c r="AV14" s="885"/>
      <c r="AW14" s="860"/>
      <c r="AX14" s="885"/>
      <c r="AY14" s="860"/>
      <c r="AZ14" s="885"/>
      <c r="BA14" s="860"/>
      <c r="BB14" s="885"/>
    </row>
    <row r="15" spans="1:54" ht="7.5" customHeight="1" x14ac:dyDescent="0.25">
      <c r="A15" s="891"/>
      <c r="B15" s="892"/>
      <c r="C15" s="892"/>
      <c r="D15" s="892"/>
      <c r="E15" s="892"/>
      <c r="F15" s="892"/>
      <c r="G15" s="892"/>
      <c r="H15" s="892"/>
      <c r="I15" s="892"/>
      <c r="J15" s="892"/>
      <c r="K15" s="892"/>
      <c r="L15" s="892"/>
      <c r="M15" s="892"/>
      <c r="N15" s="893"/>
      <c r="O15" s="100"/>
      <c r="P15" s="891"/>
      <c r="Q15" s="892"/>
      <c r="R15" s="892"/>
      <c r="S15" s="892"/>
      <c r="T15" s="892"/>
      <c r="U15" s="892"/>
      <c r="V15" s="892"/>
      <c r="W15" s="892"/>
      <c r="X15" s="892"/>
      <c r="Y15" s="892"/>
      <c r="Z15" s="892"/>
      <c r="AA15" s="892"/>
      <c r="AB15" s="893"/>
      <c r="AC15" s="100"/>
      <c r="AD15" s="891"/>
      <c r="AE15" s="892"/>
      <c r="AF15" s="892"/>
      <c r="AG15" s="892"/>
      <c r="AH15" s="892"/>
      <c r="AI15" s="892"/>
      <c r="AJ15" s="892"/>
      <c r="AK15" s="892"/>
      <c r="AL15" s="892"/>
      <c r="AM15" s="892"/>
      <c r="AN15" s="892"/>
      <c r="AO15" s="892"/>
      <c r="AP15" s="892"/>
      <c r="AQ15" s="893"/>
      <c r="AR15" s="100"/>
      <c r="AS15" s="858"/>
      <c r="AT15" s="884"/>
      <c r="AU15" s="858"/>
      <c r="AV15" s="884"/>
      <c r="AW15" s="858"/>
      <c r="AX15" s="884"/>
      <c r="AY15" s="858"/>
      <c r="AZ15" s="884"/>
      <c r="BA15" s="858"/>
      <c r="BB15" s="884"/>
    </row>
    <row r="16" spans="1:54" ht="7.5" customHeight="1" x14ac:dyDescent="0.25">
      <c r="A16" s="891"/>
      <c r="B16" s="892"/>
      <c r="C16" s="892"/>
      <c r="D16" s="892"/>
      <c r="E16" s="892"/>
      <c r="F16" s="892"/>
      <c r="G16" s="892"/>
      <c r="H16" s="892"/>
      <c r="I16" s="892"/>
      <c r="J16" s="892"/>
      <c r="K16" s="892"/>
      <c r="L16" s="892"/>
      <c r="M16" s="892"/>
      <c r="N16" s="893"/>
      <c r="O16" s="100"/>
      <c r="P16" s="891"/>
      <c r="Q16" s="892"/>
      <c r="R16" s="892"/>
      <c r="S16" s="892"/>
      <c r="T16" s="892"/>
      <c r="U16" s="892"/>
      <c r="V16" s="892"/>
      <c r="W16" s="892"/>
      <c r="X16" s="892"/>
      <c r="Y16" s="892"/>
      <c r="Z16" s="892"/>
      <c r="AA16" s="892"/>
      <c r="AB16" s="893"/>
      <c r="AC16" s="100"/>
      <c r="AD16" s="891"/>
      <c r="AE16" s="892"/>
      <c r="AF16" s="892"/>
      <c r="AG16" s="892"/>
      <c r="AH16" s="892"/>
      <c r="AI16" s="892"/>
      <c r="AJ16" s="892"/>
      <c r="AK16" s="892"/>
      <c r="AL16" s="892"/>
      <c r="AM16" s="892"/>
      <c r="AN16" s="892"/>
      <c r="AO16" s="892"/>
      <c r="AP16" s="892"/>
      <c r="AQ16" s="893"/>
      <c r="AR16" s="100"/>
      <c r="AS16" s="860"/>
      <c r="AT16" s="885"/>
      <c r="AU16" s="860"/>
      <c r="AV16" s="885"/>
      <c r="AW16" s="860"/>
      <c r="AX16" s="885"/>
      <c r="AY16" s="860"/>
      <c r="AZ16" s="885"/>
      <c r="BA16" s="860"/>
      <c r="BB16" s="885"/>
    </row>
    <row r="17" spans="1:54" ht="7.5" customHeight="1" x14ac:dyDescent="0.25">
      <c r="A17" s="860"/>
      <c r="B17" s="861"/>
      <c r="C17" s="861"/>
      <c r="D17" s="861"/>
      <c r="E17" s="861"/>
      <c r="F17" s="861"/>
      <c r="G17" s="861"/>
      <c r="H17" s="861"/>
      <c r="I17" s="861"/>
      <c r="J17" s="861"/>
      <c r="K17" s="861"/>
      <c r="L17" s="861"/>
      <c r="M17" s="861"/>
      <c r="N17" s="885"/>
      <c r="O17" s="100"/>
      <c r="P17" s="891"/>
      <c r="Q17" s="892"/>
      <c r="R17" s="892"/>
      <c r="S17" s="892"/>
      <c r="T17" s="892"/>
      <c r="U17" s="892"/>
      <c r="V17" s="892"/>
      <c r="W17" s="892"/>
      <c r="X17" s="892"/>
      <c r="Y17" s="892"/>
      <c r="Z17" s="892"/>
      <c r="AA17" s="892"/>
      <c r="AB17" s="893"/>
      <c r="AC17" s="100"/>
      <c r="AD17" s="860"/>
      <c r="AE17" s="861"/>
      <c r="AF17" s="861"/>
      <c r="AG17" s="861"/>
      <c r="AH17" s="861"/>
      <c r="AI17" s="861"/>
      <c r="AJ17" s="861"/>
      <c r="AK17" s="861"/>
      <c r="AL17" s="861"/>
      <c r="AM17" s="861"/>
      <c r="AN17" s="861"/>
      <c r="AO17" s="861"/>
      <c r="AP17" s="861"/>
      <c r="AQ17" s="885"/>
      <c r="AR17" s="100"/>
      <c r="AS17" s="858"/>
      <c r="AT17" s="884"/>
      <c r="AU17" s="858"/>
      <c r="AV17" s="884"/>
      <c r="AW17" s="858"/>
      <c r="AX17" s="884"/>
      <c r="AY17" s="858"/>
      <c r="AZ17" s="884"/>
      <c r="BA17" s="858"/>
      <c r="BB17" s="884"/>
    </row>
    <row r="18" spans="1:54" ht="7.5" customHeight="1" x14ac:dyDescent="0.25">
      <c r="A18" s="100"/>
      <c r="B18" s="100"/>
      <c r="C18" s="100"/>
      <c r="D18" s="100"/>
      <c r="E18" s="100"/>
      <c r="F18" s="100"/>
      <c r="G18" s="100"/>
      <c r="H18" s="100"/>
      <c r="I18" s="100"/>
      <c r="J18" s="100"/>
      <c r="K18" s="100"/>
      <c r="L18" s="100"/>
      <c r="M18" s="100"/>
      <c r="N18" s="100"/>
      <c r="O18" s="100"/>
      <c r="P18" s="860"/>
      <c r="Q18" s="861"/>
      <c r="R18" s="861"/>
      <c r="S18" s="861"/>
      <c r="T18" s="861"/>
      <c r="U18" s="861"/>
      <c r="V18" s="861"/>
      <c r="W18" s="861"/>
      <c r="X18" s="861"/>
      <c r="Y18" s="861"/>
      <c r="Z18" s="861"/>
      <c r="AA18" s="861"/>
      <c r="AB18" s="885"/>
      <c r="AC18" s="100"/>
      <c r="AD18" s="100"/>
      <c r="AE18" s="100"/>
      <c r="AF18" s="100"/>
      <c r="AG18" s="100"/>
      <c r="AH18" s="100"/>
      <c r="AI18" s="100"/>
      <c r="AJ18" s="100"/>
      <c r="AK18" s="100"/>
      <c r="AL18" s="100"/>
      <c r="AM18" s="100"/>
      <c r="AN18" s="100"/>
      <c r="AO18" s="100"/>
      <c r="AP18" s="100"/>
      <c r="AQ18" s="100"/>
      <c r="AR18" s="100"/>
      <c r="AS18" s="860"/>
      <c r="AT18" s="885"/>
      <c r="AU18" s="860"/>
      <c r="AV18" s="885"/>
      <c r="AW18" s="860"/>
      <c r="AX18" s="885"/>
      <c r="AY18" s="860"/>
      <c r="AZ18" s="885"/>
      <c r="BA18" s="860"/>
      <c r="BB18" s="885"/>
    </row>
    <row r="19" spans="1:54" ht="7.5" customHeight="1" x14ac:dyDescent="0.25">
      <c r="A19" s="858" t="s">
        <v>35</v>
      </c>
      <c r="B19" s="859"/>
      <c r="C19" s="859"/>
      <c r="D19" s="859"/>
      <c r="E19" s="859"/>
      <c r="F19" s="859"/>
      <c r="G19" s="859"/>
      <c r="H19" s="859"/>
      <c r="I19" s="859"/>
      <c r="J19" s="859"/>
      <c r="K19" s="859"/>
      <c r="L19" s="859"/>
      <c r="M19" s="868"/>
      <c r="N19" s="868"/>
      <c r="O19" s="100"/>
      <c r="P19" s="101"/>
      <c r="Q19" s="101"/>
      <c r="R19" s="101"/>
      <c r="S19" s="101"/>
      <c r="T19" s="101"/>
      <c r="U19" s="101"/>
      <c r="V19" s="101"/>
      <c r="W19" s="101"/>
      <c r="X19" s="101"/>
      <c r="Y19" s="101"/>
      <c r="Z19" s="101"/>
      <c r="AA19" s="101"/>
      <c r="AB19" s="101"/>
      <c r="AC19" s="100"/>
      <c r="AD19" s="858" t="s">
        <v>36</v>
      </c>
      <c r="AE19" s="859"/>
      <c r="AF19" s="859"/>
      <c r="AG19" s="859"/>
      <c r="AH19" s="859"/>
      <c r="AI19" s="859"/>
      <c r="AJ19" s="859"/>
      <c r="AK19" s="859"/>
      <c r="AL19" s="859"/>
      <c r="AM19" s="859"/>
      <c r="AN19" s="859"/>
      <c r="AO19" s="859"/>
      <c r="AP19" s="868"/>
      <c r="AQ19" s="868"/>
      <c r="AR19" s="100"/>
      <c r="AS19" s="858"/>
      <c r="AT19" s="884"/>
      <c r="AU19" s="858"/>
      <c r="AV19" s="884"/>
      <c r="AW19" s="858"/>
      <c r="AX19" s="884"/>
      <c r="AY19" s="858"/>
      <c r="AZ19" s="884"/>
      <c r="BA19" s="858"/>
      <c r="BB19" s="884"/>
    </row>
    <row r="20" spans="1:54" ht="7.5" customHeight="1" x14ac:dyDescent="0.25">
      <c r="A20" s="860"/>
      <c r="B20" s="861"/>
      <c r="C20" s="861"/>
      <c r="D20" s="861"/>
      <c r="E20" s="861"/>
      <c r="F20" s="861"/>
      <c r="G20" s="861"/>
      <c r="H20" s="861"/>
      <c r="I20" s="861"/>
      <c r="J20" s="861"/>
      <c r="K20" s="861"/>
      <c r="L20" s="861"/>
      <c r="M20" s="869"/>
      <c r="N20" s="869"/>
      <c r="O20" s="100"/>
      <c r="P20" s="858" t="s">
        <v>54</v>
      </c>
      <c r="Q20" s="859"/>
      <c r="R20" s="859"/>
      <c r="S20" s="859"/>
      <c r="T20" s="859"/>
      <c r="U20" s="859"/>
      <c r="V20" s="859"/>
      <c r="W20" s="859"/>
      <c r="X20" s="859"/>
      <c r="Y20" s="859"/>
      <c r="Z20" s="859"/>
      <c r="AA20" s="868"/>
      <c r="AB20" s="868"/>
      <c r="AC20" s="100"/>
      <c r="AD20" s="860"/>
      <c r="AE20" s="861"/>
      <c r="AF20" s="861"/>
      <c r="AG20" s="861"/>
      <c r="AH20" s="861"/>
      <c r="AI20" s="861"/>
      <c r="AJ20" s="861"/>
      <c r="AK20" s="861"/>
      <c r="AL20" s="861"/>
      <c r="AM20" s="861"/>
      <c r="AN20" s="861"/>
      <c r="AO20" s="861"/>
      <c r="AP20" s="869"/>
      <c r="AQ20" s="869"/>
      <c r="AR20" s="100"/>
      <c r="AS20" s="860"/>
      <c r="AT20" s="885"/>
      <c r="AU20" s="860"/>
      <c r="AV20" s="885"/>
      <c r="AW20" s="860"/>
      <c r="AX20" s="885"/>
      <c r="AY20" s="860"/>
      <c r="AZ20" s="885"/>
      <c r="BA20" s="860"/>
      <c r="BB20" s="885"/>
    </row>
    <row r="21" spans="1:54" ht="7.5" customHeight="1" x14ac:dyDescent="0.25">
      <c r="A21" s="858"/>
      <c r="B21" s="859"/>
      <c r="C21" s="859"/>
      <c r="D21" s="859"/>
      <c r="E21" s="859"/>
      <c r="F21" s="859"/>
      <c r="G21" s="859"/>
      <c r="H21" s="859"/>
      <c r="I21" s="859"/>
      <c r="J21" s="859"/>
      <c r="K21" s="859"/>
      <c r="L21" s="859"/>
      <c r="M21" s="859"/>
      <c r="N21" s="884"/>
      <c r="O21" s="102"/>
      <c r="P21" s="860"/>
      <c r="Q21" s="861"/>
      <c r="R21" s="861"/>
      <c r="S21" s="861"/>
      <c r="T21" s="861"/>
      <c r="U21" s="861"/>
      <c r="V21" s="861"/>
      <c r="W21" s="861"/>
      <c r="X21" s="861"/>
      <c r="Y21" s="861"/>
      <c r="Z21" s="861"/>
      <c r="AA21" s="869"/>
      <c r="AB21" s="869"/>
      <c r="AC21" s="100"/>
      <c r="AD21" s="858"/>
      <c r="AE21" s="859"/>
      <c r="AF21" s="859"/>
      <c r="AG21" s="859"/>
      <c r="AH21" s="859"/>
      <c r="AI21" s="859"/>
      <c r="AJ21" s="859"/>
      <c r="AK21" s="859"/>
      <c r="AL21" s="859"/>
      <c r="AM21" s="859"/>
      <c r="AN21" s="859"/>
      <c r="AO21" s="859"/>
      <c r="AP21" s="859"/>
      <c r="AQ21" s="884"/>
      <c r="AR21" s="100"/>
      <c r="AS21" s="858"/>
      <c r="AT21" s="884"/>
      <c r="AU21" s="858"/>
      <c r="AV21" s="884"/>
      <c r="AW21" s="858"/>
      <c r="AX21" s="884"/>
      <c r="AY21" s="858"/>
      <c r="AZ21" s="884"/>
      <c r="BA21" s="858"/>
      <c r="BB21" s="884"/>
    </row>
    <row r="22" spans="1:54" ht="7.5" customHeight="1" x14ac:dyDescent="0.25">
      <c r="A22" s="891"/>
      <c r="B22" s="892"/>
      <c r="C22" s="892"/>
      <c r="D22" s="892"/>
      <c r="E22" s="892"/>
      <c r="F22" s="892"/>
      <c r="G22" s="892"/>
      <c r="H22" s="892"/>
      <c r="I22" s="892"/>
      <c r="J22" s="892"/>
      <c r="K22" s="892"/>
      <c r="L22" s="892"/>
      <c r="M22" s="892"/>
      <c r="N22" s="893"/>
      <c r="O22" s="102"/>
      <c r="P22" s="875"/>
      <c r="Q22" s="876"/>
      <c r="R22" s="876"/>
      <c r="S22" s="876"/>
      <c r="T22" s="876"/>
      <c r="U22" s="876"/>
      <c r="V22" s="876"/>
      <c r="W22" s="876"/>
      <c r="X22" s="876"/>
      <c r="Y22" s="876"/>
      <c r="Z22" s="876"/>
      <c r="AA22" s="876"/>
      <c r="AB22" s="877"/>
      <c r="AC22" s="100"/>
      <c r="AD22" s="891"/>
      <c r="AE22" s="892"/>
      <c r="AF22" s="892"/>
      <c r="AG22" s="892"/>
      <c r="AH22" s="892"/>
      <c r="AI22" s="892"/>
      <c r="AJ22" s="892"/>
      <c r="AK22" s="892"/>
      <c r="AL22" s="892"/>
      <c r="AM22" s="892"/>
      <c r="AN22" s="892"/>
      <c r="AO22" s="892"/>
      <c r="AP22" s="892"/>
      <c r="AQ22" s="893"/>
      <c r="AR22" s="100"/>
      <c r="AS22" s="860"/>
      <c r="AT22" s="885"/>
      <c r="AU22" s="860"/>
      <c r="AV22" s="885"/>
      <c r="AW22" s="860"/>
      <c r="AX22" s="885"/>
      <c r="AY22" s="860"/>
      <c r="AZ22" s="885"/>
      <c r="BA22" s="860"/>
      <c r="BB22" s="885"/>
    </row>
    <row r="23" spans="1:54" ht="7.5" customHeight="1" x14ac:dyDescent="0.25">
      <c r="A23" s="891"/>
      <c r="B23" s="892"/>
      <c r="C23" s="892"/>
      <c r="D23" s="892"/>
      <c r="E23" s="892"/>
      <c r="F23" s="892"/>
      <c r="G23" s="892"/>
      <c r="H23" s="892"/>
      <c r="I23" s="892"/>
      <c r="J23" s="892"/>
      <c r="K23" s="892"/>
      <c r="L23" s="892"/>
      <c r="M23" s="892"/>
      <c r="N23" s="893"/>
      <c r="O23" s="102"/>
      <c r="P23" s="878"/>
      <c r="Q23" s="879"/>
      <c r="R23" s="879"/>
      <c r="S23" s="879"/>
      <c r="T23" s="879"/>
      <c r="U23" s="879"/>
      <c r="V23" s="879"/>
      <c r="W23" s="879"/>
      <c r="X23" s="879"/>
      <c r="Y23" s="879"/>
      <c r="Z23" s="879"/>
      <c r="AA23" s="879"/>
      <c r="AB23" s="880"/>
      <c r="AC23" s="100"/>
      <c r="AD23" s="891"/>
      <c r="AE23" s="892"/>
      <c r="AF23" s="892"/>
      <c r="AG23" s="892"/>
      <c r="AH23" s="892"/>
      <c r="AI23" s="892"/>
      <c r="AJ23" s="892"/>
      <c r="AK23" s="892"/>
      <c r="AL23" s="892"/>
      <c r="AM23" s="892"/>
      <c r="AN23" s="892"/>
      <c r="AO23" s="892"/>
      <c r="AP23" s="892"/>
      <c r="AQ23" s="893"/>
      <c r="AR23" s="100"/>
      <c r="AS23" s="100"/>
      <c r="AT23" s="100"/>
      <c r="AU23" s="100"/>
      <c r="AV23" s="100"/>
      <c r="AW23" s="100"/>
      <c r="AX23" s="100"/>
      <c r="AY23" s="100"/>
      <c r="AZ23" s="100"/>
      <c r="BA23" s="100"/>
      <c r="BB23" s="100"/>
    </row>
    <row r="24" spans="1:54" ht="7.5" customHeight="1" x14ac:dyDescent="0.25">
      <c r="A24" s="891"/>
      <c r="B24" s="892"/>
      <c r="C24" s="892"/>
      <c r="D24" s="892"/>
      <c r="E24" s="892"/>
      <c r="F24" s="892"/>
      <c r="G24" s="892"/>
      <c r="H24" s="892"/>
      <c r="I24" s="892"/>
      <c r="J24" s="892"/>
      <c r="K24" s="892"/>
      <c r="L24" s="892"/>
      <c r="M24" s="892"/>
      <c r="N24" s="893"/>
      <c r="O24" s="102"/>
      <c r="P24" s="878"/>
      <c r="Q24" s="879"/>
      <c r="R24" s="879"/>
      <c r="S24" s="879"/>
      <c r="T24" s="879"/>
      <c r="U24" s="879"/>
      <c r="V24" s="879"/>
      <c r="W24" s="879"/>
      <c r="X24" s="879"/>
      <c r="Y24" s="879"/>
      <c r="Z24" s="879"/>
      <c r="AA24" s="879"/>
      <c r="AB24" s="880"/>
      <c r="AC24" s="100"/>
      <c r="AD24" s="891"/>
      <c r="AE24" s="892"/>
      <c r="AF24" s="892"/>
      <c r="AG24" s="892"/>
      <c r="AH24" s="892"/>
      <c r="AI24" s="892"/>
      <c r="AJ24" s="892"/>
      <c r="AK24" s="892"/>
      <c r="AL24" s="892"/>
      <c r="AM24" s="892"/>
      <c r="AN24" s="892"/>
      <c r="AO24" s="892"/>
      <c r="AP24" s="892"/>
      <c r="AQ24" s="893"/>
      <c r="AR24" s="100"/>
      <c r="AS24" s="858" t="s">
        <v>52</v>
      </c>
      <c r="AT24" s="859"/>
      <c r="AU24" s="859"/>
      <c r="AV24" s="859"/>
      <c r="AW24" s="859"/>
      <c r="AX24" s="859"/>
      <c r="AY24" s="859"/>
      <c r="AZ24" s="859"/>
      <c r="BA24" s="868"/>
      <c r="BB24" s="868"/>
    </row>
    <row r="25" spans="1:54" ht="7.5" customHeight="1" x14ac:dyDescent="0.25">
      <c r="A25" s="891"/>
      <c r="B25" s="892"/>
      <c r="C25" s="892"/>
      <c r="D25" s="892"/>
      <c r="E25" s="892"/>
      <c r="F25" s="892"/>
      <c r="G25" s="892"/>
      <c r="H25" s="892"/>
      <c r="I25" s="892"/>
      <c r="J25" s="892"/>
      <c r="K25" s="892"/>
      <c r="L25" s="892"/>
      <c r="M25" s="892"/>
      <c r="N25" s="893"/>
      <c r="O25" s="102"/>
      <c r="P25" s="878"/>
      <c r="Q25" s="879"/>
      <c r="R25" s="879"/>
      <c r="S25" s="879"/>
      <c r="T25" s="879"/>
      <c r="U25" s="879"/>
      <c r="V25" s="879"/>
      <c r="W25" s="879"/>
      <c r="X25" s="879"/>
      <c r="Y25" s="879"/>
      <c r="Z25" s="879"/>
      <c r="AA25" s="879"/>
      <c r="AB25" s="880"/>
      <c r="AC25" s="100"/>
      <c r="AD25" s="891"/>
      <c r="AE25" s="892"/>
      <c r="AF25" s="892"/>
      <c r="AG25" s="892"/>
      <c r="AH25" s="892"/>
      <c r="AI25" s="892"/>
      <c r="AJ25" s="892"/>
      <c r="AK25" s="892"/>
      <c r="AL25" s="892"/>
      <c r="AM25" s="892"/>
      <c r="AN25" s="892"/>
      <c r="AO25" s="892"/>
      <c r="AP25" s="892"/>
      <c r="AQ25" s="893"/>
      <c r="AR25" s="100"/>
      <c r="AS25" s="860"/>
      <c r="AT25" s="861"/>
      <c r="AU25" s="861"/>
      <c r="AV25" s="861"/>
      <c r="AW25" s="861"/>
      <c r="AX25" s="861"/>
      <c r="AY25" s="861"/>
      <c r="AZ25" s="861"/>
      <c r="BA25" s="869"/>
      <c r="BB25" s="869"/>
    </row>
    <row r="26" spans="1:54" ht="7.5" customHeight="1" x14ac:dyDescent="0.25">
      <c r="A26" s="891"/>
      <c r="B26" s="892"/>
      <c r="C26" s="892"/>
      <c r="D26" s="892"/>
      <c r="E26" s="892"/>
      <c r="F26" s="892"/>
      <c r="G26" s="892"/>
      <c r="H26" s="892"/>
      <c r="I26" s="892"/>
      <c r="J26" s="892"/>
      <c r="K26" s="892"/>
      <c r="L26" s="892"/>
      <c r="M26" s="892"/>
      <c r="N26" s="893"/>
      <c r="O26" s="102"/>
      <c r="P26" s="878"/>
      <c r="Q26" s="879"/>
      <c r="R26" s="879"/>
      <c r="S26" s="879"/>
      <c r="T26" s="879"/>
      <c r="U26" s="879"/>
      <c r="V26" s="879"/>
      <c r="W26" s="879"/>
      <c r="X26" s="879"/>
      <c r="Y26" s="879"/>
      <c r="Z26" s="879"/>
      <c r="AA26" s="879"/>
      <c r="AB26" s="880"/>
      <c r="AC26" s="100"/>
      <c r="AD26" s="891"/>
      <c r="AE26" s="892"/>
      <c r="AF26" s="892"/>
      <c r="AG26" s="892"/>
      <c r="AH26" s="892"/>
      <c r="AI26" s="892"/>
      <c r="AJ26" s="892"/>
      <c r="AK26" s="892"/>
      <c r="AL26" s="892"/>
      <c r="AM26" s="892"/>
      <c r="AN26" s="892"/>
      <c r="AO26" s="892"/>
      <c r="AP26" s="892"/>
      <c r="AQ26" s="893"/>
      <c r="AR26" s="100"/>
      <c r="AS26" s="858"/>
      <c r="AT26" s="859"/>
      <c r="AU26" s="859"/>
      <c r="AV26" s="859"/>
      <c r="AW26" s="859"/>
      <c r="AX26" s="859"/>
      <c r="AY26" s="859"/>
      <c r="AZ26" s="859"/>
      <c r="BA26" s="859"/>
      <c r="BB26" s="884"/>
    </row>
    <row r="27" spans="1:54" ht="7.5" customHeight="1" x14ac:dyDescent="0.25">
      <c r="A27" s="891"/>
      <c r="B27" s="892"/>
      <c r="C27" s="892"/>
      <c r="D27" s="892"/>
      <c r="E27" s="892"/>
      <c r="F27" s="892"/>
      <c r="G27" s="892"/>
      <c r="H27" s="892"/>
      <c r="I27" s="892"/>
      <c r="J27" s="892"/>
      <c r="K27" s="892"/>
      <c r="L27" s="892"/>
      <c r="M27" s="892"/>
      <c r="N27" s="893"/>
      <c r="O27" s="102"/>
      <c r="P27" s="878"/>
      <c r="Q27" s="879"/>
      <c r="R27" s="879"/>
      <c r="S27" s="879"/>
      <c r="T27" s="879"/>
      <c r="U27" s="879"/>
      <c r="V27" s="879"/>
      <c r="W27" s="879"/>
      <c r="X27" s="879"/>
      <c r="Y27" s="879"/>
      <c r="Z27" s="879"/>
      <c r="AA27" s="879"/>
      <c r="AB27" s="880"/>
      <c r="AC27" s="100"/>
      <c r="AD27" s="891"/>
      <c r="AE27" s="892"/>
      <c r="AF27" s="892"/>
      <c r="AG27" s="892"/>
      <c r="AH27" s="892"/>
      <c r="AI27" s="892"/>
      <c r="AJ27" s="892"/>
      <c r="AK27" s="892"/>
      <c r="AL27" s="892"/>
      <c r="AM27" s="892"/>
      <c r="AN27" s="892"/>
      <c r="AO27" s="892"/>
      <c r="AP27" s="892"/>
      <c r="AQ27" s="893"/>
      <c r="AR27" s="100"/>
      <c r="AS27" s="891"/>
      <c r="AT27" s="892"/>
      <c r="AU27" s="892"/>
      <c r="AV27" s="892"/>
      <c r="AW27" s="892"/>
      <c r="AX27" s="892"/>
      <c r="AY27" s="892"/>
      <c r="AZ27" s="892"/>
      <c r="BA27" s="892"/>
      <c r="BB27" s="893"/>
    </row>
    <row r="28" spans="1:54" ht="7.5" customHeight="1" x14ac:dyDescent="0.25">
      <c r="A28" s="860"/>
      <c r="B28" s="861"/>
      <c r="C28" s="861"/>
      <c r="D28" s="861"/>
      <c r="E28" s="861"/>
      <c r="F28" s="861"/>
      <c r="G28" s="861"/>
      <c r="H28" s="861"/>
      <c r="I28" s="861"/>
      <c r="J28" s="861"/>
      <c r="K28" s="861"/>
      <c r="L28" s="861"/>
      <c r="M28" s="861"/>
      <c r="N28" s="885"/>
      <c r="O28" s="102"/>
      <c r="P28" s="878"/>
      <c r="Q28" s="879"/>
      <c r="R28" s="879"/>
      <c r="S28" s="879"/>
      <c r="T28" s="879"/>
      <c r="U28" s="879"/>
      <c r="V28" s="879"/>
      <c r="W28" s="879"/>
      <c r="X28" s="879"/>
      <c r="Y28" s="879"/>
      <c r="Z28" s="879"/>
      <c r="AA28" s="879"/>
      <c r="AB28" s="880"/>
      <c r="AC28" s="100"/>
      <c r="AD28" s="860"/>
      <c r="AE28" s="861"/>
      <c r="AF28" s="861"/>
      <c r="AG28" s="861"/>
      <c r="AH28" s="861"/>
      <c r="AI28" s="861"/>
      <c r="AJ28" s="861"/>
      <c r="AK28" s="861"/>
      <c r="AL28" s="861"/>
      <c r="AM28" s="861"/>
      <c r="AN28" s="861"/>
      <c r="AO28" s="861"/>
      <c r="AP28" s="861"/>
      <c r="AQ28" s="885"/>
      <c r="AR28" s="100"/>
      <c r="AS28" s="891"/>
      <c r="AT28" s="892"/>
      <c r="AU28" s="892"/>
      <c r="AV28" s="892"/>
      <c r="AW28" s="892"/>
      <c r="AX28" s="892"/>
      <c r="AY28" s="892"/>
      <c r="AZ28" s="892"/>
      <c r="BA28" s="892"/>
      <c r="BB28" s="893"/>
    </row>
    <row r="29" spans="1:54" ht="7.5" customHeight="1" x14ac:dyDescent="0.25">
      <c r="A29" s="100"/>
      <c r="B29" s="100"/>
      <c r="C29" s="100"/>
      <c r="D29" s="100"/>
      <c r="E29" s="100"/>
      <c r="F29" s="100"/>
      <c r="G29" s="100"/>
      <c r="H29" s="100"/>
      <c r="I29" s="100"/>
      <c r="J29" s="100"/>
      <c r="K29" s="100"/>
      <c r="L29" s="100"/>
      <c r="M29" s="100"/>
      <c r="N29" s="100"/>
      <c r="O29" s="102"/>
      <c r="P29" s="881"/>
      <c r="Q29" s="882"/>
      <c r="R29" s="882"/>
      <c r="S29" s="882"/>
      <c r="T29" s="882"/>
      <c r="U29" s="882"/>
      <c r="V29" s="882"/>
      <c r="W29" s="882"/>
      <c r="X29" s="882"/>
      <c r="Y29" s="882"/>
      <c r="Z29" s="882"/>
      <c r="AA29" s="882"/>
      <c r="AB29" s="883"/>
      <c r="AC29" s="100"/>
      <c r="AD29" s="100"/>
      <c r="AE29" s="100"/>
      <c r="AF29" s="100"/>
      <c r="AG29" s="100"/>
      <c r="AH29" s="100"/>
      <c r="AI29" s="100"/>
      <c r="AJ29" s="100"/>
      <c r="AK29" s="100"/>
      <c r="AL29" s="100"/>
      <c r="AM29" s="100"/>
      <c r="AN29" s="100"/>
      <c r="AO29" s="100"/>
      <c r="AP29" s="100"/>
      <c r="AQ29" s="100"/>
      <c r="AR29" s="100"/>
      <c r="AS29" s="891"/>
      <c r="AT29" s="892"/>
      <c r="AU29" s="892"/>
      <c r="AV29" s="892"/>
      <c r="AW29" s="892"/>
      <c r="AX29" s="892"/>
      <c r="AY29" s="892"/>
      <c r="AZ29" s="892"/>
      <c r="BA29" s="892"/>
      <c r="BB29" s="893"/>
    </row>
    <row r="30" spans="1:54" ht="7.5" customHeight="1" x14ac:dyDescent="0.25">
      <c r="A30" s="858" t="s">
        <v>42</v>
      </c>
      <c r="B30" s="859"/>
      <c r="C30" s="859"/>
      <c r="D30" s="859"/>
      <c r="E30" s="859"/>
      <c r="F30" s="859"/>
      <c r="G30" s="859"/>
      <c r="H30" s="859"/>
      <c r="I30" s="859"/>
      <c r="J30" s="859"/>
      <c r="K30" s="859"/>
      <c r="L30" s="859"/>
      <c r="M30" s="868"/>
      <c r="N30" s="868"/>
      <c r="O30" s="100"/>
      <c r="P30" s="97"/>
      <c r="Q30" s="97"/>
      <c r="R30" s="97"/>
      <c r="S30" s="97"/>
      <c r="T30" s="97"/>
      <c r="U30" s="97"/>
      <c r="V30" s="97"/>
      <c r="W30" s="97"/>
      <c r="X30" s="97"/>
      <c r="Y30" s="97"/>
      <c r="Z30" s="97"/>
      <c r="AA30" s="97"/>
      <c r="AB30" s="97"/>
      <c r="AC30" s="100"/>
      <c r="AD30" s="858" t="s">
        <v>43</v>
      </c>
      <c r="AE30" s="888"/>
      <c r="AF30" s="888"/>
      <c r="AG30" s="888"/>
      <c r="AH30" s="888"/>
      <c r="AI30" s="888"/>
      <c r="AJ30" s="888"/>
      <c r="AK30" s="888"/>
      <c r="AL30" s="888"/>
      <c r="AM30" s="888"/>
      <c r="AN30" s="888"/>
      <c r="AO30" s="888"/>
      <c r="AP30" s="868"/>
      <c r="AQ30" s="886"/>
      <c r="AR30" s="100"/>
      <c r="AS30" s="891"/>
      <c r="AT30" s="892"/>
      <c r="AU30" s="892"/>
      <c r="AV30" s="892"/>
      <c r="AW30" s="892"/>
      <c r="AX30" s="892"/>
      <c r="AY30" s="892"/>
      <c r="AZ30" s="892"/>
      <c r="BA30" s="892"/>
      <c r="BB30" s="893"/>
    </row>
    <row r="31" spans="1:54" ht="7.5" customHeight="1" x14ac:dyDescent="0.25">
      <c r="A31" s="860"/>
      <c r="B31" s="861"/>
      <c r="C31" s="861"/>
      <c r="D31" s="861"/>
      <c r="E31" s="861"/>
      <c r="F31" s="861"/>
      <c r="G31" s="861"/>
      <c r="H31" s="861"/>
      <c r="I31" s="861"/>
      <c r="J31" s="861"/>
      <c r="K31" s="861"/>
      <c r="L31" s="861"/>
      <c r="M31" s="869"/>
      <c r="N31" s="869"/>
      <c r="O31" s="100"/>
      <c r="P31" s="858" t="s">
        <v>37</v>
      </c>
      <c r="Q31" s="859"/>
      <c r="R31" s="859"/>
      <c r="S31" s="859"/>
      <c r="T31" s="859"/>
      <c r="U31" s="859"/>
      <c r="V31" s="859"/>
      <c r="W31" s="859"/>
      <c r="X31" s="859"/>
      <c r="Y31" s="859"/>
      <c r="Z31" s="859"/>
      <c r="AA31" s="868"/>
      <c r="AB31" s="868"/>
      <c r="AC31" s="100"/>
      <c r="AD31" s="889"/>
      <c r="AE31" s="890"/>
      <c r="AF31" s="890"/>
      <c r="AG31" s="890"/>
      <c r="AH31" s="890"/>
      <c r="AI31" s="890"/>
      <c r="AJ31" s="890"/>
      <c r="AK31" s="890"/>
      <c r="AL31" s="890"/>
      <c r="AM31" s="890"/>
      <c r="AN31" s="890"/>
      <c r="AO31" s="890"/>
      <c r="AP31" s="887"/>
      <c r="AQ31" s="887"/>
      <c r="AR31" s="100"/>
      <c r="AS31" s="891"/>
      <c r="AT31" s="892"/>
      <c r="AU31" s="892"/>
      <c r="AV31" s="892"/>
      <c r="AW31" s="892"/>
      <c r="AX31" s="892"/>
      <c r="AY31" s="892"/>
      <c r="AZ31" s="892"/>
      <c r="BA31" s="892"/>
      <c r="BB31" s="893"/>
    </row>
    <row r="32" spans="1:54" ht="7.5" customHeight="1" x14ac:dyDescent="0.25">
      <c r="A32" s="858"/>
      <c r="B32" s="859"/>
      <c r="C32" s="859"/>
      <c r="D32" s="859"/>
      <c r="E32" s="859"/>
      <c r="F32" s="859"/>
      <c r="G32" s="859"/>
      <c r="H32" s="859"/>
      <c r="I32" s="859"/>
      <c r="J32" s="859"/>
      <c r="K32" s="859"/>
      <c r="L32" s="859"/>
      <c r="M32" s="859"/>
      <c r="N32" s="884"/>
      <c r="O32" s="100"/>
      <c r="P32" s="860"/>
      <c r="Q32" s="861"/>
      <c r="R32" s="861"/>
      <c r="S32" s="861"/>
      <c r="T32" s="861"/>
      <c r="U32" s="861"/>
      <c r="V32" s="861"/>
      <c r="W32" s="861"/>
      <c r="X32" s="861"/>
      <c r="Y32" s="861"/>
      <c r="Z32" s="861"/>
      <c r="AA32" s="869"/>
      <c r="AB32" s="869"/>
      <c r="AC32" s="100"/>
      <c r="AD32" s="858"/>
      <c r="AE32" s="888"/>
      <c r="AF32" s="888"/>
      <c r="AG32" s="888"/>
      <c r="AH32" s="888"/>
      <c r="AI32" s="888"/>
      <c r="AJ32" s="888"/>
      <c r="AK32" s="888"/>
      <c r="AL32" s="888"/>
      <c r="AM32" s="888"/>
      <c r="AN32" s="888"/>
      <c r="AO32" s="888"/>
      <c r="AP32" s="888"/>
      <c r="AQ32" s="911"/>
      <c r="AR32" s="100"/>
      <c r="AS32" s="891"/>
      <c r="AT32" s="892"/>
      <c r="AU32" s="892"/>
      <c r="AV32" s="892"/>
      <c r="AW32" s="892"/>
      <c r="AX32" s="892"/>
      <c r="AY32" s="892"/>
      <c r="AZ32" s="892"/>
      <c r="BA32" s="892"/>
      <c r="BB32" s="893"/>
    </row>
    <row r="33" spans="1:54" ht="7.5" customHeight="1" x14ac:dyDescent="0.25">
      <c r="A33" s="891"/>
      <c r="B33" s="892"/>
      <c r="C33" s="892"/>
      <c r="D33" s="892"/>
      <c r="E33" s="892"/>
      <c r="F33" s="892"/>
      <c r="G33" s="892"/>
      <c r="H33" s="892"/>
      <c r="I33" s="892"/>
      <c r="J33" s="892"/>
      <c r="K33" s="892"/>
      <c r="L33" s="892"/>
      <c r="M33" s="892"/>
      <c r="N33" s="893"/>
      <c r="O33" s="100"/>
      <c r="P33" s="858"/>
      <c r="Q33" s="859"/>
      <c r="R33" s="859"/>
      <c r="S33" s="859"/>
      <c r="T33" s="859"/>
      <c r="U33" s="859"/>
      <c r="V33" s="859"/>
      <c r="W33" s="859"/>
      <c r="X33" s="859"/>
      <c r="Y33" s="859"/>
      <c r="Z33" s="859"/>
      <c r="AA33" s="859"/>
      <c r="AB33" s="884"/>
      <c r="AC33" s="100"/>
      <c r="AD33" s="912"/>
      <c r="AE33" s="913"/>
      <c r="AF33" s="913"/>
      <c r="AG33" s="913"/>
      <c r="AH33" s="913"/>
      <c r="AI33" s="913"/>
      <c r="AJ33" s="913"/>
      <c r="AK33" s="913"/>
      <c r="AL33" s="913"/>
      <c r="AM33" s="913"/>
      <c r="AN33" s="913"/>
      <c r="AO33" s="913"/>
      <c r="AP33" s="913"/>
      <c r="AQ33" s="914"/>
      <c r="AR33" s="100"/>
      <c r="AS33" s="891"/>
      <c r="AT33" s="892"/>
      <c r="AU33" s="892"/>
      <c r="AV33" s="892"/>
      <c r="AW33" s="892"/>
      <c r="AX33" s="892"/>
      <c r="AY33" s="892"/>
      <c r="AZ33" s="892"/>
      <c r="BA33" s="892"/>
      <c r="BB33" s="893"/>
    </row>
    <row r="34" spans="1:54" ht="7.5" customHeight="1" x14ac:dyDescent="0.25">
      <c r="A34" s="891"/>
      <c r="B34" s="892"/>
      <c r="C34" s="892"/>
      <c r="D34" s="892"/>
      <c r="E34" s="892"/>
      <c r="F34" s="892"/>
      <c r="G34" s="892"/>
      <c r="H34" s="892"/>
      <c r="I34" s="892"/>
      <c r="J34" s="892"/>
      <c r="K34" s="892"/>
      <c r="L34" s="892"/>
      <c r="M34" s="892"/>
      <c r="N34" s="893"/>
      <c r="O34" s="100"/>
      <c r="P34" s="891"/>
      <c r="Q34" s="892"/>
      <c r="R34" s="892"/>
      <c r="S34" s="892"/>
      <c r="T34" s="892"/>
      <c r="U34" s="892"/>
      <c r="V34" s="892"/>
      <c r="W34" s="892"/>
      <c r="X34" s="892"/>
      <c r="Y34" s="892"/>
      <c r="Z34" s="892"/>
      <c r="AA34" s="892"/>
      <c r="AB34" s="893"/>
      <c r="AC34" s="100"/>
      <c r="AD34" s="912"/>
      <c r="AE34" s="913"/>
      <c r="AF34" s="913"/>
      <c r="AG34" s="913"/>
      <c r="AH34" s="913"/>
      <c r="AI34" s="913"/>
      <c r="AJ34" s="913"/>
      <c r="AK34" s="913"/>
      <c r="AL34" s="913"/>
      <c r="AM34" s="913"/>
      <c r="AN34" s="913"/>
      <c r="AO34" s="913"/>
      <c r="AP34" s="913"/>
      <c r="AQ34" s="914"/>
      <c r="AR34" s="100"/>
      <c r="AS34" s="891"/>
      <c r="AT34" s="892"/>
      <c r="AU34" s="892"/>
      <c r="AV34" s="892"/>
      <c r="AW34" s="892"/>
      <c r="AX34" s="892"/>
      <c r="AY34" s="892"/>
      <c r="AZ34" s="892"/>
      <c r="BA34" s="892"/>
      <c r="BB34" s="893"/>
    </row>
    <row r="35" spans="1:54" ht="7.5" customHeight="1" x14ac:dyDescent="0.25">
      <c r="A35" s="891"/>
      <c r="B35" s="892"/>
      <c r="C35" s="892"/>
      <c r="D35" s="892"/>
      <c r="E35" s="892"/>
      <c r="F35" s="892"/>
      <c r="G35" s="892"/>
      <c r="H35" s="892"/>
      <c r="I35" s="892"/>
      <c r="J35" s="892"/>
      <c r="K35" s="892"/>
      <c r="L35" s="892"/>
      <c r="M35" s="892"/>
      <c r="N35" s="893"/>
      <c r="O35" s="100"/>
      <c r="P35" s="891"/>
      <c r="Q35" s="892"/>
      <c r="R35" s="892"/>
      <c r="S35" s="892"/>
      <c r="T35" s="892"/>
      <c r="U35" s="892"/>
      <c r="V35" s="892"/>
      <c r="W35" s="892"/>
      <c r="X35" s="892"/>
      <c r="Y35" s="892"/>
      <c r="Z35" s="892"/>
      <c r="AA35" s="892"/>
      <c r="AB35" s="893"/>
      <c r="AC35" s="100"/>
      <c r="AD35" s="912"/>
      <c r="AE35" s="913"/>
      <c r="AF35" s="913"/>
      <c r="AG35" s="913"/>
      <c r="AH35" s="913"/>
      <c r="AI35" s="913"/>
      <c r="AJ35" s="913"/>
      <c r="AK35" s="913"/>
      <c r="AL35" s="913"/>
      <c r="AM35" s="913"/>
      <c r="AN35" s="913"/>
      <c r="AO35" s="913"/>
      <c r="AP35" s="913"/>
      <c r="AQ35" s="914"/>
      <c r="AR35" s="100"/>
      <c r="AS35" s="891"/>
      <c r="AT35" s="892"/>
      <c r="AU35" s="892"/>
      <c r="AV35" s="892"/>
      <c r="AW35" s="892"/>
      <c r="AX35" s="892"/>
      <c r="AY35" s="892"/>
      <c r="AZ35" s="892"/>
      <c r="BA35" s="892"/>
      <c r="BB35" s="893"/>
    </row>
    <row r="36" spans="1:54" ht="7.5" customHeight="1" x14ac:dyDescent="0.25">
      <c r="A36" s="891"/>
      <c r="B36" s="892"/>
      <c r="C36" s="892"/>
      <c r="D36" s="892"/>
      <c r="E36" s="892"/>
      <c r="F36" s="892"/>
      <c r="G36" s="892"/>
      <c r="H36" s="892"/>
      <c r="I36" s="892"/>
      <c r="J36" s="892"/>
      <c r="K36" s="892"/>
      <c r="L36" s="892"/>
      <c r="M36" s="892"/>
      <c r="N36" s="893"/>
      <c r="O36" s="100"/>
      <c r="P36" s="860"/>
      <c r="Q36" s="861"/>
      <c r="R36" s="861"/>
      <c r="S36" s="861"/>
      <c r="T36" s="861"/>
      <c r="U36" s="861"/>
      <c r="V36" s="861"/>
      <c r="W36" s="861"/>
      <c r="X36" s="861"/>
      <c r="Y36" s="861"/>
      <c r="Z36" s="861"/>
      <c r="AA36" s="861"/>
      <c r="AB36" s="885"/>
      <c r="AC36" s="100"/>
      <c r="AD36" s="912"/>
      <c r="AE36" s="913"/>
      <c r="AF36" s="913"/>
      <c r="AG36" s="913"/>
      <c r="AH36" s="913"/>
      <c r="AI36" s="913"/>
      <c r="AJ36" s="913"/>
      <c r="AK36" s="913"/>
      <c r="AL36" s="913"/>
      <c r="AM36" s="913"/>
      <c r="AN36" s="913"/>
      <c r="AO36" s="913"/>
      <c r="AP36" s="913"/>
      <c r="AQ36" s="914"/>
      <c r="AR36" s="100"/>
      <c r="AS36" s="891"/>
      <c r="AT36" s="892"/>
      <c r="AU36" s="892"/>
      <c r="AV36" s="892"/>
      <c r="AW36" s="892"/>
      <c r="AX36" s="892"/>
      <c r="AY36" s="892"/>
      <c r="AZ36" s="892"/>
      <c r="BA36" s="892"/>
      <c r="BB36" s="893"/>
    </row>
    <row r="37" spans="1:54" ht="7.5" customHeight="1" x14ac:dyDescent="0.25">
      <c r="A37" s="891"/>
      <c r="B37" s="892"/>
      <c r="C37" s="892"/>
      <c r="D37" s="892"/>
      <c r="E37" s="892"/>
      <c r="F37" s="892"/>
      <c r="G37" s="892"/>
      <c r="H37" s="892"/>
      <c r="I37" s="892"/>
      <c r="J37" s="892"/>
      <c r="K37" s="892"/>
      <c r="L37" s="892"/>
      <c r="M37" s="892"/>
      <c r="N37" s="893"/>
      <c r="O37" s="100"/>
      <c r="P37" s="100"/>
      <c r="Q37" s="100"/>
      <c r="R37" s="100"/>
      <c r="S37" s="100"/>
      <c r="T37" s="100"/>
      <c r="U37" s="100"/>
      <c r="V37" s="100"/>
      <c r="W37" s="100"/>
      <c r="X37" s="100"/>
      <c r="Y37" s="100"/>
      <c r="Z37" s="100"/>
      <c r="AA37" s="100"/>
      <c r="AB37" s="100"/>
      <c r="AC37" s="100"/>
      <c r="AD37" s="912"/>
      <c r="AE37" s="913"/>
      <c r="AF37" s="913"/>
      <c r="AG37" s="913"/>
      <c r="AH37" s="913"/>
      <c r="AI37" s="913"/>
      <c r="AJ37" s="913"/>
      <c r="AK37" s="913"/>
      <c r="AL37" s="913"/>
      <c r="AM37" s="913"/>
      <c r="AN37" s="913"/>
      <c r="AO37" s="913"/>
      <c r="AP37" s="913"/>
      <c r="AQ37" s="914"/>
      <c r="AR37" s="100"/>
      <c r="AS37" s="891"/>
      <c r="AT37" s="892"/>
      <c r="AU37" s="892"/>
      <c r="AV37" s="892"/>
      <c r="AW37" s="892"/>
      <c r="AX37" s="892"/>
      <c r="AY37" s="892"/>
      <c r="AZ37" s="892"/>
      <c r="BA37" s="892"/>
      <c r="BB37" s="893"/>
    </row>
    <row r="38" spans="1:54" ht="7.5" customHeight="1" x14ac:dyDescent="0.25">
      <c r="A38" s="891"/>
      <c r="B38" s="892"/>
      <c r="C38" s="892"/>
      <c r="D38" s="892"/>
      <c r="E38" s="892"/>
      <c r="F38" s="892"/>
      <c r="G38" s="892"/>
      <c r="H38" s="892"/>
      <c r="I38" s="892"/>
      <c r="J38" s="892"/>
      <c r="K38" s="892"/>
      <c r="L38" s="892"/>
      <c r="M38" s="892"/>
      <c r="N38" s="893"/>
      <c r="O38" s="100"/>
      <c r="P38" s="858" t="s">
        <v>38</v>
      </c>
      <c r="Q38" s="859"/>
      <c r="R38" s="859"/>
      <c r="S38" s="859"/>
      <c r="T38" s="859"/>
      <c r="U38" s="859"/>
      <c r="V38" s="859"/>
      <c r="W38" s="859"/>
      <c r="X38" s="859"/>
      <c r="Y38" s="859"/>
      <c r="Z38" s="859"/>
      <c r="AA38" s="868"/>
      <c r="AB38" s="868"/>
      <c r="AC38" s="100"/>
      <c r="AD38" s="912"/>
      <c r="AE38" s="913"/>
      <c r="AF38" s="913"/>
      <c r="AG38" s="913"/>
      <c r="AH38" s="913"/>
      <c r="AI38" s="913"/>
      <c r="AJ38" s="913"/>
      <c r="AK38" s="913"/>
      <c r="AL38" s="913"/>
      <c r="AM38" s="913"/>
      <c r="AN38" s="913"/>
      <c r="AO38" s="913"/>
      <c r="AP38" s="913"/>
      <c r="AQ38" s="914"/>
      <c r="AR38" s="100"/>
      <c r="AS38" s="891"/>
      <c r="AT38" s="892"/>
      <c r="AU38" s="892"/>
      <c r="AV38" s="892"/>
      <c r="AW38" s="892"/>
      <c r="AX38" s="892"/>
      <c r="AY38" s="892"/>
      <c r="AZ38" s="892"/>
      <c r="BA38" s="892"/>
      <c r="BB38" s="893"/>
    </row>
    <row r="39" spans="1:54" ht="7.5" customHeight="1" x14ac:dyDescent="0.25">
      <c r="A39" s="891"/>
      <c r="B39" s="892"/>
      <c r="C39" s="892"/>
      <c r="D39" s="892"/>
      <c r="E39" s="892"/>
      <c r="F39" s="892"/>
      <c r="G39" s="892"/>
      <c r="H39" s="892"/>
      <c r="I39" s="892"/>
      <c r="J39" s="892"/>
      <c r="K39" s="892"/>
      <c r="L39" s="892"/>
      <c r="M39" s="892"/>
      <c r="N39" s="893"/>
      <c r="O39" s="100"/>
      <c r="P39" s="860"/>
      <c r="Q39" s="861"/>
      <c r="R39" s="861"/>
      <c r="S39" s="861"/>
      <c r="T39" s="861"/>
      <c r="U39" s="861"/>
      <c r="V39" s="861"/>
      <c r="W39" s="861"/>
      <c r="X39" s="861"/>
      <c r="Y39" s="861"/>
      <c r="Z39" s="861"/>
      <c r="AA39" s="869"/>
      <c r="AB39" s="869"/>
      <c r="AC39" s="100"/>
      <c r="AD39" s="912"/>
      <c r="AE39" s="913"/>
      <c r="AF39" s="913"/>
      <c r="AG39" s="913"/>
      <c r="AH39" s="913"/>
      <c r="AI39" s="913"/>
      <c r="AJ39" s="913"/>
      <c r="AK39" s="913"/>
      <c r="AL39" s="913"/>
      <c r="AM39" s="913"/>
      <c r="AN39" s="913"/>
      <c r="AO39" s="913"/>
      <c r="AP39" s="913"/>
      <c r="AQ39" s="914"/>
      <c r="AR39" s="100"/>
      <c r="AS39" s="891"/>
      <c r="AT39" s="892"/>
      <c r="AU39" s="892"/>
      <c r="AV39" s="892"/>
      <c r="AW39" s="892"/>
      <c r="AX39" s="892"/>
      <c r="AY39" s="892"/>
      <c r="AZ39" s="892"/>
      <c r="BA39" s="892"/>
      <c r="BB39" s="893"/>
    </row>
    <row r="40" spans="1:54" ht="7.5" customHeight="1" x14ac:dyDescent="0.25">
      <c r="A40" s="891"/>
      <c r="B40" s="892"/>
      <c r="C40" s="892"/>
      <c r="D40" s="892"/>
      <c r="E40" s="892"/>
      <c r="F40" s="892"/>
      <c r="G40" s="892"/>
      <c r="H40" s="892"/>
      <c r="I40" s="892"/>
      <c r="J40" s="892"/>
      <c r="K40" s="892"/>
      <c r="L40" s="892"/>
      <c r="M40" s="892"/>
      <c r="N40" s="893"/>
      <c r="O40" s="100"/>
      <c r="P40" s="858"/>
      <c r="Q40" s="859"/>
      <c r="R40" s="859"/>
      <c r="S40" s="859"/>
      <c r="T40" s="859"/>
      <c r="U40" s="859"/>
      <c r="V40" s="859"/>
      <c r="W40" s="859"/>
      <c r="X40" s="859"/>
      <c r="Y40" s="859"/>
      <c r="Z40" s="859"/>
      <c r="AA40" s="859"/>
      <c r="AB40" s="884"/>
      <c r="AC40" s="100"/>
      <c r="AD40" s="912"/>
      <c r="AE40" s="913"/>
      <c r="AF40" s="913"/>
      <c r="AG40" s="913"/>
      <c r="AH40" s="913"/>
      <c r="AI40" s="913"/>
      <c r="AJ40" s="913"/>
      <c r="AK40" s="913"/>
      <c r="AL40" s="913"/>
      <c r="AM40" s="913"/>
      <c r="AN40" s="913"/>
      <c r="AO40" s="913"/>
      <c r="AP40" s="913"/>
      <c r="AQ40" s="914"/>
      <c r="AR40" s="100"/>
      <c r="AS40" s="891"/>
      <c r="AT40" s="892"/>
      <c r="AU40" s="892"/>
      <c r="AV40" s="892"/>
      <c r="AW40" s="892"/>
      <c r="AX40" s="892"/>
      <c r="AY40" s="892"/>
      <c r="AZ40" s="892"/>
      <c r="BA40" s="892"/>
      <c r="BB40" s="893"/>
    </row>
    <row r="41" spans="1:54" ht="7.5" customHeight="1" x14ac:dyDescent="0.25">
      <c r="A41" s="891"/>
      <c r="B41" s="892"/>
      <c r="C41" s="892"/>
      <c r="D41" s="892"/>
      <c r="E41" s="892"/>
      <c r="F41" s="892"/>
      <c r="G41" s="892"/>
      <c r="H41" s="892"/>
      <c r="I41" s="892"/>
      <c r="J41" s="892"/>
      <c r="K41" s="892"/>
      <c r="L41" s="892"/>
      <c r="M41" s="892"/>
      <c r="N41" s="893"/>
      <c r="O41" s="100"/>
      <c r="P41" s="891"/>
      <c r="Q41" s="892"/>
      <c r="R41" s="892"/>
      <c r="S41" s="892"/>
      <c r="T41" s="892"/>
      <c r="U41" s="892"/>
      <c r="V41" s="892"/>
      <c r="W41" s="892"/>
      <c r="X41" s="892"/>
      <c r="Y41" s="892"/>
      <c r="Z41" s="892"/>
      <c r="AA41" s="892"/>
      <c r="AB41" s="893"/>
      <c r="AC41" s="100"/>
      <c r="AD41" s="912"/>
      <c r="AE41" s="913"/>
      <c r="AF41" s="913"/>
      <c r="AG41" s="913"/>
      <c r="AH41" s="913"/>
      <c r="AI41" s="913"/>
      <c r="AJ41" s="913"/>
      <c r="AK41" s="913"/>
      <c r="AL41" s="913"/>
      <c r="AM41" s="913"/>
      <c r="AN41" s="913"/>
      <c r="AO41" s="913"/>
      <c r="AP41" s="913"/>
      <c r="AQ41" s="914"/>
      <c r="AR41" s="100"/>
      <c r="AS41" s="891"/>
      <c r="AT41" s="892"/>
      <c r="AU41" s="892"/>
      <c r="AV41" s="892"/>
      <c r="AW41" s="892"/>
      <c r="AX41" s="892"/>
      <c r="AY41" s="892"/>
      <c r="AZ41" s="892"/>
      <c r="BA41" s="892"/>
      <c r="BB41" s="893"/>
    </row>
    <row r="42" spans="1:54" ht="7.5" customHeight="1" x14ac:dyDescent="0.25">
      <c r="A42" s="891"/>
      <c r="B42" s="892"/>
      <c r="C42" s="892"/>
      <c r="D42" s="892"/>
      <c r="E42" s="892"/>
      <c r="F42" s="892"/>
      <c r="G42" s="892"/>
      <c r="H42" s="892"/>
      <c r="I42" s="892"/>
      <c r="J42" s="892"/>
      <c r="K42" s="892"/>
      <c r="L42" s="892"/>
      <c r="M42" s="892"/>
      <c r="N42" s="893"/>
      <c r="O42" s="100"/>
      <c r="P42" s="891"/>
      <c r="Q42" s="892"/>
      <c r="R42" s="892"/>
      <c r="S42" s="892"/>
      <c r="T42" s="892"/>
      <c r="U42" s="892"/>
      <c r="V42" s="892"/>
      <c r="W42" s="892"/>
      <c r="X42" s="892"/>
      <c r="Y42" s="892"/>
      <c r="Z42" s="892"/>
      <c r="AA42" s="892"/>
      <c r="AB42" s="893"/>
      <c r="AC42" s="100"/>
      <c r="AD42" s="912"/>
      <c r="AE42" s="913"/>
      <c r="AF42" s="913"/>
      <c r="AG42" s="913"/>
      <c r="AH42" s="913"/>
      <c r="AI42" s="913"/>
      <c r="AJ42" s="913"/>
      <c r="AK42" s="913"/>
      <c r="AL42" s="913"/>
      <c r="AM42" s="913"/>
      <c r="AN42" s="913"/>
      <c r="AO42" s="913"/>
      <c r="AP42" s="913"/>
      <c r="AQ42" s="914"/>
      <c r="AR42" s="100"/>
      <c r="AS42" s="891"/>
      <c r="AT42" s="892"/>
      <c r="AU42" s="892"/>
      <c r="AV42" s="892"/>
      <c r="AW42" s="892"/>
      <c r="AX42" s="892"/>
      <c r="AY42" s="892"/>
      <c r="AZ42" s="892"/>
      <c r="BA42" s="892"/>
      <c r="BB42" s="893"/>
    </row>
    <row r="43" spans="1:54" ht="7.5" customHeight="1" x14ac:dyDescent="0.25">
      <c r="A43" s="891"/>
      <c r="B43" s="892"/>
      <c r="C43" s="892"/>
      <c r="D43" s="892"/>
      <c r="E43" s="892"/>
      <c r="F43" s="892"/>
      <c r="G43" s="892"/>
      <c r="H43" s="892"/>
      <c r="I43" s="892"/>
      <c r="J43" s="892"/>
      <c r="K43" s="892"/>
      <c r="L43" s="892"/>
      <c r="M43" s="892"/>
      <c r="N43" s="893"/>
      <c r="O43" s="100"/>
      <c r="P43" s="891"/>
      <c r="Q43" s="892"/>
      <c r="R43" s="892"/>
      <c r="S43" s="892"/>
      <c r="T43" s="892"/>
      <c r="U43" s="892"/>
      <c r="V43" s="892"/>
      <c r="W43" s="892"/>
      <c r="X43" s="892"/>
      <c r="Y43" s="892"/>
      <c r="Z43" s="892"/>
      <c r="AA43" s="892"/>
      <c r="AB43" s="893"/>
      <c r="AC43" s="100"/>
      <c r="AD43" s="912"/>
      <c r="AE43" s="913"/>
      <c r="AF43" s="913"/>
      <c r="AG43" s="913"/>
      <c r="AH43" s="913"/>
      <c r="AI43" s="913"/>
      <c r="AJ43" s="913"/>
      <c r="AK43" s="913"/>
      <c r="AL43" s="913"/>
      <c r="AM43" s="913"/>
      <c r="AN43" s="913"/>
      <c r="AO43" s="913"/>
      <c r="AP43" s="913"/>
      <c r="AQ43" s="914"/>
      <c r="AR43" s="100"/>
      <c r="AS43" s="891"/>
      <c r="AT43" s="892"/>
      <c r="AU43" s="892"/>
      <c r="AV43" s="892"/>
      <c r="AW43" s="892"/>
      <c r="AX43" s="892"/>
      <c r="AY43" s="892"/>
      <c r="AZ43" s="892"/>
      <c r="BA43" s="892"/>
      <c r="BB43" s="893"/>
    </row>
    <row r="44" spans="1:54" ht="7.5" customHeight="1" x14ac:dyDescent="0.25">
      <c r="A44" s="860"/>
      <c r="B44" s="861"/>
      <c r="C44" s="861"/>
      <c r="D44" s="861"/>
      <c r="E44" s="861"/>
      <c r="F44" s="861"/>
      <c r="G44" s="861"/>
      <c r="H44" s="861"/>
      <c r="I44" s="861"/>
      <c r="J44" s="861"/>
      <c r="K44" s="861"/>
      <c r="L44" s="861"/>
      <c r="M44" s="861"/>
      <c r="N44" s="885"/>
      <c r="O44" s="100"/>
      <c r="P44" s="860"/>
      <c r="Q44" s="861"/>
      <c r="R44" s="861"/>
      <c r="S44" s="861"/>
      <c r="T44" s="861"/>
      <c r="U44" s="861"/>
      <c r="V44" s="861"/>
      <c r="W44" s="861"/>
      <c r="X44" s="861"/>
      <c r="Y44" s="861"/>
      <c r="Z44" s="861"/>
      <c r="AA44" s="861"/>
      <c r="AB44" s="885"/>
      <c r="AC44" s="100"/>
      <c r="AD44" s="889"/>
      <c r="AE44" s="890"/>
      <c r="AF44" s="890"/>
      <c r="AG44" s="890"/>
      <c r="AH44" s="890"/>
      <c r="AI44" s="890"/>
      <c r="AJ44" s="890"/>
      <c r="AK44" s="890"/>
      <c r="AL44" s="890"/>
      <c r="AM44" s="890"/>
      <c r="AN44" s="890"/>
      <c r="AO44" s="890"/>
      <c r="AP44" s="890"/>
      <c r="AQ44" s="915"/>
      <c r="AR44" s="100"/>
      <c r="AS44" s="860"/>
      <c r="AT44" s="861"/>
      <c r="AU44" s="861"/>
      <c r="AV44" s="861"/>
      <c r="AW44" s="861"/>
      <c r="AX44" s="861"/>
      <c r="AY44" s="861"/>
      <c r="AZ44" s="861"/>
      <c r="BA44" s="861"/>
      <c r="BB44" s="885"/>
    </row>
    <row r="45" spans="1:54" ht="7.5" customHeight="1" x14ac:dyDescent="0.2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row>
    <row r="46" spans="1:54" ht="7.5" customHeight="1" x14ac:dyDescent="0.25">
      <c r="A46" s="862" t="s">
        <v>56</v>
      </c>
      <c r="B46" s="863"/>
      <c r="C46" s="863"/>
      <c r="D46" s="863"/>
      <c r="E46" s="863"/>
      <c r="F46" s="863"/>
      <c r="G46" s="863"/>
      <c r="H46" s="863"/>
      <c r="I46" s="863"/>
      <c r="J46" s="863"/>
      <c r="K46" s="863"/>
      <c r="L46" s="863"/>
      <c r="M46" s="863"/>
      <c r="N46" s="863"/>
      <c r="O46" s="863"/>
      <c r="P46" s="863"/>
      <c r="Q46" s="863"/>
      <c r="R46" s="863"/>
      <c r="S46" s="863"/>
      <c r="T46" s="863"/>
      <c r="U46" s="863"/>
      <c r="V46" s="863"/>
      <c r="W46" s="863"/>
      <c r="X46" s="863"/>
      <c r="Y46" s="863"/>
      <c r="Z46" s="863"/>
      <c r="AA46" s="863"/>
      <c r="AB46" s="863"/>
      <c r="AC46" s="863"/>
      <c r="AD46" s="863"/>
      <c r="AE46" s="863"/>
      <c r="AF46" s="863"/>
      <c r="AG46" s="863"/>
      <c r="AH46" s="863"/>
      <c r="AI46" s="863"/>
      <c r="AJ46" s="863"/>
      <c r="AK46" s="863"/>
      <c r="AL46" s="863"/>
      <c r="AM46" s="863"/>
      <c r="AN46" s="863"/>
      <c r="AO46" s="863"/>
      <c r="AP46" s="863"/>
      <c r="AQ46" s="863"/>
      <c r="AR46" s="863"/>
      <c r="AS46" s="863"/>
      <c r="AT46" s="863"/>
      <c r="AU46" s="863"/>
      <c r="AV46" s="863"/>
      <c r="AW46" s="863"/>
      <c r="AX46" s="863"/>
      <c r="AY46" s="863"/>
      <c r="AZ46" s="863"/>
      <c r="BA46" s="916"/>
      <c r="BB46" s="916"/>
    </row>
    <row r="47" spans="1:54" ht="7.5" customHeight="1" x14ac:dyDescent="0.25">
      <c r="A47" s="909"/>
      <c r="B47" s="873"/>
      <c r="C47" s="873"/>
      <c r="D47" s="873"/>
      <c r="E47" s="873"/>
      <c r="F47" s="873"/>
      <c r="G47" s="873"/>
      <c r="H47" s="873"/>
      <c r="I47" s="873"/>
      <c r="J47" s="873"/>
      <c r="K47" s="873"/>
      <c r="L47" s="873"/>
      <c r="M47" s="873"/>
      <c r="N47" s="873"/>
      <c r="O47" s="873"/>
      <c r="P47" s="873"/>
      <c r="Q47" s="873"/>
      <c r="R47" s="873"/>
      <c r="S47" s="873"/>
      <c r="T47" s="873"/>
      <c r="U47" s="873"/>
      <c r="V47" s="873"/>
      <c r="W47" s="873"/>
      <c r="X47" s="873"/>
      <c r="Y47" s="873"/>
      <c r="Z47" s="873"/>
      <c r="AA47" s="873"/>
      <c r="AB47" s="873"/>
      <c r="AC47" s="873"/>
      <c r="AD47" s="873"/>
      <c r="AE47" s="873"/>
      <c r="AF47" s="873"/>
      <c r="AG47" s="873"/>
      <c r="AH47" s="873"/>
      <c r="AI47" s="873"/>
      <c r="AJ47" s="873"/>
      <c r="AK47" s="873"/>
      <c r="AL47" s="873"/>
      <c r="AM47" s="873"/>
      <c r="AN47" s="873"/>
      <c r="AO47" s="873"/>
      <c r="AP47" s="873"/>
      <c r="AQ47" s="873"/>
      <c r="AR47" s="873"/>
      <c r="AS47" s="873"/>
      <c r="AT47" s="873"/>
      <c r="AU47" s="873"/>
      <c r="AV47" s="873"/>
      <c r="AW47" s="873"/>
      <c r="AX47" s="873"/>
      <c r="AY47" s="873"/>
      <c r="AZ47" s="873"/>
      <c r="BA47" s="917"/>
      <c r="BB47" s="917"/>
    </row>
    <row r="48" spans="1:54" ht="7.5" customHeight="1" x14ac:dyDescent="0.25">
      <c r="A48" s="862"/>
      <c r="B48" s="863"/>
      <c r="C48" s="863"/>
      <c r="D48" s="863"/>
      <c r="E48" s="863"/>
      <c r="F48" s="863"/>
      <c r="G48" s="863"/>
      <c r="H48" s="863"/>
      <c r="I48" s="863"/>
      <c r="J48" s="863"/>
      <c r="K48" s="863"/>
      <c r="L48" s="863"/>
      <c r="M48" s="863"/>
      <c r="N48" s="863"/>
      <c r="O48" s="864"/>
      <c r="P48" s="870"/>
      <c r="Q48" s="863"/>
      <c r="R48" s="871"/>
      <c r="S48" s="862"/>
      <c r="T48" s="863"/>
      <c r="U48" s="863"/>
      <c r="V48" s="863"/>
      <c r="W48" s="863"/>
      <c r="X48" s="863"/>
      <c r="Y48" s="863"/>
      <c r="Z48" s="863"/>
      <c r="AA48" s="863"/>
      <c r="AB48" s="863"/>
      <c r="AC48" s="863"/>
      <c r="AD48" s="863"/>
      <c r="AE48" s="863"/>
      <c r="AF48" s="863"/>
      <c r="AG48" s="864"/>
      <c r="AH48" s="870"/>
      <c r="AI48" s="863"/>
      <c r="AJ48" s="871"/>
      <c r="AK48" s="862"/>
      <c r="AL48" s="863"/>
      <c r="AM48" s="863"/>
      <c r="AN48" s="863"/>
      <c r="AO48" s="863"/>
      <c r="AP48" s="863"/>
      <c r="AQ48" s="863"/>
      <c r="AR48" s="863"/>
      <c r="AS48" s="863"/>
      <c r="AT48" s="863"/>
      <c r="AU48" s="863"/>
      <c r="AV48" s="863"/>
      <c r="AW48" s="863"/>
      <c r="AX48" s="863"/>
      <c r="AY48" s="864"/>
      <c r="AZ48" s="870"/>
      <c r="BA48" s="863"/>
      <c r="BB48" s="871"/>
    </row>
    <row r="49" spans="1:54" ht="7.5" customHeight="1" x14ac:dyDescent="0.25">
      <c r="A49" s="865"/>
      <c r="B49" s="866"/>
      <c r="C49" s="866"/>
      <c r="D49" s="866"/>
      <c r="E49" s="866"/>
      <c r="F49" s="866"/>
      <c r="G49" s="866"/>
      <c r="H49" s="866"/>
      <c r="I49" s="866"/>
      <c r="J49" s="866"/>
      <c r="K49" s="866"/>
      <c r="L49" s="866"/>
      <c r="M49" s="866"/>
      <c r="N49" s="866"/>
      <c r="O49" s="867"/>
      <c r="P49" s="872"/>
      <c r="Q49" s="873"/>
      <c r="R49" s="874"/>
      <c r="S49" s="865"/>
      <c r="T49" s="866"/>
      <c r="U49" s="866"/>
      <c r="V49" s="866"/>
      <c r="W49" s="866"/>
      <c r="X49" s="866"/>
      <c r="Y49" s="866"/>
      <c r="Z49" s="866"/>
      <c r="AA49" s="866"/>
      <c r="AB49" s="866"/>
      <c r="AC49" s="866"/>
      <c r="AD49" s="866"/>
      <c r="AE49" s="866"/>
      <c r="AF49" s="866"/>
      <c r="AG49" s="867"/>
      <c r="AH49" s="872"/>
      <c r="AI49" s="873"/>
      <c r="AJ49" s="874"/>
      <c r="AK49" s="865"/>
      <c r="AL49" s="866"/>
      <c r="AM49" s="866"/>
      <c r="AN49" s="866"/>
      <c r="AO49" s="866"/>
      <c r="AP49" s="866"/>
      <c r="AQ49" s="866"/>
      <c r="AR49" s="866"/>
      <c r="AS49" s="866"/>
      <c r="AT49" s="866"/>
      <c r="AU49" s="866"/>
      <c r="AV49" s="866"/>
      <c r="AW49" s="866"/>
      <c r="AX49" s="866"/>
      <c r="AY49" s="867"/>
      <c r="AZ49" s="872"/>
      <c r="BA49" s="873"/>
      <c r="BB49" s="874"/>
    </row>
    <row r="50" spans="1:54" ht="7.5" customHeight="1" x14ac:dyDescent="0.25">
      <c r="A50" s="862"/>
      <c r="B50" s="863"/>
      <c r="C50" s="863"/>
      <c r="D50" s="863"/>
      <c r="E50" s="863"/>
      <c r="F50" s="863"/>
      <c r="G50" s="863"/>
      <c r="H50" s="863"/>
      <c r="I50" s="863"/>
      <c r="J50" s="863"/>
      <c r="K50" s="863"/>
      <c r="L50" s="863"/>
      <c r="M50" s="863"/>
      <c r="N50" s="863"/>
      <c r="O50" s="864"/>
      <c r="P50" s="870"/>
      <c r="Q50" s="863"/>
      <c r="R50" s="871"/>
      <c r="S50" s="862"/>
      <c r="T50" s="863"/>
      <c r="U50" s="863"/>
      <c r="V50" s="863"/>
      <c r="W50" s="863"/>
      <c r="X50" s="863"/>
      <c r="Y50" s="863"/>
      <c r="Z50" s="863"/>
      <c r="AA50" s="863"/>
      <c r="AB50" s="863"/>
      <c r="AC50" s="863"/>
      <c r="AD50" s="863"/>
      <c r="AE50" s="863"/>
      <c r="AF50" s="863"/>
      <c r="AG50" s="864"/>
      <c r="AH50" s="870"/>
      <c r="AI50" s="863"/>
      <c r="AJ50" s="871"/>
      <c r="AK50" s="862"/>
      <c r="AL50" s="863"/>
      <c r="AM50" s="863"/>
      <c r="AN50" s="863"/>
      <c r="AO50" s="863"/>
      <c r="AP50" s="863"/>
      <c r="AQ50" s="863"/>
      <c r="AR50" s="863"/>
      <c r="AS50" s="863"/>
      <c r="AT50" s="863"/>
      <c r="AU50" s="863"/>
      <c r="AV50" s="863"/>
      <c r="AW50" s="863"/>
      <c r="AX50" s="863"/>
      <c r="AY50" s="864"/>
      <c r="AZ50" s="870"/>
      <c r="BA50" s="863"/>
      <c r="BB50" s="871"/>
    </row>
    <row r="51" spans="1:54" ht="7.5" customHeight="1" x14ac:dyDescent="0.25">
      <c r="A51" s="865"/>
      <c r="B51" s="866"/>
      <c r="C51" s="866"/>
      <c r="D51" s="866"/>
      <c r="E51" s="866"/>
      <c r="F51" s="866"/>
      <c r="G51" s="866"/>
      <c r="H51" s="866"/>
      <c r="I51" s="866"/>
      <c r="J51" s="866"/>
      <c r="K51" s="866"/>
      <c r="L51" s="866"/>
      <c r="M51" s="866"/>
      <c r="N51" s="866"/>
      <c r="O51" s="867"/>
      <c r="P51" s="872"/>
      <c r="Q51" s="873"/>
      <c r="R51" s="874"/>
      <c r="S51" s="865"/>
      <c r="T51" s="866"/>
      <c r="U51" s="866"/>
      <c r="V51" s="866"/>
      <c r="W51" s="866"/>
      <c r="X51" s="866"/>
      <c r="Y51" s="866"/>
      <c r="Z51" s="866"/>
      <c r="AA51" s="866"/>
      <c r="AB51" s="866"/>
      <c r="AC51" s="866"/>
      <c r="AD51" s="866"/>
      <c r="AE51" s="866"/>
      <c r="AF51" s="866"/>
      <c r="AG51" s="867"/>
      <c r="AH51" s="872"/>
      <c r="AI51" s="873"/>
      <c r="AJ51" s="874"/>
      <c r="AK51" s="865"/>
      <c r="AL51" s="866"/>
      <c r="AM51" s="866"/>
      <c r="AN51" s="866"/>
      <c r="AO51" s="866"/>
      <c r="AP51" s="866"/>
      <c r="AQ51" s="866"/>
      <c r="AR51" s="866"/>
      <c r="AS51" s="866"/>
      <c r="AT51" s="866"/>
      <c r="AU51" s="866"/>
      <c r="AV51" s="866"/>
      <c r="AW51" s="866"/>
      <c r="AX51" s="866"/>
      <c r="AY51" s="867"/>
      <c r="AZ51" s="872"/>
      <c r="BA51" s="873"/>
      <c r="BB51" s="874"/>
    </row>
    <row r="52" spans="1:54" ht="7.5" customHeight="1" x14ac:dyDescent="0.25">
      <c r="A52" s="862"/>
      <c r="B52" s="863"/>
      <c r="C52" s="863"/>
      <c r="D52" s="863"/>
      <c r="E52" s="863"/>
      <c r="F52" s="863"/>
      <c r="G52" s="863"/>
      <c r="H52" s="863"/>
      <c r="I52" s="863"/>
      <c r="J52" s="863"/>
      <c r="K52" s="863"/>
      <c r="L52" s="863"/>
      <c r="M52" s="863"/>
      <c r="N52" s="863"/>
      <c r="O52" s="864"/>
      <c r="P52" s="870"/>
      <c r="Q52" s="863"/>
      <c r="R52" s="871"/>
      <c r="S52" s="862"/>
      <c r="T52" s="863"/>
      <c r="U52" s="863"/>
      <c r="V52" s="863"/>
      <c r="W52" s="863"/>
      <c r="X52" s="863"/>
      <c r="Y52" s="863"/>
      <c r="Z52" s="863"/>
      <c r="AA52" s="863"/>
      <c r="AB52" s="863"/>
      <c r="AC52" s="863"/>
      <c r="AD52" s="863"/>
      <c r="AE52" s="863"/>
      <c r="AF52" s="863"/>
      <c r="AG52" s="864"/>
      <c r="AH52" s="870"/>
      <c r="AI52" s="863"/>
      <c r="AJ52" s="871"/>
      <c r="AK52" s="862"/>
      <c r="AL52" s="863"/>
      <c r="AM52" s="863"/>
      <c r="AN52" s="863"/>
      <c r="AO52" s="863"/>
      <c r="AP52" s="863"/>
      <c r="AQ52" s="863"/>
      <c r="AR52" s="863"/>
      <c r="AS52" s="863"/>
      <c r="AT52" s="863"/>
      <c r="AU52" s="863"/>
      <c r="AV52" s="863"/>
      <c r="AW52" s="863"/>
      <c r="AX52" s="863"/>
      <c r="AY52" s="864"/>
      <c r="AZ52" s="870"/>
      <c r="BA52" s="863"/>
      <c r="BB52" s="871"/>
    </row>
    <row r="53" spans="1:54" ht="7.5" customHeight="1" x14ac:dyDescent="0.25">
      <c r="A53" s="865"/>
      <c r="B53" s="866"/>
      <c r="C53" s="866"/>
      <c r="D53" s="866"/>
      <c r="E53" s="866"/>
      <c r="F53" s="866"/>
      <c r="G53" s="866"/>
      <c r="H53" s="866"/>
      <c r="I53" s="866"/>
      <c r="J53" s="866"/>
      <c r="K53" s="866"/>
      <c r="L53" s="866"/>
      <c r="M53" s="866"/>
      <c r="N53" s="866"/>
      <c r="O53" s="867"/>
      <c r="P53" s="872"/>
      <c r="Q53" s="873"/>
      <c r="R53" s="874"/>
      <c r="S53" s="865"/>
      <c r="T53" s="866"/>
      <c r="U53" s="866"/>
      <c r="V53" s="866"/>
      <c r="W53" s="866"/>
      <c r="X53" s="866"/>
      <c r="Y53" s="866"/>
      <c r="Z53" s="866"/>
      <c r="AA53" s="866"/>
      <c r="AB53" s="866"/>
      <c r="AC53" s="866"/>
      <c r="AD53" s="866"/>
      <c r="AE53" s="866"/>
      <c r="AF53" s="866"/>
      <c r="AG53" s="867"/>
      <c r="AH53" s="872"/>
      <c r="AI53" s="873"/>
      <c r="AJ53" s="874"/>
      <c r="AK53" s="865"/>
      <c r="AL53" s="866"/>
      <c r="AM53" s="866"/>
      <c r="AN53" s="866"/>
      <c r="AO53" s="866"/>
      <c r="AP53" s="866"/>
      <c r="AQ53" s="866"/>
      <c r="AR53" s="866"/>
      <c r="AS53" s="866"/>
      <c r="AT53" s="866"/>
      <c r="AU53" s="866"/>
      <c r="AV53" s="866"/>
      <c r="AW53" s="866"/>
      <c r="AX53" s="866"/>
      <c r="AY53" s="867"/>
      <c r="AZ53" s="872"/>
      <c r="BA53" s="873"/>
      <c r="BB53" s="874"/>
    </row>
    <row r="54" spans="1:54" ht="7.5" customHeight="1" x14ac:dyDescent="0.25">
      <c r="A54" s="862"/>
      <c r="B54" s="863"/>
      <c r="C54" s="863"/>
      <c r="D54" s="863"/>
      <c r="E54" s="863"/>
      <c r="F54" s="863"/>
      <c r="G54" s="863"/>
      <c r="H54" s="863"/>
      <c r="I54" s="863"/>
      <c r="J54" s="863"/>
      <c r="K54" s="863"/>
      <c r="L54" s="863"/>
      <c r="M54" s="863"/>
      <c r="N54" s="863"/>
      <c r="O54" s="864"/>
      <c r="P54" s="870"/>
      <c r="Q54" s="863"/>
      <c r="R54" s="871"/>
      <c r="S54" s="862"/>
      <c r="T54" s="863"/>
      <c r="U54" s="863"/>
      <c r="V54" s="863"/>
      <c r="W54" s="863"/>
      <c r="X54" s="863"/>
      <c r="Y54" s="863"/>
      <c r="Z54" s="863"/>
      <c r="AA54" s="863"/>
      <c r="AB54" s="863"/>
      <c r="AC54" s="863"/>
      <c r="AD54" s="863"/>
      <c r="AE54" s="863"/>
      <c r="AF54" s="863"/>
      <c r="AG54" s="864"/>
      <c r="AH54" s="870"/>
      <c r="AI54" s="863"/>
      <c r="AJ54" s="871"/>
      <c r="AK54" s="862"/>
      <c r="AL54" s="863"/>
      <c r="AM54" s="863"/>
      <c r="AN54" s="863"/>
      <c r="AO54" s="863"/>
      <c r="AP54" s="863"/>
      <c r="AQ54" s="863"/>
      <c r="AR54" s="863"/>
      <c r="AS54" s="863"/>
      <c r="AT54" s="863"/>
      <c r="AU54" s="863"/>
      <c r="AV54" s="863"/>
      <c r="AW54" s="863"/>
      <c r="AX54" s="863"/>
      <c r="AY54" s="864"/>
      <c r="AZ54" s="870"/>
      <c r="BA54" s="863"/>
      <c r="BB54" s="871"/>
    </row>
    <row r="55" spans="1:54" ht="7.5" customHeight="1" x14ac:dyDescent="0.25">
      <c r="A55" s="865"/>
      <c r="B55" s="866"/>
      <c r="C55" s="866"/>
      <c r="D55" s="866"/>
      <c r="E55" s="866"/>
      <c r="F55" s="866"/>
      <c r="G55" s="866"/>
      <c r="H55" s="866"/>
      <c r="I55" s="866"/>
      <c r="J55" s="866"/>
      <c r="K55" s="866"/>
      <c r="L55" s="866"/>
      <c r="M55" s="866"/>
      <c r="N55" s="866"/>
      <c r="O55" s="867"/>
      <c r="P55" s="872"/>
      <c r="Q55" s="873"/>
      <c r="R55" s="874"/>
      <c r="S55" s="865"/>
      <c r="T55" s="866"/>
      <c r="U55" s="866"/>
      <c r="V55" s="866"/>
      <c r="W55" s="866"/>
      <c r="X55" s="866"/>
      <c r="Y55" s="866"/>
      <c r="Z55" s="866"/>
      <c r="AA55" s="866"/>
      <c r="AB55" s="866"/>
      <c r="AC55" s="866"/>
      <c r="AD55" s="866"/>
      <c r="AE55" s="866"/>
      <c r="AF55" s="866"/>
      <c r="AG55" s="867"/>
      <c r="AH55" s="872"/>
      <c r="AI55" s="873"/>
      <c r="AJ55" s="874"/>
      <c r="AK55" s="865"/>
      <c r="AL55" s="866"/>
      <c r="AM55" s="866"/>
      <c r="AN55" s="866"/>
      <c r="AO55" s="866"/>
      <c r="AP55" s="866"/>
      <c r="AQ55" s="866"/>
      <c r="AR55" s="866"/>
      <c r="AS55" s="866"/>
      <c r="AT55" s="866"/>
      <c r="AU55" s="866"/>
      <c r="AV55" s="866"/>
      <c r="AW55" s="866"/>
      <c r="AX55" s="866"/>
      <c r="AY55" s="867"/>
      <c r="AZ55" s="872"/>
      <c r="BA55" s="873"/>
      <c r="BB55" s="874"/>
    </row>
    <row r="56" spans="1:54" ht="7.5" customHeight="1" x14ac:dyDescent="0.25">
      <c r="A56" s="862"/>
      <c r="B56" s="863"/>
      <c r="C56" s="863"/>
      <c r="D56" s="863"/>
      <c r="E56" s="863"/>
      <c r="F56" s="863"/>
      <c r="G56" s="863"/>
      <c r="H56" s="863"/>
      <c r="I56" s="863"/>
      <c r="J56" s="863"/>
      <c r="K56" s="863"/>
      <c r="L56" s="863"/>
      <c r="M56" s="863"/>
      <c r="N56" s="863"/>
      <c r="O56" s="864"/>
      <c r="P56" s="870"/>
      <c r="Q56" s="863"/>
      <c r="R56" s="871"/>
      <c r="S56" s="862"/>
      <c r="T56" s="863"/>
      <c r="U56" s="863"/>
      <c r="V56" s="863"/>
      <c r="W56" s="863"/>
      <c r="X56" s="863"/>
      <c r="Y56" s="863"/>
      <c r="Z56" s="863"/>
      <c r="AA56" s="863"/>
      <c r="AB56" s="863"/>
      <c r="AC56" s="863"/>
      <c r="AD56" s="863"/>
      <c r="AE56" s="863"/>
      <c r="AF56" s="863"/>
      <c r="AG56" s="864"/>
      <c r="AH56" s="870"/>
      <c r="AI56" s="863"/>
      <c r="AJ56" s="871"/>
      <c r="AK56" s="862"/>
      <c r="AL56" s="863"/>
      <c r="AM56" s="863"/>
      <c r="AN56" s="863"/>
      <c r="AO56" s="863"/>
      <c r="AP56" s="863"/>
      <c r="AQ56" s="863"/>
      <c r="AR56" s="863"/>
      <c r="AS56" s="863"/>
      <c r="AT56" s="863"/>
      <c r="AU56" s="863"/>
      <c r="AV56" s="863"/>
      <c r="AW56" s="863"/>
      <c r="AX56" s="863"/>
      <c r="AY56" s="864"/>
      <c r="AZ56" s="870"/>
      <c r="BA56" s="863"/>
      <c r="BB56" s="871"/>
    </row>
    <row r="57" spans="1:54" ht="7.5" customHeight="1" x14ac:dyDescent="0.25">
      <c r="A57" s="865"/>
      <c r="B57" s="866"/>
      <c r="C57" s="866"/>
      <c r="D57" s="866"/>
      <c r="E57" s="866"/>
      <c r="F57" s="866"/>
      <c r="G57" s="866"/>
      <c r="H57" s="866"/>
      <c r="I57" s="866"/>
      <c r="J57" s="866"/>
      <c r="K57" s="866"/>
      <c r="L57" s="866"/>
      <c r="M57" s="866"/>
      <c r="N57" s="866"/>
      <c r="O57" s="867"/>
      <c r="P57" s="872"/>
      <c r="Q57" s="873"/>
      <c r="R57" s="874"/>
      <c r="S57" s="865"/>
      <c r="T57" s="866"/>
      <c r="U57" s="866"/>
      <c r="V57" s="866"/>
      <c r="W57" s="866"/>
      <c r="X57" s="866"/>
      <c r="Y57" s="866"/>
      <c r="Z57" s="866"/>
      <c r="AA57" s="866"/>
      <c r="AB57" s="866"/>
      <c r="AC57" s="866"/>
      <c r="AD57" s="866"/>
      <c r="AE57" s="866"/>
      <c r="AF57" s="866"/>
      <c r="AG57" s="867"/>
      <c r="AH57" s="872"/>
      <c r="AI57" s="873"/>
      <c r="AJ57" s="874"/>
      <c r="AK57" s="865"/>
      <c r="AL57" s="866"/>
      <c r="AM57" s="866"/>
      <c r="AN57" s="866"/>
      <c r="AO57" s="866"/>
      <c r="AP57" s="866"/>
      <c r="AQ57" s="866"/>
      <c r="AR57" s="866"/>
      <c r="AS57" s="866"/>
      <c r="AT57" s="866"/>
      <c r="AU57" s="866"/>
      <c r="AV57" s="866"/>
      <c r="AW57" s="866"/>
      <c r="AX57" s="866"/>
      <c r="AY57" s="867"/>
      <c r="AZ57" s="872"/>
      <c r="BA57" s="873"/>
      <c r="BB57" s="874"/>
    </row>
    <row r="58" spans="1:54" ht="7.5" customHeight="1" x14ac:dyDescent="0.25">
      <c r="A58" s="862"/>
      <c r="B58" s="863"/>
      <c r="C58" s="863"/>
      <c r="D58" s="863"/>
      <c r="E58" s="863"/>
      <c r="F58" s="863"/>
      <c r="G58" s="863"/>
      <c r="H58" s="863"/>
      <c r="I58" s="863"/>
      <c r="J58" s="863"/>
      <c r="K58" s="863"/>
      <c r="L58" s="863"/>
      <c r="M58" s="863"/>
      <c r="N58" s="863"/>
      <c r="O58" s="864"/>
      <c r="P58" s="870"/>
      <c r="Q58" s="863"/>
      <c r="R58" s="871"/>
      <c r="S58" s="862"/>
      <c r="T58" s="863"/>
      <c r="U58" s="863"/>
      <c r="V58" s="863"/>
      <c r="W58" s="863"/>
      <c r="X58" s="863"/>
      <c r="Y58" s="863"/>
      <c r="Z58" s="863"/>
      <c r="AA58" s="863"/>
      <c r="AB58" s="863"/>
      <c r="AC58" s="863"/>
      <c r="AD58" s="863"/>
      <c r="AE58" s="863"/>
      <c r="AF58" s="863"/>
      <c r="AG58" s="864"/>
      <c r="AH58" s="870"/>
      <c r="AI58" s="863"/>
      <c r="AJ58" s="871"/>
      <c r="AK58" s="862"/>
      <c r="AL58" s="863"/>
      <c r="AM58" s="863"/>
      <c r="AN58" s="863"/>
      <c r="AO58" s="863"/>
      <c r="AP58" s="863"/>
      <c r="AQ58" s="863"/>
      <c r="AR58" s="863"/>
      <c r="AS58" s="863"/>
      <c r="AT58" s="863"/>
      <c r="AU58" s="863"/>
      <c r="AV58" s="863"/>
      <c r="AW58" s="863"/>
      <c r="AX58" s="863"/>
      <c r="AY58" s="864"/>
      <c r="AZ58" s="870"/>
      <c r="BA58" s="863"/>
      <c r="BB58" s="871"/>
    </row>
    <row r="59" spans="1:54" ht="7.5" customHeight="1" x14ac:dyDescent="0.25">
      <c r="A59" s="865"/>
      <c r="B59" s="866"/>
      <c r="C59" s="866"/>
      <c r="D59" s="866"/>
      <c r="E59" s="866"/>
      <c r="F59" s="866"/>
      <c r="G59" s="866"/>
      <c r="H59" s="866"/>
      <c r="I59" s="866"/>
      <c r="J59" s="866"/>
      <c r="K59" s="866"/>
      <c r="L59" s="866"/>
      <c r="M59" s="866"/>
      <c r="N59" s="866"/>
      <c r="O59" s="867"/>
      <c r="P59" s="872"/>
      <c r="Q59" s="873"/>
      <c r="R59" s="874"/>
      <c r="S59" s="865"/>
      <c r="T59" s="866"/>
      <c r="U59" s="866"/>
      <c r="V59" s="866"/>
      <c r="W59" s="866"/>
      <c r="X59" s="866"/>
      <c r="Y59" s="866"/>
      <c r="Z59" s="866"/>
      <c r="AA59" s="866"/>
      <c r="AB59" s="866"/>
      <c r="AC59" s="866"/>
      <c r="AD59" s="866"/>
      <c r="AE59" s="866"/>
      <c r="AF59" s="866"/>
      <c r="AG59" s="867"/>
      <c r="AH59" s="872"/>
      <c r="AI59" s="873"/>
      <c r="AJ59" s="874"/>
      <c r="AK59" s="865"/>
      <c r="AL59" s="866"/>
      <c r="AM59" s="866"/>
      <c r="AN59" s="866"/>
      <c r="AO59" s="866"/>
      <c r="AP59" s="866"/>
      <c r="AQ59" s="866"/>
      <c r="AR59" s="866"/>
      <c r="AS59" s="866"/>
      <c r="AT59" s="866"/>
      <c r="AU59" s="866"/>
      <c r="AV59" s="866"/>
      <c r="AW59" s="866"/>
      <c r="AX59" s="866"/>
      <c r="AY59" s="867"/>
      <c r="AZ59" s="872"/>
      <c r="BA59" s="873"/>
      <c r="BB59" s="874"/>
    </row>
    <row r="60" spans="1:54" ht="7.5" customHeight="1" x14ac:dyDescent="0.25">
      <c r="A60" s="862"/>
      <c r="B60" s="863"/>
      <c r="C60" s="863"/>
      <c r="D60" s="863"/>
      <c r="E60" s="863"/>
      <c r="F60" s="863"/>
      <c r="G60" s="863"/>
      <c r="H60" s="863"/>
      <c r="I60" s="863"/>
      <c r="J60" s="863"/>
      <c r="K60" s="863"/>
      <c r="L60" s="863"/>
      <c r="M60" s="863"/>
      <c r="N60" s="863"/>
      <c r="O60" s="864"/>
      <c r="P60" s="870"/>
      <c r="Q60" s="863"/>
      <c r="R60" s="871"/>
      <c r="S60" s="862"/>
      <c r="T60" s="863"/>
      <c r="U60" s="863"/>
      <c r="V60" s="863"/>
      <c r="W60" s="863"/>
      <c r="X60" s="863"/>
      <c r="Y60" s="863"/>
      <c r="Z60" s="863"/>
      <c r="AA60" s="863"/>
      <c r="AB60" s="863"/>
      <c r="AC60" s="863"/>
      <c r="AD60" s="863"/>
      <c r="AE60" s="863"/>
      <c r="AF60" s="863"/>
      <c r="AG60" s="864"/>
      <c r="AH60" s="870"/>
      <c r="AI60" s="863"/>
      <c r="AJ60" s="871"/>
      <c r="AK60" s="862"/>
      <c r="AL60" s="863"/>
      <c r="AM60" s="863"/>
      <c r="AN60" s="863"/>
      <c r="AO60" s="863"/>
      <c r="AP60" s="863"/>
      <c r="AQ60" s="863"/>
      <c r="AR60" s="863"/>
      <c r="AS60" s="863"/>
      <c r="AT60" s="863"/>
      <c r="AU60" s="863"/>
      <c r="AV60" s="863"/>
      <c r="AW60" s="863"/>
      <c r="AX60" s="863"/>
      <c r="AY60" s="864"/>
      <c r="AZ60" s="870"/>
      <c r="BA60" s="863"/>
      <c r="BB60" s="871"/>
    </row>
    <row r="61" spans="1:54" ht="7.5" customHeight="1" x14ac:dyDescent="0.25">
      <c r="A61" s="865"/>
      <c r="B61" s="866"/>
      <c r="C61" s="866"/>
      <c r="D61" s="866"/>
      <c r="E61" s="866"/>
      <c r="F61" s="866"/>
      <c r="G61" s="866"/>
      <c r="H61" s="866"/>
      <c r="I61" s="866"/>
      <c r="J61" s="866"/>
      <c r="K61" s="866"/>
      <c r="L61" s="866"/>
      <c r="M61" s="866"/>
      <c r="N61" s="866"/>
      <c r="O61" s="867"/>
      <c r="P61" s="872"/>
      <c r="Q61" s="873"/>
      <c r="R61" s="874"/>
      <c r="S61" s="865"/>
      <c r="T61" s="866"/>
      <c r="U61" s="866"/>
      <c r="V61" s="866"/>
      <c r="W61" s="866"/>
      <c r="X61" s="866"/>
      <c r="Y61" s="866"/>
      <c r="Z61" s="866"/>
      <c r="AA61" s="866"/>
      <c r="AB61" s="866"/>
      <c r="AC61" s="866"/>
      <c r="AD61" s="866"/>
      <c r="AE61" s="866"/>
      <c r="AF61" s="866"/>
      <c r="AG61" s="867"/>
      <c r="AH61" s="872"/>
      <c r="AI61" s="873"/>
      <c r="AJ61" s="874"/>
      <c r="AK61" s="865"/>
      <c r="AL61" s="866"/>
      <c r="AM61" s="866"/>
      <c r="AN61" s="866"/>
      <c r="AO61" s="866"/>
      <c r="AP61" s="866"/>
      <c r="AQ61" s="866"/>
      <c r="AR61" s="866"/>
      <c r="AS61" s="866"/>
      <c r="AT61" s="866"/>
      <c r="AU61" s="866"/>
      <c r="AV61" s="866"/>
      <c r="AW61" s="866"/>
      <c r="AX61" s="866"/>
      <c r="AY61" s="867"/>
      <c r="AZ61" s="872"/>
      <c r="BA61" s="873"/>
      <c r="BB61" s="874"/>
    </row>
    <row r="62" spans="1:54" ht="7.5" customHeight="1" x14ac:dyDescent="0.25">
      <c r="A62" s="862"/>
      <c r="B62" s="863"/>
      <c r="C62" s="863"/>
      <c r="D62" s="863"/>
      <c r="E62" s="863"/>
      <c r="F62" s="863"/>
      <c r="G62" s="863"/>
      <c r="H62" s="863"/>
      <c r="I62" s="863"/>
      <c r="J62" s="863"/>
      <c r="K62" s="863"/>
      <c r="L62" s="863"/>
      <c r="M62" s="863"/>
      <c r="N62" s="863"/>
      <c r="O62" s="864"/>
      <c r="P62" s="870"/>
      <c r="Q62" s="863"/>
      <c r="R62" s="871"/>
      <c r="S62" s="862"/>
      <c r="T62" s="863"/>
      <c r="U62" s="863"/>
      <c r="V62" s="863"/>
      <c r="W62" s="863"/>
      <c r="X62" s="863"/>
      <c r="Y62" s="863"/>
      <c r="Z62" s="863"/>
      <c r="AA62" s="863"/>
      <c r="AB62" s="863"/>
      <c r="AC62" s="863"/>
      <c r="AD62" s="863"/>
      <c r="AE62" s="863"/>
      <c r="AF62" s="863"/>
      <c r="AG62" s="864"/>
      <c r="AH62" s="870"/>
      <c r="AI62" s="863"/>
      <c r="AJ62" s="871"/>
      <c r="AK62" s="862"/>
      <c r="AL62" s="863"/>
      <c r="AM62" s="863"/>
      <c r="AN62" s="863"/>
      <c r="AO62" s="863"/>
      <c r="AP62" s="863"/>
      <c r="AQ62" s="863"/>
      <c r="AR62" s="863"/>
      <c r="AS62" s="863"/>
      <c r="AT62" s="863"/>
      <c r="AU62" s="863"/>
      <c r="AV62" s="863"/>
      <c r="AW62" s="863"/>
      <c r="AX62" s="863"/>
      <c r="AY62" s="864"/>
      <c r="AZ62" s="870"/>
      <c r="BA62" s="863"/>
      <c r="BB62" s="871"/>
    </row>
    <row r="63" spans="1:54" ht="7.5" customHeight="1" x14ac:dyDescent="0.25">
      <c r="A63" s="909"/>
      <c r="B63" s="873"/>
      <c r="C63" s="873"/>
      <c r="D63" s="873"/>
      <c r="E63" s="873"/>
      <c r="F63" s="873"/>
      <c r="G63" s="873"/>
      <c r="H63" s="873"/>
      <c r="I63" s="873"/>
      <c r="J63" s="873"/>
      <c r="K63" s="873"/>
      <c r="L63" s="873"/>
      <c r="M63" s="873"/>
      <c r="N63" s="873"/>
      <c r="O63" s="910"/>
      <c r="P63" s="872"/>
      <c r="Q63" s="873"/>
      <c r="R63" s="874"/>
      <c r="S63" s="909"/>
      <c r="T63" s="873"/>
      <c r="U63" s="873"/>
      <c r="V63" s="873"/>
      <c r="W63" s="873"/>
      <c r="X63" s="873"/>
      <c r="Y63" s="873"/>
      <c r="Z63" s="873"/>
      <c r="AA63" s="873"/>
      <c r="AB63" s="873"/>
      <c r="AC63" s="873"/>
      <c r="AD63" s="873"/>
      <c r="AE63" s="873"/>
      <c r="AF63" s="873"/>
      <c r="AG63" s="910"/>
      <c r="AH63" s="872"/>
      <c r="AI63" s="873"/>
      <c r="AJ63" s="874"/>
      <c r="AK63" s="909"/>
      <c r="AL63" s="873"/>
      <c r="AM63" s="873"/>
      <c r="AN63" s="873"/>
      <c r="AO63" s="873"/>
      <c r="AP63" s="873"/>
      <c r="AQ63" s="873"/>
      <c r="AR63" s="873"/>
      <c r="AS63" s="873"/>
      <c r="AT63" s="873"/>
      <c r="AU63" s="873"/>
      <c r="AV63" s="873"/>
      <c r="AW63" s="873"/>
      <c r="AX63" s="873"/>
      <c r="AY63" s="910"/>
      <c r="AZ63" s="872"/>
      <c r="BA63" s="873"/>
      <c r="BB63" s="874"/>
    </row>
    <row r="64" spans="1:54" ht="7.5" customHeight="1" x14ac:dyDescent="0.25">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3"/>
      <c r="AJ64" s="31"/>
      <c r="AK64" s="31"/>
      <c r="AL64" s="31"/>
      <c r="AM64" s="31"/>
      <c r="AN64" s="31"/>
      <c r="AO64" s="31"/>
      <c r="AP64" s="31"/>
      <c r="AQ64" s="31"/>
      <c r="AR64" s="31"/>
      <c r="AS64" s="31"/>
      <c r="AT64" s="31"/>
      <c r="AU64" s="31"/>
      <c r="AV64" s="31"/>
      <c r="AW64" s="31"/>
      <c r="AX64" s="31"/>
      <c r="AY64" s="31"/>
      <c r="AZ64" s="31"/>
      <c r="BA64" s="31"/>
      <c r="BB64" s="31"/>
    </row>
    <row r="65" spans="1:54" ht="7.5" customHeight="1" x14ac:dyDescent="0.25">
      <c r="A65" s="900" t="s">
        <v>44</v>
      </c>
      <c r="B65" s="901"/>
      <c r="C65" s="901"/>
      <c r="D65" s="901"/>
      <c r="E65" s="901"/>
      <c r="F65" s="901"/>
      <c r="G65" s="901"/>
      <c r="H65" s="901"/>
      <c r="I65" s="901"/>
      <c r="J65" s="901"/>
      <c r="K65" s="901"/>
      <c r="L65" s="901"/>
      <c r="M65" s="901"/>
      <c r="N65" s="901"/>
      <c r="O65" s="901"/>
      <c r="P65" s="901"/>
      <c r="Q65" s="901"/>
      <c r="R65" s="901"/>
      <c r="S65" s="901"/>
      <c r="T65" s="901"/>
      <c r="U65" s="901"/>
      <c r="V65" s="901"/>
      <c r="W65" s="901"/>
      <c r="X65" s="901"/>
      <c r="Y65" s="901"/>
      <c r="Z65" s="901"/>
      <c r="AA65" s="901"/>
      <c r="AB65" s="901"/>
      <c r="AC65" s="901"/>
      <c r="AD65" s="901"/>
      <c r="AE65" s="901"/>
      <c r="AF65" s="901"/>
      <c r="AG65" s="901"/>
      <c r="AH65" s="901"/>
      <c r="AI65" s="901"/>
      <c r="AJ65" s="901"/>
      <c r="AK65" s="901"/>
      <c r="AL65" s="901"/>
      <c r="AM65" s="901"/>
      <c r="AN65" s="901"/>
      <c r="AO65" s="901"/>
      <c r="AP65" s="901"/>
      <c r="AQ65" s="901"/>
      <c r="AR65" s="901"/>
      <c r="AS65" s="901"/>
      <c r="AT65" s="901"/>
      <c r="AU65" s="901"/>
      <c r="AV65" s="901"/>
      <c r="AW65" s="901"/>
      <c r="AX65" s="901"/>
      <c r="AY65" s="901"/>
      <c r="AZ65" s="901"/>
      <c r="BA65" s="901"/>
      <c r="BB65" s="902"/>
    </row>
    <row r="66" spans="1:54" ht="7.5" customHeight="1" x14ac:dyDescent="0.25">
      <c r="A66" s="903"/>
      <c r="B66" s="904"/>
      <c r="C66" s="904"/>
      <c r="D66" s="904"/>
      <c r="E66" s="904"/>
      <c r="F66" s="904"/>
      <c r="G66" s="904"/>
      <c r="H66" s="904"/>
      <c r="I66" s="904"/>
      <c r="J66" s="904"/>
      <c r="K66" s="904"/>
      <c r="L66" s="904"/>
      <c r="M66" s="904"/>
      <c r="N66" s="904"/>
      <c r="O66" s="904"/>
      <c r="P66" s="904"/>
      <c r="Q66" s="904"/>
      <c r="R66" s="904"/>
      <c r="S66" s="904"/>
      <c r="T66" s="904"/>
      <c r="U66" s="904"/>
      <c r="V66" s="904"/>
      <c r="W66" s="904"/>
      <c r="X66" s="904"/>
      <c r="Y66" s="904"/>
      <c r="Z66" s="904"/>
      <c r="AA66" s="904"/>
      <c r="AB66" s="904"/>
      <c r="AC66" s="904"/>
      <c r="AD66" s="904"/>
      <c r="AE66" s="904"/>
      <c r="AF66" s="904"/>
      <c r="AG66" s="904"/>
      <c r="AH66" s="904"/>
      <c r="AI66" s="904"/>
      <c r="AJ66" s="904"/>
      <c r="AK66" s="904"/>
      <c r="AL66" s="904"/>
      <c r="AM66" s="904"/>
      <c r="AN66" s="904"/>
      <c r="AO66" s="904"/>
      <c r="AP66" s="904"/>
      <c r="AQ66" s="904"/>
      <c r="AR66" s="904"/>
      <c r="AS66" s="904"/>
      <c r="AT66" s="904"/>
      <c r="AU66" s="904"/>
      <c r="AV66" s="904"/>
      <c r="AW66" s="904"/>
      <c r="AX66" s="904"/>
      <c r="AY66" s="904"/>
      <c r="AZ66" s="904"/>
      <c r="BA66" s="904"/>
      <c r="BB66" s="905"/>
    </row>
    <row r="67" spans="1:54" ht="7.5" customHeight="1" x14ac:dyDescent="0.25">
      <c r="A67" s="903"/>
      <c r="B67" s="904"/>
      <c r="C67" s="904"/>
      <c r="D67" s="904"/>
      <c r="E67" s="904"/>
      <c r="F67" s="904"/>
      <c r="G67" s="904"/>
      <c r="H67" s="904"/>
      <c r="I67" s="904"/>
      <c r="J67" s="904"/>
      <c r="K67" s="904"/>
      <c r="L67" s="904"/>
      <c r="M67" s="904"/>
      <c r="N67" s="904"/>
      <c r="O67" s="904"/>
      <c r="P67" s="904"/>
      <c r="Q67" s="904"/>
      <c r="R67" s="904"/>
      <c r="S67" s="904"/>
      <c r="T67" s="904"/>
      <c r="U67" s="904"/>
      <c r="V67" s="904"/>
      <c r="W67" s="904"/>
      <c r="X67" s="904"/>
      <c r="Y67" s="904"/>
      <c r="Z67" s="904"/>
      <c r="AA67" s="904"/>
      <c r="AB67" s="904"/>
      <c r="AC67" s="904"/>
      <c r="AD67" s="904"/>
      <c r="AE67" s="904"/>
      <c r="AF67" s="904"/>
      <c r="AG67" s="904"/>
      <c r="AH67" s="904"/>
      <c r="AI67" s="904"/>
      <c r="AJ67" s="904"/>
      <c r="AK67" s="904"/>
      <c r="AL67" s="904"/>
      <c r="AM67" s="904"/>
      <c r="AN67" s="904"/>
      <c r="AO67" s="904"/>
      <c r="AP67" s="904"/>
      <c r="AQ67" s="904"/>
      <c r="AR67" s="904"/>
      <c r="AS67" s="904"/>
      <c r="AT67" s="904"/>
      <c r="AU67" s="904"/>
      <c r="AV67" s="904"/>
      <c r="AW67" s="904"/>
      <c r="AX67" s="904"/>
      <c r="AY67" s="904"/>
      <c r="AZ67" s="904"/>
      <c r="BA67" s="904"/>
      <c r="BB67" s="905"/>
    </row>
    <row r="68" spans="1:54" ht="7.5" customHeight="1" x14ac:dyDescent="0.25">
      <c r="A68" s="903"/>
      <c r="B68" s="904"/>
      <c r="C68" s="904"/>
      <c r="D68" s="904"/>
      <c r="E68" s="904"/>
      <c r="F68" s="904"/>
      <c r="G68" s="904"/>
      <c r="H68" s="904"/>
      <c r="I68" s="904"/>
      <c r="J68" s="904"/>
      <c r="K68" s="904"/>
      <c r="L68" s="904"/>
      <c r="M68" s="904"/>
      <c r="N68" s="904"/>
      <c r="O68" s="904"/>
      <c r="P68" s="904"/>
      <c r="Q68" s="904"/>
      <c r="R68" s="904"/>
      <c r="S68" s="904"/>
      <c r="T68" s="904"/>
      <c r="U68" s="904"/>
      <c r="V68" s="904"/>
      <c r="W68" s="904"/>
      <c r="X68" s="904"/>
      <c r="Y68" s="904"/>
      <c r="Z68" s="904"/>
      <c r="AA68" s="904"/>
      <c r="AB68" s="904"/>
      <c r="AC68" s="904"/>
      <c r="AD68" s="904"/>
      <c r="AE68" s="904"/>
      <c r="AF68" s="904"/>
      <c r="AG68" s="904"/>
      <c r="AH68" s="904"/>
      <c r="AI68" s="904"/>
      <c r="AJ68" s="904"/>
      <c r="AK68" s="904"/>
      <c r="AL68" s="904"/>
      <c r="AM68" s="904"/>
      <c r="AN68" s="904"/>
      <c r="AO68" s="904"/>
      <c r="AP68" s="904"/>
      <c r="AQ68" s="904"/>
      <c r="AR68" s="904"/>
      <c r="AS68" s="904"/>
      <c r="AT68" s="904"/>
      <c r="AU68" s="904"/>
      <c r="AV68" s="904"/>
      <c r="AW68" s="904"/>
      <c r="AX68" s="904"/>
      <c r="AY68" s="904"/>
      <c r="AZ68" s="904"/>
      <c r="BA68" s="904"/>
      <c r="BB68" s="905"/>
    </row>
    <row r="69" spans="1:54" ht="7.5" customHeight="1" x14ac:dyDescent="0.25">
      <c r="A69" s="903"/>
      <c r="B69" s="904"/>
      <c r="C69" s="904"/>
      <c r="D69" s="904"/>
      <c r="E69" s="904"/>
      <c r="F69" s="904"/>
      <c r="G69" s="904"/>
      <c r="H69" s="904"/>
      <c r="I69" s="904"/>
      <c r="J69" s="904"/>
      <c r="K69" s="904"/>
      <c r="L69" s="904"/>
      <c r="M69" s="904"/>
      <c r="N69" s="904"/>
      <c r="O69" s="904"/>
      <c r="P69" s="904"/>
      <c r="Q69" s="904"/>
      <c r="R69" s="904"/>
      <c r="S69" s="904"/>
      <c r="T69" s="904"/>
      <c r="U69" s="904"/>
      <c r="V69" s="904"/>
      <c r="W69" s="904"/>
      <c r="X69" s="904"/>
      <c r="Y69" s="904"/>
      <c r="Z69" s="904"/>
      <c r="AA69" s="904"/>
      <c r="AB69" s="904"/>
      <c r="AC69" s="904"/>
      <c r="AD69" s="904"/>
      <c r="AE69" s="904"/>
      <c r="AF69" s="904"/>
      <c r="AG69" s="904"/>
      <c r="AH69" s="904"/>
      <c r="AI69" s="904"/>
      <c r="AJ69" s="904"/>
      <c r="AK69" s="904"/>
      <c r="AL69" s="904"/>
      <c r="AM69" s="904"/>
      <c r="AN69" s="904"/>
      <c r="AO69" s="904"/>
      <c r="AP69" s="904"/>
      <c r="AQ69" s="904"/>
      <c r="AR69" s="904"/>
      <c r="AS69" s="904"/>
      <c r="AT69" s="904"/>
      <c r="AU69" s="904"/>
      <c r="AV69" s="904"/>
      <c r="AW69" s="904"/>
      <c r="AX69" s="904"/>
      <c r="AY69" s="904"/>
      <c r="AZ69" s="904"/>
      <c r="BA69" s="904"/>
      <c r="BB69" s="905"/>
    </row>
    <row r="70" spans="1:54" ht="7.5" customHeight="1" x14ac:dyDescent="0.25">
      <c r="A70" s="903"/>
      <c r="B70" s="904"/>
      <c r="C70" s="904"/>
      <c r="D70" s="904"/>
      <c r="E70" s="904"/>
      <c r="F70" s="904"/>
      <c r="G70" s="904"/>
      <c r="H70" s="904"/>
      <c r="I70" s="904"/>
      <c r="J70" s="904"/>
      <c r="K70" s="904"/>
      <c r="L70" s="904"/>
      <c r="M70" s="904"/>
      <c r="N70" s="904"/>
      <c r="O70" s="904"/>
      <c r="P70" s="904"/>
      <c r="Q70" s="904"/>
      <c r="R70" s="904"/>
      <c r="S70" s="904"/>
      <c r="T70" s="904"/>
      <c r="U70" s="904"/>
      <c r="V70" s="904"/>
      <c r="W70" s="904"/>
      <c r="X70" s="904"/>
      <c r="Y70" s="904"/>
      <c r="Z70" s="904"/>
      <c r="AA70" s="904"/>
      <c r="AB70" s="904"/>
      <c r="AC70" s="904"/>
      <c r="AD70" s="904"/>
      <c r="AE70" s="904"/>
      <c r="AF70" s="904"/>
      <c r="AG70" s="904"/>
      <c r="AH70" s="904"/>
      <c r="AI70" s="904"/>
      <c r="AJ70" s="904"/>
      <c r="AK70" s="904"/>
      <c r="AL70" s="904"/>
      <c r="AM70" s="904"/>
      <c r="AN70" s="904"/>
      <c r="AO70" s="904"/>
      <c r="AP70" s="904"/>
      <c r="AQ70" s="904"/>
      <c r="AR70" s="904"/>
      <c r="AS70" s="904"/>
      <c r="AT70" s="904"/>
      <c r="AU70" s="904"/>
      <c r="AV70" s="904"/>
      <c r="AW70" s="904"/>
      <c r="AX70" s="904"/>
      <c r="AY70" s="904"/>
      <c r="AZ70" s="904"/>
      <c r="BA70" s="904"/>
      <c r="BB70" s="905"/>
    </row>
    <row r="71" spans="1:54" ht="7.5" customHeight="1" x14ac:dyDescent="0.25">
      <c r="A71" s="906"/>
      <c r="B71" s="907"/>
      <c r="C71" s="907"/>
      <c r="D71" s="907"/>
      <c r="E71" s="907"/>
      <c r="F71" s="907"/>
      <c r="G71" s="907"/>
      <c r="H71" s="907"/>
      <c r="I71" s="907"/>
      <c r="J71" s="907"/>
      <c r="K71" s="907"/>
      <c r="L71" s="907"/>
      <c r="M71" s="907"/>
      <c r="N71" s="907"/>
      <c r="O71" s="907"/>
      <c r="P71" s="907"/>
      <c r="Q71" s="907"/>
      <c r="R71" s="907"/>
      <c r="S71" s="907"/>
      <c r="T71" s="907"/>
      <c r="U71" s="907"/>
      <c r="V71" s="907"/>
      <c r="W71" s="907"/>
      <c r="X71" s="907"/>
      <c r="Y71" s="907"/>
      <c r="Z71" s="907"/>
      <c r="AA71" s="907"/>
      <c r="AB71" s="907"/>
      <c r="AC71" s="907"/>
      <c r="AD71" s="907"/>
      <c r="AE71" s="907"/>
      <c r="AF71" s="907"/>
      <c r="AG71" s="907"/>
      <c r="AH71" s="907"/>
      <c r="AI71" s="907"/>
      <c r="AJ71" s="907"/>
      <c r="AK71" s="907"/>
      <c r="AL71" s="907"/>
      <c r="AM71" s="907"/>
      <c r="AN71" s="907"/>
      <c r="AO71" s="907"/>
      <c r="AP71" s="907"/>
      <c r="AQ71" s="907"/>
      <c r="AR71" s="907"/>
      <c r="AS71" s="907"/>
      <c r="AT71" s="907"/>
      <c r="AU71" s="907"/>
      <c r="AV71" s="907"/>
      <c r="AW71" s="907"/>
      <c r="AX71" s="907"/>
      <c r="AY71" s="907"/>
      <c r="AZ71" s="907"/>
      <c r="BA71" s="907"/>
      <c r="BB71" s="908"/>
    </row>
  </sheetData>
  <mergeCells count="145">
    <mergeCell ref="M30:N31"/>
    <mergeCell ref="P33:AB36"/>
    <mergeCell ref="AW9:AX10"/>
    <mergeCell ref="AS21:AT22"/>
    <mergeCell ref="AY3:AZ4"/>
    <mergeCell ref="AW7:AX8"/>
    <mergeCell ref="AW17:AX18"/>
    <mergeCell ref="AW15:AX16"/>
    <mergeCell ref="AY7:AZ8"/>
    <mergeCell ref="AD21:AQ28"/>
    <mergeCell ref="AD14:AQ17"/>
    <mergeCell ref="AS24:AZ25"/>
    <mergeCell ref="AU11:AV12"/>
    <mergeCell ref="AW11:AX12"/>
    <mergeCell ref="AU15:AV16"/>
    <mergeCell ref="AY15:AZ16"/>
    <mergeCell ref="AU13:AV14"/>
    <mergeCell ref="AW13:AX14"/>
    <mergeCell ref="AY13:AZ14"/>
    <mergeCell ref="AD19:AO20"/>
    <mergeCell ref="A52:O53"/>
    <mergeCell ref="A48:O49"/>
    <mergeCell ref="A54:O55"/>
    <mergeCell ref="A50:O51"/>
    <mergeCell ref="A32:N44"/>
    <mergeCell ref="AD32:AQ44"/>
    <mergeCell ref="AH62:AJ63"/>
    <mergeCell ref="A46:AZ47"/>
    <mergeCell ref="P40:AB44"/>
    <mergeCell ref="AK56:AY57"/>
    <mergeCell ref="AK48:AY49"/>
    <mergeCell ref="S50:AG51"/>
    <mergeCell ref="AH48:AJ49"/>
    <mergeCell ref="A58:O59"/>
    <mergeCell ref="P58:R59"/>
    <mergeCell ref="A56:O57"/>
    <mergeCell ref="AZ56:BB57"/>
    <mergeCell ref="AZ58:BB59"/>
    <mergeCell ref="AZ50:BB51"/>
    <mergeCell ref="BA46:BB47"/>
    <mergeCell ref="AK58:AY59"/>
    <mergeCell ref="S54:AG55"/>
    <mergeCell ref="AK62:AY63"/>
    <mergeCell ref="AK60:AY61"/>
    <mergeCell ref="A62:O63"/>
    <mergeCell ref="P62:R63"/>
    <mergeCell ref="A60:O61"/>
    <mergeCell ref="P60:R61"/>
    <mergeCell ref="S58:AG59"/>
    <mergeCell ref="P56:R57"/>
    <mergeCell ref="AZ62:BB63"/>
    <mergeCell ref="AZ60:BB61"/>
    <mergeCell ref="P54:R55"/>
    <mergeCell ref="S62:AG63"/>
    <mergeCell ref="S60:AG61"/>
    <mergeCell ref="AK54:AY55"/>
    <mergeCell ref="AH54:AJ55"/>
    <mergeCell ref="AZ54:BB55"/>
    <mergeCell ref="AH56:AJ57"/>
    <mergeCell ref="AH60:AJ61"/>
    <mergeCell ref="AH58:AJ59"/>
    <mergeCell ref="S56:AG57"/>
    <mergeCell ref="A65:BB71"/>
    <mergeCell ref="AA20:AB21"/>
    <mergeCell ref="AD12:AO13"/>
    <mergeCell ref="AU19:AV20"/>
    <mergeCell ref="AW21:AX22"/>
    <mergeCell ref="AK50:AY51"/>
    <mergeCell ref="AS26:BB44"/>
    <mergeCell ref="P1:Z2"/>
    <mergeCell ref="BA21:BB22"/>
    <mergeCell ref="BA13:BB14"/>
    <mergeCell ref="AY5:AZ6"/>
    <mergeCell ref="AU7:AV8"/>
    <mergeCell ref="BA5:BB6"/>
    <mergeCell ref="AS7:AT8"/>
    <mergeCell ref="AD3:AQ10"/>
    <mergeCell ref="AU17:AV18"/>
    <mergeCell ref="BA11:BB12"/>
    <mergeCell ref="A14:N17"/>
    <mergeCell ref="AS15:AT16"/>
    <mergeCell ref="AS3:AT4"/>
    <mergeCell ref="P12:Z13"/>
    <mergeCell ref="P14:AB18"/>
    <mergeCell ref="AS11:AT12"/>
    <mergeCell ref="A30:L31"/>
    <mergeCell ref="BA1:BB2"/>
    <mergeCell ref="A1:L2"/>
    <mergeCell ref="M1:N2"/>
    <mergeCell ref="AU3:AV4"/>
    <mergeCell ref="BA3:BB4"/>
    <mergeCell ref="AW3:AX4"/>
    <mergeCell ref="A3:N10"/>
    <mergeCell ref="AD1:AO2"/>
    <mergeCell ref="AP1:AQ2"/>
    <mergeCell ref="AA1:AB2"/>
    <mergeCell ref="AS1:AZ2"/>
    <mergeCell ref="BA9:BB10"/>
    <mergeCell ref="AY9:AZ10"/>
    <mergeCell ref="AS5:AT6"/>
    <mergeCell ref="AU5:AV6"/>
    <mergeCell ref="AW5:AX6"/>
    <mergeCell ref="P3:AB10"/>
    <mergeCell ref="BA7:BB8"/>
    <mergeCell ref="A12:L13"/>
    <mergeCell ref="M12:N13"/>
    <mergeCell ref="A21:N28"/>
    <mergeCell ref="AU21:AV22"/>
    <mergeCell ref="AS17:AT18"/>
    <mergeCell ref="AS19:AT20"/>
    <mergeCell ref="A19:L20"/>
    <mergeCell ref="M19:N20"/>
    <mergeCell ref="AS13:AT14"/>
    <mergeCell ref="AA12:AB13"/>
    <mergeCell ref="AP19:AQ20"/>
    <mergeCell ref="BA24:BB25"/>
    <mergeCell ref="AY17:AZ18"/>
    <mergeCell ref="AW19:AX20"/>
    <mergeCell ref="AY19:AZ20"/>
    <mergeCell ref="AY21:AZ22"/>
    <mergeCell ref="AS9:AT10"/>
    <mergeCell ref="BA19:BB20"/>
    <mergeCell ref="AU9:AV10"/>
    <mergeCell ref="AK52:AY53"/>
    <mergeCell ref="AZ52:BB53"/>
    <mergeCell ref="AP30:AQ31"/>
    <mergeCell ref="AD30:AO31"/>
    <mergeCell ref="AZ48:BB49"/>
    <mergeCell ref="AY11:AZ12"/>
    <mergeCell ref="BA17:BB18"/>
    <mergeCell ref="BA15:BB16"/>
    <mergeCell ref="P38:Z39"/>
    <mergeCell ref="S52:AG53"/>
    <mergeCell ref="AA38:AB39"/>
    <mergeCell ref="P50:R51"/>
    <mergeCell ref="S48:AG49"/>
    <mergeCell ref="AP12:AQ13"/>
    <mergeCell ref="AH50:AJ51"/>
    <mergeCell ref="AH52:AJ53"/>
    <mergeCell ref="P20:Z21"/>
    <mergeCell ref="P22:AB29"/>
    <mergeCell ref="AA31:AB32"/>
    <mergeCell ref="P48:R49"/>
    <mergeCell ref="P52:R53"/>
    <mergeCell ref="P31:Z32"/>
  </mergeCells>
  <pageMargins left="0.7" right="0.7" top="0.75" bottom="0.75" header="0.3" footer="0.3"/>
  <pageSetup orientation="landscape" horizontalDpi="4294967293" verticalDpi="0"/>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00B050"/>
  </sheetPr>
  <dimension ref="A1:DZ152"/>
  <sheetViews>
    <sheetView showGridLines="0" zoomScale="115" zoomScaleNormal="115" zoomScalePageLayoutView="115" workbookViewId="0">
      <selection activeCell="L19" sqref="L19:Y20"/>
    </sheetView>
  </sheetViews>
  <sheetFormatPr defaultColWidth="1.42578125" defaultRowHeight="7.5" customHeight="1" x14ac:dyDescent="0.25"/>
  <cols>
    <col min="1" max="7" width="1.42578125" style="39"/>
    <col min="8" max="8" width="2.28515625" style="39" bestFit="1" customWidth="1"/>
    <col min="9" max="16384" width="1.42578125" style="39"/>
  </cols>
  <sheetData>
    <row r="1" spans="1:130" ht="7.5" customHeight="1" x14ac:dyDescent="0.25">
      <c r="A1" s="1103" t="e">
        <f>IF(Name&gt;0,PROPER(Name),"")</f>
        <v>#REF!</v>
      </c>
      <c r="B1" s="1103"/>
      <c r="C1" s="1103"/>
      <c r="D1" s="1103"/>
      <c r="E1" s="1103"/>
      <c r="F1" s="1103"/>
      <c r="G1" s="1103"/>
      <c r="H1" s="1103"/>
      <c r="I1" s="1103"/>
      <c r="J1" s="1103"/>
      <c r="K1" s="1103"/>
      <c r="L1" s="1103"/>
      <c r="M1" s="1103"/>
      <c r="N1" s="1103"/>
      <c r="O1" s="1103"/>
      <c r="P1" s="1103"/>
      <c r="Q1" s="187"/>
      <c r="R1" s="1108" t="e">
        <f>IF(RaceOverride&lt;&gt;"",PROPER(RaceOverride),IF(Race&lt;&gt;"",PROPER(Race),""))</f>
        <v>#REF!</v>
      </c>
      <c r="S1" s="1108"/>
      <c r="T1" s="1108"/>
      <c r="U1" s="1108"/>
      <c r="V1" s="1108"/>
      <c r="W1" s="1108"/>
      <c r="X1" s="1108"/>
      <c r="Y1" s="1108"/>
      <c r="Z1" s="1108"/>
      <c r="AA1" s="1108"/>
      <c r="AB1" s="188"/>
      <c r="AC1" s="1108" t="e">
        <f>IF(Deity&lt;&gt;"",PROPER(Deity),"")</f>
        <v>#REF!</v>
      </c>
      <c r="AD1" s="1108"/>
      <c r="AE1" s="1108"/>
      <c r="AF1" s="1108"/>
      <c r="AG1" s="1108"/>
      <c r="AH1" s="1108"/>
      <c r="AI1" s="1108"/>
      <c r="AJ1" s="1108"/>
      <c r="AK1" s="1108"/>
      <c r="AL1" s="1108"/>
      <c r="AN1" s="1106" t="e">
        <f>Size</f>
        <v>#REF!</v>
      </c>
      <c r="AO1" s="1106"/>
      <c r="AP1" s="1106"/>
      <c r="AQ1" s="1106"/>
      <c r="AR1" s="1106"/>
      <c r="AS1" s="1106"/>
      <c r="AU1" s="1106" t="e">
        <f>IF(Vision&lt;&gt;"",REPLACE(Vision,FIND("Vision",Vision,1),6,""),"")</f>
        <v>#REF!</v>
      </c>
      <c r="AV1" s="1106"/>
      <c r="AW1" s="1106"/>
      <c r="AX1" s="1106"/>
      <c r="AY1" s="1106"/>
      <c r="AZ1" s="1106"/>
      <c r="BB1" s="987" t="s">
        <v>510</v>
      </c>
      <c r="BC1" s="987"/>
      <c r="BD1" s="987"/>
      <c r="BE1" s="987"/>
      <c r="BF1" s="987"/>
      <c r="BG1" s="987"/>
      <c r="BH1" s="987"/>
      <c r="BI1" s="987"/>
      <c r="BJ1" s="987"/>
      <c r="BK1" s="987"/>
      <c r="BL1" s="987"/>
      <c r="BM1" s="987"/>
      <c r="BN1" s="987"/>
      <c r="BO1" s="987"/>
      <c r="BP1" s="987"/>
      <c r="BQ1" s="987"/>
      <c r="BR1" s="987"/>
      <c r="BS1" s="987"/>
      <c r="BT1" s="987"/>
      <c r="BU1" s="987"/>
      <c r="BV1" s="189"/>
      <c r="BW1" s="1020" t="e">
        <f>IF(Race&gt;0,Health,"Max")</f>
        <v>#REF!</v>
      </c>
      <c r="BX1" s="1020"/>
      <c r="BY1" s="1020"/>
      <c r="BZ1" s="1020"/>
      <c r="CA1" s="1020"/>
      <c r="CB1" s="1028" t="str">
        <f>IF(ISNUMBER(HP),"","5*CON + 3*CNV")</f>
        <v>5*CON + 3*CNV</v>
      </c>
      <c r="CC1" s="1028"/>
      <c r="CD1" s="1028"/>
      <c r="CE1" s="1028"/>
      <c r="CF1" s="1028"/>
      <c r="CG1" s="1028"/>
      <c r="CH1" s="1028"/>
      <c r="CI1" s="1028"/>
      <c r="CJ1" s="1028"/>
      <c r="CK1" s="1028"/>
    </row>
    <row r="2" spans="1:130" ht="7.5" customHeight="1" x14ac:dyDescent="0.25">
      <c r="A2" s="1104"/>
      <c r="B2" s="1104"/>
      <c r="C2" s="1104"/>
      <c r="D2" s="1104"/>
      <c r="E2" s="1104"/>
      <c r="F2" s="1104"/>
      <c r="G2" s="1104"/>
      <c r="H2" s="1104"/>
      <c r="I2" s="1104"/>
      <c r="J2" s="1104"/>
      <c r="K2" s="1104"/>
      <c r="L2" s="1104"/>
      <c r="M2" s="1104"/>
      <c r="N2" s="1104"/>
      <c r="O2" s="1104"/>
      <c r="P2" s="1104"/>
      <c r="Q2" s="188"/>
      <c r="R2" s="1111"/>
      <c r="S2" s="1111"/>
      <c r="T2" s="1111"/>
      <c r="U2" s="1111"/>
      <c r="V2" s="1111"/>
      <c r="W2" s="1111"/>
      <c r="X2" s="1111"/>
      <c r="Y2" s="1111"/>
      <c r="Z2" s="1111"/>
      <c r="AA2" s="1111"/>
      <c r="AB2" s="188"/>
      <c r="AC2" s="1109"/>
      <c r="AD2" s="1109"/>
      <c r="AE2" s="1109"/>
      <c r="AF2" s="1109"/>
      <c r="AG2" s="1109"/>
      <c r="AH2" s="1109"/>
      <c r="AI2" s="1109"/>
      <c r="AJ2" s="1109"/>
      <c r="AK2" s="1109"/>
      <c r="AL2" s="1109"/>
      <c r="AN2" s="1107"/>
      <c r="AO2" s="1107"/>
      <c r="AP2" s="1107"/>
      <c r="AQ2" s="1107"/>
      <c r="AR2" s="1107"/>
      <c r="AS2" s="1107"/>
      <c r="AU2" s="1107"/>
      <c r="AV2" s="1107"/>
      <c r="AW2" s="1107"/>
      <c r="AX2" s="1107"/>
      <c r="AY2" s="1107"/>
      <c r="AZ2" s="1107"/>
      <c r="BB2" s="988"/>
      <c r="BC2" s="988"/>
      <c r="BD2" s="988"/>
      <c r="BE2" s="988"/>
      <c r="BF2" s="988"/>
      <c r="BG2" s="988"/>
      <c r="BH2" s="988"/>
      <c r="BI2" s="988"/>
      <c r="BJ2" s="988"/>
      <c r="BK2" s="988"/>
      <c r="BL2" s="988"/>
      <c r="BM2" s="988"/>
      <c r="BN2" s="988"/>
      <c r="BO2" s="988"/>
      <c r="BP2" s="988"/>
      <c r="BQ2" s="988"/>
      <c r="BR2" s="988"/>
      <c r="BS2" s="988"/>
      <c r="BT2" s="988"/>
      <c r="BU2" s="988"/>
      <c r="BV2" s="189"/>
      <c r="BW2" s="1021"/>
      <c r="BX2" s="1021"/>
      <c r="BY2" s="1021"/>
      <c r="BZ2" s="1021"/>
      <c r="CA2" s="1021"/>
      <c r="CB2" s="1029"/>
      <c r="CC2" s="1029"/>
      <c r="CD2" s="1029"/>
      <c r="CE2" s="1029"/>
      <c r="CF2" s="1029"/>
      <c r="CG2" s="1029"/>
      <c r="CH2" s="1029"/>
      <c r="CI2" s="1029"/>
      <c r="CJ2" s="1029"/>
      <c r="CK2" s="1029"/>
      <c r="CP2" s="987"/>
      <c r="CQ2" s="987"/>
      <c r="CR2" s="987"/>
      <c r="CS2" s="987"/>
      <c r="CT2" s="987"/>
      <c r="CU2" s="987"/>
      <c r="CV2" s="987"/>
      <c r="CW2" s="987"/>
      <c r="CX2" s="987"/>
      <c r="CY2" s="987"/>
      <c r="CZ2" s="987"/>
      <c r="DA2" s="987"/>
      <c r="DB2" s="987"/>
      <c r="DC2" s="987"/>
    </row>
    <row r="3" spans="1:130" ht="7.5" customHeight="1" x14ac:dyDescent="0.25">
      <c r="A3" s="1105" t="s">
        <v>55</v>
      </c>
      <c r="B3" s="1105"/>
      <c r="C3" s="1105"/>
      <c r="D3" s="1105"/>
      <c r="E3" s="1105"/>
      <c r="F3" s="1105"/>
      <c r="G3" s="1105"/>
      <c r="H3" s="1105"/>
      <c r="I3" s="1105"/>
      <c r="J3" s="1105"/>
      <c r="K3" s="1105"/>
      <c r="L3" s="1105"/>
      <c r="M3" s="1105"/>
      <c r="N3" s="1105"/>
      <c r="O3" s="1105"/>
      <c r="P3" s="1105"/>
      <c r="Q3" s="190"/>
      <c r="R3" s="1110" t="s">
        <v>19</v>
      </c>
      <c r="S3" s="1110"/>
      <c r="T3" s="1110"/>
      <c r="U3" s="1110"/>
      <c r="V3" s="1110"/>
      <c r="W3" s="1110"/>
      <c r="X3" s="1110"/>
      <c r="Y3" s="1110"/>
      <c r="Z3" s="1110"/>
      <c r="AA3" s="1110"/>
      <c r="AB3" s="190"/>
      <c r="AC3" s="1105" t="s">
        <v>50</v>
      </c>
      <c r="AD3" s="1105"/>
      <c r="AE3" s="1105"/>
      <c r="AF3" s="1105"/>
      <c r="AG3" s="1105"/>
      <c r="AH3" s="1105"/>
      <c r="AI3" s="1105"/>
      <c r="AJ3" s="1105"/>
      <c r="AK3" s="1105"/>
      <c r="AL3" s="1105"/>
      <c r="AN3" s="1105" t="s">
        <v>82</v>
      </c>
      <c r="AO3" s="1105"/>
      <c r="AP3" s="1105"/>
      <c r="AQ3" s="1105"/>
      <c r="AR3" s="1105"/>
      <c r="AS3" s="1105"/>
      <c r="AU3" s="1105" t="s">
        <v>100</v>
      </c>
      <c r="AV3" s="1105"/>
      <c r="AW3" s="1105"/>
      <c r="AX3" s="1105"/>
      <c r="AY3" s="1105"/>
      <c r="AZ3" s="1105"/>
      <c r="BB3" s="999" t="s">
        <v>526</v>
      </c>
      <c r="BC3" s="1000"/>
      <c r="BD3" s="1000"/>
      <c r="BE3" s="1000"/>
      <c r="BF3" s="1001"/>
      <c r="BG3" s="999" t="s">
        <v>440</v>
      </c>
      <c r="BH3" s="1000"/>
      <c r="BI3" s="1000"/>
      <c r="BJ3" s="1000"/>
      <c r="BK3" s="1001"/>
      <c r="BL3" s="999" t="s">
        <v>17</v>
      </c>
      <c r="BM3" s="1000"/>
      <c r="BN3" s="1000"/>
      <c r="BO3" s="1000"/>
      <c r="BP3" s="1001"/>
      <c r="BQ3" s="999" t="s">
        <v>46</v>
      </c>
      <c r="BR3" s="1000"/>
      <c r="BS3" s="1000"/>
      <c r="BT3" s="1000"/>
      <c r="BU3" s="1001"/>
      <c r="BV3" s="191"/>
      <c r="BW3" s="1021"/>
      <c r="BX3" s="1021"/>
      <c r="BY3" s="1021"/>
      <c r="BZ3" s="1021"/>
      <c r="CA3" s="1021"/>
      <c r="CB3" s="1050" t="s">
        <v>16</v>
      </c>
      <c r="CC3" s="1050"/>
      <c r="CD3" s="1050"/>
      <c r="CE3" s="1050"/>
      <c r="CF3" s="1050"/>
      <c r="CG3" s="1050"/>
      <c r="CH3" s="1050"/>
      <c r="CI3" s="1050"/>
      <c r="CJ3" s="1050"/>
      <c r="CK3" s="1050"/>
      <c r="CP3" s="987"/>
      <c r="CQ3" s="987"/>
      <c r="CR3" s="987"/>
      <c r="CS3" s="987"/>
      <c r="CT3" s="987"/>
      <c r="CU3" s="987"/>
      <c r="CV3" s="987"/>
      <c r="CW3" s="987"/>
      <c r="CX3" s="987"/>
      <c r="CY3" s="987"/>
      <c r="CZ3" s="987"/>
      <c r="DA3" s="987"/>
      <c r="DB3" s="987"/>
      <c r="DC3" s="987"/>
    </row>
    <row r="4" spans="1:130" ht="7.5" customHeight="1" thickBot="1" x14ac:dyDescent="0.3">
      <c r="A4" s="1106" t="e">
        <f>IF(Role&lt;&gt;"",PROPER(Role),"")</f>
        <v>#REF!</v>
      </c>
      <c r="B4" s="1106"/>
      <c r="C4" s="1106"/>
      <c r="D4" s="1106"/>
      <c r="E4" s="1106"/>
      <c r="F4" s="1106"/>
      <c r="G4" s="1106"/>
      <c r="H4" s="1106"/>
      <c r="I4" s="1106"/>
      <c r="J4" s="1106"/>
      <c r="K4" s="192"/>
      <c r="L4" s="192"/>
      <c r="M4" s="192"/>
      <c r="N4" s="192"/>
      <c r="O4" s="192"/>
      <c r="P4" s="192"/>
      <c r="AI4" s="188"/>
      <c r="BB4" s="989" t="e">
        <f>IF(Defense&gt;0,"1-"&amp;Defense,"5+agi+ins")</f>
        <v>#REF!</v>
      </c>
      <c r="BC4" s="990"/>
      <c r="BD4" s="990"/>
      <c r="BE4" s="990"/>
      <c r="BF4" s="991"/>
      <c r="BG4" s="989" t="e">
        <f>IF(Block&gt;0,Defense+1&amp;"-"&amp;Defense+Block,"")</f>
        <v>#REF!</v>
      </c>
      <c r="BH4" s="990"/>
      <c r="BI4" s="990"/>
      <c r="BJ4" s="990"/>
      <c r="BK4" s="991"/>
      <c r="BL4" s="989" t="e">
        <f>IF(Armor&gt;0,Defense+1&amp;"-"&amp;Defense+Armor,"")</f>
        <v>#REF!</v>
      </c>
      <c r="BM4" s="990"/>
      <c r="BN4" s="990"/>
      <c r="BO4" s="990"/>
      <c r="BP4" s="991"/>
      <c r="BQ4" s="989" t="e">
        <f>IF(Resilience&gt;0,Defense+Armor&amp;"-"&amp;MAX(Defense+Armor+Resilience,Defense+Block+Resilience),"")</f>
        <v>#REF!</v>
      </c>
      <c r="BR4" s="990"/>
      <c r="BS4" s="990"/>
      <c r="BT4" s="990"/>
      <c r="BU4" s="991"/>
      <c r="BV4" s="191"/>
      <c r="BW4" s="1022"/>
      <c r="BX4" s="1022"/>
      <c r="BY4" s="1022"/>
      <c r="BZ4" s="1022"/>
      <c r="CA4" s="1022"/>
      <c r="CB4" s="1050"/>
      <c r="CC4" s="1050"/>
      <c r="CD4" s="1050"/>
      <c r="CE4" s="1050"/>
      <c r="CF4" s="1050"/>
      <c r="CG4" s="1050"/>
      <c r="CH4" s="1050"/>
      <c r="CI4" s="1050"/>
      <c r="CJ4" s="1050"/>
      <c r="CK4" s="1050"/>
      <c r="CP4"/>
      <c r="CQ4"/>
      <c r="CR4" s="1002">
        <v>15</v>
      </c>
      <c r="CS4" s="1003"/>
      <c r="CT4"/>
      <c r="CU4" s="1041"/>
      <c r="CV4" s="1042"/>
      <c r="CW4" s="1002">
        <v>15</v>
      </c>
      <c r="CX4" s="1003"/>
      <c r="CY4"/>
      <c r="CZ4" s="1041"/>
      <c r="DA4" s="1042"/>
      <c r="DB4" s="1002">
        <v>15</v>
      </c>
      <c r="DC4" s="1003"/>
    </row>
    <row r="5" spans="1:130" ht="7.5" customHeight="1" x14ac:dyDescent="0.25">
      <c r="A5" s="1107"/>
      <c r="B5" s="1107"/>
      <c r="C5" s="1107"/>
      <c r="D5" s="1107"/>
      <c r="E5" s="1107"/>
      <c r="F5" s="1107"/>
      <c r="G5" s="1107"/>
      <c r="H5" s="1107"/>
      <c r="I5" s="1107"/>
      <c r="J5" s="1107"/>
      <c r="L5" s="1096" t="e">
        <f>INDEX(#REF!,(COUNTA(#REF!))/2+1,0)</f>
        <v>#REF!</v>
      </c>
      <c r="M5" s="1097"/>
      <c r="N5" s="1097"/>
      <c r="O5" s="1097"/>
      <c r="P5" s="1097"/>
      <c r="Q5" s="1097"/>
      <c r="R5" s="1097"/>
      <c r="S5" s="1097"/>
      <c r="T5" s="1097"/>
      <c r="U5" s="1097"/>
      <c r="V5" s="1097"/>
      <c r="W5" s="1097"/>
      <c r="X5" s="1097"/>
      <c r="Y5" s="1097"/>
      <c r="Z5" s="1097" t="e">
        <f ca="1">IF(L5&lt;&gt;"",IF(ISERROR(FIND("Skill",L5,1)),INDIRECT(SUBSTITUTE(SUBSTITUTE(L5," ",""),"-","")),"Score"),"")</f>
        <v>#REF!</v>
      </c>
      <c r="AA5" s="1097"/>
      <c r="AB5" s="1097"/>
      <c r="AC5" s="1097"/>
      <c r="AD5" s="1093" t="str">
        <f ca="1">IF(ISNUMBER(Z5),TRUE,"")</f>
        <v/>
      </c>
      <c r="AE5" s="1113" t="e">
        <f ca="1">IF(Z5="","",IF(ISNUMBER(Z5),"","Favor"))</f>
        <v>#REF!</v>
      </c>
      <c r="AF5" s="1114"/>
      <c r="AG5" s="1114"/>
      <c r="AH5" s="1115"/>
      <c r="AI5" s="1101" t="str">
        <f ca="1">IF(ISNUMBER(AO5),IF(ISNUMBER(AE5),IF(ABS(AE5)&gt;=AO5,"",AO5-ABS(AE5)),AO5),"")</f>
        <v/>
      </c>
      <c r="AJ5" s="1113" t="e">
        <f ca="1">IF(Z5="","",IF(ISNUMBER(Z5),"","Bonus"))</f>
        <v>#REF!</v>
      </c>
      <c r="AK5" s="1114"/>
      <c r="AL5" s="1114"/>
      <c r="AM5" s="1115"/>
      <c r="AN5" s="1101" t="str">
        <f ca="1">IF(ISNUMBER(AO5),IF(ISNUMBER(AE5),IF(AE5&gt;AO5,AO5,IF(AE5&gt;=0,AE5,0)),0)+IF(ISNUMBER(AJ5),AJ5,0),"")</f>
        <v/>
      </c>
      <c r="AO5" s="1098" t="e">
        <f ca="1">IF(Z5="","",IF(ISNUMBER(Z5),FLOOR(Z5/5,1),"Passive"))</f>
        <v>#REF!</v>
      </c>
      <c r="AP5" s="1098"/>
      <c r="AQ5" s="1098"/>
      <c r="AR5" s="1098"/>
      <c r="AS5" s="1098"/>
      <c r="AT5" s="1147"/>
      <c r="AU5" s="1098" t="e">
        <f ca="1">IF(Z5="","",IF(ISNUMBER(Z5),IF(AND(AI5&gt;0,ISNUMBER(AI5)),AI5&amp;"dS","")&amp;IF(AN5&gt;0,"+"&amp;AN5,"")&amp;IF(AN5&lt;0,AN5,""),"Check"))</f>
        <v>#REF!</v>
      </c>
      <c r="AV5" s="1098"/>
      <c r="AW5" s="1098"/>
      <c r="AX5" s="1098"/>
      <c r="AY5" s="1098"/>
      <c r="AZ5" s="1146"/>
      <c r="BB5" s="992"/>
      <c r="BC5" s="993"/>
      <c r="BD5" s="993"/>
      <c r="BE5" s="993"/>
      <c r="BF5" s="994"/>
      <c r="BG5" s="992"/>
      <c r="BH5" s="993"/>
      <c r="BI5" s="993"/>
      <c r="BJ5" s="993"/>
      <c r="BK5" s="994"/>
      <c r="BL5" s="992"/>
      <c r="BM5" s="993"/>
      <c r="BN5" s="993"/>
      <c r="BO5" s="993"/>
      <c r="BP5" s="994"/>
      <c r="BQ5" s="992"/>
      <c r="BR5" s="993"/>
      <c r="BS5" s="993"/>
      <c r="BT5" s="993"/>
      <c r="BU5" s="994"/>
      <c r="BV5" s="191"/>
      <c r="BW5" s="1025" t="e">
        <f>IF(HealthRegeneration&gt;0,HealthRegeneration,"")</f>
        <v>#REF!</v>
      </c>
      <c r="BX5" s="1025"/>
      <c r="BY5" s="1025"/>
      <c r="BZ5" s="1025"/>
      <c r="CA5" s="1025"/>
      <c r="CB5" s="1050"/>
      <c r="CC5" s="1050"/>
      <c r="CD5" s="1050"/>
      <c r="CE5" s="1050"/>
      <c r="CF5" s="1050"/>
      <c r="CG5" s="1050"/>
      <c r="CH5" s="1050"/>
      <c r="CI5" s="1050"/>
      <c r="CJ5" s="1050"/>
      <c r="CK5" s="1050"/>
      <c r="CP5"/>
      <c r="CQ5"/>
      <c r="CR5" s="1004"/>
      <c r="CS5" s="1005"/>
      <c r="CT5"/>
      <c r="CU5" s="1007"/>
      <c r="CV5" s="1043"/>
      <c r="CW5" s="1004"/>
      <c r="CX5" s="1005"/>
      <c r="CY5"/>
      <c r="CZ5" s="1007"/>
      <c r="DA5" s="1043"/>
      <c r="DB5" s="1004"/>
      <c r="DC5" s="1005"/>
      <c r="DG5" s="1044" t="s">
        <v>33</v>
      </c>
      <c r="DH5" s="1044"/>
      <c r="DI5" s="1044"/>
      <c r="DJ5" s="1044"/>
      <c r="DK5" s="1044"/>
      <c r="DL5" s="1044"/>
      <c r="DM5" s="1044"/>
      <c r="DN5" s="1044"/>
      <c r="DO5" s="1044"/>
      <c r="DP5" s="1044"/>
      <c r="DQ5" s="1044"/>
      <c r="DR5" s="1044"/>
      <c r="DS5" s="1044"/>
      <c r="DT5" s="1044"/>
      <c r="DU5" s="1044"/>
      <c r="DV5" s="1044"/>
      <c r="DW5" s="1044"/>
      <c r="DX5" s="1044"/>
      <c r="DY5" s="1044"/>
      <c r="DZ5" s="1044"/>
    </row>
    <row r="6" spans="1:130" ht="7.5" customHeight="1" thickBot="1" x14ac:dyDescent="0.3">
      <c r="A6" s="1134" t="s">
        <v>26</v>
      </c>
      <c r="B6" s="1134"/>
      <c r="C6" s="1134"/>
      <c r="D6" s="1134"/>
      <c r="E6" s="1134"/>
      <c r="F6" s="1134"/>
      <c r="G6" s="1134"/>
      <c r="H6" s="1134"/>
      <c r="I6" s="1134"/>
      <c r="J6" s="1134"/>
      <c r="L6" s="948"/>
      <c r="M6" s="949"/>
      <c r="N6" s="949"/>
      <c r="O6" s="949"/>
      <c r="P6" s="949"/>
      <c r="Q6" s="949"/>
      <c r="R6" s="949"/>
      <c r="S6" s="949"/>
      <c r="T6" s="949"/>
      <c r="U6" s="949"/>
      <c r="V6" s="949"/>
      <c r="W6" s="949"/>
      <c r="X6" s="949"/>
      <c r="Y6" s="949"/>
      <c r="Z6" s="949"/>
      <c r="AA6" s="949"/>
      <c r="AB6" s="949"/>
      <c r="AC6" s="949"/>
      <c r="AD6" s="1094"/>
      <c r="AE6" s="1116"/>
      <c r="AF6" s="1117"/>
      <c r="AG6" s="1117"/>
      <c r="AH6" s="1118"/>
      <c r="AI6" s="1102"/>
      <c r="AJ6" s="1116"/>
      <c r="AK6" s="1117"/>
      <c r="AL6" s="1117"/>
      <c r="AM6" s="1118"/>
      <c r="AN6" s="1102"/>
      <c r="AO6" s="934"/>
      <c r="AP6" s="934"/>
      <c r="AQ6" s="934"/>
      <c r="AR6" s="934"/>
      <c r="AS6" s="934"/>
      <c r="AT6" s="937"/>
      <c r="AU6" s="934"/>
      <c r="AV6" s="934"/>
      <c r="AW6" s="934"/>
      <c r="AX6" s="934"/>
      <c r="AY6" s="934"/>
      <c r="AZ6" s="935"/>
      <c r="BB6" s="995"/>
      <c r="BC6" s="996"/>
      <c r="BD6" s="996"/>
      <c r="BE6" s="996"/>
      <c r="BF6" s="997"/>
      <c r="BG6" s="995"/>
      <c r="BH6" s="996"/>
      <c r="BI6" s="996"/>
      <c r="BJ6" s="996"/>
      <c r="BK6" s="997"/>
      <c r="BL6" s="995"/>
      <c r="BM6" s="996"/>
      <c r="BN6" s="996"/>
      <c r="BO6" s="996"/>
      <c r="BP6" s="997"/>
      <c r="BQ6" s="995"/>
      <c r="BR6" s="996"/>
      <c r="BS6" s="996"/>
      <c r="BT6" s="996"/>
      <c r="BU6" s="997"/>
      <c r="BV6" s="191"/>
      <c r="BW6" s="1026"/>
      <c r="BX6" s="1026"/>
      <c r="BY6" s="1026"/>
      <c r="BZ6" s="1026"/>
      <c r="CA6" s="1026"/>
      <c r="CB6" s="1067" t="e">
        <f>IF(Race&gt;0,"Death at "&amp;DeathHP&amp;" HP","Death at -25% HP")</f>
        <v>#REF!</v>
      </c>
      <c r="CC6" s="1067"/>
      <c r="CD6" s="1067"/>
      <c r="CE6" s="1067"/>
      <c r="CF6" s="1067"/>
      <c r="CG6" s="1067"/>
      <c r="CH6" s="1067"/>
      <c r="CI6" s="1067"/>
      <c r="CJ6" s="1067"/>
      <c r="CK6" s="1067"/>
      <c r="CP6" s="1006"/>
      <c r="CQ6" s="1006"/>
      <c r="CR6" s="1002">
        <v>15</v>
      </c>
      <c r="CS6" s="1003"/>
      <c r="CT6"/>
      <c r="CU6" s="1006"/>
      <c r="CV6" s="1006"/>
      <c r="CW6" s="1002">
        <v>15</v>
      </c>
      <c r="CX6" s="1003"/>
      <c r="CY6"/>
      <c r="CZ6" s="1006"/>
      <c r="DA6" s="1006"/>
      <c r="DB6" s="1002">
        <v>15</v>
      </c>
      <c r="DC6" s="1003"/>
      <c r="DG6" s="1045"/>
      <c r="DH6" s="1045"/>
      <c r="DI6" s="1045"/>
      <c r="DJ6" s="1045"/>
      <c r="DK6" s="1045"/>
      <c r="DL6" s="1045"/>
      <c r="DM6" s="1045"/>
      <c r="DN6" s="1045"/>
      <c r="DO6" s="1045"/>
      <c r="DP6" s="1045"/>
      <c r="DQ6" s="1045"/>
      <c r="DR6" s="1045"/>
      <c r="DS6" s="1045"/>
      <c r="DT6" s="1045"/>
      <c r="DU6" s="1045"/>
      <c r="DV6" s="1045"/>
      <c r="DW6" s="1045"/>
      <c r="DX6" s="1045"/>
      <c r="DY6" s="1045"/>
      <c r="DZ6" s="1045"/>
    </row>
    <row r="7" spans="1:130" ht="7.5" customHeight="1" thickBot="1" x14ac:dyDescent="0.3">
      <c r="A7" s="1127"/>
      <c r="B7" s="1127"/>
      <c r="C7" s="1123" t="s">
        <v>0</v>
      </c>
      <c r="D7" s="1123"/>
      <c r="E7" s="1123"/>
      <c r="F7" s="1123"/>
      <c r="H7" s="1125" t="s">
        <v>441</v>
      </c>
      <c r="I7" s="1125"/>
      <c r="J7" s="1125"/>
      <c r="L7" s="946" t="e">
        <f>INDEX(#REF!,(COUNTA(#REF!))/2+1,0)</f>
        <v>#REF!</v>
      </c>
      <c r="M7" s="947"/>
      <c r="N7" s="947"/>
      <c r="O7" s="947"/>
      <c r="P7" s="947"/>
      <c r="Q7" s="947"/>
      <c r="R7" s="947"/>
      <c r="S7" s="947"/>
      <c r="T7" s="947"/>
      <c r="U7" s="947"/>
      <c r="V7" s="947"/>
      <c r="W7" s="947"/>
      <c r="X7" s="947"/>
      <c r="Y7" s="947"/>
      <c r="Z7" s="947" t="e">
        <f ca="1">IF(L7&lt;&gt;"",IF(ISERROR(FIND("Skill",L7,1)),INDIRECT(SUBSTITUTE(SUBSTITUTE(L7," ",""),"-","")),"Score"),"")</f>
        <v>#REF!</v>
      </c>
      <c r="AA7" s="947"/>
      <c r="AB7" s="947"/>
      <c r="AC7" s="947"/>
      <c r="AD7" s="1132" t="str">
        <f ca="1">IF(ISNUMBER(Z7),TRUE,"")</f>
        <v/>
      </c>
      <c r="AE7" s="940" t="e">
        <f ca="1">IF(Z7="","",IF(ISNUMBER(Z7),"","Favor"))</f>
        <v>#REF!</v>
      </c>
      <c r="AF7" s="941"/>
      <c r="AG7" s="941"/>
      <c r="AH7" s="942"/>
      <c r="AI7" s="938" t="str">
        <f ca="1">IF(ISNUMBER(AO7),IF(ISNUMBER(AE7),IF(ABS(AE7)&gt;=AO7,"",AO7-ABS(AE7)),AO7),"")</f>
        <v/>
      </c>
      <c r="AJ7" s="940" t="e">
        <f ca="1">IF(Z7="","",IF(ISNUMBER(Z7),"","Bonus"))</f>
        <v>#REF!</v>
      </c>
      <c r="AK7" s="941"/>
      <c r="AL7" s="941"/>
      <c r="AM7" s="942"/>
      <c r="AN7" s="1099" t="str">
        <f ca="1">IF(ISNUMBER(AO7),IF(ISNUMBER(AE7),IF(AE7&gt;AO7,AO7,IF(AE7&gt;=0,AE7,0)),0)+IF(ISNUMBER(AJ7),AJ7,0),"")</f>
        <v/>
      </c>
      <c r="AO7" s="932" t="e">
        <f ca="1">IF(Z7="","",IF(ISNUMBER(Z7),FLOOR(Z7/5,1),"Passive"))</f>
        <v>#REF!</v>
      </c>
      <c r="AP7" s="932"/>
      <c r="AQ7" s="932"/>
      <c r="AR7" s="932"/>
      <c r="AS7" s="932"/>
      <c r="AT7" s="936"/>
      <c r="AU7" s="932" t="e">
        <f ca="1">IF(Z7="","",IF(ISNUMBER(Z7),IF(AND(AI7&gt;0,ISNUMBER(AI7)),AI7&amp;"dS","")&amp;IF(AN7&gt;0,"+"&amp;AN7,"")&amp;IF(AN7&lt;0,AN7,""),"Check"))</f>
        <v>#REF!</v>
      </c>
      <c r="AV7" s="932"/>
      <c r="AW7" s="932"/>
      <c r="AX7" s="932"/>
      <c r="AY7" s="932"/>
      <c r="AZ7" s="933"/>
      <c r="BB7" s="998"/>
      <c r="BC7" s="998"/>
      <c r="BD7" s="998"/>
      <c r="BE7" s="998"/>
      <c r="BF7" s="998"/>
      <c r="BG7" s="294"/>
      <c r="BH7" s="294"/>
      <c r="BI7" s="294"/>
      <c r="BJ7" s="294"/>
      <c r="BK7" s="295"/>
      <c r="BQ7" s="1066"/>
      <c r="BR7" s="1066"/>
      <c r="BS7" s="1066"/>
      <c r="BT7" s="1066"/>
      <c r="BU7" s="1066"/>
      <c r="BW7" s="1036" t="s">
        <v>79</v>
      </c>
      <c r="BX7" s="1037"/>
      <c r="BY7" s="1037"/>
      <c r="BZ7" s="1037"/>
      <c r="CA7" s="1037"/>
      <c r="CB7" s="1068"/>
      <c r="CC7" s="1068"/>
      <c r="CD7" s="1068"/>
      <c r="CE7" s="1068"/>
      <c r="CF7" s="1068"/>
      <c r="CG7" s="1068"/>
      <c r="CH7" s="1068"/>
      <c r="CI7" s="1068"/>
      <c r="CJ7" s="1068"/>
      <c r="CK7" s="1068"/>
      <c r="CP7" s="1007"/>
      <c r="CQ7" s="1007"/>
      <c r="CR7" s="1004"/>
      <c r="CS7" s="1005"/>
      <c r="CT7"/>
      <c r="CU7" s="1007"/>
      <c r="CV7" s="1007"/>
      <c r="CW7" s="1004"/>
      <c r="CX7" s="1005"/>
      <c r="CY7"/>
      <c r="CZ7" s="1007"/>
      <c r="DA7" s="1007"/>
      <c r="DB7" s="1004"/>
      <c r="DC7" s="1005"/>
      <c r="DG7" s="989" t="e">
        <f>IF(Resistance&gt;0,Resistance,"5+wis+ins")</f>
        <v>#REF!</v>
      </c>
      <c r="DH7" s="990"/>
      <c r="DI7" s="990"/>
      <c r="DJ7" s="990"/>
      <c r="DK7" s="991"/>
      <c r="DL7" s="989" t="e">
        <f>IF(Aegis&gt;0,Defense+Aegis,"")</f>
        <v>#REF!</v>
      </c>
      <c r="DM7" s="990"/>
      <c r="DN7" s="990"/>
      <c r="DO7" s="990"/>
      <c r="DP7" s="991"/>
      <c r="DQ7" s="989" t="e">
        <f>IF(Ward&gt;0,Resistance+Aegis+Ward,"")</f>
        <v>#NAME?</v>
      </c>
      <c r="DR7" s="990"/>
      <c r="DS7" s="990"/>
      <c r="DT7" s="990"/>
      <c r="DU7" s="991"/>
      <c r="DV7" s="989" t="e">
        <f>IF(Tenacity&gt;0,Resistance+Aegis+Ward+Tenacity,"")</f>
        <v>#NAME?</v>
      </c>
      <c r="DW7" s="990"/>
      <c r="DX7" s="990"/>
      <c r="DY7" s="990"/>
      <c r="DZ7" s="991"/>
    </row>
    <row r="8" spans="1:130" ht="7.5" customHeight="1" thickBot="1" x14ac:dyDescent="0.3">
      <c r="A8" s="1127"/>
      <c r="B8" s="1127"/>
      <c r="C8" s="1124"/>
      <c r="D8" s="1124"/>
      <c r="E8" s="1124"/>
      <c r="F8" s="1124"/>
      <c r="H8" s="1126"/>
      <c r="I8" s="1126"/>
      <c r="J8" s="1126"/>
      <c r="L8" s="948"/>
      <c r="M8" s="949"/>
      <c r="N8" s="949"/>
      <c r="O8" s="949"/>
      <c r="P8" s="949"/>
      <c r="Q8" s="949"/>
      <c r="R8" s="949"/>
      <c r="S8" s="949"/>
      <c r="T8" s="949"/>
      <c r="U8" s="949"/>
      <c r="V8" s="949"/>
      <c r="W8" s="949"/>
      <c r="X8" s="949"/>
      <c r="Y8" s="949"/>
      <c r="Z8" s="949"/>
      <c r="AA8" s="949"/>
      <c r="AB8" s="949"/>
      <c r="AC8" s="949"/>
      <c r="AD8" s="1133"/>
      <c r="AE8" s="943"/>
      <c r="AF8" s="944"/>
      <c r="AG8" s="944"/>
      <c r="AH8" s="945"/>
      <c r="AI8" s="939"/>
      <c r="AJ8" s="943"/>
      <c r="AK8" s="944"/>
      <c r="AL8" s="944"/>
      <c r="AM8" s="945"/>
      <c r="AN8" s="1100"/>
      <c r="AO8" s="934"/>
      <c r="AP8" s="934"/>
      <c r="AQ8" s="934"/>
      <c r="AR8" s="934"/>
      <c r="AS8" s="934"/>
      <c r="AT8" s="937"/>
      <c r="AU8" s="934"/>
      <c r="AV8" s="934"/>
      <c r="AW8" s="934"/>
      <c r="AX8" s="934"/>
      <c r="AY8" s="934"/>
      <c r="AZ8" s="935"/>
      <c r="BB8" s="1051"/>
      <c r="BC8" s="1052"/>
      <c r="BD8" s="1052"/>
      <c r="BE8" s="1052"/>
      <c r="BF8" s="1052"/>
      <c r="BG8" s="1052"/>
      <c r="BH8" s="1052"/>
      <c r="BI8" s="1052"/>
      <c r="BJ8" s="1052"/>
      <c r="BK8" s="1053"/>
      <c r="BL8" s="1051"/>
      <c r="BM8" s="1052"/>
      <c r="BN8" s="1052"/>
      <c r="BO8" s="1052"/>
      <c r="BP8" s="1052"/>
      <c r="BQ8" s="1052"/>
      <c r="BR8" s="1052"/>
      <c r="BS8" s="1052"/>
      <c r="BT8" s="1052"/>
      <c r="BU8" s="1053"/>
      <c r="BW8" s="1038"/>
      <c r="BX8" s="1038"/>
      <c r="BY8" s="1038"/>
      <c r="BZ8" s="1038"/>
      <c r="CA8" s="1038"/>
      <c r="CP8" s="1006"/>
      <c r="CQ8" s="1006"/>
      <c r="CR8" s="1002">
        <v>15</v>
      </c>
      <c r="CS8" s="1003"/>
      <c r="CT8"/>
      <c r="CU8" s="1006"/>
      <c r="CV8" s="1006"/>
      <c r="CW8" s="1002">
        <v>15</v>
      </c>
      <c r="CX8" s="1003"/>
      <c r="CY8"/>
      <c r="CZ8" s="1006"/>
      <c r="DA8" s="1006"/>
      <c r="DB8" s="1002">
        <v>15</v>
      </c>
      <c r="DC8" s="1003"/>
      <c r="DG8" s="992"/>
      <c r="DH8" s="993"/>
      <c r="DI8" s="993"/>
      <c r="DJ8" s="993"/>
      <c r="DK8" s="994"/>
      <c r="DL8" s="992"/>
      <c r="DM8" s="993"/>
      <c r="DN8" s="993"/>
      <c r="DO8" s="993"/>
      <c r="DP8" s="994"/>
      <c r="DQ8" s="992"/>
      <c r="DR8" s="993"/>
      <c r="DS8" s="993"/>
      <c r="DT8" s="993"/>
      <c r="DU8" s="994"/>
      <c r="DV8" s="992"/>
      <c r="DW8" s="993"/>
      <c r="DX8" s="993"/>
      <c r="DY8" s="993"/>
      <c r="DZ8" s="994"/>
    </row>
    <row r="9" spans="1:130" ht="7.5" customHeight="1" thickTop="1" x14ac:dyDescent="0.25">
      <c r="L9" s="946" t="e">
        <f>INDEX(#REF!,(COUNTA(#REF!))/2+1,0)</f>
        <v>#REF!</v>
      </c>
      <c r="M9" s="947"/>
      <c r="N9" s="947"/>
      <c r="O9" s="947"/>
      <c r="P9" s="947"/>
      <c r="Q9" s="947"/>
      <c r="R9" s="947"/>
      <c r="S9" s="947"/>
      <c r="T9" s="947"/>
      <c r="U9" s="947"/>
      <c r="V9" s="947"/>
      <c r="W9" s="947"/>
      <c r="X9" s="947"/>
      <c r="Y9" s="947"/>
      <c r="Z9" s="947" t="e">
        <f ca="1">IF(L9&lt;&gt;"",IF(ISERROR(FIND("Skill",L9,1)),INDIRECT(SUBSTITUTE(SUBSTITUTE(L9," ",""),"-","")),"Score"),"")</f>
        <v>#REF!</v>
      </c>
      <c r="AA9" s="947"/>
      <c r="AB9" s="947"/>
      <c r="AC9" s="947"/>
      <c r="AD9" s="1132" t="str">
        <f ca="1">IF(ISNUMBER(Z9),TRUE,"")</f>
        <v/>
      </c>
      <c r="AE9" s="940" t="e">
        <f ca="1">IF(Z9="","",IF(ISNUMBER(Z9),"","Favor"))</f>
        <v>#REF!</v>
      </c>
      <c r="AF9" s="941"/>
      <c r="AG9" s="941"/>
      <c r="AH9" s="942"/>
      <c r="AI9" s="938" t="str">
        <f ca="1">IF(ISNUMBER(AO9),IF(ISNUMBER(AE9),IF(ABS(AE9)&gt;=AO9,"",AO9-ABS(AE9)),AO9),"")</f>
        <v/>
      </c>
      <c r="AJ9" s="940" t="e">
        <f ca="1">IF(Z9="","",IF(ISNUMBER(Z9),"","Bonus"))</f>
        <v>#REF!</v>
      </c>
      <c r="AK9" s="941"/>
      <c r="AL9" s="941"/>
      <c r="AM9" s="942"/>
      <c r="AN9" s="1099" t="str">
        <f ca="1">IF(ISNUMBER(AO9),IF(ISNUMBER(AE9),IF(AE9&gt;AO9,AO9,IF(AE9&gt;=0,AE9,0)),0)+IF(ISNUMBER(AJ9),AJ9,0),"")</f>
        <v/>
      </c>
      <c r="AO9" s="932" t="e">
        <f ca="1">IF(Z9="","",IF(ISNUMBER(Z9),FLOOR(Z9/5,1),"Passive"))</f>
        <v>#REF!</v>
      </c>
      <c r="AP9" s="932"/>
      <c r="AQ9" s="932"/>
      <c r="AR9" s="932"/>
      <c r="AS9" s="932"/>
      <c r="AT9" s="936"/>
      <c r="AU9" s="932" t="e">
        <f ca="1">IF(Z9="","",IF(ISNUMBER(Z9),IF(AND(AI9&gt;0,ISNUMBER(AI9)),AI9&amp;"dS","")&amp;IF(AN9&gt;0,"+"&amp;AN9,"")&amp;IF(AN9&lt;0,AN9,""),"Check"))</f>
        <v>#REF!</v>
      </c>
      <c r="AV9" s="932"/>
      <c r="AW9" s="932"/>
      <c r="AX9" s="932"/>
      <c r="AY9" s="932"/>
      <c r="AZ9" s="933"/>
      <c r="BB9" s="1057"/>
      <c r="BC9" s="1058"/>
      <c r="BD9" s="1058"/>
      <c r="BE9" s="1058"/>
      <c r="BF9" s="1058"/>
      <c r="BG9" s="1058"/>
      <c r="BH9" s="1058"/>
      <c r="BI9" s="1058"/>
      <c r="BJ9" s="1058"/>
      <c r="BK9" s="1059"/>
      <c r="BL9" s="1057"/>
      <c r="BM9" s="1058"/>
      <c r="BN9" s="1058"/>
      <c r="BO9" s="1058"/>
      <c r="BP9" s="1058"/>
      <c r="BQ9" s="1058"/>
      <c r="BR9" s="1058"/>
      <c r="BS9" s="1058"/>
      <c r="BT9" s="1058"/>
      <c r="BU9" s="1059"/>
      <c r="BW9" s="1032" t="e">
        <f>IF(Race&gt;0,Energy,"Max")</f>
        <v>#REF!</v>
      </c>
      <c r="BX9" s="1033"/>
      <c r="BY9" s="1033"/>
      <c r="BZ9" s="1033"/>
      <c r="CA9" s="1033"/>
      <c r="CB9" s="1030" t="str">
        <f>IF(ISNUMBER(BW9),"","5*FOC + 3*CNV")</f>
        <v>5*FOC + 3*CNV</v>
      </c>
      <c r="CC9" s="1030"/>
      <c r="CD9" s="1030"/>
      <c r="CE9" s="1030"/>
      <c r="CF9" s="1030"/>
      <c r="CG9" s="1030"/>
      <c r="CH9" s="1030"/>
      <c r="CI9" s="1030"/>
      <c r="CJ9" s="1030"/>
      <c r="CK9" s="1030"/>
      <c r="CP9" s="1007"/>
      <c r="CQ9" s="1007"/>
      <c r="CR9" s="1004"/>
      <c r="CS9" s="1005"/>
      <c r="CT9"/>
      <c r="CU9" s="1007"/>
      <c r="CV9" s="1007"/>
      <c r="CW9" s="1004"/>
      <c r="CX9" s="1005"/>
      <c r="CY9"/>
      <c r="CZ9" s="1007"/>
      <c r="DA9" s="1007"/>
      <c r="DB9" s="1004"/>
      <c r="DC9" s="1005"/>
      <c r="DG9" s="995"/>
      <c r="DH9" s="996"/>
      <c r="DI9" s="996"/>
      <c r="DJ9" s="996"/>
      <c r="DK9" s="997"/>
      <c r="DL9" s="995"/>
      <c r="DM9" s="996"/>
      <c r="DN9" s="996"/>
      <c r="DO9" s="996"/>
      <c r="DP9" s="997"/>
      <c r="DQ9" s="995"/>
      <c r="DR9" s="996"/>
      <c r="DS9" s="996"/>
      <c r="DT9" s="996"/>
      <c r="DU9" s="997"/>
      <c r="DV9" s="995"/>
      <c r="DW9" s="996"/>
      <c r="DX9" s="996"/>
      <c r="DY9" s="996"/>
      <c r="DZ9" s="997"/>
    </row>
    <row r="10" spans="1:130" ht="7.5" customHeight="1" thickBot="1" x14ac:dyDescent="0.3">
      <c r="A10" s="1121" t="s">
        <v>1</v>
      </c>
      <c r="B10" s="1121"/>
      <c r="C10" s="1121"/>
      <c r="D10" s="1128" t="e">
        <f>STR</f>
        <v>#REF!</v>
      </c>
      <c r="E10" s="1128"/>
      <c r="F10" s="1128"/>
      <c r="G10" s="36"/>
      <c r="H10" s="1128" t="e">
        <f>STR</f>
        <v>#REF!</v>
      </c>
      <c r="I10" s="1129"/>
      <c r="J10" s="1129"/>
      <c r="L10" s="948"/>
      <c r="M10" s="949"/>
      <c r="N10" s="949"/>
      <c r="O10" s="949"/>
      <c r="P10" s="949"/>
      <c r="Q10" s="949"/>
      <c r="R10" s="949"/>
      <c r="S10" s="949"/>
      <c r="T10" s="949"/>
      <c r="U10" s="949"/>
      <c r="V10" s="949"/>
      <c r="W10" s="949"/>
      <c r="X10" s="949"/>
      <c r="Y10" s="949"/>
      <c r="Z10" s="949"/>
      <c r="AA10" s="949"/>
      <c r="AB10" s="949"/>
      <c r="AC10" s="949"/>
      <c r="AD10" s="1133"/>
      <c r="AE10" s="943"/>
      <c r="AF10" s="944"/>
      <c r="AG10" s="944"/>
      <c r="AH10" s="945"/>
      <c r="AI10" s="939"/>
      <c r="AJ10" s="943"/>
      <c r="AK10" s="944"/>
      <c r="AL10" s="944"/>
      <c r="AM10" s="945"/>
      <c r="AN10" s="1100"/>
      <c r="AO10" s="934"/>
      <c r="AP10" s="934"/>
      <c r="AQ10" s="934"/>
      <c r="AR10" s="934"/>
      <c r="AS10" s="934"/>
      <c r="AT10" s="937"/>
      <c r="AU10" s="934"/>
      <c r="AV10" s="934"/>
      <c r="AW10" s="934"/>
      <c r="AX10" s="934"/>
      <c r="AY10" s="934"/>
      <c r="AZ10" s="935"/>
      <c r="BB10" s="1051"/>
      <c r="BC10" s="1052"/>
      <c r="BD10" s="1052"/>
      <c r="BE10" s="1052"/>
      <c r="BF10" s="1052"/>
      <c r="BG10" s="1052"/>
      <c r="BH10" s="1052"/>
      <c r="BI10" s="1052"/>
      <c r="BJ10" s="1052"/>
      <c r="BK10" s="1053"/>
      <c r="BL10" s="1051"/>
      <c r="BM10" s="1052"/>
      <c r="BN10" s="1052"/>
      <c r="BO10" s="1052"/>
      <c r="BP10" s="1052"/>
      <c r="BQ10" s="1052"/>
      <c r="BR10" s="1052"/>
      <c r="BS10" s="1052"/>
      <c r="BT10" s="1052"/>
      <c r="BU10" s="1053"/>
      <c r="BW10" s="1034"/>
      <c r="BX10" s="1034"/>
      <c r="BY10" s="1034"/>
      <c r="BZ10" s="1034"/>
      <c r="CA10" s="1034"/>
      <c r="CB10" s="1031"/>
      <c r="CC10" s="1031"/>
      <c r="CD10" s="1031"/>
      <c r="CE10" s="1031"/>
      <c r="CF10" s="1031"/>
      <c r="CG10" s="1031"/>
      <c r="CH10" s="1031"/>
      <c r="CI10" s="1031"/>
      <c r="CJ10" s="1031"/>
      <c r="CK10" s="1031"/>
      <c r="CP10" s="1006"/>
      <c r="CQ10" s="1006"/>
      <c r="CR10" s="1002">
        <v>15</v>
      </c>
      <c r="CS10" s="1003"/>
      <c r="CT10"/>
      <c r="CU10" s="1006"/>
      <c r="CV10" s="1006"/>
      <c r="CW10" s="1002">
        <v>15</v>
      </c>
      <c r="CX10" s="1003"/>
      <c r="CY10"/>
      <c r="CZ10" s="1006"/>
      <c r="DA10" s="1006"/>
      <c r="DB10" s="1002">
        <v>15</v>
      </c>
      <c r="DC10" s="1003"/>
      <c r="DG10" s="999" t="s">
        <v>47</v>
      </c>
      <c r="DH10" s="1000"/>
      <c r="DI10" s="1000"/>
      <c r="DJ10" s="1000"/>
      <c r="DK10" s="1001"/>
      <c r="DL10" s="999" t="s">
        <v>80</v>
      </c>
      <c r="DM10" s="1000"/>
      <c r="DN10" s="1000"/>
      <c r="DO10" s="1000"/>
      <c r="DP10" s="1001"/>
      <c r="DQ10" s="999" t="s">
        <v>53</v>
      </c>
      <c r="DR10" s="1000"/>
      <c r="DS10" s="1000"/>
      <c r="DT10" s="1000"/>
      <c r="DU10" s="1001"/>
      <c r="DV10" s="999" t="s">
        <v>49</v>
      </c>
      <c r="DW10" s="1000"/>
      <c r="DX10" s="1000"/>
      <c r="DY10" s="1000"/>
      <c r="DZ10" s="1001"/>
    </row>
    <row r="11" spans="1:130" ht="7.5" customHeight="1" thickBot="1" x14ac:dyDescent="0.3">
      <c r="A11" s="1122"/>
      <c r="B11" s="1122"/>
      <c r="C11" s="1122"/>
      <c r="D11" s="1131"/>
      <c r="E11" s="1131"/>
      <c r="F11" s="1131"/>
      <c r="G11" s="36"/>
      <c r="H11" s="1129"/>
      <c r="I11" s="1129"/>
      <c r="J11" s="1129"/>
      <c r="L11" s="946" t="e">
        <f>INDEX(#REF!,(COUNTA(#REF!))/2+1,0)</f>
        <v>#REF!</v>
      </c>
      <c r="M11" s="947"/>
      <c r="N11" s="947"/>
      <c r="O11" s="947"/>
      <c r="P11" s="947"/>
      <c r="Q11" s="947"/>
      <c r="R11" s="947"/>
      <c r="S11" s="947"/>
      <c r="T11" s="947"/>
      <c r="U11" s="947"/>
      <c r="V11" s="947"/>
      <c r="W11" s="947"/>
      <c r="X11" s="947"/>
      <c r="Y11" s="947"/>
      <c r="Z11" s="947" t="e">
        <f ca="1">IF(L11&lt;&gt;"",IF(ISERROR(FIND("Skill",L11,1)),INDIRECT(SUBSTITUTE(SUBSTITUTE(L11," ",""),"-","")),"Score"),"")</f>
        <v>#REF!</v>
      </c>
      <c r="AA11" s="947"/>
      <c r="AB11" s="947"/>
      <c r="AC11" s="947"/>
      <c r="AD11" s="1132" t="str">
        <f ca="1">IF(ISNUMBER(Z11),TRUE,"")</f>
        <v/>
      </c>
      <c r="AE11" s="940" t="e">
        <f ca="1">IF(Z11="","",IF(ISNUMBER(Z11),"","Favor"))</f>
        <v>#REF!</v>
      </c>
      <c r="AF11" s="941"/>
      <c r="AG11" s="941"/>
      <c r="AH11" s="942"/>
      <c r="AI11" s="938" t="str">
        <f ca="1">IF(ISNUMBER(AO11),IF(ISNUMBER(AE11),IF(ABS(AE11)&gt;=AO11,"",AO11-ABS(AE11)),AO11),"")</f>
        <v/>
      </c>
      <c r="AJ11" s="940" t="e">
        <f ca="1">IF(Z11="","",IF(ISNUMBER(Z11),"","Bonus"))</f>
        <v>#REF!</v>
      </c>
      <c r="AK11" s="941"/>
      <c r="AL11" s="941"/>
      <c r="AM11" s="942"/>
      <c r="AN11" s="1099" t="str">
        <f ca="1">IF(ISNUMBER(AO11),IF(ISNUMBER(AE11),IF(AE11&gt;AO11,AO11,IF(AE11&gt;=0,AE11,0)),0)+IF(ISNUMBER(AJ11),AJ11,0),"")</f>
        <v/>
      </c>
      <c r="AO11" s="932" t="e">
        <f ca="1">IF(Z11="","",IF(ISNUMBER(Z11),FLOOR(Z11/5,1),"Passive"))</f>
        <v>#REF!</v>
      </c>
      <c r="AP11" s="932"/>
      <c r="AQ11" s="932"/>
      <c r="AR11" s="932"/>
      <c r="AS11" s="932"/>
      <c r="AT11" s="936"/>
      <c r="AU11" s="932" t="e">
        <f ca="1">IF(Z11="","",IF(ISNUMBER(Z11),IF(AND(AI11&gt;0,ISNUMBER(AI11)),AI11&amp;"dS","")&amp;IF(AN11&gt;0,"+"&amp;AN11,"")&amp;IF(AN11&lt;0,AN11,""),"Check"))</f>
        <v>#REF!</v>
      </c>
      <c r="AV11" s="932"/>
      <c r="AW11" s="932"/>
      <c r="AX11" s="932"/>
      <c r="AY11" s="932"/>
      <c r="AZ11" s="933"/>
      <c r="BB11" s="1057"/>
      <c r="BC11" s="1058"/>
      <c r="BD11" s="1058"/>
      <c r="BE11" s="1058"/>
      <c r="BF11" s="1058"/>
      <c r="BG11" s="1058"/>
      <c r="BH11" s="1058"/>
      <c r="BI11" s="1058"/>
      <c r="BJ11" s="1058"/>
      <c r="BK11" s="1059"/>
      <c r="BL11" s="1057"/>
      <c r="BM11" s="1058"/>
      <c r="BN11" s="1058"/>
      <c r="BO11" s="1058"/>
      <c r="BP11" s="1058"/>
      <c r="BQ11" s="1058"/>
      <c r="BR11" s="1058"/>
      <c r="BS11" s="1058"/>
      <c r="BT11" s="1058"/>
      <c r="BU11" s="1059"/>
      <c r="BV11" s="191"/>
      <c r="BW11" s="1034"/>
      <c r="BX11" s="1034"/>
      <c r="BY11" s="1034"/>
      <c r="BZ11" s="1034"/>
      <c r="CA11" s="1034"/>
      <c r="CB11" s="1039" t="s">
        <v>21</v>
      </c>
      <c r="CC11" s="1039"/>
      <c r="CD11" s="1039"/>
      <c r="CE11" s="1039"/>
      <c r="CF11" s="1039"/>
      <c r="CG11" s="1039"/>
      <c r="CH11" s="1039"/>
      <c r="CI11" s="1039"/>
      <c r="CJ11" s="1039"/>
      <c r="CK11" s="1039"/>
      <c r="CP11" s="1007"/>
      <c r="CQ11" s="1007"/>
      <c r="CR11" s="1004"/>
      <c r="CS11" s="1005"/>
      <c r="CT11"/>
      <c r="CU11" s="1007"/>
      <c r="CV11" s="1007"/>
      <c r="CW11" s="1004"/>
      <c r="CX11" s="1005"/>
      <c r="CY11"/>
      <c r="CZ11" s="1007"/>
      <c r="DA11" s="1007"/>
      <c r="DB11" s="1004"/>
      <c r="DC11" s="1005"/>
      <c r="DL11" s="989" t="s">
        <v>28</v>
      </c>
      <c r="DM11" s="990"/>
      <c r="DN11" s="990"/>
      <c r="DO11" s="990"/>
      <c r="DP11" s="991"/>
      <c r="DQ11" s="989" t="s">
        <v>28</v>
      </c>
      <c r="DR11" s="990"/>
      <c r="DS11" s="990"/>
      <c r="DT11" s="990"/>
      <c r="DU11" s="991"/>
      <c r="DV11" s="1046"/>
      <c r="DW11" s="1047"/>
      <c r="DX11" s="1047"/>
      <c r="DY11" s="1047"/>
      <c r="DZ11" s="1048"/>
    </row>
    <row r="12" spans="1:130" ht="7.5" customHeight="1" thickBot="1" x14ac:dyDescent="0.3">
      <c r="A12" s="1119"/>
      <c r="B12" s="1120"/>
      <c r="C12" s="1120"/>
      <c r="D12" s="1131"/>
      <c r="E12" s="1131"/>
      <c r="F12" s="1131"/>
      <c r="G12" s="36">
        <v>20</v>
      </c>
      <c r="H12" s="1130"/>
      <c r="I12" s="1130"/>
      <c r="J12" s="1130"/>
      <c r="L12" s="948"/>
      <c r="M12" s="949"/>
      <c r="N12" s="949"/>
      <c r="O12" s="949"/>
      <c r="P12" s="949"/>
      <c r="Q12" s="949"/>
      <c r="R12" s="949"/>
      <c r="S12" s="949"/>
      <c r="T12" s="949"/>
      <c r="U12" s="949"/>
      <c r="V12" s="949"/>
      <c r="W12" s="949"/>
      <c r="X12" s="949"/>
      <c r="Y12" s="949"/>
      <c r="Z12" s="949"/>
      <c r="AA12" s="949"/>
      <c r="AB12" s="949"/>
      <c r="AC12" s="949"/>
      <c r="AD12" s="1133"/>
      <c r="AE12" s="943"/>
      <c r="AF12" s="944"/>
      <c r="AG12" s="944"/>
      <c r="AH12" s="945"/>
      <c r="AI12" s="939"/>
      <c r="AJ12" s="943"/>
      <c r="AK12" s="944"/>
      <c r="AL12" s="944"/>
      <c r="AM12" s="945"/>
      <c r="AN12" s="1100"/>
      <c r="AO12" s="934"/>
      <c r="AP12" s="934"/>
      <c r="AQ12" s="934"/>
      <c r="AR12" s="934"/>
      <c r="AS12" s="934"/>
      <c r="AT12" s="937"/>
      <c r="AU12" s="934"/>
      <c r="AV12" s="934"/>
      <c r="AW12" s="934"/>
      <c r="AX12" s="934"/>
      <c r="AY12" s="934"/>
      <c r="AZ12" s="935"/>
      <c r="BB12" s="1051"/>
      <c r="BC12" s="1052"/>
      <c r="BD12" s="1052"/>
      <c r="BE12" s="1052"/>
      <c r="BF12" s="1052"/>
      <c r="BG12" s="1052"/>
      <c r="BH12" s="1052"/>
      <c r="BI12" s="1052"/>
      <c r="BJ12" s="1052"/>
      <c r="BK12" s="1053"/>
      <c r="BL12" s="1051"/>
      <c r="BM12" s="1052"/>
      <c r="BN12" s="1052"/>
      <c r="BO12" s="1052"/>
      <c r="BP12" s="1052"/>
      <c r="BQ12" s="1052"/>
      <c r="BR12" s="1052"/>
      <c r="BS12" s="1052"/>
      <c r="BT12" s="1052"/>
      <c r="BU12" s="1053"/>
      <c r="BV12" s="191"/>
      <c r="BW12" s="1035"/>
      <c r="BX12" s="1035"/>
      <c r="BY12" s="1035"/>
      <c r="BZ12" s="1035"/>
      <c r="CA12" s="1035"/>
      <c r="CB12" s="1039"/>
      <c r="CC12" s="1039"/>
      <c r="CD12" s="1039"/>
      <c r="CE12" s="1039"/>
      <c r="CF12" s="1039"/>
      <c r="CG12" s="1039"/>
      <c r="CH12" s="1039"/>
      <c r="CI12" s="1039"/>
      <c r="CJ12" s="1039"/>
      <c r="CK12" s="1039"/>
      <c r="DL12" s="992"/>
      <c r="DM12" s="993"/>
      <c r="DN12" s="993"/>
      <c r="DO12" s="993"/>
      <c r="DP12" s="994"/>
      <c r="DQ12" s="992"/>
      <c r="DR12" s="993"/>
      <c r="DS12" s="993"/>
      <c r="DT12" s="993"/>
      <c r="DU12" s="994"/>
      <c r="DV12" s="992"/>
      <c r="DW12" s="993"/>
      <c r="DX12" s="993"/>
      <c r="DY12" s="993"/>
      <c r="DZ12" s="994"/>
    </row>
    <row r="13" spans="1:130" ht="7.5" customHeight="1" thickBot="1" x14ac:dyDescent="0.3">
      <c r="A13" s="1121" t="s">
        <v>2</v>
      </c>
      <c r="B13" s="1121"/>
      <c r="C13" s="1121"/>
      <c r="D13" s="1131" t="e">
        <f>AGI</f>
        <v>#REF!</v>
      </c>
      <c r="E13" s="1131"/>
      <c r="F13" s="1131"/>
      <c r="G13" s="196"/>
      <c r="H13" s="1131" t="e">
        <f>AGI</f>
        <v>#REF!</v>
      </c>
      <c r="I13" s="1131"/>
      <c r="J13" s="1131"/>
      <c r="L13" s="946" t="e">
        <f>INDEX(#REF!,(COUNTA(#REF!))/2+1,0)</f>
        <v>#REF!</v>
      </c>
      <c r="M13" s="947"/>
      <c r="N13" s="947"/>
      <c r="O13" s="947"/>
      <c r="P13" s="947"/>
      <c r="Q13" s="947"/>
      <c r="R13" s="947"/>
      <c r="S13" s="947"/>
      <c r="T13" s="947"/>
      <c r="U13" s="947"/>
      <c r="V13" s="947"/>
      <c r="W13" s="947"/>
      <c r="X13" s="947"/>
      <c r="Y13" s="947"/>
      <c r="Z13" s="947" t="e">
        <f ca="1">IF(L13&lt;&gt;"",IF(ISERROR(FIND("Skill",L13,1)),INDIRECT(SUBSTITUTE(SUBSTITUTE(L13," ",""),"-","")),"Score"),"")</f>
        <v>#REF!</v>
      </c>
      <c r="AA13" s="947"/>
      <c r="AB13" s="947"/>
      <c r="AC13" s="947"/>
      <c r="AD13" s="1132" t="str">
        <f ca="1">IF(ISNUMBER(Z13),TRUE,"")</f>
        <v/>
      </c>
      <c r="AE13" s="940" t="e">
        <f ca="1">IF(Z13="","",IF(ISNUMBER(Z13),"","Favor"))</f>
        <v>#REF!</v>
      </c>
      <c r="AF13" s="941"/>
      <c r="AG13" s="941"/>
      <c r="AH13" s="942"/>
      <c r="AI13" s="938" t="str">
        <f ca="1">IF(ISNUMBER(AO13),IF(ISNUMBER(AE13),IF(ABS(AE13)&gt;=AO13,"",AO13-ABS(AE13)),AO13),"")</f>
        <v/>
      </c>
      <c r="AJ13" s="940" t="e">
        <f ca="1">IF(Z13="","",IF(ISNUMBER(Z13),"","Bonus"))</f>
        <v>#REF!</v>
      </c>
      <c r="AK13" s="941"/>
      <c r="AL13" s="941"/>
      <c r="AM13" s="942"/>
      <c r="AN13" s="1099" t="str">
        <f ca="1">IF(ISNUMBER(AO13),IF(ISNUMBER(AE13),IF(AE13&gt;AO13,AO13,IF(AE13&gt;=0,AE13,0)),0)+IF(ISNUMBER(AJ13),AJ13,0),"")</f>
        <v/>
      </c>
      <c r="AO13" s="932" t="e">
        <f ca="1">IF(Z13="","",IF(ISNUMBER(Z13),FLOOR(Z13/5,1),"Passive"))</f>
        <v>#REF!</v>
      </c>
      <c r="AP13" s="932"/>
      <c r="AQ13" s="932"/>
      <c r="AR13" s="932"/>
      <c r="AS13" s="932"/>
      <c r="AT13" s="936"/>
      <c r="AU13" s="932" t="e">
        <f ca="1">IF(Z13="","",IF(ISNUMBER(Z13),IF(AND(AI13&gt;0,ISNUMBER(AI13)),AI13&amp;"dS","")&amp;IF(AN13&gt;0,"+"&amp;AN13,"")&amp;IF(AN13&lt;0,AN13,""),"Check"))</f>
        <v>#REF!</v>
      </c>
      <c r="AV13" s="932"/>
      <c r="AW13" s="932"/>
      <c r="AX13" s="932"/>
      <c r="AY13" s="932"/>
      <c r="AZ13" s="933"/>
      <c r="BB13" s="1057"/>
      <c r="BC13" s="1058"/>
      <c r="BD13" s="1058"/>
      <c r="BE13" s="1058"/>
      <c r="BF13" s="1058"/>
      <c r="BG13" s="1058"/>
      <c r="BH13" s="1058"/>
      <c r="BI13" s="1058"/>
      <c r="BJ13" s="1058"/>
      <c r="BK13" s="1059"/>
      <c r="BL13" s="1057"/>
      <c r="BM13" s="1058"/>
      <c r="BN13" s="1058"/>
      <c r="BO13" s="1058"/>
      <c r="BP13" s="1058"/>
      <c r="BQ13" s="1058"/>
      <c r="BR13" s="1058"/>
      <c r="BS13" s="1058"/>
      <c r="BT13" s="1058"/>
      <c r="BU13" s="1059"/>
      <c r="BV13" s="191"/>
      <c r="BW13" s="1023" t="e">
        <f>IF(EnergyRegeneration&gt;0,EnergyRegeneration,"")</f>
        <v>#REF!</v>
      </c>
      <c r="BX13" s="1023"/>
      <c r="BY13" s="1023"/>
      <c r="BZ13" s="1023"/>
      <c r="CA13" s="1023"/>
      <c r="CB13" s="1039"/>
      <c r="CC13" s="1039"/>
      <c r="CD13" s="1039"/>
      <c r="CE13" s="1039"/>
      <c r="CF13" s="1039"/>
      <c r="CG13" s="1039"/>
      <c r="CH13" s="1039"/>
      <c r="CI13" s="1039"/>
      <c r="CJ13" s="1039"/>
      <c r="CK13" s="1039"/>
      <c r="DL13" s="995"/>
      <c r="DM13" s="996"/>
      <c r="DN13" s="996"/>
      <c r="DO13" s="996"/>
      <c r="DP13" s="997"/>
      <c r="DQ13" s="995"/>
      <c r="DR13" s="996"/>
      <c r="DS13" s="996"/>
      <c r="DT13" s="996"/>
      <c r="DU13" s="997"/>
      <c r="DV13" s="995"/>
      <c r="DW13" s="1049"/>
      <c r="DX13" s="1049"/>
      <c r="DY13" s="1049"/>
      <c r="DZ13" s="997"/>
    </row>
    <row r="14" spans="1:130" ht="7.5" customHeight="1" thickBot="1" x14ac:dyDescent="0.3">
      <c r="A14" s="1122"/>
      <c r="B14" s="1122"/>
      <c r="C14" s="1122"/>
      <c r="D14" s="1131"/>
      <c r="E14" s="1131"/>
      <c r="F14" s="1131"/>
      <c r="G14" s="196"/>
      <c r="H14" s="1131"/>
      <c r="I14" s="1131"/>
      <c r="J14" s="1131"/>
      <c r="L14" s="948"/>
      <c r="M14" s="949"/>
      <c r="N14" s="949"/>
      <c r="O14" s="949"/>
      <c r="P14" s="949"/>
      <c r="Q14" s="949"/>
      <c r="R14" s="949"/>
      <c r="S14" s="949"/>
      <c r="T14" s="949"/>
      <c r="U14" s="949"/>
      <c r="V14" s="949"/>
      <c r="W14" s="949"/>
      <c r="X14" s="949"/>
      <c r="Y14" s="949"/>
      <c r="Z14" s="949"/>
      <c r="AA14" s="949"/>
      <c r="AB14" s="949"/>
      <c r="AC14" s="949"/>
      <c r="AD14" s="1133"/>
      <c r="AE14" s="943"/>
      <c r="AF14" s="944"/>
      <c r="AG14" s="944"/>
      <c r="AH14" s="945"/>
      <c r="AI14" s="939"/>
      <c r="AJ14" s="943"/>
      <c r="AK14" s="944"/>
      <c r="AL14" s="944"/>
      <c r="AM14" s="945"/>
      <c r="AN14" s="1100"/>
      <c r="AO14" s="934"/>
      <c r="AP14" s="934"/>
      <c r="AQ14" s="934"/>
      <c r="AR14" s="934"/>
      <c r="AS14" s="934"/>
      <c r="AT14" s="937"/>
      <c r="AU14" s="934"/>
      <c r="AV14" s="934"/>
      <c r="AW14" s="934"/>
      <c r="AX14" s="934"/>
      <c r="AY14" s="934"/>
      <c r="AZ14" s="935"/>
      <c r="BB14" s="1051"/>
      <c r="BC14" s="1052"/>
      <c r="BD14" s="1052"/>
      <c r="BE14" s="1052"/>
      <c r="BF14" s="1052"/>
      <c r="BG14" s="1052"/>
      <c r="BH14" s="1052"/>
      <c r="BI14" s="1052"/>
      <c r="BJ14" s="1052"/>
      <c r="BK14" s="1053"/>
      <c r="BL14" s="1052"/>
      <c r="BM14" s="1052"/>
      <c r="BN14" s="1052"/>
      <c r="BO14" s="1052"/>
      <c r="BP14" s="1052"/>
      <c r="BQ14" s="1052"/>
      <c r="BR14" s="1052"/>
      <c r="BS14" s="1052"/>
      <c r="BT14" s="1052"/>
      <c r="BU14" s="1053"/>
      <c r="BV14" s="191"/>
      <c r="BW14" s="1024"/>
      <c r="BX14" s="1024"/>
      <c r="BY14" s="1024"/>
      <c r="BZ14" s="1024"/>
      <c r="CA14" s="1024"/>
      <c r="CB14" s="1039"/>
      <c r="CC14" s="1039"/>
      <c r="CD14" s="1039"/>
      <c r="CE14" s="1039"/>
      <c r="CF14" s="1039"/>
      <c r="CG14" s="1039"/>
      <c r="CH14" s="1039"/>
      <c r="CI14" s="1039"/>
      <c r="CJ14" s="1039"/>
      <c r="CK14" s="1039"/>
    </row>
    <row r="15" spans="1:130" ht="7.5" customHeight="1" thickBot="1" x14ac:dyDescent="0.3">
      <c r="A15" s="1095"/>
      <c r="B15" s="1095"/>
      <c r="C15" s="1095"/>
      <c r="D15" s="1131"/>
      <c r="E15" s="1131"/>
      <c r="F15" s="1131"/>
      <c r="G15" s="196">
        <v>30</v>
      </c>
      <c r="H15" s="1131"/>
      <c r="I15" s="1131"/>
      <c r="J15" s="1131"/>
      <c r="L15" s="946" t="e">
        <f>INDEX(#REF!,(COUNTA(#REF!))/2+1,0)</f>
        <v>#REF!</v>
      </c>
      <c r="M15" s="947"/>
      <c r="N15" s="947"/>
      <c r="O15" s="947"/>
      <c r="P15" s="947"/>
      <c r="Q15" s="947"/>
      <c r="R15" s="947"/>
      <c r="S15" s="947"/>
      <c r="T15" s="947"/>
      <c r="U15" s="947"/>
      <c r="V15" s="947"/>
      <c r="W15" s="947"/>
      <c r="X15" s="947"/>
      <c r="Y15" s="947"/>
      <c r="Z15" s="947" t="e">
        <f ca="1">IF(L15&lt;&gt;"",IF(ISERROR(FIND("Skill",L15,1)),INDIRECT(SUBSTITUTE(SUBSTITUTE(L15," ",""),"-","")),"Score"),"")</f>
        <v>#REF!</v>
      </c>
      <c r="AA15" s="947"/>
      <c r="AB15" s="947"/>
      <c r="AC15" s="947"/>
      <c r="AD15" s="1132" t="str">
        <f ca="1">IF(ISNUMBER(Z15),TRUE,"")</f>
        <v/>
      </c>
      <c r="AE15" s="940" t="e">
        <f ca="1">IF(Z15="","",IF(ISNUMBER(Z15),"","Favor"))</f>
        <v>#REF!</v>
      </c>
      <c r="AF15" s="941"/>
      <c r="AG15" s="941"/>
      <c r="AH15" s="942"/>
      <c r="AI15" s="938" t="str">
        <f ca="1">IF(ISNUMBER(AO15),IF(ISNUMBER(AE15),IF(ABS(AE15)&gt;=AO15,"",AO15-ABS(AE15)),AO15),"")</f>
        <v/>
      </c>
      <c r="AJ15" s="940" t="e">
        <f ca="1">IF(Z15="","",IF(ISNUMBER(Z15),"","Bonus"))</f>
        <v>#REF!</v>
      </c>
      <c r="AK15" s="941"/>
      <c r="AL15" s="941"/>
      <c r="AM15" s="942"/>
      <c r="AN15" s="1099" t="str">
        <f ca="1">IF(ISNUMBER(AO15),IF(ISNUMBER(AE15),IF(AE15&gt;AO15,AO15,IF(AE15&gt;=0,AE15,0)),0)+IF(ISNUMBER(AJ15),AJ15,0),"")</f>
        <v/>
      </c>
      <c r="AO15" s="932" t="e">
        <f ca="1">IF(Z15="","",IF(ISNUMBER(Z15),FLOOR(Z15/5,1),"Passive"))</f>
        <v>#REF!</v>
      </c>
      <c r="AP15" s="932"/>
      <c r="AQ15" s="932"/>
      <c r="AR15" s="932"/>
      <c r="AS15" s="932"/>
      <c r="AT15" s="936"/>
      <c r="AU15" s="932" t="e">
        <f ca="1">IF(Z15="","",IF(ISNUMBER(Z15),IF(AND(AI15&gt;0,ISNUMBER(AI15)),AI15&amp;"dS","")&amp;IF(AN15&gt;0,"+"&amp;AN15,"")&amp;IF(AN15&lt;0,AN15,""),"Check"))</f>
        <v>#REF!</v>
      </c>
      <c r="AV15" s="932"/>
      <c r="AW15" s="932"/>
      <c r="AX15" s="932"/>
      <c r="AY15" s="932"/>
      <c r="AZ15" s="933"/>
      <c r="BB15" s="1054"/>
      <c r="BC15" s="1055"/>
      <c r="BD15" s="1055"/>
      <c r="BE15" s="1055"/>
      <c r="BF15" s="1055"/>
      <c r="BG15" s="1055"/>
      <c r="BH15" s="1055"/>
      <c r="BI15" s="1055"/>
      <c r="BJ15" s="1055"/>
      <c r="BK15" s="1056"/>
      <c r="BL15" s="1055"/>
      <c r="BM15" s="1055"/>
      <c r="BN15" s="1055"/>
      <c r="BO15" s="1055"/>
      <c r="BP15" s="1055"/>
      <c r="BQ15" s="1055"/>
      <c r="BR15" s="1055"/>
      <c r="BS15" s="1055"/>
      <c r="BT15" s="1055"/>
      <c r="BU15" s="1056"/>
      <c r="BV15" s="191"/>
      <c r="BW15" s="1027" t="s">
        <v>78</v>
      </c>
      <c r="BX15" s="1027"/>
      <c r="BY15" s="1027"/>
      <c r="BZ15" s="1027"/>
      <c r="CA15" s="1027"/>
      <c r="CB15" s="1040"/>
      <c r="CC15" s="1040"/>
      <c r="CD15" s="1040"/>
      <c r="CE15" s="1040"/>
      <c r="CF15" s="1040"/>
      <c r="CG15" s="1040"/>
      <c r="CH15" s="1040"/>
      <c r="CI15" s="1040"/>
      <c r="CJ15" s="1040"/>
      <c r="CK15" s="1040"/>
      <c r="DG15" s="193"/>
      <c r="DH15" s="193"/>
      <c r="DI15" s="193"/>
      <c r="DJ15" s="193"/>
      <c r="DK15" s="194"/>
      <c r="DL15" s="989" t="e">
        <f>IF(ShieldValue&gt;0,ShieldValue,"DR")</f>
        <v>#NAME?</v>
      </c>
      <c r="DM15" s="990"/>
      <c r="DN15" s="990"/>
      <c r="DO15" s="990"/>
      <c r="DP15" s="991"/>
      <c r="DQ15" s="989" t="e">
        <f>IF(ArmorValue&gt;0,ArmorValue,"DR")</f>
        <v>#REF!</v>
      </c>
      <c r="DR15" s="990"/>
      <c r="DS15" s="990"/>
      <c r="DT15" s="990"/>
      <c r="DU15" s="991"/>
      <c r="DV15" s="989"/>
      <c r="DW15" s="990"/>
      <c r="DX15" s="990"/>
      <c r="DY15" s="990"/>
      <c r="DZ15" s="991"/>
    </row>
    <row r="16" spans="1:130" ht="7.5" customHeight="1" thickBot="1" x14ac:dyDescent="0.3">
      <c r="A16" s="1121" t="s">
        <v>3</v>
      </c>
      <c r="B16" s="1121"/>
      <c r="C16" s="1121"/>
      <c r="D16" s="1131" t="e">
        <f>CON</f>
        <v>#REF!</v>
      </c>
      <c r="E16" s="1131"/>
      <c r="F16" s="1131"/>
      <c r="G16" s="196"/>
      <c r="H16" s="1131" t="e">
        <f>CON</f>
        <v>#REF!</v>
      </c>
      <c r="I16" s="1131"/>
      <c r="J16" s="1131"/>
      <c r="L16" s="948"/>
      <c r="M16" s="949"/>
      <c r="N16" s="949"/>
      <c r="O16" s="949"/>
      <c r="P16" s="949"/>
      <c r="Q16" s="949"/>
      <c r="R16" s="949"/>
      <c r="S16" s="949"/>
      <c r="T16" s="949"/>
      <c r="U16" s="949"/>
      <c r="V16" s="949"/>
      <c r="W16" s="949"/>
      <c r="X16" s="949"/>
      <c r="Y16" s="949"/>
      <c r="Z16" s="949"/>
      <c r="AA16" s="949"/>
      <c r="AB16" s="949"/>
      <c r="AC16" s="949"/>
      <c r="AD16" s="1133"/>
      <c r="AE16" s="943"/>
      <c r="AF16" s="944"/>
      <c r="AG16" s="944"/>
      <c r="AH16" s="945"/>
      <c r="AI16" s="939"/>
      <c r="AJ16" s="943"/>
      <c r="AK16" s="944"/>
      <c r="AL16" s="944"/>
      <c r="AM16" s="945"/>
      <c r="AN16" s="1100"/>
      <c r="AO16" s="934"/>
      <c r="AP16" s="934"/>
      <c r="AQ16" s="934"/>
      <c r="AR16" s="934"/>
      <c r="AS16" s="934"/>
      <c r="AT16" s="937"/>
      <c r="AU16" s="934"/>
      <c r="AV16" s="934"/>
      <c r="AW16" s="934"/>
      <c r="AX16" s="934"/>
      <c r="AY16" s="934"/>
      <c r="AZ16" s="935"/>
      <c r="BB16" s="296"/>
      <c r="BC16" s="296"/>
      <c r="BD16" s="296"/>
      <c r="BE16" s="296"/>
      <c r="BF16" s="296"/>
      <c r="BG16" s="296"/>
      <c r="BH16" s="296"/>
      <c r="BI16" s="296"/>
      <c r="BJ16" s="296"/>
      <c r="BK16" s="296"/>
      <c r="BL16" s="296"/>
      <c r="BM16" s="296"/>
      <c r="BN16" s="296"/>
      <c r="BO16" s="296"/>
      <c r="BP16" s="296"/>
      <c r="BQ16" s="296"/>
      <c r="BR16" s="296"/>
      <c r="BS16" s="296"/>
      <c r="BT16" s="296"/>
      <c r="BU16" s="296"/>
      <c r="BV16" s="191"/>
      <c r="DG16" s="195"/>
      <c r="DH16" s="195"/>
      <c r="DI16" s="195"/>
      <c r="DJ16" s="195"/>
      <c r="DK16" s="195"/>
      <c r="DL16" s="992"/>
      <c r="DM16" s="993"/>
      <c r="DN16" s="993"/>
      <c r="DO16" s="993"/>
      <c r="DP16" s="994"/>
      <c r="DQ16" s="992"/>
      <c r="DR16" s="993"/>
      <c r="DS16" s="993"/>
      <c r="DT16" s="993"/>
      <c r="DU16" s="994"/>
      <c r="DV16" s="992"/>
      <c r="DW16" s="993"/>
      <c r="DX16" s="993"/>
      <c r="DY16" s="993"/>
      <c r="DZ16" s="994"/>
    </row>
    <row r="17" spans="1:130" ht="7.5" customHeight="1" thickBot="1" x14ac:dyDescent="0.3">
      <c r="A17" s="1122"/>
      <c r="B17" s="1122"/>
      <c r="C17" s="1122"/>
      <c r="D17" s="1131"/>
      <c r="E17" s="1131"/>
      <c r="F17" s="1131"/>
      <c r="G17" s="196"/>
      <c r="H17" s="1131"/>
      <c r="I17" s="1131"/>
      <c r="J17" s="1131"/>
      <c r="L17" s="946" t="e">
        <f>INDEX(#REF!,(COUNTA(#REF!))/2+1,0)</f>
        <v>#REF!</v>
      </c>
      <c r="M17" s="947"/>
      <c r="N17" s="947"/>
      <c r="O17" s="947"/>
      <c r="P17" s="947"/>
      <c r="Q17" s="947"/>
      <c r="R17" s="947"/>
      <c r="S17" s="947"/>
      <c r="T17" s="947"/>
      <c r="U17" s="947"/>
      <c r="V17" s="947"/>
      <c r="W17" s="947"/>
      <c r="X17" s="947"/>
      <c r="Y17" s="947"/>
      <c r="Z17" s="947" t="e">
        <f ca="1">IF(L17&lt;&gt;"",IF(ISERROR(FIND("Skill",L17,1)),INDIRECT(SUBSTITUTE(SUBSTITUTE(L17," ",""),"-","")),"Score"),"")</f>
        <v>#REF!</v>
      </c>
      <c r="AA17" s="947"/>
      <c r="AB17" s="947"/>
      <c r="AC17" s="947"/>
      <c r="AD17" s="1132" t="str">
        <f ca="1">IF(ISNUMBER(Z17),TRUE,"")</f>
        <v/>
      </c>
      <c r="AE17" s="940" t="e">
        <f ca="1">IF(Z17="","",IF(ISNUMBER(Z17),"","Favor"))</f>
        <v>#REF!</v>
      </c>
      <c r="AF17" s="941"/>
      <c r="AG17" s="941"/>
      <c r="AH17" s="942"/>
      <c r="AI17" s="938" t="str">
        <f ca="1">IF(ISNUMBER(AO17),IF(ISNUMBER(AE17),IF(ABS(AE17)&gt;=AO17,"",AO17-ABS(AE17)),AO17),"")</f>
        <v/>
      </c>
      <c r="AJ17" s="940" t="e">
        <f ca="1">IF(Z17="","",IF(ISNUMBER(Z17),"","Bonus"))</f>
        <v>#REF!</v>
      </c>
      <c r="AK17" s="941"/>
      <c r="AL17" s="941"/>
      <c r="AM17" s="942"/>
      <c r="AN17" s="1099" t="str">
        <f ca="1">IF(ISNUMBER(AO17),IF(ISNUMBER(AE17),IF(AE17&gt;AO17,AO17,IF(AE17&gt;=0,AE17,0)),0)+IF(ISNUMBER(AJ17),AJ17,0),"")</f>
        <v/>
      </c>
      <c r="AO17" s="932" t="e">
        <f ca="1">IF(Z17="","",IF(ISNUMBER(Z17),FLOOR(Z17/5,1),"Passive"))</f>
        <v>#REF!</v>
      </c>
      <c r="AP17" s="932"/>
      <c r="AQ17" s="932"/>
      <c r="AR17" s="932"/>
      <c r="AS17" s="932"/>
      <c r="AT17" s="936"/>
      <c r="AU17" s="932" t="e">
        <f ca="1">IF(Z17="","",IF(ISNUMBER(Z17),IF(AND(AI17&gt;0,ISNUMBER(AI17)),AI17&amp;"dS","")&amp;IF(AN17&gt;0,"+"&amp;AN17,"")&amp;IF(AN17&lt;0,AN17,""),"Check"))</f>
        <v>#REF!</v>
      </c>
      <c r="AV17" s="932"/>
      <c r="AW17" s="932"/>
      <c r="AX17" s="932"/>
      <c r="AY17" s="932"/>
      <c r="AZ17" s="933"/>
      <c r="BB17" s="968" t="e">
        <f>Reflex</f>
        <v>#REF!</v>
      </c>
      <c r="BC17" s="969"/>
      <c r="BD17" s="970"/>
      <c r="BE17" s="1152" t="s">
        <v>57</v>
      </c>
      <c r="BF17" s="1153"/>
      <c r="BG17" s="1153"/>
      <c r="BH17" s="1153"/>
      <c r="BI17" s="1153"/>
      <c r="BJ17" s="1153"/>
      <c r="BK17" s="1153"/>
      <c r="BL17" s="1148" t="s">
        <v>59</v>
      </c>
      <c r="BM17" s="1148"/>
      <c r="BN17" s="1148"/>
      <c r="BO17" s="1148"/>
      <c r="BP17" s="1148"/>
      <c r="BQ17" s="1148"/>
      <c r="BR17" s="1149"/>
      <c r="BS17" s="968" t="e">
        <f>Willpower</f>
        <v>#REF!</v>
      </c>
      <c r="BT17" s="969"/>
      <c r="BU17" s="970"/>
      <c r="BV17" s="191"/>
      <c r="BW17" s="1069" t="e">
        <f>Initiative</f>
        <v>#REF!</v>
      </c>
      <c r="BX17" s="1070"/>
      <c r="BY17" s="1070"/>
      <c r="BZ17" s="1071"/>
      <c r="CA17" s="1011" t="s">
        <v>81</v>
      </c>
      <c r="CB17" s="1012"/>
      <c r="CC17" s="1012"/>
      <c r="CD17" s="1012"/>
      <c r="CE17" s="1012"/>
      <c r="CF17" s="1012"/>
      <c r="CG17" s="1012"/>
      <c r="CH17" s="1012"/>
      <c r="CI17" s="1012"/>
      <c r="CJ17" s="1012"/>
      <c r="CK17" s="1013"/>
      <c r="DG17" s="195"/>
      <c r="DH17" s="195"/>
      <c r="DI17" s="195"/>
      <c r="DJ17" s="195"/>
      <c r="DK17" s="195"/>
      <c r="DL17" s="995"/>
      <c r="DM17" s="996"/>
      <c r="DN17" s="996"/>
      <c r="DO17" s="996"/>
      <c r="DP17" s="997"/>
      <c r="DQ17" s="995"/>
      <c r="DR17" s="996"/>
      <c r="DS17" s="996"/>
      <c r="DT17" s="996"/>
      <c r="DU17" s="997"/>
      <c r="DV17" s="995"/>
      <c r="DW17" s="996"/>
      <c r="DX17" s="996"/>
      <c r="DY17" s="996"/>
      <c r="DZ17" s="997"/>
    </row>
    <row r="18" spans="1:130" ht="7.5" customHeight="1" thickBot="1" x14ac:dyDescent="0.3">
      <c r="A18" s="1112"/>
      <c r="B18" s="1095"/>
      <c r="C18" s="1095"/>
      <c r="D18" s="1131"/>
      <c r="E18" s="1131"/>
      <c r="F18" s="1131"/>
      <c r="G18" s="196">
        <v>25</v>
      </c>
      <c r="H18" s="1131"/>
      <c r="I18" s="1131"/>
      <c r="J18" s="1131"/>
      <c r="L18" s="948"/>
      <c r="M18" s="949"/>
      <c r="N18" s="949"/>
      <c r="O18" s="949"/>
      <c r="P18" s="949"/>
      <c r="Q18" s="949"/>
      <c r="R18" s="949"/>
      <c r="S18" s="949"/>
      <c r="T18" s="949"/>
      <c r="U18" s="949"/>
      <c r="V18" s="949"/>
      <c r="W18" s="949"/>
      <c r="X18" s="949"/>
      <c r="Y18" s="949"/>
      <c r="Z18" s="949"/>
      <c r="AA18" s="949"/>
      <c r="AB18" s="949"/>
      <c r="AC18" s="949"/>
      <c r="AD18" s="1133"/>
      <c r="AE18" s="943"/>
      <c r="AF18" s="944"/>
      <c r="AG18" s="944"/>
      <c r="AH18" s="945"/>
      <c r="AI18" s="939"/>
      <c r="AJ18" s="943"/>
      <c r="AK18" s="944"/>
      <c r="AL18" s="944"/>
      <c r="AM18" s="945"/>
      <c r="AN18" s="1100"/>
      <c r="AO18" s="934"/>
      <c r="AP18" s="934"/>
      <c r="AQ18" s="934"/>
      <c r="AR18" s="934"/>
      <c r="AS18" s="934"/>
      <c r="AT18" s="937"/>
      <c r="AU18" s="934"/>
      <c r="AV18" s="934"/>
      <c r="AW18" s="934"/>
      <c r="AX18" s="934"/>
      <c r="AY18" s="934"/>
      <c r="AZ18" s="935"/>
      <c r="BB18" s="968"/>
      <c r="BC18" s="969"/>
      <c r="BD18" s="970"/>
      <c r="BE18" s="1152"/>
      <c r="BF18" s="1153"/>
      <c r="BG18" s="1153"/>
      <c r="BH18" s="1153"/>
      <c r="BI18" s="1153"/>
      <c r="BJ18" s="1153"/>
      <c r="BK18" s="1153"/>
      <c r="BL18" s="1148"/>
      <c r="BM18" s="1148"/>
      <c r="BN18" s="1148"/>
      <c r="BO18" s="1148"/>
      <c r="BP18" s="1148"/>
      <c r="BQ18" s="1148"/>
      <c r="BR18" s="1149"/>
      <c r="BS18" s="968"/>
      <c r="BT18" s="969"/>
      <c r="BU18" s="970"/>
      <c r="BV18" s="191"/>
      <c r="BW18" s="1072"/>
      <c r="BX18" s="1073"/>
      <c r="BY18" s="1073"/>
      <c r="BZ18" s="1074"/>
      <c r="CA18" s="1014"/>
      <c r="CB18" s="1015"/>
      <c r="CC18" s="1015"/>
      <c r="CD18" s="1015"/>
      <c r="CE18" s="1015"/>
      <c r="CF18" s="1015"/>
      <c r="CG18" s="1015"/>
      <c r="CH18" s="1015"/>
      <c r="CI18" s="1015"/>
      <c r="CJ18" s="1015"/>
      <c r="CK18" s="1016"/>
    </row>
    <row r="19" spans="1:130" ht="7.5" customHeight="1" thickBot="1" x14ac:dyDescent="0.3">
      <c r="A19" s="197"/>
      <c r="B19" s="197"/>
      <c r="C19" s="197"/>
      <c r="G19" s="36"/>
      <c r="L19" s="946" t="e">
        <f>INDEX(#REF!,(COUNTA(#REF!))/2+1,0)</f>
        <v>#REF!</v>
      </c>
      <c r="M19" s="947"/>
      <c r="N19" s="947"/>
      <c r="O19" s="947"/>
      <c r="P19" s="947"/>
      <c r="Q19" s="947"/>
      <c r="R19" s="947"/>
      <c r="S19" s="947"/>
      <c r="T19" s="947"/>
      <c r="U19" s="947"/>
      <c r="V19" s="947"/>
      <c r="W19" s="947"/>
      <c r="X19" s="947"/>
      <c r="Y19" s="947"/>
      <c r="Z19" s="947" t="e">
        <f ca="1">IF(L19&lt;&gt;"",IF(ISERROR(FIND("Skill",L19,1)),INDIRECT(SUBSTITUTE(SUBSTITUTE(L19," ",""),"-","")),"Score"),"")</f>
        <v>#REF!</v>
      </c>
      <c r="AA19" s="947"/>
      <c r="AB19" s="947"/>
      <c r="AC19" s="947"/>
      <c r="AD19" s="1132" t="str">
        <f ca="1">IF(ISNUMBER(Z19),TRUE,"")</f>
        <v/>
      </c>
      <c r="AE19" s="940" t="e">
        <f ca="1">IF(Z19="","",IF(ISNUMBER(Z19),"","Favor"))</f>
        <v>#REF!</v>
      </c>
      <c r="AF19" s="941"/>
      <c r="AG19" s="941"/>
      <c r="AH19" s="942"/>
      <c r="AI19" s="938" t="str">
        <f ca="1">IF(ISNUMBER(AO19),IF(ISNUMBER(AE19),IF(ABS(AE19)&gt;=AO19,"",AO19-ABS(AE19)),AO19),"")</f>
        <v/>
      </c>
      <c r="AJ19" s="940" t="e">
        <f ca="1">IF(Z19="","",IF(ISNUMBER(Z19),"","Bonus"))</f>
        <v>#REF!</v>
      </c>
      <c r="AK19" s="941"/>
      <c r="AL19" s="941"/>
      <c r="AM19" s="942"/>
      <c r="AN19" s="1099" t="str">
        <f ca="1">IF(ISNUMBER(AO19),IF(ISNUMBER(AE19),IF(AE19&gt;AO19,AO19,IF(AE19&gt;=0,AE19,0)),0)+IF(ISNUMBER(AJ19),AJ19,0),"")</f>
        <v/>
      </c>
      <c r="AO19" s="932" t="e">
        <f ca="1">IF(Z19="","",IF(ISNUMBER(Z19),FLOOR(Z19/5,1),"Passive"))</f>
        <v>#REF!</v>
      </c>
      <c r="AP19" s="932"/>
      <c r="AQ19" s="932"/>
      <c r="AR19" s="932"/>
      <c r="AS19" s="932"/>
      <c r="AT19" s="936"/>
      <c r="AU19" s="932" t="e">
        <f ca="1">IF(Z19="","",IF(ISNUMBER(Z19),IF(AND(AI19&gt;0,ISNUMBER(AI19)),AI19&amp;"dS","")&amp;IF(AN19&gt;0,"+"&amp;AN19,"")&amp;IF(AN19&lt;0,AN19,""),"Check"))</f>
        <v>#REF!</v>
      </c>
      <c r="AV19" s="932"/>
      <c r="AW19" s="932"/>
      <c r="AX19" s="932"/>
      <c r="AY19" s="932"/>
      <c r="AZ19" s="933"/>
      <c r="BB19" s="968" t="e">
        <f>Fortitude</f>
        <v>#REF!</v>
      </c>
      <c r="BC19" s="969"/>
      <c r="BD19" s="970"/>
      <c r="BE19" s="1150" t="s">
        <v>58</v>
      </c>
      <c r="BF19" s="1151"/>
      <c r="BG19" s="1151"/>
      <c r="BH19" s="1151"/>
      <c r="BI19" s="1151"/>
      <c r="BJ19" s="1151"/>
      <c r="BK19" s="1151"/>
      <c r="BL19" s="966" t="s">
        <v>514</v>
      </c>
      <c r="BM19" s="966"/>
      <c r="BN19" s="966"/>
      <c r="BO19" s="966"/>
      <c r="BP19" s="966"/>
      <c r="BQ19" s="966"/>
      <c r="BR19" s="967"/>
      <c r="BS19" s="968" t="e">
        <f>Resolve</f>
        <v>#REF!</v>
      </c>
      <c r="BT19" s="969"/>
      <c r="BU19" s="970"/>
      <c r="BV19" s="191"/>
    </row>
    <row r="20" spans="1:130" ht="7.5" customHeight="1" thickBot="1" x14ac:dyDescent="0.3">
      <c r="A20" s="1140" t="s">
        <v>4</v>
      </c>
      <c r="B20" s="1140"/>
      <c r="C20" s="1140"/>
      <c r="D20" s="1136" t="e">
        <f>INT</f>
        <v>#REF!</v>
      </c>
      <c r="E20" s="1136"/>
      <c r="F20" s="1136"/>
      <c r="G20" s="198"/>
      <c r="H20" s="1142" t="e">
        <f>INT</f>
        <v>#REF!</v>
      </c>
      <c r="I20" s="1142"/>
      <c r="J20" s="1142"/>
      <c r="L20" s="948"/>
      <c r="M20" s="949"/>
      <c r="N20" s="949"/>
      <c r="O20" s="949"/>
      <c r="P20" s="949"/>
      <c r="Q20" s="949"/>
      <c r="R20" s="949"/>
      <c r="S20" s="949"/>
      <c r="T20" s="949"/>
      <c r="U20" s="949"/>
      <c r="V20" s="949"/>
      <c r="W20" s="949"/>
      <c r="X20" s="949"/>
      <c r="Y20" s="949"/>
      <c r="Z20" s="949"/>
      <c r="AA20" s="949"/>
      <c r="AB20" s="949"/>
      <c r="AC20" s="949"/>
      <c r="AD20" s="1133"/>
      <c r="AE20" s="943"/>
      <c r="AF20" s="944"/>
      <c r="AG20" s="944"/>
      <c r="AH20" s="945"/>
      <c r="AI20" s="939"/>
      <c r="AJ20" s="943"/>
      <c r="AK20" s="944"/>
      <c r="AL20" s="944"/>
      <c r="AM20" s="945"/>
      <c r="AN20" s="1100"/>
      <c r="AO20" s="934"/>
      <c r="AP20" s="934"/>
      <c r="AQ20" s="934"/>
      <c r="AR20" s="934"/>
      <c r="AS20" s="934"/>
      <c r="AT20" s="937"/>
      <c r="AU20" s="934"/>
      <c r="AV20" s="934"/>
      <c r="AW20" s="934"/>
      <c r="AX20" s="934"/>
      <c r="AY20" s="934"/>
      <c r="AZ20" s="935"/>
      <c r="BB20" s="968"/>
      <c r="BC20" s="969"/>
      <c r="BD20" s="970"/>
      <c r="BE20" s="1150"/>
      <c r="BF20" s="1151"/>
      <c r="BG20" s="1151"/>
      <c r="BH20" s="1151"/>
      <c r="BI20" s="1151"/>
      <c r="BJ20" s="1151"/>
      <c r="BK20" s="1151"/>
      <c r="BL20" s="966"/>
      <c r="BM20" s="966"/>
      <c r="BN20" s="966"/>
      <c r="BO20" s="966"/>
      <c r="BP20" s="966"/>
      <c r="BQ20" s="966"/>
      <c r="BR20" s="967"/>
      <c r="BS20" s="968"/>
      <c r="BT20" s="969"/>
      <c r="BU20" s="970"/>
      <c r="BV20" s="191"/>
      <c r="BW20" s="1017" t="s">
        <v>76</v>
      </c>
      <c r="BX20" s="1018"/>
      <c r="BY20" s="1018"/>
      <c r="BZ20" s="1018"/>
      <c r="CA20" s="1018"/>
      <c r="CB20" s="1018"/>
      <c r="CC20" s="1018"/>
      <c r="CD20" s="1018"/>
      <c r="CE20" s="1018"/>
      <c r="CF20" s="1018"/>
      <c r="CG20" s="1019"/>
      <c r="CH20" s="968" t="e">
        <f>Influence</f>
        <v>#REF!</v>
      </c>
      <c r="CI20" s="969"/>
      <c r="CJ20" s="969"/>
      <c r="CK20" s="970"/>
    </row>
    <row r="21" spans="1:130" ht="7.5" customHeight="1" thickBot="1" x14ac:dyDescent="0.3">
      <c r="A21" s="1141"/>
      <c r="B21" s="1141"/>
      <c r="C21" s="1141"/>
      <c r="D21" s="1136"/>
      <c r="E21" s="1136"/>
      <c r="F21" s="1136"/>
      <c r="G21" s="198"/>
      <c r="H21" s="1135"/>
      <c r="I21" s="1135"/>
      <c r="J21" s="1135"/>
      <c r="L21" s="946" t="e">
        <f>INDEX(#REF!,(COUNTA(#REF!))/2+1,0)</f>
        <v>#REF!</v>
      </c>
      <c r="M21" s="947"/>
      <c r="N21" s="947"/>
      <c r="O21" s="947"/>
      <c r="P21" s="947"/>
      <c r="Q21" s="947"/>
      <c r="R21" s="947"/>
      <c r="S21" s="947"/>
      <c r="T21" s="947"/>
      <c r="U21" s="947"/>
      <c r="V21" s="947"/>
      <c r="W21" s="947"/>
      <c r="X21" s="947"/>
      <c r="Y21" s="947"/>
      <c r="Z21" s="947" t="e">
        <f ca="1">IF(L21&lt;&gt;"",IF(ISERROR(FIND("Skill",L21,1)),INDIRECT(SUBSTITUTE(SUBSTITUTE(L21," ",""),"-","")),"Score"),"")</f>
        <v>#REF!</v>
      </c>
      <c r="AA21" s="947"/>
      <c r="AB21" s="947"/>
      <c r="AC21" s="947"/>
      <c r="AD21" s="1132" t="str">
        <f ca="1">IF(ISNUMBER(Z21),TRUE,"")</f>
        <v/>
      </c>
      <c r="AE21" s="940" t="e">
        <f ca="1">IF(Z21="","",IF(ISNUMBER(Z21),"","Favor"))</f>
        <v>#REF!</v>
      </c>
      <c r="AF21" s="941"/>
      <c r="AG21" s="941"/>
      <c r="AH21" s="942"/>
      <c r="AI21" s="938" t="str">
        <f ca="1">IF(ISNUMBER(AO21),IF(ISNUMBER(AE21),IF(ABS(AE21)&gt;=AO21,"",AO21-ABS(AE21)),AO21),"")</f>
        <v/>
      </c>
      <c r="AJ21" s="940" t="e">
        <f ca="1">IF(Z21="","",IF(ISNUMBER(Z21),"","Bonus"))</f>
        <v>#REF!</v>
      </c>
      <c r="AK21" s="941"/>
      <c r="AL21" s="941"/>
      <c r="AM21" s="942"/>
      <c r="AN21" s="1099" t="str">
        <f ca="1">IF(ISNUMBER(AO21),IF(ISNUMBER(AE21),IF(AE21&gt;AO21,AO21,IF(AE21&gt;=0,AE21,0)),0)+IF(ISNUMBER(AJ21),AJ21,0),"")</f>
        <v/>
      </c>
      <c r="AO21" s="932" t="e">
        <f ca="1">IF(Z21="","",IF(ISNUMBER(Z21),FLOOR(Z21/5,1),"Passive"))</f>
        <v>#REF!</v>
      </c>
      <c r="AP21" s="932"/>
      <c r="AQ21" s="932"/>
      <c r="AR21" s="932"/>
      <c r="AS21" s="932"/>
      <c r="AT21" s="936"/>
      <c r="AU21" s="932" t="e">
        <f ca="1">IF(Z21="","",IF(ISNUMBER(Z21),IF(AND(AI21&gt;0,ISNUMBER(AI21)),AI21&amp;"dS","")&amp;IF(AN21&gt;0,"+"&amp;AN21,"")&amp;IF(AN21&lt;0,AN21,""),"Check"))</f>
        <v>#REF!</v>
      </c>
      <c r="AV21" s="932"/>
      <c r="AW21" s="932"/>
      <c r="AX21" s="932"/>
      <c r="AY21" s="932"/>
      <c r="AZ21" s="933"/>
      <c r="BV21" s="191"/>
      <c r="BW21" s="1017"/>
      <c r="BX21" s="1018"/>
      <c r="BY21" s="1018"/>
      <c r="BZ21" s="1018"/>
      <c r="CA21" s="1018"/>
      <c r="CB21" s="1018"/>
      <c r="CC21" s="1018"/>
      <c r="CD21" s="1018"/>
      <c r="CE21" s="1018"/>
      <c r="CF21" s="1018"/>
      <c r="CG21" s="1019"/>
      <c r="CH21" s="968"/>
      <c r="CI21" s="969"/>
      <c r="CJ21" s="969"/>
      <c r="CK21" s="970"/>
    </row>
    <row r="22" spans="1:130" ht="7.5" customHeight="1" thickBot="1" x14ac:dyDescent="0.3">
      <c r="A22" s="1144"/>
      <c r="B22" s="1145"/>
      <c r="C22" s="1145"/>
      <c r="D22" s="1137"/>
      <c r="E22" s="1137"/>
      <c r="F22" s="1137"/>
      <c r="G22" s="198">
        <v>15</v>
      </c>
      <c r="H22" s="1135"/>
      <c r="I22" s="1135"/>
      <c r="J22" s="1135"/>
      <c r="L22" s="948"/>
      <c r="M22" s="949"/>
      <c r="N22" s="949"/>
      <c r="O22" s="949"/>
      <c r="P22" s="949"/>
      <c r="Q22" s="949"/>
      <c r="R22" s="949"/>
      <c r="S22" s="949"/>
      <c r="T22" s="949"/>
      <c r="U22" s="949"/>
      <c r="V22" s="949"/>
      <c r="W22" s="949"/>
      <c r="X22" s="949"/>
      <c r="Y22" s="949"/>
      <c r="Z22" s="949"/>
      <c r="AA22" s="949"/>
      <c r="AB22" s="949"/>
      <c r="AC22" s="949"/>
      <c r="AD22" s="1133"/>
      <c r="AE22" s="943"/>
      <c r="AF22" s="944"/>
      <c r="AG22" s="944"/>
      <c r="AH22" s="945"/>
      <c r="AI22" s="939"/>
      <c r="AJ22" s="943"/>
      <c r="AK22" s="944"/>
      <c r="AL22" s="944"/>
      <c r="AM22" s="945"/>
      <c r="AN22" s="1100"/>
      <c r="AO22" s="934"/>
      <c r="AP22" s="934"/>
      <c r="AQ22" s="934"/>
      <c r="AR22" s="934"/>
      <c r="AS22" s="934"/>
      <c r="AT22" s="937"/>
      <c r="AU22" s="934"/>
      <c r="AV22" s="934"/>
      <c r="AW22" s="934"/>
      <c r="AX22" s="934"/>
      <c r="AY22" s="934"/>
      <c r="AZ22" s="935"/>
      <c r="BV22" s="191"/>
      <c r="BW22" s="1008" t="s">
        <v>77</v>
      </c>
      <c r="BX22" s="1009"/>
      <c r="BY22" s="1009"/>
      <c r="BZ22" s="1009"/>
      <c r="CA22" s="1009"/>
      <c r="CB22" s="1009"/>
      <c r="CC22" s="1009"/>
      <c r="CD22" s="1009"/>
      <c r="CE22" s="1009"/>
      <c r="CF22" s="1009"/>
      <c r="CG22" s="1010"/>
      <c r="CH22" s="968" t="e">
        <f>SpellPower</f>
        <v>#REF!</v>
      </c>
      <c r="CI22" s="969"/>
      <c r="CJ22" s="969"/>
      <c r="CK22" s="970"/>
    </row>
    <row r="23" spans="1:130" ht="7.5" customHeight="1" thickBot="1" x14ac:dyDescent="0.3">
      <c r="A23" s="1140" t="s">
        <v>5</v>
      </c>
      <c r="B23" s="1140"/>
      <c r="C23" s="1140"/>
      <c r="D23" s="1138" t="e">
        <f>WIS</f>
        <v>#REF!</v>
      </c>
      <c r="E23" s="1138"/>
      <c r="F23" s="1138"/>
      <c r="G23" s="198"/>
      <c r="H23" s="1135" t="e">
        <f>WIS</f>
        <v>#REF!</v>
      </c>
      <c r="I23" s="1135"/>
      <c r="J23" s="1135"/>
      <c r="L23" s="946" t="e">
        <f>INDEX(#REF!,(COUNTA(#REF!))/2+1,0)</f>
        <v>#REF!</v>
      </c>
      <c r="M23" s="947"/>
      <c r="N23" s="947"/>
      <c r="O23" s="947"/>
      <c r="P23" s="947"/>
      <c r="Q23" s="947"/>
      <c r="R23" s="947"/>
      <c r="S23" s="947"/>
      <c r="T23" s="947"/>
      <c r="U23" s="947"/>
      <c r="V23" s="947"/>
      <c r="W23" s="947"/>
      <c r="X23" s="947"/>
      <c r="Y23" s="947"/>
      <c r="Z23" s="947" t="e">
        <f ca="1">IF(L23&lt;&gt;"",IF(ISERROR(FIND("Skill",L23,1)),INDIRECT(SUBSTITUTE(SUBSTITUTE(L23," ",""),"-","")),"Score"),"")</f>
        <v>#REF!</v>
      </c>
      <c r="AA23" s="947"/>
      <c r="AB23" s="947"/>
      <c r="AC23" s="947"/>
      <c r="AD23" s="1132" t="str">
        <f ca="1">IF(ISNUMBER(Z23),TRUE,"")</f>
        <v/>
      </c>
      <c r="AE23" s="940" t="e">
        <f ca="1">IF(Z23="","",IF(ISNUMBER(Z23),"","Favor"))</f>
        <v>#REF!</v>
      </c>
      <c r="AF23" s="941"/>
      <c r="AG23" s="941"/>
      <c r="AH23" s="942"/>
      <c r="AI23" s="938" t="str">
        <f ca="1">IF(ISNUMBER(AO23),IF(ISNUMBER(AE23),IF(ABS(AE23)&gt;=AO23,"",AO23-ABS(AE23)),AO23),"")</f>
        <v/>
      </c>
      <c r="AJ23" s="940" t="e">
        <f ca="1">IF(Z23="","",IF(ISNUMBER(Z23),"","Bonus"))</f>
        <v>#REF!</v>
      </c>
      <c r="AK23" s="941"/>
      <c r="AL23" s="941"/>
      <c r="AM23" s="942"/>
      <c r="AN23" s="1099" t="str">
        <f ca="1">IF(ISNUMBER(AO23),IF(ISNUMBER(AE23),IF(AE23&gt;AO23,AO23,IF(AE23&gt;=0,AE23,0)),0)+IF(ISNUMBER(AJ23),AJ23,0),"")</f>
        <v/>
      </c>
      <c r="AO23" s="932" t="e">
        <f ca="1">IF(Z23="","",IF(ISNUMBER(Z23),FLOOR(Z23/5,1),"Passive"))</f>
        <v>#REF!</v>
      </c>
      <c r="AP23" s="932"/>
      <c r="AQ23" s="932"/>
      <c r="AR23" s="932"/>
      <c r="AS23" s="932"/>
      <c r="AT23" s="936"/>
      <c r="AU23" s="932" t="e">
        <f ca="1">IF(Z23="","",IF(ISNUMBER(Z23),IF(AND(AI23&gt;0,ISNUMBER(AI23)),AI23&amp;"dS","")&amp;IF(AN23&gt;0,"+"&amp;AN23,"")&amp;IF(AN23&lt;0,AN23,""),"Check"))</f>
        <v>#REF!</v>
      </c>
      <c r="AV23" s="932"/>
      <c r="AW23" s="932"/>
      <c r="AX23" s="932"/>
      <c r="AY23" s="932"/>
      <c r="AZ23" s="933"/>
      <c r="BV23" s="191"/>
      <c r="BW23" s="1008"/>
      <c r="BX23" s="1009"/>
      <c r="BY23" s="1009"/>
      <c r="BZ23" s="1009"/>
      <c r="CA23" s="1009"/>
      <c r="CB23" s="1009"/>
      <c r="CC23" s="1009"/>
      <c r="CD23" s="1009"/>
      <c r="CE23" s="1009"/>
      <c r="CF23" s="1009"/>
      <c r="CG23" s="1010"/>
      <c r="CH23" s="968"/>
      <c r="CI23" s="969"/>
      <c r="CJ23" s="969"/>
      <c r="CK23" s="970"/>
    </row>
    <row r="24" spans="1:130" ht="7.5" customHeight="1" thickBot="1" x14ac:dyDescent="0.3">
      <c r="A24" s="1141"/>
      <c r="B24" s="1141"/>
      <c r="C24" s="1141"/>
      <c r="D24" s="1136"/>
      <c r="E24" s="1136"/>
      <c r="F24" s="1136"/>
      <c r="G24" s="198"/>
      <c r="H24" s="1135"/>
      <c r="I24" s="1135"/>
      <c r="J24" s="1135"/>
      <c r="L24" s="948"/>
      <c r="M24" s="949"/>
      <c r="N24" s="949"/>
      <c r="O24" s="949"/>
      <c r="P24" s="949"/>
      <c r="Q24" s="949"/>
      <c r="R24" s="949"/>
      <c r="S24" s="949"/>
      <c r="T24" s="949"/>
      <c r="U24" s="949"/>
      <c r="V24" s="949"/>
      <c r="W24" s="949"/>
      <c r="X24" s="949"/>
      <c r="Y24" s="949"/>
      <c r="Z24" s="949"/>
      <c r="AA24" s="949"/>
      <c r="AB24" s="949"/>
      <c r="AC24" s="949"/>
      <c r="AD24" s="1133"/>
      <c r="AE24" s="943"/>
      <c r="AF24" s="944"/>
      <c r="AG24" s="944"/>
      <c r="AH24" s="945"/>
      <c r="AI24" s="939"/>
      <c r="AJ24" s="943"/>
      <c r="AK24" s="944"/>
      <c r="AL24" s="944"/>
      <c r="AM24" s="945"/>
      <c r="AN24" s="1100"/>
      <c r="AO24" s="934"/>
      <c r="AP24" s="934"/>
      <c r="AQ24" s="934"/>
      <c r="AR24" s="934"/>
      <c r="AS24" s="934"/>
      <c r="AT24" s="937"/>
      <c r="AU24" s="934"/>
      <c r="AV24" s="934"/>
      <c r="AW24" s="934"/>
      <c r="AX24" s="934"/>
      <c r="AY24" s="934"/>
      <c r="AZ24" s="935"/>
      <c r="CL24" s="199"/>
    </row>
    <row r="25" spans="1:130" ht="7.5" customHeight="1" thickBot="1" x14ac:dyDescent="0.3">
      <c r="A25" s="1143"/>
      <c r="B25" s="1143"/>
      <c r="C25" s="1143"/>
      <c r="D25" s="1137"/>
      <c r="E25" s="1137"/>
      <c r="F25" s="1137"/>
      <c r="G25" s="198">
        <v>15</v>
      </c>
      <c r="H25" s="1135"/>
      <c r="I25" s="1135"/>
      <c r="J25" s="1135"/>
      <c r="L25" s="946" t="e">
        <f>INDEX(#REF!,(COUNTA(#REF!))/2+1,0)</f>
        <v>#REF!</v>
      </c>
      <c r="M25" s="947"/>
      <c r="N25" s="947"/>
      <c r="O25" s="947"/>
      <c r="P25" s="947"/>
      <c r="Q25" s="947"/>
      <c r="R25" s="947"/>
      <c r="S25" s="947"/>
      <c r="T25" s="947"/>
      <c r="U25" s="947"/>
      <c r="V25" s="947"/>
      <c r="W25" s="947"/>
      <c r="X25" s="947"/>
      <c r="Y25" s="947"/>
      <c r="Z25" s="947" t="e">
        <f ca="1">IF(L25&lt;&gt;"",IF(ISERROR(FIND("Skill",L25,1)),INDIRECT(SUBSTITUTE(SUBSTITUTE(L25," ",""),"-","")),"Score"),"")</f>
        <v>#REF!</v>
      </c>
      <c r="AA25" s="947"/>
      <c r="AB25" s="947"/>
      <c r="AC25" s="947"/>
      <c r="AD25" s="1132" t="str">
        <f ca="1">IF(ISNUMBER(Z25),TRUE,"")</f>
        <v/>
      </c>
      <c r="AE25" s="940" t="e">
        <f ca="1">IF(Z25="","",IF(ISNUMBER(Z25),"","Favor"))</f>
        <v>#REF!</v>
      </c>
      <c r="AF25" s="941"/>
      <c r="AG25" s="941"/>
      <c r="AH25" s="942"/>
      <c r="AI25" s="938" t="str">
        <f ca="1">IF(ISNUMBER(AO25),IF(ISNUMBER(AE25),IF(ABS(AE25)&gt;=AO25,"",AO25-ABS(AE25)),AO25),"")</f>
        <v/>
      </c>
      <c r="AJ25" s="940" t="e">
        <f ca="1">IF(Z25="","",IF(ISNUMBER(Z25),"","Bonus"))</f>
        <v>#REF!</v>
      </c>
      <c r="AK25" s="941"/>
      <c r="AL25" s="941"/>
      <c r="AM25" s="942"/>
      <c r="AN25" s="1099" t="str">
        <f ca="1">IF(ISNUMBER(AO25),IF(ISNUMBER(AE25),IF(AE25&gt;AO25,AO25,IF(AE25&gt;=0,AE25,0)),0)+IF(ISNUMBER(AJ25),AJ25,0),"")</f>
        <v/>
      </c>
      <c r="AO25" s="932" t="e">
        <f ca="1">IF(Z25="","",IF(ISNUMBER(Z25),FLOOR(Z25/5,1),"Passive"))</f>
        <v>#REF!</v>
      </c>
      <c r="AP25" s="932"/>
      <c r="AQ25" s="932"/>
      <c r="AR25" s="932"/>
      <c r="AS25" s="932"/>
      <c r="AT25" s="936"/>
      <c r="AU25" s="932" t="e">
        <f ca="1">IF(Z25="","",IF(ISNUMBER(Z25),IF(AND(AI25&gt;0,ISNUMBER(AI25)),AI25&amp;"dS","")&amp;IF(AN25&gt;0,"+"&amp;AN25,"")&amp;IF(AN25&lt;0,AN25,""),"Check"))</f>
        <v>#REF!</v>
      </c>
      <c r="AV25" s="932"/>
      <c r="AW25" s="932"/>
      <c r="AX25" s="932"/>
      <c r="AY25" s="932"/>
      <c r="AZ25" s="933"/>
      <c r="BB25" s="1060" t="s">
        <v>87</v>
      </c>
      <c r="BC25" s="1061"/>
      <c r="BD25" s="1061"/>
      <c r="BE25" s="1061"/>
      <c r="BF25" s="1061"/>
      <c r="BG25" s="1061"/>
      <c r="BH25" s="1061"/>
      <c r="BI25" s="1061"/>
      <c r="BJ25" s="1061"/>
      <c r="BK25" s="1061"/>
      <c r="BL25" s="1061"/>
      <c r="BM25" s="1061"/>
      <c r="BN25" s="1061"/>
      <c r="BO25" s="1061"/>
      <c r="BP25" s="1061"/>
      <c r="BQ25" s="1061"/>
      <c r="BR25" s="1061"/>
      <c r="BS25" s="1061"/>
      <c r="BT25" s="1061"/>
      <c r="BU25" s="1061"/>
      <c r="BV25" s="1061"/>
      <c r="BW25" s="1061"/>
      <c r="BX25" s="1061"/>
      <c r="BY25" s="1061"/>
      <c r="BZ25" s="1061"/>
      <c r="CA25" s="1061"/>
      <c r="CB25" s="1061"/>
      <c r="CC25" s="1061"/>
      <c r="CD25" s="1061"/>
      <c r="CE25" s="1061"/>
      <c r="CF25" s="1061"/>
      <c r="CG25" s="1061"/>
      <c r="CH25" s="1061"/>
      <c r="CI25" s="1061"/>
      <c r="CJ25" s="1061"/>
      <c r="CK25" s="1062"/>
      <c r="CL25" s="200"/>
      <c r="CM25" s="200"/>
    </row>
    <row r="26" spans="1:130" ht="7.5" customHeight="1" thickBot="1" x14ac:dyDescent="0.3">
      <c r="A26" s="1140" t="s">
        <v>6</v>
      </c>
      <c r="B26" s="1140"/>
      <c r="C26" s="1140"/>
      <c r="D26" s="1138" t="e">
        <f>FOC</f>
        <v>#REF!</v>
      </c>
      <c r="E26" s="1138"/>
      <c r="F26" s="1138"/>
      <c r="G26" s="198"/>
      <c r="H26" s="1135" t="e">
        <f>FOC</f>
        <v>#REF!</v>
      </c>
      <c r="I26" s="1135"/>
      <c r="J26" s="1135"/>
      <c r="L26" s="948"/>
      <c r="M26" s="949"/>
      <c r="N26" s="949"/>
      <c r="O26" s="949"/>
      <c r="P26" s="949"/>
      <c r="Q26" s="949"/>
      <c r="R26" s="949"/>
      <c r="S26" s="949"/>
      <c r="T26" s="949"/>
      <c r="U26" s="949"/>
      <c r="V26" s="949"/>
      <c r="W26" s="949"/>
      <c r="X26" s="949"/>
      <c r="Y26" s="949"/>
      <c r="Z26" s="949"/>
      <c r="AA26" s="949"/>
      <c r="AB26" s="949"/>
      <c r="AC26" s="949"/>
      <c r="AD26" s="1133"/>
      <c r="AE26" s="943"/>
      <c r="AF26" s="944"/>
      <c r="AG26" s="944"/>
      <c r="AH26" s="945"/>
      <c r="AI26" s="939"/>
      <c r="AJ26" s="943"/>
      <c r="AK26" s="944"/>
      <c r="AL26" s="944"/>
      <c r="AM26" s="945"/>
      <c r="AN26" s="1100"/>
      <c r="AO26" s="934"/>
      <c r="AP26" s="934"/>
      <c r="AQ26" s="934"/>
      <c r="AR26" s="934"/>
      <c r="AS26" s="934"/>
      <c r="AT26" s="937"/>
      <c r="AU26" s="934"/>
      <c r="AV26" s="934"/>
      <c r="AW26" s="934"/>
      <c r="AX26" s="934"/>
      <c r="AY26" s="934"/>
      <c r="AZ26" s="935"/>
      <c r="BB26" s="1063"/>
      <c r="BC26" s="1064"/>
      <c r="BD26" s="1064"/>
      <c r="BE26" s="1064"/>
      <c r="BF26" s="1064"/>
      <c r="BG26" s="1064"/>
      <c r="BH26" s="1064"/>
      <c r="BI26" s="1064"/>
      <c r="BJ26" s="1064"/>
      <c r="BK26" s="1064"/>
      <c r="BL26" s="1064"/>
      <c r="BM26" s="1064"/>
      <c r="BN26" s="1064"/>
      <c r="BO26" s="1064"/>
      <c r="BP26" s="1064"/>
      <c r="BQ26" s="1064"/>
      <c r="BR26" s="1064"/>
      <c r="BS26" s="1064"/>
      <c r="BT26" s="1064"/>
      <c r="BU26" s="1064"/>
      <c r="BV26" s="1064"/>
      <c r="BW26" s="1064"/>
      <c r="BX26" s="1064"/>
      <c r="BY26" s="1064"/>
      <c r="BZ26" s="1064"/>
      <c r="CA26" s="1064"/>
      <c r="CB26" s="1064"/>
      <c r="CC26" s="1064"/>
      <c r="CD26" s="1064"/>
      <c r="CE26" s="1064"/>
      <c r="CF26" s="1064"/>
      <c r="CG26" s="1064"/>
      <c r="CH26" s="1064"/>
      <c r="CI26" s="1064"/>
      <c r="CJ26" s="1064"/>
      <c r="CK26" s="1065"/>
    </row>
    <row r="27" spans="1:130" ht="7.5" customHeight="1" thickBot="1" x14ac:dyDescent="0.3">
      <c r="A27" s="1141"/>
      <c r="B27" s="1141"/>
      <c r="C27" s="1141"/>
      <c r="D27" s="1136"/>
      <c r="E27" s="1136"/>
      <c r="F27" s="1136"/>
      <c r="G27" s="198"/>
      <c r="H27" s="1135"/>
      <c r="I27" s="1135"/>
      <c r="J27" s="1135"/>
      <c r="L27" s="946" t="e">
        <f>INDEX(#REF!,(COUNTA(#REF!))/2+1,0)</f>
        <v>#REF!</v>
      </c>
      <c r="M27" s="947"/>
      <c r="N27" s="947"/>
      <c r="O27" s="947"/>
      <c r="P27" s="947"/>
      <c r="Q27" s="947"/>
      <c r="R27" s="947"/>
      <c r="S27" s="947"/>
      <c r="T27" s="947"/>
      <c r="U27" s="947"/>
      <c r="V27" s="947"/>
      <c r="W27" s="947"/>
      <c r="X27" s="947"/>
      <c r="Y27" s="947"/>
      <c r="Z27" s="947" t="e">
        <f ca="1">IF(L27&lt;&gt;"",IF(ISERROR(FIND("Skill",L27,1)),INDIRECT(SUBSTITUTE(SUBSTITUTE(L27," ",""),"-","")),"Score"),"")</f>
        <v>#REF!</v>
      </c>
      <c r="AA27" s="947"/>
      <c r="AB27" s="947"/>
      <c r="AC27" s="947"/>
      <c r="AD27" s="1132" t="str">
        <f ca="1">IF(ISNUMBER(Z27),TRUE,"")</f>
        <v/>
      </c>
      <c r="AE27" s="940" t="e">
        <f ca="1">IF(Z27="","",IF(ISNUMBER(Z27),"","Favor"))</f>
        <v>#REF!</v>
      </c>
      <c r="AF27" s="941"/>
      <c r="AG27" s="941"/>
      <c r="AH27" s="942"/>
      <c r="AI27" s="938" t="str">
        <f ca="1">IF(ISNUMBER(AO27),IF(ISNUMBER(AE27),IF(ABS(AE27)&gt;=AO27,"",AO27-ABS(AE27)),AO27),"")</f>
        <v/>
      </c>
      <c r="AJ27" s="940" t="e">
        <f ca="1">IF(Z27="","",IF(ISNUMBER(Z27),"","Bonus"))</f>
        <v>#REF!</v>
      </c>
      <c r="AK27" s="941"/>
      <c r="AL27" s="941"/>
      <c r="AM27" s="942"/>
      <c r="AN27" s="1099" t="str">
        <f ca="1">IF(ISNUMBER(AO27),IF(ISNUMBER(AE27),IF(AE27&gt;AO27,AO27,IF(AE27&gt;=0,AE27,0)),0)+IF(ISNUMBER(AJ27),AJ27,0),"")</f>
        <v/>
      </c>
      <c r="AO27" s="932" t="e">
        <f ca="1">IF(Z27="","",IF(ISNUMBER(Z27),FLOOR(Z27/5,1),"Passive"))</f>
        <v>#REF!</v>
      </c>
      <c r="AP27" s="932"/>
      <c r="AQ27" s="932"/>
      <c r="AR27" s="932"/>
      <c r="AS27" s="932"/>
      <c r="AT27" s="936"/>
      <c r="AU27" s="932" t="e">
        <f ca="1">IF(Z27="","",IF(ISNUMBER(Z27),IF(AND(AI27&gt;0,ISNUMBER(AI27)),AI27&amp;"dS","")&amp;IF(AN27&gt;0,"+"&amp;AN27,"")&amp;IF(AN27&lt;0,AN27,""),"Check"))</f>
        <v>#REF!</v>
      </c>
      <c r="AV27" s="932"/>
      <c r="AW27" s="932"/>
      <c r="AX27" s="932"/>
      <c r="AY27" s="932"/>
      <c r="AZ27" s="933"/>
      <c r="BB27" s="975" t="s">
        <v>85</v>
      </c>
      <c r="BC27" s="976"/>
      <c r="BD27" s="976"/>
      <c r="BE27" s="201"/>
      <c r="BF27" s="201"/>
      <c r="BG27" s="201"/>
      <c r="BH27" s="201"/>
      <c r="BI27" s="201"/>
      <c r="BJ27" s="201"/>
      <c r="BK27" s="201"/>
      <c r="BL27" s="201"/>
      <c r="BM27" s="201"/>
      <c r="BN27" s="201"/>
      <c r="BO27" s="202"/>
      <c r="BP27" s="202"/>
      <c r="BQ27" s="202"/>
      <c r="BR27" s="202"/>
      <c r="BS27" s="203"/>
      <c r="BT27" s="204" t="s">
        <v>89</v>
      </c>
      <c r="BU27" s="204"/>
      <c r="BV27" s="204"/>
      <c r="BW27" s="204"/>
      <c r="BX27" s="205"/>
      <c r="BY27" s="205"/>
      <c r="BZ27" s="205"/>
      <c r="CA27" s="205"/>
      <c r="CB27" s="206"/>
      <c r="CC27" s="207" t="s">
        <v>88</v>
      </c>
      <c r="CD27" s="208"/>
      <c r="CE27" s="208"/>
      <c r="CF27" s="208"/>
      <c r="CG27" s="208"/>
      <c r="CH27" s="208"/>
      <c r="CI27" s="208"/>
      <c r="CJ27" s="209"/>
      <c r="CK27" s="210"/>
    </row>
    <row r="28" spans="1:130" ht="7.5" customHeight="1" thickBot="1" x14ac:dyDescent="0.3">
      <c r="A28" s="1143"/>
      <c r="B28" s="1143"/>
      <c r="C28" s="1143"/>
      <c r="D28" s="1139"/>
      <c r="E28" s="1139"/>
      <c r="F28" s="1139"/>
      <c r="G28" s="198">
        <v>20</v>
      </c>
      <c r="H28" s="1135"/>
      <c r="I28" s="1135"/>
      <c r="J28" s="1135"/>
      <c r="L28" s="948"/>
      <c r="M28" s="949"/>
      <c r="N28" s="949"/>
      <c r="O28" s="949"/>
      <c r="P28" s="949"/>
      <c r="Q28" s="949"/>
      <c r="R28" s="949"/>
      <c r="S28" s="949"/>
      <c r="T28" s="949"/>
      <c r="U28" s="949"/>
      <c r="V28" s="949"/>
      <c r="W28" s="949"/>
      <c r="X28" s="949"/>
      <c r="Y28" s="949"/>
      <c r="Z28" s="949"/>
      <c r="AA28" s="949"/>
      <c r="AB28" s="949"/>
      <c r="AC28" s="949"/>
      <c r="AD28" s="1133"/>
      <c r="AE28" s="943"/>
      <c r="AF28" s="944"/>
      <c r="AG28" s="944"/>
      <c r="AH28" s="945"/>
      <c r="AI28" s="939"/>
      <c r="AJ28" s="943"/>
      <c r="AK28" s="944"/>
      <c r="AL28" s="944"/>
      <c r="AM28" s="945"/>
      <c r="AN28" s="1100"/>
      <c r="AO28" s="934"/>
      <c r="AP28" s="934"/>
      <c r="AQ28" s="934"/>
      <c r="AR28" s="934"/>
      <c r="AS28" s="934"/>
      <c r="AT28" s="937"/>
      <c r="AU28" s="934"/>
      <c r="AV28" s="934"/>
      <c r="AW28" s="934"/>
      <c r="AX28" s="934"/>
      <c r="AY28" s="934"/>
      <c r="AZ28" s="935"/>
      <c r="BB28" s="950"/>
      <c r="BC28" s="951"/>
      <c r="BD28" s="951"/>
      <c r="BE28" s="951"/>
      <c r="BF28" s="951"/>
      <c r="BG28" s="951"/>
      <c r="BH28" s="951"/>
      <c r="BI28" s="951"/>
      <c r="BJ28" s="951"/>
      <c r="BK28" s="951"/>
      <c r="BL28" s="951"/>
      <c r="BM28" s="951"/>
      <c r="BN28" s="951"/>
      <c r="BO28" s="951"/>
      <c r="BP28" s="951"/>
      <c r="BQ28" s="951"/>
      <c r="BR28" s="951"/>
      <c r="BS28" s="952"/>
      <c r="BT28" s="981"/>
      <c r="BU28" s="982"/>
      <c r="BV28" s="982"/>
      <c r="BW28" s="982"/>
      <c r="BX28" s="982"/>
      <c r="BY28" s="982"/>
      <c r="BZ28" s="982"/>
      <c r="CA28" s="982"/>
      <c r="CB28" s="983"/>
      <c r="CC28" s="1080"/>
      <c r="CD28" s="1081"/>
      <c r="CE28" s="1081"/>
      <c r="CF28" s="1081"/>
      <c r="CG28" s="1081"/>
      <c r="CH28" s="1081"/>
      <c r="CI28" s="1081"/>
      <c r="CJ28" s="1082"/>
      <c r="CK28" s="211"/>
    </row>
    <row r="29" spans="1:130" ht="7.5" customHeight="1" x14ac:dyDescent="0.25">
      <c r="A29" s="197"/>
      <c r="B29" s="197"/>
      <c r="C29" s="197"/>
      <c r="G29" s="36"/>
      <c r="L29" s="946" t="e">
        <f>INDEX(#REF!,(COUNTA(#REF!))/2+1,0)</f>
        <v>#REF!</v>
      </c>
      <c r="M29" s="947"/>
      <c r="N29" s="947"/>
      <c r="O29" s="947"/>
      <c r="P29" s="947"/>
      <c r="Q29" s="947"/>
      <c r="R29" s="947"/>
      <c r="S29" s="947"/>
      <c r="T29" s="947"/>
      <c r="U29" s="947"/>
      <c r="V29" s="947"/>
      <c r="W29" s="947"/>
      <c r="X29" s="947"/>
      <c r="Y29" s="947"/>
      <c r="Z29" s="947" t="e">
        <f ca="1">IF(L29&lt;&gt;"",IF(ISERROR(FIND("Skill",L29,1)),INDIRECT(SUBSTITUTE(SUBSTITUTE(L29," ",""),"-","")),"Score"),"")</f>
        <v>#REF!</v>
      </c>
      <c r="AA29" s="947"/>
      <c r="AB29" s="947"/>
      <c r="AC29" s="947"/>
      <c r="AD29" s="1132" t="str">
        <f ca="1">IF(ISNUMBER(Z29),TRUE,"")</f>
        <v/>
      </c>
      <c r="AE29" s="940" t="e">
        <f ca="1">IF(Z29="","",IF(ISNUMBER(Z29),"","Favor"))</f>
        <v>#REF!</v>
      </c>
      <c r="AF29" s="941"/>
      <c r="AG29" s="941"/>
      <c r="AH29" s="942"/>
      <c r="AI29" s="938" t="str">
        <f ca="1">IF(ISNUMBER(AO29),IF(ISNUMBER(AE29),IF(ABS(AE29)&gt;=AO29,"",AO29-ABS(AE29)),AO29),"")</f>
        <v/>
      </c>
      <c r="AJ29" s="940" t="e">
        <f ca="1">IF(Z29="","",IF(ISNUMBER(Z29),"","Bonus"))</f>
        <v>#REF!</v>
      </c>
      <c r="AK29" s="941"/>
      <c r="AL29" s="941"/>
      <c r="AM29" s="942"/>
      <c r="AN29" s="1099" t="str">
        <f ca="1">IF(ISNUMBER(AO29),IF(ISNUMBER(AE29),IF(AE29&gt;AO29,AO29,IF(AE29&gt;=0,AE29,0)),0)+IF(ISNUMBER(AJ29),AJ29,0),"")</f>
        <v/>
      </c>
      <c r="AO29" s="932" t="e">
        <f ca="1">IF(Z29="","",IF(ISNUMBER(Z29),FLOOR(Z29/5,1),"Passive"))</f>
        <v>#REF!</v>
      </c>
      <c r="AP29" s="932"/>
      <c r="AQ29" s="932"/>
      <c r="AR29" s="932"/>
      <c r="AS29" s="932"/>
      <c r="AT29" s="936"/>
      <c r="AU29" s="932" t="e">
        <f ca="1">IF(Z29="","",IF(ISNUMBER(Z29),IF(AND(AI29&gt;0,ISNUMBER(AI29)),AI29&amp;"dS","")&amp;IF(AN29&gt;0,"+"&amp;AN29,"")&amp;IF(AN29&lt;0,AN29,""),"Check"))</f>
        <v>#REF!</v>
      </c>
      <c r="AV29" s="932"/>
      <c r="AW29" s="932"/>
      <c r="AX29" s="932"/>
      <c r="AY29" s="932"/>
      <c r="AZ29" s="933"/>
      <c r="BB29" s="953"/>
      <c r="BC29" s="954"/>
      <c r="BD29" s="954"/>
      <c r="BE29" s="954"/>
      <c r="BF29" s="954"/>
      <c r="BG29" s="954"/>
      <c r="BH29" s="954"/>
      <c r="BI29" s="954"/>
      <c r="BJ29" s="954"/>
      <c r="BK29" s="954"/>
      <c r="BL29" s="954"/>
      <c r="BM29" s="954"/>
      <c r="BN29" s="954"/>
      <c r="BO29" s="954"/>
      <c r="BP29" s="954"/>
      <c r="BQ29" s="954"/>
      <c r="BR29" s="954"/>
      <c r="BS29" s="955"/>
      <c r="BT29" s="984"/>
      <c r="BU29" s="985"/>
      <c r="BV29" s="985"/>
      <c r="BW29" s="985"/>
      <c r="BX29" s="985"/>
      <c r="BY29" s="985"/>
      <c r="BZ29" s="985"/>
      <c r="CA29" s="985"/>
      <c r="CB29" s="986"/>
      <c r="CC29" s="1083"/>
      <c r="CD29" s="1084"/>
      <c r="CE29" s="1084"/>
      <c r="CF29" s="1084"/>
      <c r="CG29" s="1084"/>
      <c r="CH29" s="1084"/>
      <c r="CI29" s="1084"/>
      <c r="CJ29" s="1085"/>
      <c r="CK29" s="211"/>
    </row>
    <row r="30" spans="1:130" ht="7.5" customHeight="1" thickBot="1" x14ac:dyDescent="0.3">
      <c r="A30" s="1154" t="s">
        <v>7</v>
      </c>
      <c r="B30" s="1154"/>
      <c r="C30" s="1154"/>
      <c r="D30" s="1158" t="e">
        <f>CHA</f>
        <v>#REF!</v>
      </c>
      <c r="E30" s="1158"/>
      <c r="F30" s="1158"/>
      <c r="G30" s="212"/>
      <c r="H30" s="1161" t="e">
        <f>CHA</f>
        <v>#REF!</v>
      </c>
      <c r="I30" s="1161"/>
      <c r="J30" s="1161"/>
      <c r="L30" s="948"/>
      <c r="M30" s="949"/>
      <c r="N30" s="949"/>
      <c r="O30" s="949"/>
      <c r="P30" s="949"/>
      <c r="Q30" s="949"/>
      <c r="R30" s="949"/>
      <c r="S30" s="949"/>
      <c r="T30" s="949"/>
      <c r="U30" s="949"/>
      <c r="V30" s="949"/>
      <c r="W30" s="949"/>
      <c r="X30" s="949"/>
      <c r="Y30" s="949"/>
      <c r="Z30" s="949"/>
      <c r="AA30" s="949"/>
      <c r="AB30" s="949"/>
      <c r="AC30" s="949"/>
      <c r="AD30" s="1133"/>
      <c r="AE30" s="943"/>
      <c r="AF30" s="944"/>
      <c r="AG30" s="944"/>
      <c r="AH30" s="945"/>
      <c r="AI30" s="939"/>
      <c r="AJ30" s="943"/>
      <c r="AK30" s="944"/>
      <c r="AL30" s="944"/>
      <c r="AM30" s="945"/>
      <c r="AN30" s="1100"/>
      <c r="AO30" s="934"/>
      <c r="AP30" s="934"/>
      <c r="AQ30" s="934"/>
      <c r="AR30" s="934"/>
      <c r="AS30" s="934"/>
      <c r="AT30" s="937"/>
      <c r="AU30" s="934"/>
      <c r="AV30" s="934"/>
      <c r="AW30" s="934"/>
      <c r="AX30" s="934"/>
      <c r="AY30" s="934"/>
      <c r="AZ30" s="935"/>
      <c r="BB30" s="979" t="s">
        <v>86</v>
      </c>
      <c r="BC30" s="980"/>
      <c r="BD30" s="980"/>
      <c r="BE30" s="980"/>
      <c r="BF30" s="980"/>
      <c r="BG30" s="980"/>
      <c r="CD30" s="965" t="s">
        <v>91</v>
      </c>
      <c r="CE30" s="965"/>
      <c r="CF30" s="965"/>
      <c r="CG30" s="965"/>
      <c r="CK30" s="213"/>
    </row>
    <row r="31" spans="1:130" ht="7.5" customHeight="1" thickBot="1" x14ac:dyDescent="0.3">
      <c r="A31" s="1155"/>
      <c r="B31" s="1155"/>
      <c r="C31" s="1155"/>
      <c r="D31" s="1158"/>
      <c r="E31" s="1158"/>
      <c r="F31" s="1158"/>
      <c r="G31" s="212"/>
      <c r="H31" s="1156"/>
      <c r="I31" s="1156"/>
      <c r="J31" s="1156"/>
      <c r="L31" s="946" t="e">
        <f>INDEX(#REF!,(COUNTA(#REF!))/2+1,0)</f>
        <v>#REF!</v>
      </c>
      <c r="M31" s="947"/>
      <c r="N31" s="947"/>
      <c r="O31" s="947"/>
      <c r="P31" s="947"/>
      <c r="Q31" s="947"/>
      <c r="R31" s="947"/>
      <c r="S31" s="947"/>
      <c r="T31" s="947"/>
      <c r="U31" s="947"/>
      <c r="V31" s="947"/>
      <c r="W31" s="947"/>
      <c r="X31" s="947"/>
      <c r="Y31" s="947"/>
      <c r="Z31" s="947" t="e">
        <f ca="1">IF(L31&lt;&gt;"",IF(ISERROR(FIND("Skill",L31,1)),INDIRECT(SUBSTITUTE(SUBSTITUTE(L31," ",""),"-","")),"Score"),"")</f>
        <v>#REF!</v>
      </c>
      <c r="AA31" s="947"/>
      <c r="AB31" s="947"/>
      <c r="AC31" s="947"/>
      <c r="AD31" s="1132" t="str">
        <f ca="1">IF(ISNUMBER(Z31),TRUE,"")</f>
        <v/>
      </c>
      <c r="AE31" s="940" t="e">
        <f ca="1">IF(Z31="","",IF(ISNUMBER(Z31),"","Favor"))</f>
        <v>#REF!</v>
      </c>
      <c r="AF31" s="941"/>
      <c r="AG31" s="941"/>
      <c r="AH31" s="942"/>
      <c r="AI31" s="938" t="str">
        <f ca="1">IF(ISNUMBER(AO31),IF(ISNUMBER(AE31),IF(ABS(AE31)&gt;=AO31,"",AO31-ABS(AE31)),AO31),"")</f>
        <v/>
      </c>
      <c r="AJ31" s="940" t="e">
        <f ca="1">IF(Z31="","",IF(ISNUMBER(Z31),"","Bonus"))</f>
        <v>#REF!</v>
      </c>
      <c r="AK31" s="941"/>
      <c r="AL31" s="941"/>
      <c r="AM31" s="942"/>
      <c r="AN31" s="1099" t="str">
        <f ca="1">IF(ISNUMBER(AO31),IF(ISNUMBER(AE31),IF(AE31&gt;AO31,AO31,IF(AE31&gt;=0,AE31,0)),0)+IF(ISNUMBER(AJ31),AJ31,0),"")</f>
        <v/>
      </c>
      <c r="AO31" s="932" t="e">
        <f ca="1">IF(Z31="","",IF(ISNUMBER(Z31),FLOOR(Z31/5,1),"Passive"))</f>
        <v>#REF!</v>
      </c>
      <c r="AP31" s="932"/>
      <c r="AQ31" s="932"/>
      <c r="AR31" s="932"/>
      <c r="AS31" s="932"/>
      <c r="AT31" s="936"/>
      <c r="AU31" s="932" t="e">
        <f ca="1">IF(Z31="","",IF(ISNUMBER(Z31),IF(AND(AI31&gt;0,ISNUMBER(AI31)),AI31&amp;"dS","")&amp;IF(AN31&gt;0,"+"&amp;AN31,"")&amp;IF(AN31&lt;0,AN31,""),"Check"))</f>
        <v>#REF!</v>
      </c>
      <c r="AV31" s="932"/>
      <c r="AW31" s="932"/>
      <c r="AX31" s="932"/>
      <c r="AY31" s="932"/>
      <c r="AZ31" s="933"/>
      <c r="BB31" s="971"/>
      <c r="BC31" s="972"/>
      <c r="BD31" s="972"/>
      <c r="BE31" s="972"/>
      <c r="BF31" s="972"/>
      <c r="BG31" s="972"/>
      <c r="BH31" s="972"/>
      <c r="BI31" s="972"/>
      <c r="BJ31" s="972"/>
      <c r="BK31" s="972"/>
      <c r="BL31" s="972"/>
      <c r="BM31" s="972"/>
      <c r="BN31" s="972"/>
      <c r="BO31" s="972"/>
      <c r="BP31" s="972"/>
      <c r="BQ31" s="972"/>
      <c r="BR31" s="972"/>
      <c r="BS31" s="972"/>
      <c r="BT31" s="972"/>
      <c r="BU31" s="972"/>
      <c r="BV31" s="972"/>
      <c r="BW31" s="972"/>
      <c r="BX31" s="972"/>
      <c r="BY31" s="972"/>
      <c r="BZ31" s="972"/>
      <c r="CA31" s="972"/>
      <c r="CB31" s="972"/>
      <c r="CC31" s="956"/>
      <c r="CD31" s="957"/>
      <c r="CE31" s="957"/>
      <c r="CF31" s="957"/>
      <c r="CG31" s="957"/>
      <c r="CH31" s="957"/>
      <c r="CI31" s="957"/>
      <c r="CJ31" s="958"/>
      <c r="CK31" s="214"/>
    </row>
    <row r="32" spans="1:130" ht="7.5" customHeight="1" thickBot="1" x14ac:dyDescent="0.3">
      <c r="A32" s="1196"/>
      <c r="B32" s="1160"/>
      <c r="C32" s="1160"/>
      <c r="D32" s="1159"/>
      <c r="E32" s="1159"/>
      <c r="F32" s="1159"/>
      <c r="G32" s="212">
        <v>15</v>
      </c>
      <c r="H32" s="1156"/>
      <c r="I32" s="1156"/>
      <c r="J32" s="1156"/>
      <c r="L32" s="948"/>
      <c r="M32" s="949"/>
      <c r="N32" s="949"/>
      <c r="O32" s="949"/>
      <c r="P32" s="949"/>
      <c r="Q32" s="949"/>
      <c r="R32" s="949"/>
      <c r="S32" s="949"/>
      <c r="T32" s="949"/>
      <c r="U32" s="949"/>
      <c r="V32" s="949"/>
      <c r="W32" s="949"/>
      <c r="X32" s="949"/>
      <c r="Y32" s="949"/>
      <c r="Z32" s="949"/>
      <c r="AA32" s="949"/>
      <c r="AB32" s="949"/>
      <c r="AC32" s="949"/>
      <c r="AD32" s="1133"/>
      <c r="AE32" s="943"/>
      <c r="AF32" s="944"/>
      <c r="AG32" s="944"/>
      <c r="AH32" s="945"/>
      <c r="AI32" s="939"/>
      <c r="AJ32" s="943"/>
      <c r="AK32" s="944"/>
      <c r="AL32" s="944"/>
      <c r="AM32" s="945"/>
      <c r="AN32" s="1100"/>
      <c r="AO32" s="934"/>
      <c r="AP32" s="934"/>
      <c r="AQ32" s="934"/>
      <c r="AR32" s="934"/>
      <c r="AS32" s="934"/>
      <c r="AT32" s="937"/>
      <c r="AU32" s="934"/>
      <c r="AV32" s="934"/>
      <c r="AW32" s="934"/>
      <c r="AX32" s="934"/>
      <c r="AY32" s="934"/>
      <c r="AZ32" s="935"/>
      <c r="BB32" s="971"/>
      <c r="BC32" s="972"/>
      <c r="BD32" s="972"/>
      <c r="BE32" s="972"/>
      <c r="BF32" s="972"/>
      <c r="BG32" s="972"/>
      <c r="BH32" s="972"/>
      <c r="BI32" s="972"/>
      <c r="BJ32" s="972"/>
      <c r="BK32" s="972"/>
      <c r="BL32" s="972"/>
      <c r="BM32" s="972"/>
      <c r="BN32" s="972"/>
      <c r="BO32" s="972"/>
      <c r="BP32" s="972"/>
      <c r="BQ32" s="972"/>
      <c r="BR32" s="972"/>
      <c r="BS32" s="972"/>
      <c r="BT32" s="972"/>
      <c r="BU32" s="972"/>
      <c r="BV32" s="972"/>
      <c r="BW32" s="972"/>
      <c r="BX32" s="972"/>
      <c r="BY32" s="972"/>
      <c r="BZ32" s="972"/>
      <c r="CA32" s="972"/>
      <c r="CB32" s="972"/>
      <c r="CC32" s="959"/>
      <c r="CD32" s="960"/>
      <c r="CE32" s="960"/>
      <c r="CF32" s="960"/>
      <c r="CG32" s="960"/>
      <c r="CH32" s="960"/>
      <c r="CI32" s="960"/>
      <c r="CJ32" s="961"/>
      <c r="CK32" s="214"/>
      <c r="DD32" s="191"/>
    </row>
    <row r="33" spans="1:108" ht="7.5" customHeight="1" thickBot="1" x14ac:dyDescent="0.3">
      <c r="A33" s="1154" t="s">
        <v>8</v>
      </c>
      <c r="B33" s="1154"/>
      <c r="C33" s="1154"/>
      <c r="D33" s="1157" t="e">
        <f>INS</f>
        <v>#REF!</v>
      </c>
      <c r="E33" s="1157"/>
      <c r="F33" s="1157"/>
      <c r="G33" s="212"/>
      <c r="H33" s="1156" t="e">
        <f>INS</f>
        <v>#REF!</v>
      </c>
      <c r="I33" s="1156"/>
      <c r="J33" s="1156"/>
      <c r="L33" s="946" t="e">
        <f>INDEX(#REF!,(COUNTA(#REF!))/2+1,0)</f>
        <v>#REF!</v>
      </c>
      <c r="M33" s="947"/>
      <c r="N33" s="947"/>
      <c r="O33" s="947"/>
      <c r="P33" s="947"/>
      <c r="Q33" s="947"/>
      <c r="R33" s="947"/>
      <c r="S33" s="947"/>
      <c r="T33" s="947"/>
      <c r="U33" s="947"/>
      <c r="V33" s="947"/>
      <c r="W33" s="947"/>
      <c r="X33" s="947"/>
      <c r="Y33" s="947"/>
      <c r="Z33" s="947" t="e">
        <f ca="1">IF(L33&lt;&gt;"",IF(ISERROR(FIND("Skill",L33,1)),INDIRECT(SUBSTITUTE(SUBSTITUTE(L33," ",""),"-","")),"Score"),"")</f>
        <v>#REF!</v>
      </c>
      <c r="AA33" s="947"/>
      <c r="AB33" s="947"/>
      <c r="AC33" s="947"/>
      <c r="AD33" s="1132" t="str">
        <f ca="1">IF(ISNUMBER(Z33),TRUE,"")</f>
        <v/>
      </c>
      <c r="AE33" s="940" t="e">
        <f ca="1">IF(Z33="","",IF(ISNUMBER(Z33),"","Favor"))</f>
        <v>#REF!</v>
      </c>
      <c r="AF33" s="941"/>
      <c r="AG33" s="941"/>
      <c r="AH33" s="942"/>
      <c r="AI33" s="938" t="str">
        <f ca="1">IF(ISNUMBER(AO33),IF(ISNUMBER(AE33),IF(ABS(AE33)&gt;=AO33,"",AO33-ABS(AE33)),AO33),"")</f>
        <v/>
      </c>
      <c r="AJ33" s="940" t="e">
        <f ca="1">IF(Z33="","",IF(ISNUMBER(Z33),"","Bonus"))</f>
        <v>#REF!</v>
      </c>
      <c r="AK33" s="941"/>
      <c r="AL33" s="941"/>
      <c r="AM33" s="942"/>
      <c r="AN33" s="1099" t="str">
        <f ca="1">IF(ISNUMBER(AO33),IF(ISNUMBER(AE33),IF(AE33&gt;AO33,AO33,IF(AE33&gt;=0,AE33,0)),0)+IF(ISNUMBER(AJ33),AJ33,0),"")</f>
        <v/>
      </c>
      <c r="AO33" s="932" t="e">
        <f ca="1">IF(Z33="","",IF(ISNUMBER(Z33),FLOOR(Z33/5,1),"Passive"))</f>
        <v>#REF!</v>
      </c>
      <c r="AP33" s="932"/>
      <c r="AQ33" s="932"/>
      <c r="AR33" s="932"/>
      <c r="AS33" s="932"/>
      <c r="AT33" s="936"/>
      <c r="AU33" s="932" t="e">
        <f ca="1">IF(Z33="","",IF(ISNUMBER(Z33),IF(AND(AI33&gt;0,ISNUMBER(AI33)),AI33&amp;"dS","")&amp;IF(AN33&gt;0,"+"&amp;AN33,"")&amp;IF(AN33&lt;0,AN33,""),"Check"))</f>
        <v>#REF!</v>
      </c>
      <c r="AV33" s="932"/>
      <c r="AW33" s="932"/>
      <c r="AX33" s="932"/>
      <c r="AY33" s="932"/>
      <c r="AZ33" s="933"/>
      <c r="BB33" s="971"/>
      <c r="BC33" s="972"/>
      <c r="BD33" s="972"/>
      <c r="BE33" s="972"/>
      <c r="BF33" s="972"/>
      <c r="BG33" s="972"/>
      <c r="BH33" s="972"/>
      <c r="BI33" s="972"/>
      <c r="BJ33" s="972"/>
      <c r="BK33" s="972"/>
      <c r="BL33" s="972"/>
      <c r="BM33" s="972"/>
      <c r="BN33" s="972"/>
      <c r="BO33" s="972"/>
      <c r="BP33" s="972"/>
      <c r="BQ33" s="972"/>
      <c r="BR33" s="972"/>
      <c r="BS33" s="972"/>
      <c r="BT33" s="972"/>
      <c r="BU33" s="972"/>
      <c r="BV33" s="972"/>
      <c r="BW33" s="972"/>
      <c r="BX33" s="972"/>
      <c r="BY33" s="972"/>
      <c r="BZ33" s="972"/>
      <c r="CA33" s="972"/>
      <c r="CB33" s="972"/>
      <c r="CC33" s="962"/>
      <c r="CD33" s="963"/>
      <c r="CE33" s="963"/>
      <c r="CF33" s="963"/>
      <c r="CG33" s="963"/>
      <c r="CH33" s="963"/>
      <c r="CI33" s="963"/>
      <c r="CJ33" s="964"/>
      <c r="CK33" s="214"/>
      <c r="CP33" s="291"/>
      <c r="CQ33" s="291"/>
      <c r="CR33" s="291"/>
      <c r="CS33" s="291"/>
      <c r="CT33" s="288"/>
      <c r="CU33" s="288"/>
      <c r="CV33" s="288"/>
      <c r="CW33" s="288"/>
      <c r="CX33" s="288"/>
      <c r="CY33" s="288"/>
      <c r="CZ33" s="289"/>
      <c r="DA33" s="289"/>
      <c r="DB33" s="289"/>
      <c r="DC33" s="289"/>
      <c r="DD33" s="191"/>
    </row>
    <row r="34" spans="1:108" ht="7.5" customHeight="1" thickBot="1" x14ac:dyDescent="0.3">
      <c r="A34" s="1155"/>
      <c r="B34" s="1155"/>
      <c r="C34" s="1155"/>
      <c r="D34" s="1158"/>
      <c r="E34" s="1158"/>
      <c r="F34" s="1158"/>
      <c r="G34" s="212"/>
      <c r="H34" s="1156"/>
      <c r="I34" s="1156"/>
      <c r="J34" s="1156"/>
      <c r="L34" s="948"/>
      <c r="M34" s="949"/>
      <c r="N34" s="949"/>
      <c r="O34" s="949"/>
      <c r="P34" s="949"/>
      <c r="Q34" s="949"/>
      <c r="R34" s="949"/>
      <c r="S34" s="949"/>
      <c r="T34" s="949"/>
      <c r="U34" s="949"/>
      <c r="V34" s="949"/>
      <c r="W34" s="949"/>
      <c r="X34" s="949"/>
      <c r="Y34" s="949"/>
      <c r="Z34" s="949"/>
      <c r="AA34" s="949"/>
      <c r="AB34" s="949"/>
      <c r="AC34" s="949"/>
      <c r="AD34" s="1133"/>
      <c r="AE34" s="943"/>
      <c r="AF34" s="944"/>
      <c r="AG34" s="944"/>
      <c r="AH34" s="945"/>
      <c r="AI34" s="939"/>
      <c r="AJ34" s="943"/>
      <c r="AK34" s="944"/>
      <c r="AL34" s="944"/>
      <c r="AM34" s="945"/>
      <c r="AN34" s="1100"/>
      <c r="AO34" s="934"/>
      <c r="AP34" s="934"/>
      <c r="AQ34" s="934"/>
      <c r="AR34" s="934"/>
      <c r="AS34" s="934"/>
      <c r="AT34" s="937"/>
      <c r="AU34" s="934"/>
      <c r="AV34" s="934"/>
      <c r="AW34" s="934"/>
      <c r="AX34" s="934"/>
      <c r="AY34" s="934"/>
      <c r="AZ34" s="935"/>
      <c r="BB34" s="971"/>
      <c r="BC34" s="972"/>
      <c r="BD34" s="972"/>
      <c r="BE34" s="972"/>
      <c r="BF34" s="972"/>
      <c r="BG34" s="972"/>
      <c r="BH34" s="972"/>
      <c r="BI34" s="972"/>
      <c r="BJ34" s="972"/>
      <c r="BK34" s="972"/>
      <c r="BL34" s="972"/>
      <c r="BM34" s="972"/>
      <c r="BN34" s="972"/>
      <c r="BO34" s="972"/>
      <c r="BP34" s="972"/>
      <c r="BQ34" s="972"/>
      <c r="BR34" s="972"/>
      <c r="BS34" s="972"/>
      <c r="BT34" s="972"/>
      <c r="BU34" s="972"/>
      <c r="BV34" s="972"/>
      <c r="BW34" s="972"/>
      <c r="BX34" s="972"/>
      <c r="BY34" s="972"/>
      <c r="BZ34" s="972"/>
      <c r="CA34" s="972"/>
      <c r="CB34" s="972"/>
      <c r="CC34" s="199"/>
      <c r="CD34" s="1076" t="s">
        <v>90</v>
      </c>
      <c r="CE34" s="1076"/>
      <c r="CF34" s="1076"/>
      <c r="CG34" s="1076"/>
      <c r="CH34" s="1076"/>
      <c r="CI34" s="1076"/>
      <c r="CJ34" s="1076"/>
      <c r="CK34" s="215"/>
      <c r="CT34" s="290"/>
      <c r="CU34" s="290"/>
      <c r="DD34" s="191"/>
    </row>
    <row r="35" spans="1:108" ht="7.5" customHeight="1" thickBot="1" x14ac:dyDescent="0.3">
      <c r="A35" s="1201"/>
      <c r="B35" s="1201"/>
      <c r="C35" s="1201"/>
      <c r="D35" s="1159"/>
      <c r="E35" s="1159"/>
      <c r="F35" s="1159"/>
      <c r="G35" s="212">
        <v>20</v>
      </c>
      <c r="H35" s="1156"/>
      <c r="I35" s="1156"/>
      <c r="J35" s="1156"/>
      <c r="L35" s="946" t="e">
        <f>INDEX(#REF!,(COUNTA(#REF!))/2+1,0)</f>
        <v>#REF!</v>
      </c>
      <c r="M35" s="947"/>
      <c r="N35" s="947"/>
      <c r="O35" s="947"/>
      <c r="P35" s="947"/>
      <c r="Q35" s="947"/>
      <c r="R35" s="947"/>
      <c r="S35" s="947"/>
      <c r="T35" s="947"/>
      <c r="U35" s="947"/>
      <c r="V35" s="947"/>
      <c r="W35" s="947"/>
      <c r="X35" s="947"/>
      <c r="Y35" s="947"/>
      <c r="Z35" s="947" t="e">
        <f ca="1">IF(L35&lt;&gt;"",IF(ISERROR(FIND("Skill",L35,1)),INDIRECT(SUBSTITUTE(SUBSTITUTE(L35," ",""),"-","")),"Score"),"")</f>
        <v>#REF!</v>
      </c>
      <c r="AA35" s="947"/>
      <c r="AB35" s="947"/>
      <c r="AC35" s="947"/>
      <c r="AD35" s="1132" t="str">
        <f ca="1">IF(ISNUMBER(Z35),TRUE,"")</f>
        <v/>
      </c>
      <c r="AE35" s="940" t="e">
        <f ca="1">IF(Z35="","",IF(ISNUMBER(Z35),"","Favor"))</f>
        <v>#REF!</v>
      </c>
      <c r="AF35" s="941"/>
      <c r="AG35" s="941"/>
      <c r="AH35" s="942"/>
      <c r="AI35" s="938" t="str">
        <f ca="1">IF(ISNUMBER(AO35),IF(ISNUMBER(AE35),IF(ABS(AE35)&gt;=AO35,"",AO35-ABS(AE35)),AO35),"")</f>
        <v/>
      </c>
      <c r="AJ35" s="940" t="e">
        <f ca="1">IF(Z35="","",IF(ISNUMBER(Z35),"","Bonus"))</f>
        <v>#REF!</v>
      </c>
      <c r="AK35" s="941"/>
      <c r="AL35" s="941"/>
      <c r="AM35" s="942"/>
      <c r="AN35" s="1099" t="str">
        <f ca="1">IF(ISNUMBER(AO35),IF(ISNUMBER(AE35),IF(AE35&gt;AO35,AO35,IF(AE35&gt;=0,AE35,0)),0)+IF(ISNUMBER(AJ35),AJ35,0),"")</f>
        <v/>
      </c>
      <c r="AO35" s="932" t="e">
        <f ca="1">IF(Z35="","",IF(ISNUMBER(Z35),FLOOR(Z35/5,1),"Passive"))</f>
        <v>#REF!</v>
      </c>
      <c r="AP35" s="932"/>
      <c r="AQ35" s="932"/>
      <c r="AR35" s="932"/>
      <c r="AS35" s="932"/>
      <c r="AT35" s="936"/>
      <c r="AU35" s="932" t="e">
        <f ca="1">IF(Z35="","",IF(ISNUMBER(Z35),IF(AND(AI35&gt;0,ISNUMBER(AI35)),AI35&amp;"dS","")&amp;IF(AN35&gt;0,"+"&amp;AN35,"")&amp;IF(AN35&lt;0,AN35,""),"Check"))</f>
        <v>#REF!</v>
      </c>
      <c r="AV35" s="932"/>
      <c r="AW35" s="932"/>
      <c r="AX35" s="932"/>
      <c r="AY35" s="932"/>
      <c r="AZ35" s="933"/>
      <c r="BB35" s="971"/>
      <c r="BC35" s="972"/>
      <c r="BD35" s="972"/>
      <c r="BE35" s="972"/>
      <c r="BF35" s="972"/>
      <c r="BG35" s="972"/>
      <c r="BH35" s="972"/>
      <c r="BI35" s="972"/>
      <c r="BJ35" s="972"/>
      <c r="BK35" s="972"/>
      <c r="BL35" s="972"/>
      <c r="BM35" s="972"/>
      <c r="BN35" s="972"/>
      <c r="BO35" s="972"/>
      <c r="BP35" s="972"/>
      <c r="BQ35" s="972"/>
      <c r="BR35" s="972"/>
      <c r="BS35" s="972"/>
      <c r="BT35" s="972"/>
      <c r="BU35" s="972"/>
      <c r="BV35" s="972"/>
      <c r="BW35" s="972"/>
      <c r="BX35" s="972"/>
      <c r="BY35" s="972"/>
      <c r="BZ35" s="972"/>
      <c r="CA35" s="972"/>
      <c r="CB35" s="972"/>
      <c r="CC35" s="956"/>
      <c r="CD35" s="957"/>
      <c r="CE35" s="957"/>
      <c r="CF35" s="957"/>
      <c r="CG35" s="957"/>
      <c r="CH35" s="957"/>
      <c r="CI35" s="957"/>
      <c r="CJ35" s="958"/>
      <c r="CK35" s="215"/>
      <c r="DD35" s="191"/>
    </row>
    <row r="36" spans="1:108" ht="7.5" customHeight="1" thickBot="1" x14ac:dyDescent="0.3">
      <c r="A36" s="1154" t="s">
        <v>9</v>
      </c>
      <c r="B36" s="1154"/>
      <c r="C36" s="1154"/>
      <c r="D36" s="1157" t="e">
        <f>CNV</f>
        <v>#REF!</v>
      </c>
      <c r="E36" s="1157"/>
      <c r="F36" s="1157"/>
      <c r="G36" s="212"/>
      <c r="H36" s="1156" t="e">
        <f>CNV</f>
        <v>#REF!</v>
      </c>
      <c r="I36" s="1156"/>
      <c r="J36" s="1156"/>
      <c r="L36" s="948"/>
      <c r="M36" s="949"/>
      <c r="N36" s="949"/>
      <c r="O36" s="949"/>
      <c r="P36" s="949"/>
      <c r="Q36" s="949"/>
      <c r="R36" s="949"/>
      <c r="S36" s="949"/>
      <c r="T36" s="949"/>
      <c r="U36" s="949"/>
      <c r="V36" s="949"/>
      <c r="W36" s="949"/>
      <c r="X36" s="949"/>
      <c r="Y36" s="949"/>
      <c r="Z36" s="949"/>
      <c r="AA36" s="949"/>
      <c r="AB36" s="949"/>
      <c r="AC36" s="949"/>
      <c r="AD36" s="1133"/>
      <c r="AE36" s="943"/>
      <c r="AF36" s="944"/>
      <c r="AG36" s="944"/>
      <c r="AH36" s="945"/>
      <c r="AI36" s="939"/>
      <c r="AJ36" s="943"/>
      <c r="AK36" s="944"/>
      <c r="AL36" s="944"/>
      <c r="AM36" s="945"/>
      <c r="AN36" s="1100"/>
      <c r="AO36" s="934"/>
      <c r="AP36" s="934"/>
      <c r="AQ36" s="934"/>
      <c r="AR36" s="934"/>
      <c r="AS36" s="934"/>
      <c r="AT36" s="937"/>
      <c r="AU36" s="934"/>
      <c r="AV36" s="934"/>
      <c r="AW36" s="934"/>
      <c r="AX36" s="934"/>
      <c r="AY36" s="934"/>
      <c r="AZ36" s="935"/>
      <c r="BB36" s="971"/>
      <c r="BC36" s="972"/>
      <c r="BD36" s="972"/>
      <c r="BE36" s="972"/>
      <c r="BF36" s="972"/>
      <c r="BG36" s="972"/>
      <c r="BH36" s="972"/>
      <c r="BI36" s="972"/>
      <c r="BJ36" s="972"/>
      <c r="BK36" s="972"/>
      <c r="BL36" s="972"/>
      <c r="BM36" s="972"/>
      <c r="BN36" s="972"/>
      <c r="BO36" s="972"/>
      <c r="BP36" s="972"/>
      <c r="BQ36" s="972"/>
      <c r="BR36" s="972"/>
      <c r="BS36" s="972"/>
      <c r="BT36" s="972"/>
      <c r="BU36" s="972"/>
      <c r="BV36" s="972"/>
      <c r="BW36" s="972"/>
      <c r="BX36" s="972"/>
      <c r="BY36" s="972"/>
      <c r="BZ36" s="972"/>
      <c r="CA36" s="972"/>
      <c r="CB36" s="972"/>
      <c r="CC36" s="959"/>
      <c r="CD36" s="960"/>
      <c r="CE36" s="960"/>
      <c r="CF36" s="960"/>
      <c r="CG36" s="960"/>
      <c r="CH36" s="960"/>
      <c r="CI36" s="960"/>
      <c r="CJ36" s="961"/>
      <c r="CK36" s="216"/>
    </row>
    <row r="37" spans="1:108" ht="7.5" customHeight="1" thickBot="1" x14ac:dyDescent="0.3">
      <c r="A37" s="1155"/>
      <c r="B37" s="1155"/>
      <c r="C37" s="1155"/>
      <c r="D37" s="1158"/>
      <c r="E37" s="1158"/>
      <c r="F37" s="1158"/>
      <c r="G37" s="212"/>
      <c r="H37" s="1156"/>
      <c r="I37" s="1156"/>
      <c r="J37" s="1156"/>
      <c r="L37" s="946" t="e">
        <f>INDEX(#REF!,(COUNTA(#REF!))/2+1,0)</f>
        <v>#REF!</v>
      </c>
      <c r="M37" s="947"/>
      <c r="N37" s="947"/>
      <c r="O37" s="947"/>
      <c r="P37" s="947"/>
      <c r="Q37" s="947"/>
      <c r="R37" s="947"/>
      <c r="S37" s="947"/>
      <c r="T37" s="947"/>
      <c r="U37" s="947"/>
      <c r="V37" s="947"/>
      <c r="W37" s="947"/>
      <c r="X37" s="947"/>
      <c r="Y37" s="947"/>
      <c r="Z37" s="947" t="e">
        <f ca="1">IF(L37&lt;&gt;"",IF(ISERROR(FIND("Skill",L37,1)),INDIRECT(SUBSTITUTE(SUBSTITUTE(L37," ",""),"-","")),"Score"),"")</f>
        <v>#REF!</v>
      </c>
      <c r="AA37" s="947"/>
      <c r="AB37" s="947"/>
      <c r="AC37" s="947"/>
      <c r="AD37" s="1132" t="str">
        <f ca="1">IF(ISNUMBER(Z37),TRUE,"")</f>
        <v/>
      </c>
      <c r="AE37" s="940" t="e">
        <f ca="1">IF(Z37="","",IF(ISNUMBER(Z37),"","Favor"))</f>
        <v>#REF!</v>
      </c>
      <c r="AF37" s="941"/>
      <c r="AG37" s="941"/>
      <c r="AH37" s="942"/>
      <c r="AI37" s="938" t="str">
        <f ca="1">IF(ISNUMBER(AO37),IF(ISNUMBER(AE37),IF(ABS(AE37)&gt;=AO37,"",AO37-ABS(AE37)),AO37),"")</f>
        <v/>
      </c>
      <c r="AJ37" s="940" t="e">
        <f ca="1">IF(Z37="","",IF(ISNUMBER(Z37),"","Bonus"))</f>
        <v>#REF!</v>
      </c>
      <c r="AK37" s="941"/>
      <c r="AL37" s="941"/>
      <c r="AM37" s="942"/>
      <c r="AN37" s="1099" t="str">
        <f ca="1">IF(ISNUMBER(AO37),IF(ISNUMBER(AE37),IF(AE37&gt;AO37,AO37,IF(AE37&gt;=0,AE37,0)),0)+IF(ISNUMBER(AJ37),AJ37,0),"")</f>
        <v/>
      </c>
      <c r="AO37" s="932" t="e">
        <f ca="1">IF(Z37="","",IF(ISNUMBER(Z37),FLOOR(Z37/5,1),"Passive"))</f>
        <v>#REF!</v>
      </c>
      <c r="AP37" s="932"/>
      <c r="AQ37" s="932"/>
      <c r="AR37" s="932"/>
      <c r="AS37" s="932"/>
      <c r="AT37" s="936"/>
      <c r="AU37" s="932" t="e">
        <f ca="1">IF(Z37="","",IF(ISNUMBER(Z37),IF(AND(AI37&gt;0,ISNUMBER(AI37)),AI37&amp;"dS","")&amp;IF(AN37&gt;0,"+"&amp;AN37,"")&amp;IF(AN37&lt;0,AN37,""),"Check"))</f>
        <v>#REF!</v>
      </c>
      <c r="AV37" s="932"/>
      <c r="AW37" s="932"/>
      <c r="AX37" s="932"/>
      <c r="AY37" s="932"/>
      <c r="AZ37" s="933"/>
      <c r="BB37" s="971"/>
      <c r="BC37" s="972"/>
      <c r="BD37" s="972"/>
      <c r="BE37" s="972"/>
      <c r="BF37" s="972"/>
      <c r="BG37" s="972"/>
      <c r="BH37" s="972"/>
      <c r="BI37" s="972"/>
      <c r="BJ37" s="972"/>
      <c r="BK37" s="972"/>
      <c r="BL37" s="972"/>
      <c r="BM37" s="972"/>
      <c r="BN37" s="972"/>
      <c r="BO37" s="972"/>
      <c r="BP37" s="972"/>
      <c r="BQ37" s="972"/>
      <c r="BR37" s="972"/>
      <c r="BS37" s="972"/>
      <c r="BT37" s="972"/>
      <c r="BU37" s="972"/>
      <c r="BV37" s="972"/>
      <c r="BW37" s="972"/>
      <c r="BX37" s="972"/>
      <c r="BY37" s="972"/>
      <c r="BZ37" s="972"/>
      <c r="CA37" s="972"/>
      <c r="CB37" s="972"/>
      <c r="CC37" s="962"/>
      <c r="CD37" s="963"/>
      <c r="CE37" s="963"/>
      <c r="CF37" s="963"/>
      <c r="CG37" s="963"/>
      <c r="CH37" s="963"/>
      <c r="CI37" s="963"/>
      <c r="CJ37" s="964"/>
      <c r="CK37" s="216"/>
    </row>
    <row r="38" spans="1:108" ht="7.5" customHeight="1" thickBot="1" x14ac:dyDescent="0.3">
      <c r="A38" s="1160"/>
      <c r="B38" s="1160"/>
      <c r="C38" s="1160"/>
      <c r="D38" s="1159"/>
      <c r="E38" s="1159"/>
      <c r="F38" s="1159"/>
      <c r="G38" s="212">
        <v>10</v>
      </c>
      <c r="H38" s="1156"/>
      <c r="I38" s="1156"/>
      <c r="J38" s="1156"/>
      <c r="L38" s="948"/>
      <c r="M38" s="949"/>
      <c r="N38" s="949"/>
      <c r="O38" s="949"/>
      <c r="P38" s="949"/>
      <c r="Q38" s="949"/>
      <c r="R38" s="949"/>
      <c r="S38" s="949"/>
      <c r="T38" s="949"/>
      <c r="U38" s="949"/>
      <c r="V38" s="949"/>
      <c r="W38" s="949"/>
      <c r="X38" s="949"/>
      <c r="Y38" s="949"/>
      <c r="Z38" s="949"/>
      <c r="AA38" s="949"/>
      <c r="AB38" s="949"/>
      <c r="AC38" s="949"/>
      <c r="AD38" s="1133"/>
      <c r="AE38" s="943"/>
      <c r="AF38" s="944"/>
      <c r="AG38" s="944"/>
      <c r="AH38" s="945"/>
      <c r="AI38" s="939"/>
      <c r="AJ38" s="943"/>
      <c r="AK38" s="944"/>
      <c r="AL38" s="944"/>
      <c r="AM38" s="945"/>
      <c r="AN38" s="1100"/>
      <c r="AO38" s="934"/>
      <c r="AP38" s="934"/>
      <c r="AQ38" s="934"/>
      <c r="AR38" s="934"/>
      <c r="AS38" s="934"/>
      <c r="AT38" s="937"/>
      <c r="AU38" s="934"/>
      <c r="AV38" s="934"/>
      <c r="AW38" s="934"/>
      <c r="AX38" s="934"/>
      <c r="AY38" s="934"/>
      <c r="AZ38" s="935"/>
      <c r="BB38" s="977"/>
      <c r="BC38" s="978"/>
      <c r="BD38" s="978"/>
      <c r="BE38" s="978"/>
      <c r="BF38" s="978"/>
      <c r="BG38" s="978"/>
      <c r="BH38" s="978"/>
      <c r="BI38" s="978"/>
      <c r="BJ38" s="978"/>
      <c r="BK38" s="978"/>
      <c r="BL38" s="978"/>
      <c r="BM38" s="978"/>
      <c r="BN38" s="978"/>
      <c r="BO38" s="978"/>
      <c r="BP38" s="978"/>
      <c r="BQ38" s="978"/>
      <c r="BR38" s="978"/>
      <c r="BS38" s="978"/>
      <c r="BT38" s="978"/>
      <c r="BU38" s="978"/>
      <c r="BV38" s="978"/>
      <c r="BW38" s="978"/>
      <c r="BX38" s="978"/>
      <c r="BY38" s="978"/>
      <c r="BZ38" s="978"/>
      <c r="CA38" s="978"/>
      <c r="CB38" s="978"/>
      <c r="CC38" s="217"/>
      <c r="CD38" s="217"/>
      <c r="CE38" s="217"/>
      <c r="CF38" s="217"/>
      <c r="CG38" s="217"/>
      <c r="CH38" s="217"/>
      <c r="CI38" s="217"/>
      <c r="CJ38" s="217"/>
      <c r="CK38" s="218"/>
    </row>
    <row r="39" spans="1:108" ht="7.5" customHeight="1" x14ac:dyDescent="0.25">
      <c r="A39" s="197"/>
      <c r="B39" s="197"/>
      <c r="C39" s="197"/>
      <c r="L39" s="946" t="e">
        <f>INDEX(#REF!,(COUNTA(#REF!))/2+1,0)</f>
        <v>#REF!</v>
      </c>
      <c r="M39" s="947"/>
      <c r="N39" s="947"/>
      <c r="O39" s="947"/>
      <c r="P39" s="947"/>
      <c r="Q39" s="947"/>
      <c r="R39" s="947"/>
      <c r="S39" s="947"/>
      <c r="T39" s="947"/>
      <c r="U39" s="947"/>
      <c r="V39" s="947"/>
      <c r="W39" s="947"/>
      <c r="X39" s="947"/>
      <c r="Y39" s="947"/>
      <c r="Z39" s="947" t="e">
        <f ca="1">IF(L39&lt;&gt;"",IF(ISERROR(FIND("Skill",L39,1)),INDIRECT(SUBSTITUTE(SUBSTITUTE(L39," ",""),"-","")),"Score"),"")</f>
        <v>#REF!</v>
      </c>
      <c r="AA39" s="947"/>
      <c r="AB39" s="947"/>
      <c r="AC39" s="947"/>
      <c r="AD39" s="1132" t="str">
        <f ca="1">IF(ISNUMBER(Z39),TRUE,"")</f>
        <v/>
      </c>
      <c r="AE39" s="940" t="e">
        <f ca="1">IF(Z39="","",IF(ISNUMBER(Z39),"","Favor"))</f>
        <v>#REF!</v>
      </c>
      <c r="AF39" s="941"/>
      <c r="AG39" s="941"/>
      <c r="AH39" s="942"/>
      <c r="AI39" s="938" t="str">
        <f ca="1">IF(ISNUMBER(AO39),IF(ISNUMBER(AE39),IF(ABS(AE39)&gt;=AO39,"",AO39-ABS(AE39)),AO39),"")</f>
        <v/>
      </c>
      <c r="AJ39" s="940" t="e">
        <f ca="1">IF(Z39="","",IF(ISNUMBER(Z39),"","Bonus"))</f>
        <v>#REF!</v>
      </c>
      <c r="AK39" s="941"/>
      <c r="AL39" s="941"/>
      <c r="AM39" s="942"/>
      <c r="AN39" s="1099" t="str">
        <f ca="1">IF(ISNUMBER(AO39),IF(ISNUMBER(AE39),IF(AE39&gt;AO39,AO39,IF(AE39&gt;=0,AE39,0)),0)+IF(ISNUMBER(AJ39),AJ39,0),"")</f>
        <v/>
      </c>
      <c r="AO39" s="932" t="e">
        <f ca="1">IF(Z39="","",IF(ISNUMBER(Z39),FLOOR(Z39/5,1),"Passive"))</f>
        <v>#REF!</v>
      </c>
      <c r="AP39" s="932"/>
      <c r="AQ39" s="932"/>
      <c r="AR39" s="932"/>
      <c r="AS39" s="932"/>
      <c r="AT39" s="936"/>
      <c r="AU39" s="932" t="e">
        <f ca="1">IF(Z39="","",IF(ISNUMBER(Z39),IF(AND(AI39&gt;0,ISNUMBER(AI39)),AI39&amp;"dS","")&amp;IF(AN39&gt;0,"+"&amp;AN39,"")&amp;IF(AN39&lt;0,AN39,""),"Check"))</f>
        <v>#REF!</v>
      </c>
      <c r="AV39" s="932"/>
      <c r="AW39" s="932"/>
      <c r="AX39" s="932"/>
      <c r="AY39" s="932"/>
      <c r="AZ39" s="933"/>
      <c r="BB39" s="975" t="s">
        <v>85</v>
      </c>
      <c r="BC39" s="976"/>
      <c r="BD39" s="976"/>
      <c r="BE39" s="201"/>
      <c r="BF39" s="201"/>
      <c r="BG39" s="201"/>
      <c r="BH39" s="201"/>
      <c r="BI39" s="201"/>
      <c r="BJ39" s="201"/>
      <c r="BK39" s="201"/>
      <c r="BL39" s="201"/>
      <c r="BM39" s="201"/>
      <c r="BN39" s="201"/>
      <c r="BO39" s="202"/>
      <c r="BP39" s="202"/>
      <c r="BQ39" s="202"/>
      <c r="BR39" s="202"/>
      <c r="BS39" s="203"/>
      <c r="BT39" s="204" t="s">
        <v>89</v>
      </c>
      <c r="BU39" s="204"/>
      <c r="BV39" s="204"/>
      <c r="BW39" s="204"/>
      <c r="BX39" s="205"/>
      <c r="BY39" s="205"/>
      <c r="BZ39" s="205"/>
      <c r="CA39" s="205"/>
      <c r="CB39" s="206"/>
      <c r="CC39" s="207" t="s">
        <v>88</v>
      </c>
      <c r="CD39" s="208"/>
      <c r="CE39" s="208"/>
      <c r="CF39" s="208"/>
      <c r="CG39" s="208"/>
      <c r="CH39" s="208"/>
      <c r="CI39" s="208"/>
      <c r="CJ39" s="209"/>
      <c r="CK39" s="210"/>
    </row>
    <row r="40" spans="1:108" ht="7.5" customHeight="1" thickBot="1" x14ac:dyDescent="0.3">
      <c r="A40" s="1198" t="s">
        <v>442</v>
      </c>
      <c r="B40" s="1198"/>
      <c r="C40" s="1198"/>
      <c r="D40" s="1198"/>
      <c r="E40" s="1198"/>
      <c r="F40" s="1198"/>
      <c r="G40" s="1198"/>
      <c r="H40" s="1198"/>
      <c r="I40" s="1198"/>
      <c r="J40" s="1198"/>
      <c r="L40" s="948"/>
      <c r="M40" s="949"/>
      <c r="N40" s="949"/>
      <c r="O40" s="949"/>
      <c r="P40" s="949"/>
      <c r="Q40" s="949"/>
      <c r="R40" s="949"/>
      <c r="S40" s="949"/>
      <c r="T40" s="949"/>
      <c r="U40" s="949"/>
      <c r="V40" s="949"/>
      <c r="W40" s="949"/>
      <c r="X40" s="949"/>
      <c r="Y40" s="949"/>
      <c r="Z40" s="949"/>
      <c r="AA40" s="949"/>
      <c r="AB40" s="949"/>
      <c r="AC40" s="949"/>
      <c r="AD40" s="1133"/>
      <c r="AE40" s="943"/>
      <c r="AF40" s="944"/>
      <c r="AG40" s="944"/>
      <c r="AH40" s="945"/>
      <c r="AI40" s="939"/>
      <c r="AJ40" s="943"/>
      <c r="AK40" s="944"/>
      <c r="AL40" s="944"/>
      <c r="AM40" s="945"/>
      <c r="AN40" s="1100"/>
      <c r="AO40" s="934"/>
      <c r="AP40" s="934"/>
      <c r="AQ40" s="934"/>
      <c r="AR40" s="934"/>
      <c r="AS40" s="934"/>
      <c r="AT40" s="937"/>
      <c r="AU40" s="934"/>
      <c r="AV40" s="934"/>
      <c r="AW40" s="934"/>
      <c r="AX40" s="934"/>
      <c r="AY40" s="934"/>
      <c r="AZ40" s="935"/>
      <c r="BB40" s="950"/>
      <c r="BC40" s="951"/>
      <c r="BD40" s="951"/>
      <c r="BE40" s="951"/>
      <c r="BF40" s="951"/>
      <c r="BG40" s="951"/>
      <c r="BH40" s="951"/>
      <c r="BI40" s="951"/>
      <c r="BJ40" s="951"/>
      <c r="BK40" s="951"/>
      <c r="BL40" s="951"/>
      <c r="BM40" s="951"/>
      <c r="BN40" s="951"/>
      <c r="BO40" s="951"/>
      <c r="BP40" s="951"/>
      <c r="BQ40" s="951"/>
      <c r="BR40" s="951"/>
      <c r="BS40" s="952"/>
      <c r="BT40" s="981"/>
      <c r="BU40" s="982"/>
      <c r="BV40" s="982"/>
      <c r="BW40" s="982"/>
      <c r="BX40" s="982"/>
      <c r="BY40" s="982"/>
      <c r="BZ40" s="982"/>
      <c r="CA40" s="982"/>
      <c r="CB40" s="983"/>
      <c r="CC40" s="1080"/>
      <c r="CD40" s="1081"/>
      <c r="CE40" s="1081"/>
      <c r="CF40" s="1081"/>
      <c r="CG40" s="1081"/>
      <c r="CH40" s="1081"/>
      <c r="CI40" s="1081"/>
      <c r="CJ40" s="1082"/>
      <c r="CK40" s="211"/>
    </row>
    <row r="41" spans="1:108" ht="7.5" customHeight="1" x14ac:dyDescent="0.25">
      <c r="A41" s="1198"/>
      <c r="B41" s="1198"/>
      <c r="C41" s="1198"/>
      <c r="D41" s="1198"/>
      <c r="E41" s="1198"/>
      <c r="F41" s="1198"/>
      <c r="G41" s="1198"/>
      <c r="H41" s="1198"/>
      <c r="I41" s="1198"/>
      <c r="J41" s="1198"/>
      <c r="L41" s="946" t="e">
        <f>INDEX(#REF!,(COUNTA(#REF!))/2+1,0)</f>
        <v>#REF!</v>
      </c>
      <c r="M41" s="947"/>
      <c r="N41" s="947"/>
      <c r="O41" s="947"/>
      <c r="P41" s="947"/>
      <c r="Q41" s="947"/>
      <c r="R41" s="947"/>
      <c r="S41" s="947"/>
      <c r="T41" s="947"/>
      <c r="U41" s="947"/>
      <c r="V41" s="947"/>
      <c r="W41" s="947"/>
      <c r="X41" s="947"/>
      <c r="Y41" s="947"/>
      <c r="Z41" s="947" t="e">
        <f ca="1">IF(L41&lt;&gt;"",IF(ISERROR(FIND("Skill",L41,1)),INDIRECT(SUBSTITUTE(SUBSTITUTE(L41," ",""),"-","")),"Score"),"")</f>
        <v>#REF!</v>
      </c>
      <c r="AA41" s="947"/>
      <c r="AB41" s="947"/>
      <c r="AC41" s="947"/>
      <c r="AD41" s="1132" t="str">
        <f ca="1">IF(ISNUMBER(Z41),TRUE,"")</f>
        <v/>
      </c>
      <c r="AE41" s="940" t="e">
        <f ca="1">IF(Z41="","",IF(ISNUMBER(Z41),"","Favor"))</f>
        <v>#REF!</v>
      </c>
      <c r="AF41" s="941"/>
      <c r="AG41" s="941"/>
      <c r="AH41" s="942"/>
      <c r="AI41" s="938" t="str">
        <f ca="1">IF(ISNUMBER(AO41),IF(ISNUMBER(AE41),IF(ABS(AE41)&gt;=AO41,"",AO41-ABS(AE41)),AO41),"")</f>
        <v/>
      </c>
      <c r="AJ41" s="940" t="e">
        <f ca="1">IF(Z41="","",IF(ISNUMBER(Z41),"","Bonus"))</f>
        <v>#REF!</v>
      </c>
      <c r="AK41" s="941"/>
      <c r="AL41" s="941"/>
      <c r="AM41" s="942"/>
      <c r="AN41" s="1099" t="str">
        <f ca="1">IF(ISNUMBER(AO41),IF(ISNUMBER(AE41),IF(AE41&gt;AO41,AO41,IF(AE41&gt;=0,AE41,0)),0)+IF(ISNUMBER(AJ41),AJ41,0),"")</f>
        <v/>
      </c>
      <c r="AO41" s="932" t="e">
        <f ca="1">IF(Z41="","",IF(ISNUMBER(Z41),FLOOR(Z41/5,1),"Passive"))</f>
        <v>#REF!</v>
      </c>
      <c r="AP41" s="932"/>
      <c r="AQ41" s="932"/>
      <c r="AR41" s="932"/>
      <c r="AS41" s="932"/>
      <c r="AT41" s="936"/>
      <c r="AU41" s="932" t="e">
        <f ca="1">IF(Z41="","",IF(ISNUMBER(Z41),IF(AND(AI41&gt;0,ISNUMBER(AI41)),AI41&amp;"dS","")&amp;IF(AN41&gt;0,"+"&amp;AN41,"")&amp;IF(AN41&lt;0,AN41,""),"Check"))</f>
        <v>#REF!</v>
      </c>
      <c r="AV41" s="932"/>
      <c r="AW41" s="932"/>
      <c r="AX41" s="932"/>
      <c r="AY41" s="932"/>
      <c r="AZ41" s="933"/>
      <c r="BB41" s="953"/>
      <c r="BC41" s="954"/>
      <c r="BD41" s="954"/>
      <c r="BE41" s="954"/>
      <c r="BF41" s="954"/>
      <c r="BG41" s="954"/>
      <c r="BH41" s="954"/>
      <c r="BI41" s="954"/>
      <c r="BJ41" s="954"/>
      <c r="BK41" s="954"/>
      <c r="BL41" s="954"/>
      <c r="BM41" s="954"/>
      <c r="BN41" s="954"/>
      <c r="BO41" s="954"/>
      <c r="BP41" s="954"/>
      <c r="BQ41" s="954"/>
      <c r="BR41" s="954"/>
      <c r="BS41" s="955"/>
      <c r="BT41" s="984"/>
      <c r="BU41" s="985"/>
      <c r="BV41" s="985"/>
      <c r="BW41" s="985"/>
      <c r="BX41" s="985"/>
      <c r="BY41" s="985"/>
      <c r="BZ41" s="985"/>
      <c r="CA41" s="985"/>
      <c r="CB41" s="986"/>
      <c r="CC41" s="1083"/>
      <c r="CD41" s="1084"/>
      <c r="CE41" s="1084"/>
      <c r="CF41" s="1084"/>
      <c r="CG41" s="1084"/>
      <c r="CH41" s="1084"/>
      <c r="CI41" s="1084"/>
      <c r="CJ41" s="1085"/>
      <c r="CK41" s="211"/>
    </row>
    <row r="42" spans="1:108" ht="7.5" customHeight="1" thickBot="1" x14ac:dyDescent="0.3">
      <c r="A42" s="1199" t="e">
        <f>IF(Gender&lt;&gt;"",Gender,"")</f>
        <v>#REF!</v>
      </c>
      <c r="B42" s="1199"/>
      <c r="C42" s="1199"/>
      <c r="D42" s="1199"/>
      <c r="E42" s="1199"/>
      <c r="F42" s="1199"/>
      <c r="G42" s="1199"/>
      <c r="H42" s="1199"/>
      <c r="I42" s="1199"/>
      <c r="J42" s="1199"/>
      <c r="L42" s="948"/>
      <c r="M42" s="949"/>
      <c r="N42" s="949"/>
      <c r="O42" s="949"/>
      <c r="P42" s="949"/>
      <c r="Q42" s="949"/>
      <c r="R42" s="949"/>
      <c r="S42" s="949"/>
      <c r="T42" s="949"/>
      <c r="U42" s="949"/>
      <c r="V42" s="949"/>
      <c r="W42" s="949"/>
      <c r="X42" s="949"/>
      <c r="Y42" s="949"/>
      <c r="Z42" s="949"/>
      <c r="AA42" s="949"/>
      <c r="AB42" s="949"/>
      <c r="AC42" s="949"/>
      <c r="AD42" s="1133"/>
      <c r="AE42" s="943"/>
      <c r="AF42" s="944"/>
      <c r="AG42" s="944"/>
      <c r="AH42" s="945"/>
      <c r="AI42" s="939"/>
      <c r="AJ42" s="943"/>
      <c r="AK42" s="944"/>
      <c r="AL42" s="944"/>
      <c r="AM42" s="945"/>
      <c r="AN42" s="1100"/>
      <c r="AO42" s="934"/>
      <c r="AP42" s="934"/>
      <c r="AQ42" s="934"/>
      <c r="AR42" s="934"/>
      <c r="AS42" s="934"/>
      <c r="AT42" s="937"/>
      <c r="AU42" s="934"/>
      <c r="AV42" s="934"/>
      <c r="AW42" s="934"/>
      <c r="AX42" s="934"/>
      <c r="AY42" s="934"/>
      <c r="AZ42" s="935"/>
      <c r="BB42" s="979" t="s">
        <v>86</v>
      </c>
      <c r="BC42" s="980"/>
      <c r="BD42" s="980"/>
      <c r="BE42" s="980"/>
      <c r="BF42" s="980"/>
      <c r="BG42" s="980"/>
      <c r="CD42" s="965" t="s">
        <v>91</v>
      </c>
      <c r="CE42" s="965"/>
      <c r="CF42" s="965"/>
      <c r="CG42" s="965"/>
      <c r="CK42" s="213"/>
    </row>
    <row r="43" spans="1:108" ht="7.5" customHeight="1" x14ac:dyDescent="0.25">
      <c r="A43" s="1200"/>
      <c r="B43" s="1200"/>
      <c r="C43" s="1200"/>
      <c r="D43" s="1200"/>
      <c r="E43" s="1200"/>
      <c r="F43" s="1200"/>
      <c r="G43" s="1200"/>
      <c r="H43" s="1200"/>
      <c r="I43" s="1200"/>
      <c r="J43" s="1200"/>
      <c r="L43" s="946" t="e">
        <f>INDEX(#REF!,(COUNTA(#REF!))/2+1,0)</f>
        <v>#REF!</v>
      </c>
      <c r="M43" s="947"/>
      <c r="N43" s="947"/>
      <c r="O43" s="947"/>
      <c r="P43" s="947"/>
      <c r="Q43" s="947"/>
      <c r="R43" s="947"/>
      <c r="S43" s="947"/>
      <c r="T43" s="947"/>
      <c r="U43" s="947"/>
      <c r="V43" s="947"/>
      <c r="W43" s="947"/>
      <c r="X43" s="947"/>
      <c r="Y43" s="947"/>
      <c r="Z43" s="947" t="e">
        <f ca="1">IF(L43&lt;&gt;"",IF(ISERROR(FIND("Skill",L43,1)),INDIRECT(SUBSTITUTE(SUBSTITUTE(L43," ",""),"-","")),"Score"),"")</f>
        <v>#REF!</v>
      </c>
      <c r="AA43" s="947"/>
      <c r="AB43" s="947"/>
      <c r="AC43" s="947"/>
      <c r="AD43" s="1132" t="str">
        <f ca="1">IF(ISNUMBER(Z43),TRUE,"")</f>
        <v/>
      </c>
      <c r="AE43" s="940" t="e">
        <f ca="1">IF(Z43="","",IF(ISNUMBER(Z43),"","Favor"))</f>
        <v>#REF!</v>
      </c>
      <c r="AF43" s="941"/>
      <c r="AG43" s="941"/>
      <c r="AH43" s="942"/>
      <c r="AI43" s="938" t="str">
        <f ca="1">IF(ISNUMBER(AO43),IF(ISNUMBER(AE43),IF(ABS(AE43)&gt;=AO43,"",AO43-ABS(AE43)),AO43),"")</f>
        <v/>
      </c>
      <c r="AJ43" s="940" t="e">
        <f ca="1">IF(Z43="","",IF(ISNUMBER(Z43),"","Bonus"))</f>
        <v>#REF!</v>
      </c>
      <c r="AK43" s="941"/>
      <c r="AL43" s="941"/>
      <c r="AM43" s="942"/>
      <c r="AN43" s="1099" t="str">
        <f ca="1">IF(ISNUMBER(AO43),IF(ISNUMBER(AE43),IF(AE43&gt;AO43,AO43,IF(AE43&gt;=0,AE43,0)),0)+IF(ISNUMBER(AJ43),AJ43,0),"")</f>
        <v/>
      </c>
      <c r="AO43" s="932" t="e">
        <f ca="1">IF(Z43="","",IF(ISNUMBER(Z43),FLOOR(Z43/5,1),"Passive"))</f>
        <v>#REF!</v>
      </c>
      <c r="AP43" s="932"/>
      <c r="AQ43" s="932"/>
      <c r="AR43" s="932"/>
      <c r="AS43" s="932"/>
      <c r="AT43" s="936"/>
      <c r="AU43" s="932" t="e">
        <f ca="1">IF(Z43="","",IF(ISNUMBER(Z43),IF(AND(AI43&gt;0,ISNUMBER(AI43)),AI43&amp;"dS","")&amp;IF(AN43&gt;0,"+"&amp;AN43,"")&amp;IF(AN43&lt;0,AN43,""),"Check"))</f>
        <v>#REF!</v>
      </c>
      <c r="AV43" s="932"/>
      <c r="AW43" s="932"/>
      <c r="AX43" s="932"/>
      <c r="AY43" s="932"/>
      <c r="AZ43" s="933"/>
      <c r="BB43" s="971"/>
      <c r="BC43" s="972"/>
      <c r="BD43" s="972"/>
      <c r="BE43" s="972"/>
      <c r="BF43" s="972"/>
      <c r="BG43" s="972"/>
      <c r="BH43" s="972"/>
      <c r="BI43" s="972"/>
      <c r="BJ43" s="972"/>
      <c r="BK43" s="972"/>
      <c r="BL43" s="972"/>
      <c r="BM43" s="972"/>
      <c r="BN43" s="972"/>
      <c r="BO43" s="972"/>
      <c r="BP43" s="972"/>
      <c r="BQ43" s="972"/>
      <c r="BR43" s="972"/>
      <c r="BS43" s="972"/>
      <c r="BT43" s="972"/>
      <c r="BU43" s="972"/>
      <c r="BV43" s="972"/>
      <c r="BW43" s="972"/>
      <c r="BX43" s="972"/>
      <c r="BY43" s="972"/>
      <c r="BZ43" s="972"/>
      <c r="CA43" s="972"/>
      <c r="CB43" s="972"/>
      <c r="CC43" s="956"/>
      <c r="CD43" s="957"/>
      <c r="CE43" s="957"/>
      <c r="CF43" s="957"/>
      <c r="CG43" s="957"/>
      <c r="CH43" s="957"/>
      <c r="CI43" s="957"/>
      <c r="CJ43" s="958"/>
      <c r="CK43" s="214"/>
    </row>
    <row r="44" spans="1:108" ht="7.5" customHeight="1" thickBot="1" x14ac:dyDescent="0.3">
      <c r="A44" s="1194" t="s">
        <v>10</v>
      </c>
      <c r="B44" s="1194"/>
      <c r="C44" s="1194"/>
      <c r="D44" s="1194"/>
      <c r="E44" s="1194"/>
      <c r="F44" s="1194"/>
      <c r="G44" s="1194"/>
      <c r="H44" s="1194"/>
      <c r="I44" s="219"/>
      <c r="J44" s="219"/>
      <c r="L44" s="948"/>
      <c r="M44" s="949"/>
      <c r="N44" s="949"/>
      <c r="O44" s="949"/>
      <c r="P44" s="949"/>
      <c r="Q44" s="949"/>
      <c r="R44" s="949"/>
      <c r="S44" s="949"/>
      <c r="T44" s="949"/>
      <c r="U44" s="949"/>
      <c r="V44" s="949"/>
      <c r="W44" s="949"/>
      <c r="X44" s="949"/>
      <c r="Y44" s="949"/>
      <c r="Z44" s="949"/>
      <c r="AA44" s="949"/>
      <c r="AB44" s="949"/>
      <c r="AC44" s="949"/>
      <c r="AD44" s="1133"/>
      <c r="AE44" s="943"/>
      <c r="AF44" s="944"/>
      <c r="AG44" s="944"/>
      <c r="AH44" s="945"/>
      <c r="AI44" s="939"/>
      <c r="AJ44" s="943"/>
      <c r="AK44" s="944"/>
      <c r="AL44" s="944"/>
      <c r="AM44" s="945"/>
      <c r="AN44" s="1100"/>
      <c r="AO44" s="934"/>
      <c r="AP44" s="934"/>
      <c r="AQ44" s="934"/>
      <c r="AR44" s="934"/>
      <c r="AS44" s="934"/>
      <c r="AT44" s="937"/>
      <c r="AU44" s="934"/>
      <c r="AV44" s="934"/>
      <c r="AW44" s="934"/>
      <c r="AX44" s="934"/>
      <c r="AY44" s="934"/>
      <c r="AZ44" s="935"/>
      <c r="BB44" s="971"/>
      <c r="BC44" s="972"/>
      <c r="BD44" s="972"/>
      <c r="BE44" s="972"/>
      <c r="BF44" s="972"/>
      <c r="BG44" s="972"/>
      <c r="BH44" s="972"/>
      <c r="BI44" s="972"/>
      <c r="BJ44" s="972"/>
      <c r="BK44" s="972"/>
      <c r="BL44" s="972"/>
      <c r="BM44" s="972"/>
      <c r="BN44" s="972"/>
      <c r="BO44" s="972"/>
      <c r="BP44" s="972"/>
      <c r="BQ44" s="972"/>
      <c r="BR44" s="972"/>
      <c r="BS44" s="972"/>
      <c r="BT44" s="972"/>
      <c r="BU44" s="972"/>
      <c r="BV44" s="972"/>
      <c r="BW44" s="972"/>
      <c r="BX44" s="972"/>
      <c r="BY44" s="972"/>
      <c r="BZ44" s="972"/>
      <c r="CA44" s="972"/>
      <c r="CB44" s="972"/>
      <c r="CC44" s="959"/>
      <c r="CD44" s="960"/>
      <c r="CE44" s="960"/>
      <c r="CF44" s="960"/>
      <c r="CG44" s="960"/>
      <c r="CH44" s="960"/>
      <c r="CI44" s="960"/>
      <c r="CJ44" s="961"/>
      <c r="CK44" s="214"/>
    </row>
    <row r="45" spans="1:108" ht="7.5" customHeight="1" x14ac:dyDescent="0.25">
      <c r="A45" s="1199" t="e">
        <f>IF(Age&lt;&gt;"",Age,"")</f>
        <v>#REF!</v>
      </c>
      <c r="B45" s="1199"/>
      <c r="C45" s="1199"/>
      <c r="D45" s="1199"/>
      <c r="E45" s="1199"/>
      <c r="F45" s="1199"/>
      <c r="G45" s="1199"/>
      <c r="H45" s="1199"/>
      <c r="I45" s="1199"/>
      <c r="J45" s="1199"/>
      <c r="L45" s="946" t="e">
        <f>INDEX(#REF!,(COUNTA(#REF!))/2+1,0)</f>
        <v>#REF!</v>
      </c>
      <c r="M45" s="947"/>
      <c r="N45" s="947"/>
      <c r="O45" s="947"/>
      <c r="P45" s="947"/>
      <c r="Q45" s="947"/>
      <c r="R45" s="947"/>
      <c r="S45" s="947"/>
      <c r="T45" s="947"/>
      <c r="U45" s="947"/>
      <c r="V45" s="947"/>
      <c r="W45" s="947"/>
      <c r="X45" s="947"/>
      <c r="Y45" s="947"/>
      <c r="Z45" s="947" t="e">
        <f ca="1">IF(L45&lt;&gt;"",IF(ISERROR(FIND("Skill",L45,1)),INDIRECT(SUBSTITUTE(SUBSTITUTE(L45," ",""),"-","")),"Score"),"")</f>
        <v>#REF!</v>
      </c>
      <c r="AA45" s="947"/>
      <c r="AB45" s="947"/>
      <c r="AC45" s="947"/>
      <c r="AD45" s="1132" t="str">
        <f ca="1">IF(ISNUMBER(Z45),TRUE,"")</f>
        <v/>
      </c>
      <c r="AE45" s="940" t="e">
        <f ca="1">IF(Z45="","",IF(ISNUMBER(Z45),"","Favor"))</f>
        <v>#REF!</v>
      </c>
      <c r="AF45" s="941"/>
      <c r="AG45" s="941"/>
      <c r="AH45" s="942"/>
      <c r="AI45" s="938" t="str">
        <f ca="1">IF(ISNUMBER(AO45),IF(ISNUMBER(AE45),IF(ABS(AE45)&gt;=AO45,"",AO45-ABS(AE45)),AO45),"")</f>
        <v/>
      </c>
      <c r="AJ45" s="940" t="e">
        <f ca="1">IF(Z45="","",IF(ISNUMBER(Z45),"","Bonus"))</f>
        <v>#REF!</v>
      </c>
      <c r="AK45" s="941"/>
      <c r="AL45" s="941"/>
      <c r="AM45" s="942"/>
      <c r="AN45" s="1099" t="str">
        <f ca="1">IF(ISNUMBER(AO45),IF(ISNUMBER(AE45),IF(AE45&gt;AO45,AO45,IF(AE45&gt;=0,AE45,0)),0)+IF(ISNUMBER(AJ45),AJ45,0),"")</f>
        <v/>
      </c>
      <c r="AO45" s="932" t="e">
        <f ca="1">IF(Z45="","",IF(ISNUMBER(Z45),FLOOR(Z45/5,1),"Passive"))</f>
        <v>#REF!</v>
      </c>
      <c r="AP45" s="932"/>
      <c r="AQ45" s="932"/>
      <c r="AR45" s="932"/>
      <c r="AS45" s="932"/>
      <c r="AT45" s="936"/>
      <c r="AU45" s="932" t="e">
        <f ca="1">IF(Z45="","",IF(ISNUMBER(Z45),IF(AND(AI45&gt;0,ISNUMBER(AI45)),AI45&amp;"dS","")&amp;IF(AN45&gt;0,"+"&amp;AN45,"")&amp;IF(AN45&lt;0,AN45,""),"Check"))</f>
        <v>#REF!</v>
      </c>
      <c r="AV45" s="932"/>
      <c r="AW45" s="932"/>
      <c r="AX45" s="932"/>
      <c r="AY45" s="932"/>
      <c r="AZ45" s="933"/>
      <c r="BB45" s="971"/>
      <c r="BC45" s="972"/>
      <c r="BD45" s="972"/>
      <c r="BE45" s="972"/>
      <c r="BF45" s="972"/>
      <c r="BG45" s="972"/>
      <c r="BH45" s="972"/>
      <c r="BI45" s="972"/>
      <c r="BJ45" s="972"/>
      <c r="BK45" s="972"/>
      <c r="BL45" s="972"/>
      <c r="BM45" s="972"/>
      <c r="BN45" s="972"/>
      <c r="BO45" s="972"/>
      <c r="BP45" s="972"/>
      <c r="BQ45" s="972"/>
      <c r="BR45" s="972"/>
      <c r="BS45" s="972"/>
      <c r="BT45" s="972"/>
      <c r="BU45" s="972"/>
      <c r="BV45" s="972"/>
      <c r="BW45" s="972"/>
      <c r="BX45" s="972"/>
      <c r="BY45" s="972"/>
      <c r="BZ45" s="972"/>
      <c r="CA45" s="972"/>
      <c r="CB45" s="972"/>
      <c r="CC45" s="962"/>
      <c r="CD45" s="963"/>
      <c r="CE45" s="963"/>
      <c r="CF45" s="963"/>
      <c r="CG45" s="963"/>
      <c r="CH45" s="963"/>
      <c r="CI45" s="963"/>
      <c r="CJ45" s="964"/>
      <c r="CK45" s="214"/>
    </row>
    <row r="46" spans="1:108" ht="7.5" customHeight="1" thickBot="1" x14ac:dyDescent="0.3">
      <c r="A46" s="1200"/>
      <c r="B46" s="1200"/>
      <c r="C46" s="1200"/>
      <c r="D46" s="1200"/>
      <c r="E46" s="1200"/>
      <c r="F46" s="1200"/>
      <c r="G46" s="1200"/>
      <c r="H46" s="1200"/>
      <c r="I46" s="1200"/>
      <c r="J46" s="1200"/>
      <c r="L46" s="948"/>
      <c r="M46" s="949"/>
      <c r="N46" s="949"/>
      <c r="O46" s="949"/>
      <c r="P46" s="949"/>
      <c r="Q46" s="949"/>
      <c r="R46" s="949"/>
      <c r="S46" s="949"/>
      <c r="T46" s="949"/>
      <c r="U46" s="949"/>
      <c r="V46" s="949"/>
      <c r="W46" s="949"/>
      <c r="X46" s="949"/>
      <c r="Y46" s="949"/>
      <c r="Z46" s="949"/>
      <c r="AA46" s="949"/>
      <c r="AB46" s="949"/>
      <c r="AC46" s="949"/>
      <c r="AD46" s="1133"/>
      <c r="AE46" s="943"/>
      <c r="AF46" s="944"/>
      <c r="AG46" s="944"/>
      <c r="AH46" s="945"/>
      <c r="AI46" s="939"/>
      <c r="AJ46" s="943"/>
      <c r="AK46" s="944"/>
      <c r="AL46" s="944"/>
      <c r="AM46" s="945"/>
      <c r="AN46" s="1100"/>
      <c r="AO46" s="934"/>
      <c r="AP46" s="934"/>
      <c r="AQ46" s="934"/>
      <c r="AR46" s="934"/>
      <c r="AS46" s="934"/>
      <c r="AT46" s="937"/>
      <c r="AU46" s="934"/>
      <c r="AV46" s="934"/>
      <c r="AW46" s="934"/>
      <c r="AX46" s="934"/>
      <c r="AY46" s="934"/>
      <c r="AZ46" s="935"/>
      <c r="BB46" s="971"/>
      <c r="BC46" s="972"/>
      <c r="BD46" s="972"/>
      <c r="BE46" s="972"/>
      <c r="BF46" s="972"/>
      <c r="BG46" s="972"/>
      <c r="BH46" s="972"/>
      <c r="BI46" s="972"/>
      <c r="BJ46" s="972"/>
      <c r="BK46" s="972"/>
      <c r="BL46" s="972"/>
      <c r="BM46" s="972"/>
      <c r="BN46" s="972"/>
      <c r="BO46" s="972"/>
      <c r="BP46" s="972"/>
      <c r="BQ46" s="972"/>
      <c r="BR46" s="972"/>
      <c r="BS46" s="972"/>
      <c r="BT46" s="972"/>
      <c r="BU46" s="972"/>
      <c r="BV46" s="972"/>
      <c r="BW46" s="972"/>
      <c r="BX46" s="972"/>
      <c r="BY46" s="972"/>
      <c r="BZ46" s="972"/>
      <c r="CA46" s="972"/>
      <c r="CB46" s="972"/>
      <c r="CC46" s="199"/>
      <c r="CD46" s="1076" t="s">
        <v>90</v>
      </c>
      <c r="CE46" s="1076"/>
      <c r="CF46" s="1076"/>
      <c r="CG46" s="1076"/>
      <c r="CH46" s="1076"/>
      <c r="CI46" s="1076"/>
      <c r="CJ46" s="1076"/>
      <c r="CK46" s="215"/>
    </row>
    <row r="47" spans="1:108" ht="7.5" customHeight="1" x14ac:dyDescent="0.25">
      <c r="A47" s="1195" t="s">
        <v>15</v>
      </c>
      <c r="B47" s="1195"/>
      <c r="C47" s="1195"/>
      <c r="D47" s="1195"/>
      <c r="E47" s="1195"/>
      <c r="F47" s="1195"/>
      <c r="G47" s="1195"/>
      <c r="H47" s="1195"/>
      <c r="I47" s="219"/>
      <c r="J47" s="219"/>
      <c r="K47" s="220"/>
      <c r="L47" s="946" t="e">
        <f>INDEX(#REF!,(COUNTA(#REF!))/2+1,0)</f>
        <v>#REF!</v>
      </c>
      <c r="M47" s="947"/>
      <c r="N47" s="947"/>
      <c r="O47" s="947"/>
      <c r="P47" s="947"/>
      <c r="Q47" s="947"/>
      <c r="R47" s="947"/>
      <c r="S47" s="947"/>
      <c r="T47" s="947"/>
      <c r="U47" s="947"/>
      <c r="V47" s="947"/>
      <c r="W47" s="947"/>
      <c r="X47" s="947"/>
      <c r="Y47" s="947"/>
      <c r="Z47" s="947" t="e">
        <f ca="1">IF(L47&lt;&gt;"",IF(ISERROR(FIND("Skill",L47,1)),INDIRECT(SUBSTITUTE(SUBSTITUTE(L47," ",""),"-","")),"Score"),"")</f>
        <v>#REF!</v>
      </c>
      <c r="AA47" s="947"/>
      <c r="AB47" s="947"/>
      <c r="AC47" s="947"/>
      <c r="AD47" s="1132" t="str">
        <f ca="1">IF(ISNUMBER(Z47),TRUE,"")</f>
        <v/>
      </c>
      <c r="AE47" s="940" t="e">
        <f ca="1">IF(Z47="","",IF(ISNUMBER(Z47),"","Favor"))</f>
        <v>#REF!</v>
      </c>
      <c r="AF47" s="941"/>
      <c r="AG47" s="941"/>
      <c r="AH47" s="942"/>
      <c r="AI47" s="938" t="str">
        <f ca="1">IF(ISNUMBER(AO47),IF(ISNUMBER(AE47),IF(ABS(AE47)&gt;=AO47,"",AO47-ABS(AE47)),AO47),"")</f>
        <v/>
      </c>
      <c r="AJ47" s="940" t="e">
        <f ca="1">IF(Z47="","",IF(ISNUMBER(Z47),"","Bonus"))</f>
        <v>#REF!</v>
      </c>
      <c r="AK47" s="941"/>
      <c r="AL47" s="941"/>
      <c r="AM47" s="942"/>
      <c r="AN47" s="1099" t="str">
        <f ca="1">IF(ISNUMBER(AO47),IF(ISNUMBER(AE47),IF(AE47&gt;AO47,AO47,IF(AE47&gt;=0,AE47,0)),0)+IF(ISNUMBER(AJ47),AJ47,0),"")</f>
        <v/>
      </c>
      <c r="AO47" s="932" t="e">
        <f ca="1">IF(Z47="","",IF(ISNUMBER(Z47),FLOOR(Z47/5,1),"Passive"))</f>
        <v>#REF!</v>
      </c>
      <c r="AP47" s="932"/>
      <c r="AQ47" s="932"/>
      <c r="AR47" s="932"/>
      <c r="AS47" s="932"/>
      <c r="AT47" s="936"/>
      <c r="AU47" s="932" t="e">
        <f ca="1">IF(Z47="","",IF(ISNUMBER(Z47),IF(AND(AI47&gt;0,ISNUMBER(AI47)),AI47&amp;"dS","")&amp;IF(AN47&gt;0,"+"&amp;AN47,"")&amp;IF(AN47&lt;0,AN47,""),"Check"))</f>
        <v>#REF!</v>
      </c>
      <c r="AV47" s="932"/>
      <c r="AW47" s="932"/>
      <c r="AX47" s="932"/>
      <c r="AY47" s="932"/>
      <c r="AZ47" s="933"/>
      <c r="BB47" s="971"/>
      <c r="BC47" s="972"/>
      <c r="BD47" s="972"/>
      <c r="BE47" s="972"/>
      <c r="BF47" s="972"/>
      <c r="BG47" s="972"/>
      <c r="BH47" s="972"/>
      <c r="BI47" s="972"/>
      <c r="BJ47" s="972"/>
      <c r="BK47" s="972"/>
      <c r="BL47" s="972"/>
      <c r="BM47" s="972"/>
      <c r="BN47" s="972"/>
      <c r="BO47" s="972"/>
      <c r="BP47" s="972"/>
      <c r="BQ47" s="972"/>
      <c r="BR47" s="972"/>
      <c r="BS47" s="972"/>
      <c r="BT47" s="972"/>
      <c r="BU47" s="972"/>
      <c r="BV47" s="972"/>
      <c r="BW47" s="972"/>
      <c r="BX47" s="972"/>
      <c r="BY47" s="972"/>
      <c r="BZ47" s="972"/>
      <c r="CA47" s="972"/>
      <c r="CB47" s="972"/>
      <c r="CC47" s="956"/>
      <c r="CD47" s="957"/>
      <c r="CE47" s="957"/>
      <c r="CF47" s="957"/>
      <c r="CG47" s="957"/>
      <c r="CH47" s="957"/>
      <c r="CI47" s="957"/>
      <c r="CJ47" s="958"/>
      <c r="CK47" s="215"/>
    </row>
    <row r="48" spans="1:108" ht="7.5" customHeight="1" thickBot="1" x14ac:dyDescent="0.3">
      <c r="A48" s="1199" t="e">
        <f>IF(Height&gt;0,Height,"")</f>
        <v>#REF!</v>
      </c>
      <c r="B48" s="1199"/>
      <c r="C48" s="1199"/>
      <c r="D48" s="1199"/>
      <c r="E48" s="1199"/>
      <c r="F48" s="1199"/>
      <c r="G48" s="1199"/>
      <c r="H48" s="1199"/>
      <c r="I48" s="1199"/>
      <c r="J48" s="1199"/>
      <c r="L48" s="948"/>
      <c r="M48" s="949"/>
      <c r="N48" s="949"/>
      <c r="O48" s="949"/>
      <c r="P48" s="949"/>
      <c r="Q48" s="949"/>
      <c r="R48" s="949"/>
      <c r="S48" s="949"/>
      <c r="T48" s="949"/>
      <c r="U48" s="949"/>
      <c r="V48" s="949"/>
      <c r="W48" s="949"/>
      <c r="X48" s="949"/>
      <c r="Y48" s="949"/>
      <c r="Z48" s="949"/>
      <c r="AA48" s="949"/>
      <c r="AB48" s="949"/>
      <c r="AC48" s="949"/>
      <c r="AD48" s="1133"/>
      <c r="AE48" s="943"/>
      <c r="AF48" s="944"/>
      <c r="AG48" s="944"/>
      <c r="AH48" s="945"/>
      <c r="AI48" s="939"/>
      <c r="AJ48" s="943"/>
      <c r="AK48" s="944"/>
      <c r="AL48" s="944"/>
      <c r="AM48" s="945"/>
      <c r="AN48" s="1100"/>
      <c r="AO48" s="934"/>
      <c r="AP48" s="934"/>
      <c r="AQ48" s="934"/>
      <c r="AR48" s="934"/>
      <c r="AS48" s="934"/>
      <c r="AT48" s="937"/>
      <c r="AU48" s="934"/>
      <c r="AV48" s="934"/>
      <c r="AW48" s="934"/>
      <c r="AX48" s="934"/>
      <c r="AY48" s="934"/>
      <c r="AZ48" s="935"/>
      <c r="BB48" s="971"/>
      <c r="BC48" s="972"/>
      <c r="BD48" s="972"/>
      <c r="BE48" s="972"/>
      <c r="BF48" s="972"/>
      <c r="BG48" s="972"/>
      <c r="BH48" s="972"/>
      <c r="BI48" s="972"/>
      <c r="BJ48" s="972"/>
      <c r="BK48" s="972"/>
      <c r="BL48" s="972"/>
      <c r="BM48" s="972"/>
      <c r="BN48" s="972"/>
      <c r="BO48" s="972"/>
      <c r="BP48" s="972"/>
      <c r="BQ48" s="972"/>
      <c r="BR48" s="972"/>
      <c r="BS48" s="972"/>
      <c r="BT48" s="972"/>
      <c r="BU48" s="972"/>
      <c r="BV48" s="972"/>
      <c r="BW48" s="972"/>
      <c r="BX48" s="972"/>
      <c r="BY48" s="972"/>
      <c r="BZ48" s="972"/>
      <c r="CA48" s="972"/>
      <c r="CB48" s="972"/>
      <c r="CC48" s="959"/>
      <c r="CD48" s="960"/>
      <c r="CE48" s="960"/>
      <c r="CF48" s="960"/>
      <c r="CG48" s="960"/>
      <c r="CH48" s="960"/>
      <c r="CI48" s="960"/>
      <c r="CJ48" s="961"/>
      <c r="CK48" s="216"/>
    </row>
    <row r="49" spans="1:117" ht="7.5" customHeight="1" x14ac:dyDescent="0.25">
      <c r="A49" s="1200"/>
      <c r="B49" s="1200"/>
      <c r="C49" s="1200"/>
      <c r="D49" s="1200"/>
      <c r="E49" s="1200"/>
      <c r="F49" s="1200"/>
      <c r="G49" s="1200"/>
      <c r="H49" s="1200"/>
      <c r="I49" s="1200"/>
      <c r="J49" s="1200"/>
      <c r="L49" s="946" t="e">
        <f>INDEX(#REF!,(COUNTA(#REF!))/2+1,0)</f>
        <v>#REF!</v>
      </c>
      <c r="M49" s="947"/>
      <c r="N49" s="947"/>
      <c r="O49" s="947"/>
      <c r="P49" s="947"/>
      <c r="Q49" s="947"/>
      <c r="R49" s="947"/>
      <c r="S49" s="947"/>
      <c r="T49" s="947"/>
      <c r="U49" s="947"/>
      <c r="V49" s="947"/>
      <c r="W49" s="947"/>
      <c r="X49" s="947"/>
      <c r="Y49" s="947"/>
      <c r="Z49" s="947" t="e">
        <f ca="1">IF(L49&lt;&gt;"",IF(ISERROR(FIND("Skill",L49,1)),INDIRECT(SUBSTITUTE(SUBSTITUTE(L49," ",""),"-","")),"Score"),"")</f>
        <v>#REF!</v>
      </c>
      <c r="AA49" s="947"/>
      <c r="AB49" s="947"/>
      <c r="AC49" s="947"/>
      <c r="AD49" s="1132" t="str">
        <f ca="1">IF(ISNUMBER(Z49),TRUE,"")</f>
        <v/>
      </c>
      <c r="AE49" s="940" t="e">
        <f ca="1">IF(Z49="","",IF(ISNUMBER(Z49),"","Favor"))</f>
        <v>#REF!</v>
      </c>
      <c r="AF49" s="941"/>
      <c r="AG49" s="941"/>
      <c r="AH49" s="942"/>
      <c r="AI49" s="938" t="str">
        <f ca="1">IF(ISNUMBER(AO49),IF(ISNUMBER(AE49),IF(ABS(AE49)&gt;=AO49,"",AO49-ABS(AE49)),AO49),"")</f>
        <v/>
      </c>
      <c r="AJ49" s="940" t="e">
        <f ca="1">IF(Z49="","",IF(ISNUMBER(Z49),"","Bonus"))</f>
        <v>#REF!</v>
      </c>
      <c r="AK49" s="941"/>
      <c r="AL49" s="941"/>
      <c r="AM49" s="942"/>
      <c r="AN49" s="1099" t="str">
        <f ca="1">IF(ISNUMBER(AO49),IF(ISNUMBER(AE49),IF(AE49&gt;AO49,AO49,IF(AE49&gt;=0,AE49,0)),0)+IF(ISNUMBER(AJ49),AJ49,0),"")</f>
        <v/>
      </c>
      <c r="AO49" s="932" t="e">
        <f ca="1">IF(Z49="","",IF(ISNUMBER(Z49),FLOOR(Z49/5,1),"Passive"))</f>
        <v>#REF!</v>
      </c>
      <c r="AP49" s="932"/>
      <c r="AQ49" s="932"/>
      <c r="AR49" s="932"/>
      <c r="AS49" s="932"/>
      <c r="AT49" s="936"/>
      <c r="AU49" s="932" t="e">
        <f ca="1">IF(Z49="","",IF(ISNUMBER(Z49),IF(AND(AI49&gt;0,ISNUMBER(AI49)),AI49&amp;"dS","")&amp;IF(AN49&gt;0,"+"&amp;AN49,"")&amp;IF(AN49&lt;0,AN49,""),"Check"))</f>
        <v>#REF!</v>
      </c>
      <c r="AV49" s="932"/>
      <c r="AW49" s="932"/>
      <c r="AX49" s="932"/>
      <c r="AY49" s="932"/>
      <c r="AZ49" s="933"/>
      <c r="BB49" s="971"/>
      <c r="BC49" s="972"/>
      <c r="BD49" s="972"/>
      <c r="BE49" s="972"/>
      <c r="BF49" s="972"/>
      <c r="BG49" s="972"/>
      <c r="BH49" s="972"/>
      <c r="BI49" s="972"/>
      <c r="BJ49" s="972"/>
      <c r="BK49" s="972"/>
      <c r="BL49" s="972"/>
      <c r="BM49" s="972"/>
      <c r="BN49" s="972"/>
      <c r="BO49" s="972"/>
      <c r="BP49" s="972"/>
      <c r="BQ49" s="972"/>
      <c r="BR49" s="972"/>
      <c r="BS49" s="972"/>
      <c r="BT49" s="972"/>
      <c r="BU49" s="972"/>
      <c r="BV49" s="972"/>
      <c r="BW49" s="972"/>
      <c r="BX49" s="972"/>
      <c r="BY49" s="972"/>
      <c r="BZ49" s="972"/>
      <c r="CA49" s="972"/>
      <c r="CB49" s="972"/>
      <c r="CC49" s="962"/>
      <c r="CD49" s="963"/>
      <c r="CE49" s="963"/>
      <c r="CF49" s="963"/>
      <c r="CG49" s="963"/>
      <c r="CH49" s="963"/>
      <c r="CI49" s="963"/>
      <c r="CJ49" s="964"/>
      <c r="CK49" s="216"/>
    </row>
    <row r="50" spans="1:117" ht="7.5" customHeight="1" thickBot="1" x14ac:dyDescent="0.3">
      <c r="A50" s="1195" t="s">
        <v>11</v>
      </c>
      <c r="B50" s="1195"/>
      <c r="C50" s="1195"/>
      <c r="D50" s="1195"/>
      <c r="E50" s="1195"/>
      <c r="F50" s="1195"/>
      <c r="G50" s="1195"/>
      <c r="H50" s="1195"/>
      <c r="I50" s="219"/>
      <c r="J50" s="219"/>
      <c r="K50" s="220"/>
      <c r="L50" s="948"/>
      <c r="M50" s="949"/>
      <c r="N50" s="949"/>
      <c r="O50" s="949"/>
      <c r="P50" s="949"/>
      <c r="Q50" s="949"/>
      <c r="R50" s="949"/>
      <c r="S50" s="949"/>
      <c r="T50" s="949"/>
      <c r="U50" s="949"/>
      <c r="V50" s="949"/>
      <c r="W50" s="949"/>
      <c r="X50" s="949"/>
      <c r="Y50" s="949"/>
      <c r="Z50" s="949"/>
      <c r="AA50" s="949"/>
      <c r="AB50" s="949"/>
      <c r="AC50" s="949"/>
      <c r="AD50" s="1133"/>
      <c r="AE50" s="943"/>
      <c r="AF50" s="944"/>
      <c r="AG50" s="944"/>
      <c r="AH50" s="945"/>
      <c r="AI50" s="939"/>
      <c r="AJ50" s="943"/>
      <c r="AK50" s="944"/>
      <c r="AL50" s="944"/>
      <c r="AM50" s="945"/>
      <c r="AN50" s="1100"/>
      <c r="AO50" s="934"/>
      <c r="AP50" s="934"/>
      <c r="AQ50" s="934"/>
      <c r="AR50" s="934"/>
      <c r="AS50" s="934"/>
      <c r="AT50" s="937"/>
      <c r="AU50" s="934"/>
      <c r="AV50" s="934"/>
      <c r="AW50" s="934"/>
      <c r="AX50" s="934"/>
      <c r="AY50" s="934"/>
      <c r="AZ50" s="935"/>
      <c r="BB50" s="977"/>
      <c r="BC50" s="978"/>
      <c r="BD50" s="978"/>
      <c r="BE50" s="978"/>
      <c r="BF50" s="978"/>
      <c r="BG50" s="978"/>
      <c r="BH50" s="978"/>
      <c r="BI50" s="978"/>
      <c r="BJ50" s="978"/>
      <c r="BK50" s="978"/>
      <c r="BL50" s="978"/>
      <c r="BM50" s="978"/>
      <c r="BN50" s="978"/>
      <c r="BO50" s="978"/>
      <c r="BP50" s="978"/>
      <c r="BQ50" s="978"/>
      <c r="BR50" s="978"/>
      <c r="BS50" s="978"/>
      <c r="BT50" s="978"/>
      <c r="BU50" s="978"/>
      <c r="BV50" s="978"/>
      <c r="BW50" s="978"/>
      <c r="BX50" s="978"/>
      <c r="BY50" s="978"/>
      <c r="BZ50" s="978"/>
      <c r="CA50" s="978"/>
      <c r="CB50" s="978"/>
      <c r="CC50" s="217"/>
      <c r="CD50" s="217"/>
      <c r="CE50" s="217"/>
      <c r="CF50" s="217"/>
      <c r="CG50" s="217"/>
      <c r="CH50" s="217"/>
      <c r="CI50" s="217"/>
      <c r="CJ50" s="217"/>
      <c r="CK50" s="218"/>
    </row>
    <row r="51" spans="1:117" ht="7.5" customHeight="1" x14ac:dyDescent="0.25">
      <c r="A51" s="1199" t="e">
        <f>IF(Weight&gt;0,Weight,"")</f>
        <v>#REF!</v>
      </c>
      <c r="B51" s="1199"/>
      <c r="C51" s="1199"/>
      <c r="D51" s="1199"/>
      <c r="E51" s="1199"/>
      <c r="F51" s="1199"/>
      <c r="G51" s="1199"/>
      <c r="H51" s="1199"/>
      <c r="I51" s="1199"/>
      <c r="J51" s="1199"/>
      <c r="L51" s="946" t="e">
        <f>INDEX(#REF!,(COUNTA(#REF!))/2+1,0)</f>
        <v>#REF!</v>
      </c>
      <c r="M51" s="947"/>
      <c r="N51" s="947"/>
      <c r="O51" s="947"/>
      <c r="P51" s="947"/>
      <c r="Q51" s="947"/>
      <c r="R51" s="947"/>
      <c r="S51" s="947"/>
      <c r="T51" s="947"/>
      <c r="U51" s="947"/>
      <c r="V51" s="947"/>
      <c r="W51" s="947"/>
      <c r="X51" s="947"/>
      <c r="Y51" s="947"/>
      <c r="Z51" s="947" t="e">
        <f ca="1">IF(L51&lt;&gt;"",IF(ISERROR(FIND("Skill",L51,1)),INDIRECT(SUBSTITUTE(SUBSTITUTE(L51," ",""),"-","")),"Score"),"")</f>
        <v>#REF!</v>
      </c>
      <c r="AA51" s="947"/>
      <c r="AB51" s="947"/>
      <c r="AC51" s="947"/>
      <c r="AD51" s="1132" t="str">
        <f ca="1">IF(ISNUMBER(Z51),TRUE,"")</f>
        <v/>
      </c>
      <c r="AE51" s="940" t="e">
        <f ca="1">IF(Z51="","",IF(ISNUMBER(Z51),"","Favor"))</f>
        <v>#REF!</v>
      </c>
      <c r="AF51" s="941"/>
      <c r="AG51" s="941"/>
      <c r="AH51" s="942"/>
      <c r="AI51" s="938" t="str">
        <f ca="1">IF(ISNUMBER(AO51),IF(ISNUMBER(AE51),IF(ABS(AE51)&gt;=AO51,"",AO51-ABS(AE51)),AO51),"")</f>
        <v/>
      </c>
      <c r="AJ51" s="940" t="e">
        <f ca="1">IF(Z51="","",IF(ISNUMBER(Z51),"","Bonus"))</f>
        <v>#REF!</v>
      </c>
      <c r="AK51" s="941"/>
      <c r="AL51" s="941"/>
      <c r="AM51" s="942"/>
      <c r="AN51" s="1099" t="str">
        <f ca="1">IF(ISNUMBER(AO51),IF(ISNUMBER(AE51),IF(AE51&gt;AO51,AO51,IF(AE51&gt;=0,AE51,0)),0)+IF(ISNUMBER(AJ51),AJ51,0),"")</f>
        <v/>
      </c>
      <c r="AO51" s="932" t="e">
        <f ca="1">IF(Z51="","",IF(ISNUMBER(Z51),FLOOR(Z51/5,1),"Passive"))</f>
        <v>#REF!</v>
      </c>
      <c r="AP51" s="932"/>
      <c r="AQ51" s="932"/>
      <c r="AR51" s="932"/>
      <c r="AS51" s="932"/>
      <c r="AT51" s="936"/>
      <c r="AU51" s="932" t="e">
        <f ca="1">IF(Z51="","",IF(ISNUMBER(Z51),IF(AND(AI51&gt;0,ISNUMBER(AI51)),AI51&amp;"dS","")&amp;IF(AN51&gt;0,"+"&amp;AN51,"")&amp;IF(AN51&lt;0,AN51,""),"Check"))</f>
        <v>#REF!</v>
      </c>
      <c r="AV51" s="932"/>
      <c r="AW51" s="932"/>
      <c r="AX51" s="932"/>
      <c r="AY51" s="932"/>
      <c r="AZ51" s="933"/>
      <c r="BB51" s="975" t="s">
        <v>85</v>
      </c>
      <c r="BC51" s="976"/>
      <c r="BD51" s="976"/>
      <c r="BE51" s="201"/>
      <c r="BF51" s="201"/>
      <c r="BG51" s="201"/>
      <c r="BH51" s="201"/>
      <c r="BI51" s="201"/>
      <c r="BJ51" s="201"/>
      <c r="BK51" s="201"/>
      <c r="BL51" s="201"/>
      <c r="BM51" s="201"/>
      <c r="BN51" s="201"/>
      <c r="BO51" s="202"/>
      <c r="BP51" s="202"/>
      <c r="BQ51" s="202"/>
      <c r="BR51" s="202"/>
      <c r="BS51" s="203"/>
      <c r="BT51" s="204" t="s">
        <v>89</v>
      </c>
      <c r="BU51" s="204"/>
      <c r="BV51" s="204"/>
      <c r="BW51" s="204"/>
      <c r="BX51" s="205"/>
      <c r="BY51" s="205"/>
      <c r="BZ51" s="205"/>
      <c r="CA51" s="205"/>
      <c r="CB51" s="206"/>
      <c r="CC51" s="207" t="s">
        <v>88</v>
      </c>
      <c r="CD51" s="208"/>
      <c r="CE51" s="208"/>
      <c r="CF51" s="208"/>
      <c r="CG51" s="208"/>
      <c r="CH51" s="208"/>
      <c r="CI51" s="208"/>
      <c r="CJ51" s="209"/>
      <c r="CK51" s="210"/>
    </row>
    <row r="52" spans="1:117" ht="7.5" customHeight="1" thickBot="1" x14ac:dyDescent="0.3">
      <c r="A52" s="1200"/>
      <c r="B52" s="1200"/>
      <c r="C52" s="1200"/>
      <c r="D52" s="1200"/>
      <c r="E52" s="1200"/>
      <c r="F52" s="1200"/>
      <c r="G52" s="1200"/>
      <c r="H52" s="1200"/>
      <c r="I52" s="1200"/>
      <c r="J52" s="1200"/>
      <c r="L52" s="948"/>
      <c r="M52" s="949"/>
      <c r="N52" s="949"/>
      <c r="O52" s="949"/>
      <c r="P52" s="949"/>
      <c r="Q52" s="949"/>
      <c r="R52" s="949"/>
      <c r="S52" s="949"/>
      <c r="T52" s="949"/>
      <c r="U52" s="949"/>
      <c r="V52" s="949"/>
      <c r="W52" s="949"/>
      <c r="X52" s="949"/>
      <c r="Y52" s="949"/>
      <c r="Z52" s="949"/>
      <c r="AA52" s="949"/>
      <c r="AB52" s="949"/>
      <c r="AC52" s="949"/>
      <c r="AD52" s="1133"/>
      <c r="AE52" s="943"/>
      <c r="AF52" s="944"/>
      <c r="AG52" s="944"/>
      <c r="AH52" s="945"/>
      <c r="AI52" s="939"/>
      <c r="AJ52" s="943"/>
      <c r="AK52" s="944"/>
      <c r="AL52" s="944"/>
      <c r="AM52" s="945"/>
      <c r="AN52" s="1100"/>
      <c r="AO52" s="934"/>
      <c r="AP52" s="934"/>
      <c r="AQ52" s="934"/>
      <c r="AR52" s="934"/>
      <c r="AS52" s="934"/>
      <c r="AT52" s="937"/>
      <c r="AU52" s="934"/>
      <c r="AV52" s="934"/>
      <c r="AW52" s="934"/>
      <c r="AX52" s="934"/>
      <c r="AY52" s="934"/>
      <c r="AZ52" s="935"/>
      <c r="BB52" s="950"/>
      <c r="BC52" s="951"/>
      <c r="BD52" s="951"/>
      <c r="BE52" s="951"/>
      <c r="BF52" s="951"/>
      <c r="BG52" s="951"/>
      <c r="BH52" s="951"/>
      <c r="BI52" s="951"/>
      <c r="BJ52" s="951"/>
      <c r="BK52" s="951"/>
      <c r="BL52" s="951"/>
      <c r="BM52" s="951"/>
      <c r="BN52" s="951"/>
      <c r="BO52" s="951"/>
      <c r="BP52" s="951"/>
      <c r="BQ52" s="951"/>
      <c r="BR52" s="951"/>
      <c r="BS52" s="952"/>
      <c r="BT52" s="981"/>
      <c r="BU52" s="982"/>
      <c r="BV52" s="982"/>
      <c r="BW52" s="982"/>
      <c r="BX52" s="982"/>
      <c r="BY52" s="982"/>
      <c r="BZ52" s="982"/>
      <c r="CA52" s="982"/>
      <c r="CB52" s="983"/>
      <c r="CC52" s="1080"/>
      <c r="CD52" s="1081"/>
      <c r="CE52" s="1081"/>
      <c r="CF52" s="1081"/>
      <c r="CG52" s="1081"/>
      <c r="CH52" s="1081"/>
      <c r="CI52" s="1081"/>
      <c r="CJ52" s="1082"/>
      <c r="CK52" s="211"/>
    </row>
    <row r="53" spans="1:117" ht="7.5" customHeight="1" x14ac:dyDescent="0.25">
      <c r="A53" s="1195" t="s">
        <v>12</v>
      </c>
      <c r="B53" s="1195"/>
      <c r="C53" s="1195"/>
      <c r="D53" s="1195"/>
      <c r="E53" s="1195"/>
      <c r="F53" s="1195"/>
      <c r="G53" s="1195"/>
      <c r="H53" s="1195"/>
      <c r="I53" s="219"/>
      <c r="J53" s="219"/>
      <c r="K53" s="220"/>
      <c r="L53" s="946" t="e">
        <f>INDEX(#REF!,(COUNTA(#REF!))/2+1,0)</f>
        <v>#REF!</v>
      </c>
      <c r="M53" s="947"/>
      <c r="N53" s="947"/>
      <c r="O53" s="947"/>
      <c r="P53" s="947"/>
      <c r="Q53" s="947"/>
      <c r="R53" s="947"/>
      <c r="S53" s="947"/>
      <c r="T53" s="947"/>
      <c r="U53" s="947"/>
      <c r="V53" s="947"/>
      <c r="W53" s="947"/>
      <c r="X53" s="947"/>
      <c r="Y53" s="947"/>
      <c r="Z53" s="947" t="e">
        <f ca="1">IF(L53&lt;&gt;"",IF(ISERROR(FIND("Skill",L53,1)),INDIRECT(SUBSTITUTE(SUBSTITUTE(L53," ",""),"-","")),"Score"),"")</f>
        <v>#REF!</v>
      </c>
      <c r="AA53" s="947"/>
      <c r="AB53" s="947"/>
      <c r="AC53" s="947"/>
      <c r="AD53" s="1132" t="str">
        <f ca="1">IF(ISNUMBER(Z53),TRUE,"")</f>
        <v/>
      </c>
      <c r="AE53" s="940" t="e">
        <f ca="1">IF(Z53="","",IF(ISNUMBER(Z53),"","Favor"))</f>
        <v>#REF!</v>
      </c>
      <c r="AF53" s="941"/>
      <c r="AG53" s="941"/>
      <c r="AH53" s="942"/>
      <c r="AI53" s="938" t="str">
        <f ca="1">IF(ISNUMBER(AO53),IF(ISNUMBER(AE53),IF(ABS(AE53)&gt;=AO53,"",AO53-ABS(AE53)),AO53),"")</f>
        <v/>
      </c>
      <c r="AJ53" s="940" t="e">
        <f ca="1">IF(Z53="","",IF(ISNUMBER(Z53),"","Bonus"))</f>
        <v>#REF!</v>
      </c>
      <c r="AK53" s="941"/>
      <c r="AL53" s="941"/>
      <c r="AM53" s="942"/>
      <c r="AN53" s="1099" t="str">
        <f ca="1">IF(ISNUMBER(AO53),IF(ISNUMBER(AE53),IF(AE53&gt;AO53,AO53,IF(AE53&gt;=0,AE53,0)),0)+IF(ISNUMBER(AJ53),AJ53,0),"")</f>
        <v/>
      </c>
      <c r="AO53" s="932" t="e">
        <f ca="1">IF(Z53="","",IF(ISNUMBER(Z53),FLOOR(Z53/5,1),"Passive"))</f>
        <v>#REF!</v>
      </c>
      <c r="AP53" s="932"/>
      <c r="AQ53" s="932"/>
      <c r="AR53" s="932"/>
      <c r="AS53" s="932"/>
      <c r="AT53" s="936"/>
      <c r="AU53" s="932" t="e">
        <f ca="1">IF(Z53="","",IF(ISNUMBER(Z53),IF(AND(AI53&gt;0,ISNUMBER(AI53)),AI53&amp;"dS","")&amp;IF(AN53&gt;0,"+"&amp;AN53,"")&amp;IF(AN53&lt;0,AN53,""),"Check"))</f>
        <v>#REF!</v>
      </c>
      <c r="AV53" s="932"/>
      <c r="AW53" s="932"/>
      <c r="AX53" s="932"/>
      <c r="AY53" s="932"/>
      <c r="AZ53" s="933"/>
      <c r="BB53" s="953"/>
      <c r="BC53" s="954"/>
      <c r="BD53" s="954"/>
      <c r="BE53" s="954"/>
      <c r="BF53" s="954"/>
      <c r="BG53" s="954"/>
      <c r="BH53" s="954"/>
      <c r="BI53" s="954"/>
      <c r="BJ53" s="954"/>
      <c r="BK53" s="954"/>
      <c r="BL53" s="954"/>
      <c r="BM53" s="954"/>
      <c r="BN53" s="954"/>
      <c r="BO53" s="954"/>
      <c r="BP53" s="954"/>
      <c r="BQ53" s="954"/>
      <c r="BR53" s="954"/>
      <c r="BS53" s="955"/>
      <c r="BT53" s="984"/>
      <c r="BU53" s="985"/>
      <c r="BV53" s="985"/>
      <c r="BW53" s="985"/>
      <c r="BX53" s="985"/>
      <c r="BY53" s="985"/>
      <c r="BZ53" s="985"/>
      <c r="CA53" s="985"/>
      <c r="CB53" s="986"/>
      <c r="CC53" s="1083"/>
      <c r="CD53" s="1084"/>
      <c r="CE53" s="1084"/>
      <c r="CF53" s="1084"/>
      <c r="CG53" s="1084"/>
      <c r="CH53" s="1084"/>
      <c r="CI53" s="1084"/>
      <c r="CJ53" s="1085"/>
      <c r="CK53" s="211"/>
    </row>
    <row r="54" spans="1:117" ht="7.5" customHeight="1" thickBot="1" x14ac:dyDescent="0.3">
      <c r="A54" s="1199" t="e">
        <f>IF(Hair&gt;0,Hair,"")</f>
        <v>#REF!</v>
      </c>
      <c r="B54" s="1199"/>
      <c r="C54" s="1199"/>
      <c r="D54" s="1199"/>
      <c r="E54" s="1199"/>
      <c r="F54" s="1199"/>
      <c r="G54" s="1199"/>
      <c r="H54" s="1199"/>
      <c r="I54" s="1199"/>
      <c r="J54" s="1199"/>
      <c r="L54" s="948"/>
      <c r="M54" s="949"/>
      <c r="N54" s="949"/>
      <c r="O54" s="949"/>
      <c r="P54" s="949"/>
      <c r="Q54" s="949"/>
      <c r="R54" s="949"/>
      <c r="S54" s="949"/>
      <c r="T54" s="949"/>
      <c r="U54" s="949"/>
      <c r="V54" s="949"/>
      <c r="W54" s="949"/>
      <c r="X54" s="949"/>
      <c r="Y54" s="949"/>
      <c r="Z54" s="949"/>
      <c r="AA54" s="949"/>
      <c r="AB54" s="949"/>
      <c r="AC54" s="949"/>
      <c r="AD54" s="1133"/>
      <c r="AE54" s="943"/>
      <c r="AF54" s="944"/>
      <c r="AG54" s="944"/>
      <c r="AH54" s="945"/>
      <c r="AI54" s="939"/>
      <c r="AJ54" s="943"/>
      <c r="AK54" s="944"/>
      <c r="AL54" s="944"/>
      <c r="AM54" s="945"/>
      <c r="AN54" s="1100"/>
      <c r="AO54" s="934"/>
      <c r="AP54" s="934"/>
      <c r="AQ54" s="934"/>
      <c r="AR54" s="934"/>
      <c r="AS54" s="934"/>
      <c r="AT54" s="937"/>
      <c r="AU54" s="934"/>
      <c r="AV54" s="934"/>
      <c r="AW54" s="934"/>
      <c r="AX54" s="934"/>
      <c r="AY54" s="934"/>
      <c r="AZ54" s="935"/>
      <c r="BB54" s="979" t="s">
        <v>86</v>
      </c>
      <c r="BC54" s="980"/>
      <c r="BD54" s="980"/>
      <c r="BE54" s="980"/>
      <c r="BF54" s="980"/>
      <c r="BG54" s="980"/>
      <c r="CD54" s="965" t="s">
        <v>91</v>
      </c>
      <c r="CE54" s="965"/>
      <c r="CF54" s="965"/>
      <c r="CG54" s="965"/>
      <c r="CK54" s="213"/>
    </row>
    <row r="55" spans="1:117" ht="7.5" customHeight="1" thickBot="1" x14ac:dyDescent="0.3">
      <c r="A55" s="1200"/>
      <c r="B55" s="1200"/>
      <c r="C55" s="1200"/>
      <c r="D55" s="1200"/>
      <c r="E55" s="1200"/>
      <c r="F55" s="1200"/>
      <c r="G55" s="1200"/>
      <c r="H55" s="1200"/>
      <c r="I55" s="1200"/>
      <c r="J55" s="1200"/>
      <c r="L55" s="946" t="e">
        <f>INDEX(#REF!,(COUNTA(#REF!))/2+1,0)</f>
        <v>#REF!</v>
      </c>
      <c r="M55" s="947"/>
      <c r="N55" s="947"/>
      <c r="O55" s="947"/>
      <c r="P55" s="947"/>
      <c r="Q55" s="947"/>
      <c r="R55" s="947"/>
      <c r="S55" s="947"/>
      <c r="T55" s="947"/>
      <c r="U55" s="947"/>
      <c r="V55" s="947"/>
      <c r="W55" s="947"/>
      <c r="X55" s="947"/>
      <c r="Y55" s="947"/>
      <c r="Z55" s="947" t="e">
        <f ca="1">IF(L55&lt;&gt;"",IF(ISERROR(FIND("Skill",L55,1)),INDIRECT(SUBSTITUTE(SUBSTITUTE(L55," ",""),"-","")),"Score"),"")</f>
        <v>#REF!</v>
      </c>
      <c r="AA55" s="947"/>
      <c r="AB55" s="947"/>
      <c r="AC55" s="947"/>
      <c r="AD55" s="1132" t="str">
        <f ca="1">IF(ISNUMBER(Z55),TRUE,"")</f>
        <v/>
      </c>
      <c r="AE55" s="940" t="e">
        <f ca="1">IF(Z55="","",IF(ISNUMBER(Z55),"","Favor"))</f>
        <v>#REF!</v>
      </c>
      <c r="AF55" s="941"/>
      <c r="AG55" s="941"/>
      <c r="AH55" s="942"/>
      <c r="AI55" s="938" t="str">
        <f ca="1">IF(ISNUMBER(AO55),IF(ISNUMBER(AE55),IF(ABS(AE55)&gt;=AO55,"",AO55-ABS(AE55)),AO55),"")</f>
        <v/>
      </c>
      <c r="AJ55" s="940" t="e">
        <f ca="1">IF(Z55="","",IF(ISNUMBER(Z55),"","Bonus"))</f>
        <v>#REF!</v>
      </c>
      <c r="AK55" s="941"/>
      <c r="AL55" s="941"/>
      <c r="AM55" s="942"/>
      <c r="AN55" s="1099" t="str">
        <f ca="1">IF(ISNUMBER(AO55),IF(ISNUMBER(AE55),IF(AE55&gt;AO55,AO55,IF(AE55&gt;=0,AE55,0)),0)+IF(ISNUMBER(AJ55),AJ55,0),"")</f>
        <v/>
      </c>
      <c r="AO55" s="932" t="e">
        <f ca="1">IF(Z55="","",IF(ISNUMBER(Z55),FLOOR(Z55/5,1),"Passive"))</f>
        <v>#REF!</v>
      </c>
      <c r="AP55" s="932"/>
      <c r="AQ55" s="932"/>
      <c r="AR55" s="932"/>
      <c r="AS55" s="932"/>
      <c r="AT55" s="936"/>
      <c r="AU55" s="932" t="e">
        <f ca="1">IF(Z55="","",IF(ISNUMBER(Z55),IF(AND(AI55&gt;0,ISNUMBER(AI55)),AI55&amp;"dS","")&amp;IF(AN55&gt;0,"+"&amp;AN55,"")&amp;IF(AN55&lt;0,AN55,""),"Check"))</f>
        <v>#REF!</v>
      </c>
      <c r="AV55" s="932"/>
      <c r="AW55" s="932"/>
      <c r="AX55" s="932"/>
      <c r="AY55" s="932"/>
      <c r="AZ55" s="933"/>
      <c r="BB55" s="971"/>
      <c r="BC55" s="972"/>
      <c r="BD55" s="972"/>
      <c r="BE55" s="972"/>
      <c r="BF55" s="972"/>
      <c r="BG55" s="972"/>
      <c r="BH55" s="972"/>
      <c r="BI55" s="972"/>
      <c r="BJ55" s="972"/>
      <c r="BK55" s="972"/>
      <c r="BL55" s="972"/>
      <c r="BM55" s="972"/>
      <c r="BN55" s="972"/>
      <c r="BO55" s="972"/>
      <c r="BP55" s="972"/>
      <c r="BQ55" s="972"/>
      <c r="BR55" s="972"/>
      <c r="BS55" s="972"/>
      <c r="BT55" s="972"/>
      <c r="BU55" s="972"/>
      <c r="BV55" s="972"/>
      <c r="BW55" s="972"/>
      <c r="BX55" s="972"/>
      <c r="BY55" s="972"/>
      <c r="BZ55" s="972"/>
      <c r="CA55" s="972"/>
      <c r="CB55" s="972"/>
      <c r="CC55" s="956"/>
      <c r="CD55" s="957"/>
      <c r="CE55" s="957"/>
      <c r="CF55" s="957"/>
      <c r="CG55" s="957"/>
      <c r="CH55" s="957"/>
      <c r="CI55" s="957"/>
      <c r="CJ55" s="958"/>
      <c r="CK55" s="214"/>
      <c r="CW55" s="968" t="e">
        <f>Reflex</f>
        <v>#REF!</v>
      </c>
      <c r="CX55" s="969"/>
      <c r="CY55" s="1152" t="s">
        <v>454</v>
      </c>
      <c r="CZ55" s="1153"/>
      <c r="DA55" s="1153"/>
      <c r="DB55" s="1153"/>
      <c r="DC55" s="1153"/>
      <c r="DD55" s="1148" t="s">
        <v>508</v>
      </c>
      <c r="DE55" s="1148"/>
      <c r="DF55" s="1148"/>
      <c r="DG55" s="1148"/>
      <c r="DH55" s="1148"/>
      <c r="DI55" s="1148"/>
      <c r="DJ55" s="1149"/>
      <c r="DK55" s="968" t="e">
        <f>Willpower</f>
        <v>#REF!</v>
      </c>
      <c r="DL55" s="969"/>
      <c r="DM55" s="970"/>
    </row>
    <row r="56" spans="1:117" ht="7.5" customHeight="1" thickBot="1" x14ac:dyDescent="0.3">
      <c r="A56" s="1195" t="s">
        <v>14</v>
      </c>
      <c r="B56" s="1195"/>
      <c r="C56" s="1195"/>
      <c r="D56" s="1195"/>
      <c r="E56" s="1195"/>
      <c r="F56" s="1195"/>
      <c r="G56" s="1195"/>
      <c r="H56" s="1195"/>
      <c r="I56" s="219"/>
      <c r="J56" s="219"/>
      <c r="L56" s="948"/>
      <c r="M56" s="949"/>
      <c r="N56" s="949"/>
      <c r="O56" s="949"/>
      <c r="P56" s="949"/>
      <c r="Q56" s="949"/>
      <c r="R56" s="949"/>
      <c r="S56" s="949"/>
      <c r="T56" s="949"/>
      <c r="U56" s="949"/>
      <c r="V56" s="949"/>
      <c r="W56" s="949"/>
      <c r="X56" s="949"/>
      <c r="Y56" s="949"/>
      <c r="Z56" s="949"/>
      <c r="AA56" s="949"/>
      <c r="AB56" s="949"/>
      <c r="AC56" s="949"/>
      <c r="AD56" s="1133"/>
      <c r="AE56" s="943"/>
      <c r="AF56" s="944"/>
      <c r="AG56" s="944"/>
      <c r="AH56" s="945"/>
      <c r="AI56" s="939"/>
      <c r="AJ56" s="943"/>
      <c r="AK56" s="944"/>
      <c r="AL56" s="944"/>
      <c r="AM56" s="945"/>
      <c r="AN56" s="1100"/>
      <c r="AO56" s="934"/>
      <c r="AP56" s="934"/>
      <c r="AQ56" s="934"/>
      <c r="AR56" s="934"/>
      <c r="AS56" s="934"/>
      <c r="AT56" s="937"/>
      <c r="AU56" s="934"/>
      <c r="AV56" s="934"/>
      <c r="AW56" s="934"/>
      <c r="AX56" s="934"/>
      <c r="AY56" s="934"/>
      <c r="AZ56" s="935"/>
      <c r="BB56" s="971"/>
      <c r="BC56" s="972"/>
      <c r="BD56" s="972"/>
      <c r="BE56" s="972"/>
      <c r="BF56" s="972"/>
      <c r="BG56" s="972"/>
      <c r="BH56" s="972"/>
      <c r="BI56" s="972"/>
      <c r="BJ56" s="972"/>
      <c r="BK56" s="972"/>
      <c r="BL56" s="972"/>
      <c r="BM56" s="972"/>
      <c r="BN56" s="972"/>
      <c r="BO56" s="972"/>
      <c r="BP56" s="972"/>
      <c r="BQ56" s="972"/>
      <c r="BR56" s="972"/>
      <c r="BS56" s="972"/>
      <c r="BT56" s="972"/>
      <c r="BU56" s="972"/>
      <c r="BV56" s="972"/>
      <c r="BW56" s="972"/>
      <c r="BX56" s="972"/>
      <c r="BY56" s="972"/>
      <c r="BZ56" s="972"/>
      <c r="CA56" s="972"/>
      <c r="CB56" s="972"/>
      <c r="CC56" s="959"/>
      <c r="CD56" s="960"/>
      <c r="CE56" s="960"/>
      <c r="CF56" s="960"/>
      <c r="CG56" s="960"/>
      <c r="CH56" s="960"/>
      <c r="CI56" s="960"/>
      <c r="CJ56" s="961"/>
      <c r="CK56" s="214"/>
      <c r="CW56" s="968"/>
      <c r="CX56" s="1006"/>
      <c r="CY56" s="1210"/>
      <c r="CZ56" s="1153"/>
      <c r="DA56" s="1153"/>
      <c r="DB56" s="1153"/>
      <c r="DC56" s="1153"/>
      <c r="DD56" s="1148"/>
      <c r="DE56" s="1148"/>
      <c r="DF56" s="1148"/>
      <c r="DG56" s="1148"/>
      <c r="DH56" s="1148"/>
      <c r="DI56" s="1148"/>
      <c r="DJ56" s="1208"/>
      <c r="DK56" s="1209"/>
      <c r="DL56" s="1006"/>
      <c r="DM56" s="970"/>
    </row>
    <row r="57" spans="1:117" ht="7.5" customHeight="1" x14ac:dyDescent="0.25">
      <c r="A57" s="1199" t="e">
        <f>IF(Eyes&gt;0,Eyes,"")</f>
        <v>#REF!</v>
      </c>
      <c r="B57" s="1199"/>
      <c r="C57" s="1199"/>
      <c r="D57" s="1199"/>
      <c r="E57" s="1199"/>
      <c r="F57" s="1199"/>
      <c r="G57" s="1199"/>
      <c r="H57" s="1199"/>
      <c r="I57" s="1199"/>
      <c r="J57" s="1199"/>
      <c r="L57" s="946" t="e">
        <f>INDEX(#REF!,(COUNTA(#REF!))/2+1,0)</f>
        <v>#REF!</v>
      </c>
      <c r="M57" s="947"/>
      <c r="N57" s="947"/>
      <c r="O57" s="947"/>
      <c r="P57" s="947"/>
      <c r="Q57" s="947"/>
      <c r="R57" s="947"/>
      <c r="S57" s="947"/>
      <c r="T57" s="947"/>
      <c r="U57" s="947"/>
      <c r="V57" s="947"/>
      <c r="W57" s="947"/>
      <c r="X57" s="947"/>
      <c r="Y57" s="947"/>
      <c r="Z57" s="947" t="e">
        <f ca="1">IF(L57&lt;&gt;"",IF(ISERROR(FIND("Skill",L57,1)),INDIRECT(SUBSTITUTE(SUBSTITUTE(L57," ",""),"-","")),"Score"),"")</f>
        <v>#REF!</v>
      </c>
      <c r="AA57" s="947"/>
      <c r="AB57" s="947"/>
      <c r="AC57" s="947"/>
      <c r="AD57" s="1132" t="str">
        <f ca="1">IF(ISNUMBER(Z57),TRUE,"")</f>
        <v/>
      </c>
      <c r="AE57" s="940" t="e">
        <f ca="1">IF(Z57="","",IF(ISNUMBER(Z57),"","Favor"))</f>
        <v>#REF!</v>
      </c>
      <c r="AF57" s="941"/>
      <c r="AG57" s="941"/>
      <c r="AH57" s="942"/>
      <c r="AI57" s="938" t="str">
        <f ca="1">IF(ISNUMBER(AO57),IF(ISNUMBER(AE57),IF(ABS(AE57)&gt;=AO57,"",AO57-ABS(AE57)),AO57),"")</f>
        <v/>
      </c>
      <c r="AJ57" s="940" t="e">
        <f ca="1">IF(Z57="","",IF(ISNUMBER(Z57),"","Bonus"))</f>
        <v>#REF!</v>
      </c>
      <c r="AK57" s="941"/>
      <c r="AL57" s="941"/>
      <c r="AM57" s="942"/>
      <c r="AN57" s="1099" t="str">
        <f ca="1">IF(ISNUMBER(AO57),IF(ISNUMBER(AE57),IF(AE57&gt;AO57,AO57,IF(AE57&gt;=0,AE57,0)),0)+IF(ISNUMBER(AJ57),AJ57,0),"")</f>
        <v/>
      </c>
      <c r="AO57" s="932" t="e">
        <f ca="1">IF(Z57="","",IF(ISNUMBER(Z57),FLOOR(Z57/5,1),"Passive"))</f>
        <v>#REF!</v>
      </c>
      <c r="AP57" s="932"/>
      <c r="AQ57" s="932"/>
      <c r="AR57" s="932"/>
      <c r="AS57" s="932"/>
      <c r="AT57" s="936"/>
      <c r="AU57" s="932" t="e">
        <f ca="1">IF(Z57="","",IF(ISNUMBER(Z57),IF(AND(AI57&gt;0,ISNUMBER(AI57)),AI57&amp;"dS","")&amp;IF(AN57&gt;0,"+"&amp;AN57,"")&amp;IF(AN57&lt;0,AN57,""),"Check"))</f>
        <v>#REF!</v>
      </c>
      <c r="AV57" s="932"/>
      <c r="AW57" s="932"/>
      <c r="AX57" s="932"/>
      <c r="AY57" s="932"/>
      <c r="AZ57" s="933"/>
      <c r="BB57" s="971"/>
      <c r="BC57" s="972"/>
      <c r="BD57" s="972"/>
      <c r="BE57" s="972"/>
      <c r="BF57" s="972"/>
      <c r="BG57" s="972"/>
      <c r="BH57" s="972"/>
      <c r="BI57" s="972"/>
      <c r="BJ57" s="972"/>
      <c r="BK57" s="972"/>
      <c r="BL57" s="972"/>
      <c r="BM57" s="972"/>
      <c r="BN57" s="972"/>
      <c r="BO57" s="972"/>
      <c r="BP57" s="972"/>
      <c r="BQ57" s="972"/>
      <c r="BR57" s="972"/>
      <c r="BS57" s="972"/>
      <c r="BT57" s="972"/>
      <c r="BU57" s="972"/>
      <c r="BV57" s="972"/>
      <c r="BW57" s="972"/>
      <c r="BX57" s="972"/>
      <c r="BY57" s="972"/>
      <c r="BZ57" s="972"/>
      <c r="CA57" s="972"/>
      <c r="CB57" s="972"/>
      <c r="CC57" s="962"/>
      <c r="CD57" s="963"/>
      <c r="CE57" s="963"/>
      <c r="CF57" s="963"/>
      <c r="CG57" s="963"/>
      <c r="CH57" s="963"/>
      <c r="CI57" s="963"/>
      <c r="CJ57" s="964"/>
      <c r="CK57" s="214"/>
      <c r="CX57" s="1205" t="e">
        <f>Reflex</f>
        <v>#REF!</v>
      </c>
      <c r="CY57" s="1207"/>
      <c r="CZ57" s="1203"/>
      <c r="DA57" s="1203"/>
      <c r="DB57" s="1203"/>
      <c r="DC57" s="1203"/>
      <c r="DD57" s="1203" t="s">
        <v>252</v>
      </c>
      <c r="DE57" s="1203"/>
      <c r="DF57" s="1203"/>
      <c r="DG57" s="1203"/>
      <c r="DH57" s="1203"/>
      <c r="DI57" s="1203"/>
      <c r="DJ57" s="1205" t="e">
        <f>Reflex</f>
        <v>#REF!</v>
      </c>
      <c r="DK57" s="1206"/>
      <c r="DL57" s="1207"/>
    </row>
    <row r="58" spans="1:117" ht="7.5" customHeight="1" thickBot="1" x14ac:dyDescent="0.3">
      <c r="A58" s="1200"/>
      <c r="B58" s="1200"/>
      <c r="C58" s="1200"/>
      <c r="D58" s="1200"/>
      <c r="E58" s="1200"/>
      <c r="F58" s="1200"/>
      <c r="G58" s="1200"/>
      <c r="H58" s="1200"/>
      <c r="I58" s="1200"/>
      <c r="J58" s="1200"/>
      <c r="L58" s="948"/>
      <c r="M58" s="949"/>
      <c r="N58" s="949"/>
      <c r="O58" s="949"/>
      <c r="P58" s="949"/>
      <c r="Q58" s="949"/>
      <c r="R58" s="949"/>
      <c r="S58" s="949"/>
      <c r="T58" s="949"/>
      <c r="U58" s="949"/>
      <c r="V58" s="949"/>
      <c r="W58" s="949"/>
      <c r="X58" s="949"/>
      <c r="Y58" s="949"/>
      <c r="Z58" s="949"/>
      <c r="AA58" s="949"/>
      <c r="AB58" s="949"/>
      <c r="AC58" s="949"/>
      <c r="AD58" s="1133"/>
      <c r="AE58" s="943"/>
      <c r="AF58" s="944"/>
      <c r="AG58" s="944"/>
      <c r="AH58" s="945"/>
      <c r="AI58" s="939"/>
      <c r="AJ58" s="943"/>
      <c r="AK58" s="944"/>
      <c r="AL58" s="944"/>
      <c r="AM58" s="945"/>
      <c r="AN58" s="1100"/>
      <c r="AO58" s="934"/>
      <c r="AP58" s="934"/>
      <c r="AQ58" s="934"/>
      <c r="AR58" s="934"/>
      <c r="AS58" s="934"/>
      <c r="AT58" s="937"/>
      <c r="AU58" s="934"/>
      <c r="AV58" s="934"/>
      <c r="AW58" s="934"/>
      <c r="AX58" s="934"/>
      <c r="AY58" s="934"/>
      <c r="AZ58" s="935"/>
      <c r="BB58" s="971"/>
      <c r="BC58" s="972"/>
      <c r="BD58" s="972"/>
      <c r="BE58" s="972"/>
      <c r="BF58" s="972"/>
      <c r="BG58" s="972"/>
      <c r="BH58" s="972"/>
      <c r="BI58" s="972"/>
      <c r="BJ58" s="972"/>
      <c r="BK58" s="972"/>
      <c r="BL58" s="972"/>
      <c r="BM58" s="972"/>
      <c r="BN58" s="972"/>
      <c r="BO58" s="972"/>
      <c r="BP58" s="972"/>
      <c r="BQ58" s="972"/>
      <c r="BR58" s="972"/>
      <c r="BS58" s="972"/>
      <c r="BT58" s="972"/>
      <c r="BU58" s="972"/>
      <c r="BV58" s="972"/>
      <c r="BW58" s="972"/>
      <c r="BX58" s="972"/>
      <c r="BY58" s="972"/>
      <c r="BZ58" s="972"/>
      <c r="CA58" s="972"/>
      <c r="CB58" s="972"/>
      <c r="CC58" s="199"/>
      <c r="CD58" s="1076" t="s">
        <v>90</v>
      </c>
      <c r="CE58" s="1076"/>
      <c r="CF58" s="1076"/>
      <c r="CG58" s="1076"/>
      <c r="CH58" s="1076"/>
      <c r="CI58" s="1076"/>
      <c r="CJ58" s="1076"/>
      <c r="CK58" s="215"/>
      <c r="CX58" s="968"/>
      <c r="CY58" s="1207"/>
      <c r="CZ58" s="1204"/>
      <c r="DA58" s="1204"/>
      <c r="DB58" s="1204"/>
      <c r="DC58" s="1204"/>
      <c r="DD58" s="1204"/>
      <c r="DE58" s="1204"/>
      <c r="DF58" s="1204"/>
      <c r="DG58" s="1204"/>
      <c r="DH58" s="1204"/>
      <c r="DI58" s="1204"/>
      <c r="DJ58" s="1205"/>
      <c r="DK58" s="1206"/>
      <c r="DL58" s="1207"/>
    </row>
    <row r="59" spans="1:117" ht="7.5" customHeight="1" x14ac:dyDescent="0.25">
      <c r="A59" s="1195" t="s">
        <v>13</v>
      </c>
      <c r="B59" s="1195"/>
      <c r="C59" s="1195"/>
      <c r="D59" s="1195"/>
      <c r="E59" s="1195"/>
      <c r="F59" s="1195"/>
      <c r="G59" s="1195"/>
      <c r="H59" s="1195"/>
      <c r="I59" s="219"/>
      <c r="J59" s="219"/>
      <c r="L59" s="946" t="e">
        <f>INDEX(#REF!,(COUNTA(#REF!))/2+1,0)</f>
        <v>#REF!</v>
      </c>
      <c r="M59" s="947"/>
      <c r="N59" s="947"/>
      <c r="O59" s="947"/>
      <c r="P59" s="947"/>
      <c r="Q59" s="947"/>
      <c r="R59" s="947"/>
      <c r="S59" s="947"/>
      <c r="T59" s="947"/>
      <c r="U59" s="947"/>
      <c r="V59" s="947"/>
      <c r="W59" s="947"/>
      <c r="X59" s="947"/>
      <c r="Y59" s="947"/>
      <c r="Z59" s="947" t="e">
        <f ca="1">IF(L59&lt;&gt;"",IF(ISERROR(FIND("Skill",L59,1)),INDIRECT(SUBSTITUTE(SUBSTITUTE(L59," ",""),"-","")),"Score"),"")</f>
        <v>#REF!</v>
      </c>
      <c r="AA59" s="947"/>
      <c r="AB59" s="947"/>
      <c r="AC59" s="947"/>
      <c r="AD59" s="1132" t="str">
        <f ca="1">IF(ISNUMBER(Z59),TRUE,"")</f>
        <v/>
      </c>
      <c r="AE59" s="940" t="e">
        <f ca="1">IF(Z59="","",IF(ISNUMBER(Z59),"","Favor"))</f>
        <v>#REF!</v>
      </c>
      <c r="AF59" s="941"/>
      <c r="AG59" s="941"/>
      <c r="AH59" s="942"/>
      <c r="AI59" s="938" t="str">
        <f ca="1">IF(ISNUMBER(AO59),IF(ISNUMBER(AE59),IF(ABS(AE59)&gt;=AO59,"",AO59-ABS(AE59)),AO59),"")</f>
        <v/>
      </c>
      <c r="AJ59" s="940" t="e">
        <f ca="1">IF(Z59="","",IF(ISNUMBER(Z59),"","Bonus"))</f>
        <v>#REF!</v>
      </c>
      <c r="AK59" s="941"/>
      <c r="AL59" s="941"/>
      <c r="AM59" s="942"/>
      <c r="AN59" s="1099" t="str">
        <f ca="1">IF(ISNUMBER(AO59),IF(ISNUMBER(AE59),IF(AE59&gt;AO59,AO59,IF(AE59&gt;=0,AE59,0)),0)+IF(ISNUMBER(AJ59),AJ59,0),"")</f>
        <v/>
      </c>
      <c r="AO59" s="932" t="e">
        <f ca="1">IF(Z59="","",IF(ISNUMBER(Z59),FLOOR(Z59/5,1),"Passive"))</f>
        <v>#REF!</v>
      </c>
      <c r="AP59" s="932"/>
      <c r="AQ59" s="932"/>
      <c r="AR59" s="932"/>
      <c r="AS59" s="932"/>
      <c r="AT59" s="936"/>
      <c r="AU59" s="932" t="e">
        <f ca="1">IF(Z59="","",IF(ISNUMBER(Z59),IF(AND(AI59&gt;0,ISNUMBER(AI59)),AI59&amp;"dS","")&amp;IF(AN59&gt;0,"+"&amp;AN59,"")&amp;IF(AN59&lt;0,AN59,""),"Check"))</f>
        <v>#REF!</v>
      </c>
      <c r="AV59" s="932"/>
      <c r="AW59" s="932"/>
      <c r="AX59" s="932"/>
      <c r="AY59" s="932"/>
      <c r="AZ59" s="933"/>
      <c r="BB59" s="971"/>
      <c r="BC59" s="972"/>
      <c r="BD59" s="972"/>
      <c r="BE59" s="972"/>
      <c r="BF59" s="972"/>
      <c r="BG59" s="972"/>
      <c r="BH59" s="972"/>
      <c r="BI59" s="972"/>
      <c r="BJ59" s="972"/>
      <c r="BK59" s="972"/>
      <c r="BL59" s="972"/>
      <c r="BM59" s="972"/>
      <c r="BN59" s="972"/>
      <c r="BO59" s="972"/>
      <c r="BP59" s="972"/>
      <c r="BQ59" s="972"/>
      <c r="BR59" s="972"/>
      <c r="BS59" s="972"/>
      <c r="BT59" s="972"/>
      <c r="BU59" s="972"/>
      <c r="BV59" s="972"/>
      <c r="BW59" s="972"/>
      <c r="BX59" s="972"/>
      <c r="BY59" s="972"/>
      <c r="BZ59" s="972"/>
      <c r="CA59" s="972"/>
      <c r="CB59" s="972"/>
      <c r="CC59" s="956"/>
      <c r="CD59" s="957"/>
      <c r="CE59" s="957"/>
      <c r="CF59" s="957"/>
      <c r="CG59" s="957"/>
      <c r="CH59" s="957"/>
      <c r="CI59" s="957"/>
      <c r="CJ59" s="958"/>
      <c r="CK59" s="215"/>
      <c r="CX59" s="1205" t="e">
        <f>Reflex</f>
        <v>#REF!</v>
      </c>
      <c r="CY59" s="1207"/>
      <c r="CZ59" s="1203"/>
      <c r="DA59" s="1203"/>
      <c r="DB59" s="1203"/>
      <c r="DC59" s="1203"/>
      <c r="DD59" s="1203" t="s">
        <v>509</v>
      </c>
      <c r="DE59" s="1203"/>
      <c r="DF59" s="1203"/>
      <c r="DG59" s="1203"/>
      <c r="DH59" s="1203"/>
      <c r="DI59" s="1203"/>
      <c r="DJ59" s="1205" t="e">
        <f>Reflex</f>
        <v>#REF!</v>
      </c>
      <c r="DK59" s="1206"/>
      <c r="DL59" s="1207"/>
    </row>
    <row r="60" spans="1:117" ht="7.5" customHeight="1" thickBot="1" x14ac:dyDescent="0.3">
      <c r="L60" s="948"/>
      <c r="M60" s="949"/>
      <c r="N60" s="949"/>
      <c r="O60" s="949"/>
      <c r="P60" s="949"/>
      <c r="Q60" s="949"/>
      <c r="R60" s="949"/>
      <c r="S60" s="949"/>
      <c r="T60" s="949"/>
      <c r="U60" s="949"/>
      <c r="V60" s="949"/>
      <c r="W60" s="949"/>
      <c r="X60" s="949"/>
      <c r="Y60" s="949"/>
      <c r="Z60" s="949"/>
      <c r="AA60" s="949"/>
      <c r="AB60" s="949"/>
      <c r="AC60" s="949"/>
      <c r="AD60" s="1133"/>
      <c r="AE60" s="943"/>
      <c r="AF60" s="944"/>
      <c r="AG60" s="944"/>
      <c r="AH60" s="945"/>
      <c r="AI60" s="939"/>
      <c r="AJ60" s="943"/>
      <c r="AK60" s="944"/>
      <c r="AL60" s="944"/>
      <c r="AM60" s="945"/>
      <c r="AN60" s="1100"/>
      <c r="AO60" s="934"/>
      <c r="AP60" s="934"/>
      <c r="AQ60" s="934"/>
      <c r="AR60" s="934"/>
      <c r="AS60" s="934"/>
      <c r="AT60" s="937"/>
      <c r="AU60" s="934"/>
      <c r="AV60" s="934"/>
      <c r="AW60" s="934"/>
      <c r="AX60" s="934"/>
      <c r="AY60" s="934"/>
      <c r="AZ60" s="935"/>
      <c r="BB60" s="971"/>
      <c r="BC60" s="972"/>
      <c r="BD60" s="972"/>
      <c r="BE60" s="972"/>
      <c r="BF60" s="972"/>
      <c r="BG60" s="972"/>
      <c r="BH60" s="972"/>
      <c r="BI60" s="972"/>
      <c r="BJ60" s="972"/>
      <c r="BK60" s="972"/>
      <c r="BL60" s="972"/>
      <c r="BM60" s="972"/>
      <c r="BN60" s="972"/>
      <c r="BO60" s="972"/>
      <c r="BP60" s="972"/>
      <c r="BQ60" s="972"/>
      <c r="BR60" s="972"/>
      <c r="BS60" s="972"/>
      <c r="BT60" s="972"/>
      <c r="BU60" s="972"/>
      <c r="BV60" s="972"/>
      <c r="BW60" s="972"/>
      <c r="BX60" s="972"/>
      <c r="BY60" s="972"/>
      <c r="BZ60" s="972"/>
      <c r="CA60" s="972"/>
      <c r="CB60" s="972"/>
      <c r="CC60" s="959"/>
      <c r="CD60" s="960"/>
      <c r="CE60" s="960"/>
      <c r="CF60" s="960"/>
      <c r="CG60" s="960"/>
      <c r="CH60" s="960"/>
      <c r="CI60" s="960"/>
      <c r="CJ60" s="961"/>
      <c r="CK60" s="216"/>
      <c r="CX60" s="968"/>
      <c r="CY60" s="1207"/>
      <c r="CZ60" s="1204"/>
      <c r="DA60" s="1204"/>
      <c r="DB60" s="1204"/>
      <c r="DC60" s="1204"/>
      <c r="DD60" s="1204"/>
      <c r="DE60" s="1204"/>
      <c r="DF60" s="1204"/>
      <c r="DG60" s="1204"/>
      <c r="DH60" s="1204"/>
      <c r="DI60" s="1204"/>
      <c r="DJ60" s="1205"/>
      <c r="DK60" s="1206"/>
      <c r="DL60" s="1207"/>
    </row>
    <row r="61" spans="1:117" ht="7.5" customHeight="1" x14ac:dyDescent="0.25">
      <c r="A61" s="1168" t="s">
        <v>446</v>
      </c>
      <c r="B61" s="1169"/>
      <c r="C61" s="1169"/>
      <c r="D61" s="1169"/>
      <c r="E61" s="1169"/>
      <c r="F61" s="1169"/>
      <c r="G61" s="1169"/>
      <c r="H61" s="1169"/>
      <c r="I61" s="1169"/>
      <c r="J61" s="1170"/>
      <c r="L61" s="946" t="e">
        <f>INDEX(#REF!,(COUNTA(#REF!))/2+1,0)</f>
        <v>#REF!</v>
      </c>
      <c r="M61" s="947"/>
      <c r="N61" s="947"/>
      <c r="O61" s="947"/>
      <c r="P61" s="947"/>
      <c r="Q61" s="947"/>
      <c r="R61" s="947"/>
      <c r="S61" s="947"/>
      <c r="T61" s="947"/>
      <c r="U61" s="947"/>
      <c r="V61" s="947"/>
      <c r="W61" s="947"/>
      <c r="X61" s="947"/>
      <c r="Y61" s="947"/>
      <c r="Z61" s="947" t="e">
        <f ca="1">IF(L61&lt;&gt;"",IF(ISERROR(FIND("Skill",L61,1)),INDIRECT(SUBSTITUTE(SUBSTITUTE(L61," ",""),"-","")),"Score"),"")</f>
        <v>#REF!</v>
      </c>
      <c r="AA61" s="947"/>
      <c r="AB61" s="947"/>
      <c r="AC61" s="947"/>
      <c r="AD61" s="1132" t="str">
        <f ca="1">IF(ISNUMBER(Z61),TRUE,"")</f>
        <v/>
      </c>
      <c r="AE61" s="940" t="e">
        <f ca="1">IF(Z61="","",IF(ISNUMBER(Z61),"","Favor"))</f>
        <v>#REF!</v>
      </c>
      <c r="AF61" s="941"/>
      <c r="AG61" s="941"/>
      <c r="AH61" s="942"/>
      <c r="AI61" s="938" t="str">
        <f ca="1">IF(ISNUMBER(AO61),IF(ISNUMBER(AE61),IF(ABS(AE61)&gt;=AO61,"",AO61-ABS(AE61)),AO61),"")</f>
        <v/>
      </c>
      <c r="AJ61" s="940" t="e">
        <f ca="1">IF(Z61="","",IF(ISNUMBER(Z61),"","Bonus"))</f>
        <v>#REF!</v>
      </c>
      <c r="AK61" s="941"/>
      <c r="AL61" s="941"/>
      <c r="AM61" s="942"/>
      <c r="AN61" s="1099" t="str">
        <f ca="1">IF(ISNUMBER(AO61),IF(ISNUMBER(AE61),IF(AE61&gt;AO61,AO61,IF(AE61&gt;=0,AE61,0)),0)+IF(ISNUMBER(AJ61),AJ61,0),"")</f>
        <v/>
      </c>
      <c r="AO61" s="932" t="e">
        <f ca="1">IF(Z61="","",IF(ISNUMBER(Z61),FLOOR(Z61/5,1),"Passive"))</f>
        <v>#REF!</v>
      </c>
      <c r="AP61" s="932"/>
      <c r="AQ61" s="932"/>
      <c r="AR61" s="932"/>
      <c r="AS61" s="932"/>
      <c r="AT61" s="936"/>
      <c r="AU61" s="932" t="e">
        <f ca="1">IF(Z61="","",IF(ISNUMBER(Z61),IF(AND(AI61&gt;0,ISNUMBER(AI61)),AI61&amp;"dS","")&amp;IF(AN61&gt;0,"+"&amp;AN61,"")&amp;IF(AN61&lt;0,AN61,""),"Check"))</f>
        <v>#REF!</v>
      </c>
      <c r="AV61" s="932"/>
      <c r="AW61" s="932"/>
      <c r="AX61" s="932"/>
      <c r="AY61" s="932"/>
      <c r="AZ61" s="933"/>
      <c r="BB61" s="971"/>
      <c r="BC61" s="972"/>
      <c r="BD61" s="972"/>
      <c r="BE61" s="972"/>
      <c r="BF61" s="972"/>
      <c r="BG61" s="972"/>
      <c r="BH61" s="972"/>
      <c r="BI61" s="972"/>
      <c r="BJ61" s="972"/>
      <c r="BK61" s="972"/>
      <c r="BL61" s="972"/>
      <c r="BM61" s="972"/>
      <c r="BN61" s="972"/>
      <c r="BO61" s="972"/>
      <c r="BP61" s="972"/>
      <c r="BQ61" s="972"/>
      <c r="BR61" s="972"/>
      <c r="BS61" s="972"/>
      <c r="BT61" s="972"/>
      <c r="BU61" s="972"/>
      <c r="BV61" s="972"/>
      <c r="BW61" s="972"/>
      <c r="BX61" s="972"/>
      <c r="BY61" s="972"/>
      <c r="BZ61" s="972"/>
      <c r="CA61" s="972"/>
      <c r="CB61" s="972"/>
      <c r="CC61" s="962"/>
      <c r="CD61" s="963"/>
      <c r="CE61" s="963"/>
      <c r="CF61" s="963"/>
      <c r="CG61" s="963"/>
      <c r="CH61" s="963"/>
      <c r="CI61" s="963"/>
      <c r="CJ61" s="964"/>
      <c r="CK61" s="216"/>
      <c r="CX61" s="1205" t="e">
        <f>Reflex</f>
        <v>#REF!</v>
      </c>
      <c r="CY61" s="1207"/>
      <c r="CZ61" s="1203"/>
      <c r="DA61" s="1203"/>
      <c r="DB61" s="1203"/>
      <c r="DC61" s="1203"/>
      <c r="DD61" s="1203" t="s">
        <v>255</v>
      </c>
      <c r="DE61" s="1203"/>
      <c r="DF61" s="1203"/>
      <c r="DG61" s="1203"/>
      <c r="DH61" s="1203"/>
      <c r="DI61" s="1203"/>
      <c r="DJ61" s="1205" t="e">
        <f>Reflex</f>
        <v>#REF!</v>
      </c>
      <c r="DK61" s="1206"/>
      <c r="DL61" s="1207"/>
    </row>
    <row r="62" spans="1:117" ht="7.5" customHeight="1" thickBot="1" x14ac:dyDescent="0.3">
      <c r="A62" s="1171"/>
      <c r="B62" s="1172"/>
      <c r="C62" s="1172"/>
      <c r="D62" s="1172"/>
      <c r="E62" s="1172"/>
      <c r="F62" s="1172"/>
      <c r="G62" s="1172"/>
      <c r="H62" s="1172"/>
      <c r="I62" s="1172"/>
      <c r="J62" s="1173"/>
      <c r="L62" s="948"/>
      <c r="M62" s="949"/>
      <c r="N62" s="949"/>
      <c r="O62" s="949"/>
      <c r="P62" s="949"/>
      <c r="Q62" s="949"/>
      <c r="R62" s="949"/>
      <c r="S62" s="949"/>
      <c r="T62" s="949"/>
      <c r="U62" s="949"/>
      <c r="V62" s="949"/>
      <c r="W62" s="949"/>
      <c r="X62" s="949"/>
      <c r="Y62" s="949"/>
      <c r="Z62" s="949"/>
      <c r="AA62" s="949"/>
      <c r="AB62" s="949"/>
      <c r="AC62" s="949"/>
      <c r="AD62" s="1133"/>
      <c r="AE62" s="943"/>
      <c r="AF62" s="944"/>
      <c r="AG62" s="944"/>
      <c r="AH62" s="945"/>
      <c r="AI62" s="939"/>
      <c r="AJ62" s="943"/>
      <c r="AK62" s="944"/>
      <c r="AL62" s="944"/>
      <c r="AM62" s="945"/>
      <c r="AN62" s="1100"/>
      <c r="AO62" s="934"/>
      <c r="AP62" s="934"/>
      <c r="AQ62" s="934"/>
      <c r="AR62" s="934"/>
      <c r="AS62" s="934"/>
      <c r="AT62" s="937"/>
      <c r="AU62" s="934"/>
      <c r="AV62" s="934"/>
      <c r="AW62" s="934"/>
      <c r="AX62" s="934"/>
      <c r="AY62" s="934"/>
      <c r="AZ62" s="935"/>
      <c r="BB62" s="977"/>
      <c r="BC62" s="978"/>
      <c r="BD62" s="978"/>
      <c r="BE62" s="978"/>
      <c r="BF62" s="978"/>
      <c r="BG62" s="978"/>
      <c r="BH62" s="978"/>
      <c r="BI62" s="978"/>
      <c r="BJ62" s="978"/>
      <c r="BK62" s="978"/>
      <c r="BL62" s="978"/>
      <c r="BM62" s="978"/>
      <c r="BN62" s="978"/>
      <c r="BO62" s="978"/>
      <c r="BP62" s="978"/>
      <c r="BQ62" s="978"/>
      <c r="BR62" s="978"/>
      <c r="BS62" s="978"/>
      <c r="BT62" s="978"/>
      <c r="BU62" s="978"/>
      <c r="BV62" s="978"/>
      <c r="BW62" s="978"/>
      <c r="BX62" s="978"/>
      <c r="BY62" s="978"/>
      <c r="BZ62" s="978"/>
      <c r="CA62" s="978"/>
      <c r="CB62" s="978"/>
      <c r="CC62" s="217"/>
      <c r="CD62" s="217"/>
      <c r="CE62" s="217"/>
      <c r="CF62" s="217"/>
      <c r="CG62" s="217"/>
      <c r="CH62" s="217"/>
      <c r="CI62" s="217"/>
      <c r="CJ62" s="217"/>
      <c r="CK62" s="218"/>
      <c r="CX62" s="968"/>
      <c r="CY62" s="1207"/>
      <c r="CZ62" s="1204"/>
      <c r="DA62" s="1204"/>
      <c r="DB62" s="1204"/>
      <c r="DC62" s="1204"/>
      <c r="DD62" s="1204"/>
      <c r="DE62" s="1204"/>
      <c r="DF62" s="1204"/>
      <c r="DG62" s="1204"/>
      <c r="DH62" s="1204"/>
      <c r="DI62" s="1204"/>
      <c r="DJ62" s="1205"/>
      <c r="DK62" s="1206"/>
      <c r="DL62" s="1207"/>
    </row>
    <row r="63" spans="1:117" ht="7.5" customHeight="1" x14ac:dyDescent="0.25">
      <c r="A63" s="1174"/>
      <c r="B63" s="1175"/>
      <c r="C63" s="1175"/>
      <c r="D63" s="1175"/>
      <c r="E63" s="1175"/>
      <c r="F63" s="1175"/>
      <c r="G63" s="1175"/>
      <c r="H63" s="1175"/>
      <c r="I63" s="1175"/>
      <c r="J63" s="1176"/>
      <c r="L63" s="946" t="e">
        <f>INDEX(#REF!,(COUNTA(#REF!))/2+1,0)</f>
        <v>#REF!</v>
      </c>
      <c r="M63" s="947"/>
      <c r="N63" s="947"/>
      <c r="O63" s="947"/>
      <c r="P63" s="947"/>
      <c r="Q63" s="947"/>
      <c r="R63" s="947"/>
      <c r="S63" s="947"/>
      <c r="T63" s="947"/>
      <c r="U63" s="947"/>
      <c r="V63" s="947"/>
      <c r="W63" s="947"/>
      <c r="X63" s="947"/>
      <c r="Y63" s="947"/>
      <c r="Z63" s="947" t="e">
        <f ca="1">IF(L63&lt;&gt;"",IF(ISERROR(FIND("Skill",L63,1)),INDIRECT(SUBSTITUTE(SUBSTITUTE(L63," ",""),"-","")),"Score"),"")</f>
        <v>#REF!</v>
      </c>
      <c r="AA63" s="947"/>
      <c r="AB63" s="947"/>
      <c r="AC63" s="947"/>
      <c r="AD63" s="1132" t="str">
        <f ca="1">IF(ISNUMBER(Z63),TRUE,"")</f>
        <v/>
      </c>
      <c r="AE63" s="940" t="e">
        <f ca="1">IF(Z63="","",IF(ISNUMBER(Z63),"","Favor"))</f>
        <v>#REF!</v>
      </c>
      <c r="AF63" s="941"/>
      <c r="AG63" s="941"/>
      <c r="AH63" s="942"/>
      <c r="AI63" s="938" t="str">
        <f ca="1">IF(ISNUMBER(AO63),IF(ISNUMBER(AE63),IF(ABS(AE63)&gt;=AO63,"",AO63-ABS(AE63)),AO63),"")</f>
        <v/>
      </c>
      <c r="AJ63" s="940" t="e">
        <f ca="1">IF(Z63="","",IF(ISNUMBER(Z63),"","Bonus"))</f>
        <v>#REF!</v>
      </c>
      <c r="AK63" s="941"/>
      <c r="AL63" s="941"/>
      <c r="AM63" s="942"/>
      <c r="AN63" s="1099" t="str">
        <f ca="1">IF(ISNUMBER(AO63),IF(ISNUMBER(AE63),IF(AE63&gt;AO63,AO63,IF(AE63&gt;=0,AE63,0)),0)+IF(ISNUMBER(AJ63),AJ63,0),"")</f>
        <v/>
      </c>
      <c r="AO63" s="932" t="e">
        <f ca="1">IF(Z63="","",IF(ISNUMBER(Z63),FLOOR(Z63/5,1),"Passive"))</f>
        <v>#REF!</v>
      </c>
      <c r="AP63" s="932"/>
      <c r="AQ63" s="932"/>
      <c r="AR63" s="932"/>
      <c r="AS63" s="932"/>
      <c r="AT63" s="936"/>
      <c r="AU63" s="932" t="e">
        <f ca="1">IF(Z63="","",IF(ISNUMBER(Z63),IF(AND(AI63&gt;0,ISNUMBER(AI63)),AI63&amp;"dS","")&amp;IF(AN63&gt;0,"+"&amp;AN63,"")&amp;IF(AN63&lt;0,AN63,""),"Check"))</f>
        <v>#REF!</v>
      </c>
      <c r="AV63" s="932"/>
      <c r="AW63" s="932"/>
      <c r="AX63" s="932"/>
      <c r="AY63" s="932"/>
      <c r="AZ63" s="933"/>
      <c r="BB63" s="1086" t="s">
        <v>85</v>
      </c>
      <c r="BC63" s="1087"/>
      <c r="BD63" s="1087"/>
      <c r="BE63" s="201"/>
      <c r="BF63" s="201"/>
      <c r="BG63" s="201"/>
      <c r="BH63" s="201"/>
      <c r="BI63" s="201"/>
      <c r="BJ63" s="201"/>
      <c r="BK63" s="201"/>
      <c r="BL63" s="201"/>
      <c r="BM63" s="201"/>
      <c r="BN63" s="201"/>
      <c r="BO63" s="202"/>
      <c r="BP63" s="202"/>
      <c r="BQ63" s="202"/>
      <c r="BR63" s="202"/>
      <c r="BS63" s="203"/>
      <c r="BT63" s="204" t="s">
        <v>89</v>
      </c>
      <c r="BU63" s="204"/>
      <c r="BV63" s="204"/>
      <c r="BW63" s="204"/>
      <c r="BX63" s="205"/>
      <c r="BY63" s="205"/>
      <c r="BZ63" s="205"/>
      <c r="CA63" s="205"/>
      <c r="CB63" s="206"/>
      <c r="CC63" s="207" t="s">
        <v>88</v>
      </c>
      <c r="CD63" s="208"/>
      <c r="CE63" s="208"/>
      <c r="CF63" s="208"/>
      <c r="CG63" s="208"/>
      <c r="CH63" s="208"/>
      <c r="CI63" s="208"/>
      <c r="CJ63" s="209"/>
      <c r="CK63" s="210"/>
      <c r="CX63" s="1205" t="e">
        <f>Reflex</f>
        <v>#REF!</v>
      </c>
      <c r="CY63" s="1207"/>
      <c r="CZ63" s="1203"/>
      <c r="DA63" s="1203"/>
      <c r="DB63" s="1203"/>
      <c r="DC63" s="1203"/>
      <c r="DD63" s="1203" t="s">
        <v>253</v>
      </c>
      <c r="DE63" s="1203"/>
      <c r="DF63" s="1203"/>
      <c r="DG63" s="1203"/>
      <c r="DH63" s="1203"/>
      <c r="DI63" s="1203"/>
      <c r="DJ63" s="1205" t="e">
        <f>Reflex</f>
        <v>#REF!</v>
      </c>
      <c r="DK63" s="1206"/>
      <c r="DL63" s="1207"/>
    </row>
    <row r="64" spans="1:117" ht="7.5" customHeight="1" thickBot="1" x14ac:dyDescent="0.3">
      <c r="A64" s="1177"/>
      <c r="B64" s="1052"/>
      <c r="C64" s="1052"/>
      <c r="D64" s="1052"/>
      <c r="E64" s="1052"/>
      <c r="F64" s="1052"/>
      <c r="G64" s="1052"/>
      <c r="H64" s="1052"/>
      <c r="I64" s="1052"/>
      <c r="J64" s="1178"/>
      <c r="L64" s="948"/>
      <c r="M64" s="949"/>
      <c r="N64" s="949"/>
      <c r="O64" s="949"/>
      <c r="P64" s="949"/>
      <c r="Q64" s="949"/>
      <c r="R64" s="949"/>
      <c r="S64" s="949"/>
      <c r="T64" s="949"/>
      <c r="U64" s="949"/>
      <c r="V64" s="949"/>
      <c r="W64" s="949"/>
      <c r="X64" s="949"/>
      <c r="Y64" s="949"/>
      <c r="Z64" s="949"/>
      <c r="AA64" s="949"/>
      <c r="AB64" s="949"/>
      <c r="AC64" s="949"/>
      <c r="AD64" s="1133"/>
      <c r="AE64" s="943"/>
      <c r="AF64" s="944"/>
      <c r="AG64" s="944"/>
      <c r="AH64" s="945"/>
      <c r="AI64" s="939"/>
      <c r="AJ64" s="943"/>
      <c r="AK64" s="944"/>
      <c r="AL64" s="944"/>
      <c r="AM64" s="945"/>
      <c r="AN64" s="1100"/>
      <c r="AO64" s="934"/>
      <c r="AP64" s="934"/>
      <c r="AQ64" s="934"/>
      <c r="AR64" s="934"/>
      <c r="AS64" s="934"/>
      <c r="AT64" s="937"/>
      <c r="AU64" s="934"/>
      <c r="AV64" s="934"/>
      <c r="AW64" s="934"/>
      <c r="AX64" s="934"/>
      <c r="AY64" s="934"/>
      <c r="AZ64" s="935"/>
      <c r="BB64" s="1088"/>
      <c r="BC64" s="951"/>
      <c r="BD64" s="951"/>
      <c r="BE64" s="951"/>
      <c r="BF64" s="951"/>
      <c r="BG64" s="951"/>
      <c r="BH64" s="951"/>
      <c r="BI64" s="951"/>
      <c r="BJ64" s="951"/>
      <c r="BK64" s="951"/>
      <c r="BL64" s="951"/>
      <c r="BM64" s="951"/>
      <c r="BN64" s="951"/>
      <c r="BO64" s="951"/>
      <c r="BP64" s="951"/>
      <c r="BQ64" s="951"/>
      <c r="BR64" s="951"/>
      <c r="BS64" s="1089"/>
      <c r="BT64" s="1077"/>
      <c r="BU64" s="982"/>
      <c r="BV64" s="982"/>
      <c r="BW64" s="982"/>
      <c r="BX64" s="982"/>
      <c r="BY64" s="982"/>
      <c r="BZ64" s="982"/>
      <c r="CA64" s="982"/>
      <c r="CB64" s="1078"/>
      <c r="CC64" s="1080"/>
      <c r="CD64" s="1081"/>
      <c r="CE64" s="1081"/>
      <c r="CF64" s="1081"/>
      <c r="CG64" s="1081"/>
      <c r="CH64" s="1081"/>
      <c r="CI64" s="1081"/>
      <c r="CJ64" s="1082"/>
      <c r="CK64" s="211"/>
      <c r="CN64" s="221"/>
      <c r="CX64" s="968"/>
      <c r="CY64" s="1207"/>
      <c r="CZ64" s="1204"/>
      <c r="DA64" s="1204"/>
      <c r="DB64" s="1204"/>
      <c r="DC64" s="1204"/>
      <c r="DD64" s="1204"/>
      <c r="DE64" s="1204"/>
      <c r="DF64" s="1204"/>
      <c r="DG64" s="1204"/>
      <c r="DH64" s="1204"/>
      <c r="DI64" s="1204"/>
      <c r="DJ64" s="1205"/>
      <c r="DK64" s="1206"/>
      <c r="DL64" s="1207"/>
    </row>
    <row r="65" spans="1:116" ht="7.5" customHeight="1" x14ac:dyDescent="0.25">
      <c r="A65" s="1179"/>
      <c r="B65" s="1180"/>
      <c r="C65" s="1180"/>
      <c r="D65" s="1180"/>
      <c r="E65" s="1180"/>
      <c r="F65" s="1180"/>
      <c r="G65" s="1180"/>
      <c r="H65" s="1180"/>
      <c r="I65" s="1180"/>
      <c r="J65" s="1181"/>
      <c r="L65" s="946" t="e">
        <f>INDEX(#REF!,(COUNTA(#REF!))/2+1,0)</f>
        <v>#REF!</v>
      </c>
      <c r="M65" s="947"/>
      <c r="N65" s="947"/>
      <c r="O65" s="947"/>
      <c r="P65" s="947"/>
      <c r="Q65" s="947"/>
      <c r="R65" s="947"/>
      <c r="S65" s="947"/>
      <c r="T65" s="947"/>
      <c r="U65" s="947"/>
      <c r="V65" s="947"/>
      <c r="W65" s="947"/>
      <c r="X65" s="947"/>
      <c r="Y65" s="947"/>
      <c r="Z65" s="947" t="e">
        <f ca="1">IF(L65&lt;&gt;"",IF(ISERROR(FIND("Skill",L65,1)),INDIRECT(SUBSTITUTE(SUBSTITUTE(L65," ",""),"-","")),"Score"),"")</f>
        <v>#REF!</v>
      </c>
      <c r="AA65" s="947"/>
      <c r="AB65" s="947"/>
      <c r="AC65" s="947"/>
      <c r="AD65" s="1132" t="str">
        <f ca="1">IF(ISNUMBER(Z65),TRUE,"")</f>
        <v/>
      </c>
      <c r="AE65" s="940" t="e">
        <f ca="1">IF(Z65="","",IF(ISNUMBER(Z65),"","Favor"))</f>
        <v>#REF!</v>
      </c>
      <c r="AF65" s="941"/>
      <c r="AG65" s="941"/>
      <c r="AH65" s="942"/>
      <c r="AI65" s="938" t="str">
        <f ca="1">IF(ISNUMBER(AO65),IF(ISNUMBER(AE65),IF(ABS(AE65)&gt;=AO65,"",AO65-ABS(AE65)),AO65),"")</f>
        <v/>
      </c>
      <c r="AJ65" s="940" t="e">
        <f ca="1">IF(Z65="","",IF(ISNUMBER(Z65),"","Bonus"))</f>
        <v>#REF!</v>
      </c>
      <c r="AK65" s="941"/>
      <c r="AL65" s="941"/>
      <c r="AM65" s="942"/>
      <c r="AN65" s="1099" t="str">
        <f ca="1">IF(ISNUMBER(AO65),IF(ISNUMBER(AE65),IF(AE65&gt;AO65,AO65,IF(AE65&gt;=0,AE65,0)),0)+IF(ISNUMBER(AJ65),AJ65,0),"")</f>
        <v/>
      </c>
      <c r="AO65" s="932" t="e">
        <f ca="1">IF(Z65="","",IF(ISNUMBER(Z65),FLOOR(Z65/5,1),"Passive"))</f>
        <v>#REF!</v>
      </c>
      <c r="AP65" s="932"/>
      <c r="AQ65" s="932"/>
      <c r="AR65" s="932"/>
      <c r="AS65" s="932"/>
      <c r="AT65" s="936"/>
      <c r="AU65" s="932" t="e">
        <f ca="1">IF(Z65="","",IF(ISNUMBER(Z65),IF(AND(AI65&gt;0,ISNUMBER(AI65)),AI65&amp;"dS","")&amp;IF(AN65&gt;0,"+"&amp;AN65,"")&amp;IF(AN65&lt;0,AN65,""),"Check"))</f>
        <v>#REF!</v>
      </c>
      <c r="AV65" s="932"/>
      <c r="AW65" s="932"/>
      <c r="AX65" s="932"/>
      <c r="AY65" s="932"/>
      <c r="AZ65" s="933"/>
      <c r="BB65" s="953"/>
      <c r="BC65" s="1090"/>
      <c r="BD65" s="1090"/>
      <c r="BE65" s="1090"/>
      <c r="BF65" s="1090"/>
      <c r="BG65" s="1090"/>
      <c r="BH65" s="1090"/>
      <c r="BI65" s="1090"/>
      <c r="BJ65" s="1090"/>
      <c r="BK65" s="1090"/>
      <c r="BL65" s="1090"/>
      <c r="BM65" s="1090"/>
      <c r="BN65" s="1090"/>
      <c r="BO65" s="1090"/>
      <c r="BP65" s="1090"/>
      <c r="BQ65" s="1090"/>
      <c r="BR65" s="1090"/>
      <c r="BS65" s="955"/>
      <c r="BT65" s="984"/>
      <c r="BU65" s="1079"/>
      <c r="BV65" s="1079"/>
      <c r="BW65" s="1079"/>
      <c r="BX65" s="1079"/>
      <c r="BY65" s="1079"/>
      <c r="BZ65" s="1079"/>
      <c r="CA65" s="1079"/>
      <c r="CB65" s="986"/>
      <c r="CC65" s="1083"/>
      <c r="CD65" s="1084"/>
      <c r="CE65" s="1084"/>
      <c r="CF65" s="1084"/>
      <c r="CG65" s="1084"/>
      <c r="CH65" s="1084"/>
      <c r="CI65" s="1084"/>
      <c r="CJ65" s="1085"/>
      <c r="CK65" s="211"/>
      <c r="DD65" s="1203" t="s">
        <v>256</v>
      </c>
      <c r="DE65" s="1203"/>
      <c r="DF65" s="1203"/>
      <c r="DG65" s="1203"/>
      <c r="DH65" s="1203"/>
      <c r="DI65" s="1203"/>
      <c r="DJ65" s="1205" t="e">
        <f>Reflex</f>
        <v>#REF!</v>
      </c>
      <c r="DK65" s="1206"/>
      <c r="DL65" s="1207"/>
    </row>
    <row r="66" spans="1:116" ht="7.5" customHeight="1" thickBot="1" x14ac:dyDescent="0.3">
      <c r="L66" s="948"/>
      <c r="M66" s="949"/>
      <c r="N66" s="949"/>
      <c r="O66" s="949"/>
      <c r="P66" s="949"/>
      <c r="Q66" s="949"/>
      <c r="R66" s="949"/>
      <c r="S66" s="949"/>
      <c r="T66" s="949"/>
      <c r="U66" s="949"/>
      <c r="V66" s="949"/>
      <c r="W66" s="949"/>
      <c r="X66" s="949"/>
      <c r="Y66" s="949"/>
      <c r="Z66" s="949"/>
      <c r="AA66" s="949"/>
      <c r="AB66" s="949"/>
      <c r="AC66" s="949"/>
      <c r="AD66" s="1133"/>
      <c r="AE66" s="943"/>
      <c r="AF66" s="944"/>
      <c r="AG66" s="944"/>
      <c r="AH66" s="945"/>
      <c r="AI66" s="939"/>
      <c r="AJ66" s="943"/>
      <c r="AK66" s="944"/>
      <c r="AL66" s="944"/>
      <c r="AM66" s="945"/>
      <c r="AN66" s="1100"/>
      <c r="AO66" s="934"/>
      <c r="AP66" s="934"/>
      <c r="AQ66" s="934"/>
      <c r="AR66" s="934"/>
      <c r="AS66" s="934"/>
      <c r="AT66" s="937"/>
      <c r="AU66" s="934"/>
      <c r="AV66" s="934"/>
      <c r="AW66" s="934"/>
      <c r="AX66" s="934"/>
      <c r="AY66" s="934"/>
      <c r="AZ66" s="935"/>
      <c r="BB66" s="1091" t="s">
        <v>86</v>
      </c>
      <c r="BC66" s="1092"/>
      <c r="BD66" s="1092"/>
      <c r="BE66" s="1092"/>
      <c r="BF66" s="1092"/>
      <c r="BG66" s="1092"/>
      <c r="CD66" s="1075" t="s">
        <v>91</v>
      </c>
      <c r="CE66" s="1075"/>
      <c r="CF66" s="1075"/>
      <c r="CG66" s="1075"/>
      <c r="CK66" s="213"/>
      <c r="DD66" s="1204"/>
      <c r="DE66" s="1204"/>
      <c r="DF66" s="1204"/>
      <c r="DG66" s="1204"/>
      <c r="DH66" s="1204"/>
      <c r="DI66" s="1204"/>
      <c r="DJ66" s="1205"/>
      <c r="DK66" s="1206"/>
      <c r="DL66" s="1207"/>
    </row>
    <row r="67" spans="1:116" ht="7.5" customHeight="1" x14ac:dyDescent="0.25">
      <c r="A67" s="1188" t="s">
        <v>443</v>
      </c>
      <c r="B67" s="1189"/>
      <c r="C67" s="1189"/>
      <c r="D67" s="1189"/>
      <c r="E67" s="1189"/>
      <c r="F67" s="1189"/>
      <c r="G67" s="1189"/>
      <c r="H67" s="1189"/>
      <c r="I67" s="1189"/>
      <c r="J67" s="1190"/>
      <c r="L67" s="946" t="e">
        <f>INDEX(#REF!,(COUNTA(#REF!))/2+1,0)</f>
        <v>#REF!</v>
      </c>
      <c r="M67" s="947"/>
      <c r="N67" s="947"/>
      <c r="O67" s="947"/>
      <c r="P67" s="947"/>
      <c r="Q67" s="947"/>
      <c r="R67" s="947"/>
      <c r="S67" s="947"/>
      <c r="T67" s="947"/>
      <c r="U67" s="947"/>
      <c r="V67" s="947"/>
      <c r="W67" s="947"/>
      <c r="X67" s="947"/>
      <c r="Y67" s="947"/>
      <c r="Z67" s="947" t="e">
        <f ca="1">IF(L67&lt;&gt;"",IF(ISERROR(FIND("Skill",L67,1)),INDIRECT(SUBSTITUTE(SUBSTITUTE(L67," ",""),"-","")),"Score"),"")</f>
        <v>#REF!</v>
      </c>
      <c r="AA67" s="947"/>
      <c r="AB67" s="947"/>
      <c r="AC67" s="947"/>
      <c r="AD67" s="1132" t="str">
        <f ca="1">IF(ISNUMBER(Z67),TRUE,"")</f>
        <v/>
      </c>
      <c r="AE67" s="940" t="e">
        <f ca="1">IF(Z67="","",IF(ISNUMBER(Z67),"","Favor"))</f>
        <v>#REF!</v>
      </c>
      <c r="AF67" s="941"/>
      <c r="AG67" s="941"/>
      <c r="AH67" s="942"/>
      <c r="AI67" s="938" t="str">
        <f ca="1">IF(ISNUMBER(AO67),IF(ISNUMBER(AE67),IF(ABS(AE67)&gt;=AO67,"",AO67-ABS(AE67)),AO67),"")</f>
        <v/>
      </c>
      <c r="AJ67" s="940" t="e">
        <f ca="1">IF(Z67="","",IF(ISNUMBER(Z67),"","Bonus"))</f>
        <v>#REF!</v>
      </c>
      <c r="AK67" s="941"/>
      <c r="AL67" s="941"/>
      <c r="AM67" s="942"/>
      <c r="AN67" s="1099" t="str">
        <f ca="1">IF(ISNUMBER(AO67),IF(ISNUMBER(AE67),IF(AE67&gt;AO67,AO67,IF(AE67&gt;=0,AE67,0)),0)+IF(ISNUMBER(AJ67),AJ67,0),"")</f>
        <v/>
      </c>
      <c r="AO67" s="932" t="e">
        <f ca="1">IF(Z67="","",IF(ISNUMBER(Z67),FLOOR(Z67/5,1),"Passive"))</f>
        <v>#REF!</v>
      </c>
      <c r="AP67" s="932"/>
      <c r="AQ67" s="932"/>
      <c r="AR67" s="932"/>
      <c r="AS67" s="932"/>
      <c r="AT67" s="936"/>
      <c r="AU67" s="932" t="e">
        <f ca="1">IF(Z67="","",IF(ISNUMBER(Z67),IF(AND(AI67&gt;0,ISNUMBER(AI67)),AI67&amp;"dS","")&amp;IF(AN67&gt;0,"+"&amp;AN67,"")&amp;IF(AN67&lt;0,AN67,""),"Check"))</f>
        <v>#REF!</v>
      </c>
      <c r="AV67" s="932"/>
      <c r="AW67" s="932"/>
      <c r="AX67" s="932"/>
      <c r="AY67" s="932"/>
      <c r="AZ67" s="933"/>
      <c r="BB67" s="971"/>
      <c r="BC67" s="972"/>
      <c r="BD67" s="972"/>
      <c r="BE67" s="972"/>
      <c r="BF67" s="972"/>
      <c r="BG67" s="972"/>
      <c r="BH67" s="972"/>
      <c r="BI67" s="972"/>
      <c r="BJ67" s="972"/>
      <c r="BK67" s="972"/>
      <c r="BL67" s="972"/>
      <c r="BM67" s="972"/>
      <c r="BN67" s="972"/>
      <c r="BO67" s="972"/>
      <c r="BP67" s="972"/>
      <c r="BQ67" s="972"/>
      <c r="BR67" s="972"/>
      <c r="BS67" s="972"/>
      <c r="BT67" s="972"/>
      <c r="BU67" s="972"/>
      <c r="BV67" s="972"/>
      <c r="BW67" s="972"/>
      <c r="BX67" s="972"/>
      <c r="BY67" s="972"/>
      <c r="BZ67" s="972"/>
      <c r="CA67" s="972"/>
      <c r="CB67" s="972"/>
      <c r="CC67" s="956"/>
      <c r="CD67" s="957"/>
      <c r="CE67" s="957"/>
      <c r="CF67" s="957"/>
      <c r="CG67" s="957"/>
      <c r="CH67" s="957"/>
      <c r="CI67" s="957"/>
      <c r="CJ67" s="958"/>
      <c r="CK67" s="222"/>
      <c r="DD67" s="1203" t="s">
        <v>254</v>
      </c>
      <c r="DE67" s="1203"/>
      <c r="DF67" s="1203"/>
      <c r="DG67" s="1203"/>
      <c r="DH67" s="1203"/>
      <c r="DI67" s="1203"/>
      <c r="DJ67" s="1205" t="e">
        <f>Reflex</f>
        <v>#REF!</v>
      </c>
      <c r="DK67" s="1206"/>
      <c r="DL67" s="1207"/>
    </row>
    <row r="68" spans="1:116" ht="7.5" customHeight="1" thickBot="1" x14ac:dyDescent="0.3">
      <c r="A68" s="1191"/>
      <c r="B68" s="1192"/>
      <c r="C68" s="1192"/>
      <c r="D68" s="1192"/>
      <c r="E68" s="1192"/>
      <c r="F68" s="1192"/>
      <c r="G68" s="1192"/>
      <c r="H68" s="1192"/>
      <c r="I68" s="1192"/>
      <c r="J68" s="1193"/>
      <c r="L68" s="948"/>
      <c r="M68" s="949"/>
      <c r="N68" s="949"/>
      <c r="O68" s="949"/>
      <c r="P68" s="949"/>
      <c r="Q68" s="949"/>
      <c r="R68" s="949"/>
      <c r="S68" s="949"/>
      <c r="T68" s="949"/>
      <c r="U68" s="949"/>
      <c r="V68" s="949"/>
      <c r="W68" s="949"/>
      <c r="X68" s="949"/>
      <c r="Y68" s="949"/>
      <c r="Z68" s="949"/>
      <c r="AA68" s="949"/>
      <c r="AB68" s="949"/>
      <c r="AC68" s="949"/>
      <c r="AD68" s="1133"/>
      <c r="AE68" s="943"/>
      <c r="AF68" s="944"/>
      <c r="AG68" s="944"/>
      <c r="AH68" s="945"/>
      <c r="AI68" s="939"/>
      <c r="AJ68" s="943"/>
      <c r="AK68" s="944"/>
      <c r="AL68" s="944"/>
      <c r="AM68" s="945"/>
      <c r="AN68" s="1100"/>
      <c r="AO68" s="934"/>
      <c r="AP68" s="934"/>
      <c r="AQ68" s="934"/>
      <c r="AR68" s="934"/>
      <c r="AS68" s="934"/>
      <c r="AT68" s="937"/>
      <c r="AU68" s="934"/>
      <c r="AV68" s="934"/>
      <c r="AW68" s="934"/>
      <c r="AX68" s="934"/>
      <c r="AY68" s="934"/>
      <c r="AZ68" s="935"/>
      <c r="BB68" s="971"/>
      <c r="BC68" s="972"/>
      <c r="BD68" s="972"/>
      <c r="BE68" s="972"/>
      <c r="BF68" s="972"/>
      <c r="BG68" s="972"/>
      <c r="BH68" s="972"/>
      <c r="BI68" s="972"/>
      <c r="BJ68" s="972"/>
      <c r="BK68" s="972"/>
      <c r="BL68" s="972"/>
      <c r="BM68" s="972"/>
      <c r="BN68" s="972"/>
      <c r="BO68" s="972"/>
      <c r="BP68" s="972"/>
      <c r="BQ68" s="972"/>
      <c r="BR68" s="972"/>
      <c r="BS68" s="972"/>
      <c r="BT68" s="972"/>
      <c r="BU68" s="972"/>
      <c r="BV68" s="972"/>
      <c r="BW68" s="972"/>
      <c r="BX68" s="972"/>
      <c r="BY68" s="972"/>
      <c r="BZ68" s="972"/>
      <c r="CA68" s="972"/>
      <c r="CB68" s="972"/>
      <c r="CC68" s="959"/>
      <c r="CD68" s="960"/>
      <c r="CE68" s="960"/>
      <c r="CF68" s="960"/>
      <c r="CG68" s="960"/>
      <c r="CH68" s="960"/>
      <c r="CI68" s="960"/>
      <c r="CJ68" s="961"/>
      <c r="CK68" s="222"/>
      <c r="DD68" s="1204"/>
      <c r="DE68" s="1204"/>
      <c r="DF68" s="1204"/>
      <c r="DG68" s="1204"/>
      <c r="DH68" s="1204"/>
      <c r="DI68" s="1204"/>
      <c r="DJ68" s="1205"/>
      <c r="DK68" s="1206"/>
      <c r="DL68" s="1207"/>
    </row>
    <row r="69" spans="1:116" ht="7.5" customHeight="1" x14ac:dyDescent="0.25">
      <c r="A69" s="1197" t="s">
        <v>445</v>
      </c>
      <c r="B69" s="1197"/>
      <c r="C69" s="1197"/>
      <c r="D69" s="1197"/>
      <c r="E69" s="1197"/>
      <c r="F69" s="1197"/>
      <c r="G69" s="1197"/>
      <c r="H69" s="1197"/>
      <c r="I69" s="1197"/>
      <c r="J69" s="1197"/>
      <c r="L69" s="946" t="e">
        <f>INDEX(#REF!,(COUNTA(#REF!))/2+1,0)</f>
        <v>#REF!</v>
      </c>
      <c r="M69" s="947"/>
      <c r="N69" s="947"/>
      <c r="O69" s="947"/>
      <c r="P69" s="947"/>
      <c r="Q69" s="947"/>
      <c r="R69" s="947"/>
      <c r="S69" s="947"/>
      <c r="T69" s="947"/>
      <c r="U69" s="947"/>
      <c r="V69" s="947"/>
      <c r="W69" s="947"/>
      <c r="X69" s="947"/>
      <c r="Y69" s="947"/>
      <c r="Z69" s="947" t="e">
        <f ca="1">IF(L69&lt;&gt;"",IF(ISERROR(FIND("Skill",L69,1)),INDIRECT(SUBSTITUTE(SUBSTITUTE(L69," ",""),"-","")),"Score"),"")</f>
        <v>#REF!</v>
      </c>
      <c r="AA69" s="947"/>
      <c r="AB69" s="947"/>
      <c r="AC69" s="947"/>
      <c r="AD69" s="1132" t="str">
        <f ca="1">IF(ISNUMBER(Z69),TRUE,"")</f>
        <v/>
      </c>
      <c r="AE69" s="940" t="e">
        <f ca="1">IF(Z69="","",IF(ISNUMBER(Z69),"","Favor"))</f>
        <v>#REF!</v>
      </c>
      <c r="AF69" s="941"/>
      <c r="AG69" s="941"/>
      <c r="AH69" s="942"/>
      <c r="AI69" s="938" t="str">
        <f ca="1">IF(ISNUMBER(AO69),IF(ISNUMBER(AE69),IF(ABS(AE69)&gt;=AO69,"",AO69-ABS(AE69)),AO69),"")</f>
        <v/>
      </c>
      <c r="AJ69" s="940" t="e">
        <f ca="1">IF(Z69="","",IF(ISNUMBER(Z69),"","Bonus"))</f>
        <v>#REF!</v>
      </c>
      <c r="AK69" s="941"/>
      <c r="AL69" s="941"/>
      <c r="AM69" s="942"/>
      <c r="AN69" s="1099" t="str">
        <f ca="1">IF(ISNUMBER(AO69),IF(ISNUMBER(AE69),IF(AE69&gt;AO69,AO69,IF(AE69&gt;=0,AE69,0)),0)+IF(ISNUMBER(AJ69),AJ69,0),"")</f>
        <v/>
      </c>
      <c r="AO69" s="932" t="e">
        <f ca="1">IF(Z69="","",IF(ISNUMBER(Z69),FLOOR(Z69/5,1),"Passive"))</f>
        <v>#REF!</v>
      </c>
      <c r="AP69" s="932"/>
      <c r="AQ69" s="932"/>
      <c r="AR69" s="932"/>
      <c r="AS69" s="932"/>
      <c r="AT69" s="936"/>
      <c r="AU69" s="932" t="e">
        <f ca="1">IF(Z69="","",IF(ISNUMBER(Z69),IF(AND(AI69&gt;0,ISNUMBER(AI69)),AI69&amp;"dS","")&amp;IF(AN69&gt;0,"+"&amp;AN69,"")&amp;IF(AN69&lt;0,AN69,""),"Check"))</f>
        <v>#REF!</v>
      </c>
      <c r="AV69" s="932"/>
      <c r="AW69" s="932"/>
      <c r="AX69" s="932"/>
      <c r="AY69" s="932"/>
      <c r="AZ69" s="933"/>
      <c r="BB69" s="971"/>
      <c r="BC69" s="972"/>
      <c r="BD69" s="972"/>
      <c r="BE69" s="972"/>
      <c r="BF69" s="972"/>
      <c r="BG69" s="972"/>
      <c r="BH69" s="972"/>
      <c r="BI69" s="972"/>
      <c r="BJ69" s="972"/>
      <c r="BK69" s="972"/>
      <c r="BL69" s="972"/>
      <c r="BM69" s="972"/>
      <c r="BN69" s="972"/>
      <c r="BO69" s="972"/>
      <c r="BP69" s="972"/>
      <c r="BQ69" s="972"/>
      <c r="BR69" s="972"/>
      <c r="BS69" s="972"/>
      <c r="BT69" s="972"/>
      <c r="BU69" s="972"/>
      <c r="BV69" s="972"/>
      <c r="BW69" s="972"/>
      <c r="BX69" s="972"/>
      <c r="BY69" s="972"/>
      <c r="BZ69" s="972"/>
      <c r="CA69" s="972"/>
      <c r="CB69" s="972"/>
      <c r="CC69" s="962"/>
      <c r="CD69" s="963"/>
      <c r="CE69" s="963"/>
      <c r="CF69" s="963"/>
      <c r="CG69" s="963"/>
      <c r="CH69" s="963"/>
      <c r="CI69" s="963"/>
      <c r="CJ69" s="964"/>
      <c r="CK69" s="222"/>
    </row>
    <row r="70" spans="1:116" ht="7.5" customHeight="1" thickBot="1" x14ac:dyDescent="0.3">
      <c r="A70" s="1182"/>
      <c r="B70" s="1183"/>
      <c r="C70" s="1183"/>
      <c r="D70" s="1183"/>
      <c r="E70" s="1183"/>
      <c r="F70" s="1183"/>
      <c r="G70" s="1183"/>
      <c r="H70" s="1183"/>
      <c r="I70" s="1183"/>
      <c r="J70" s="1184"/>
      <c r="L70" s="948"/>
      <c r="M70" s="949"/>
      <c r="N70" s="949"/>
      <c r="O70" s="949"/>
      <c r="P70" s="949"/>
      <c r="Q70" s="949"/>
      <c r="R70" s="949"/>
      <c r="S70" s="949"/>
      <c r="T70" s="949"/>
      <c r="U70" s="949"/>
      <c r="V70" s="949"/>
      <c r="W70" s="949"/>
      <c r="X70" s="949"/>
      <c r="Y70" s="949"/>
      <c r="Z70" s="949"/>
      <c r="AA70" s="949"/>
      <c r="AB70" s="949"/>
      <c r="AC70" s="949"/>
      <c r="AD70" s="1133"/>
      <c r="AE70" s="943"/>
      <c r="AF70" s="944"/>
      <c r="AG70" s="944"/>
      <c r="AH70" s="945"/>
      <c r="AI70" s="939"/>
      <c r="AJ70" s="943"/>
      <c r="AK70" s="944"/>
      <c r="AL70" s="944"/>
      <c r="AM70" s="945"/>
      <c r="AN70" s="1100"/>
      <c r="AO70" s="934"/>
      <c r="AP70" s="934"/>
      <c r="AQ70" s="934"/>
      <c r="AR70" s="934"/>
      <c r="AS70" s="934"/>
      <c r="AT70" s="937"/>
      <c r="AU70" s="934"/>
      <c r="AV70" s="934"/>
      <c r="AW70" s="934"/>
      <c r="AX70" s="934"/>
      <c r="AY70" s="934"/>
      <c r="AZ70" s="935"/>
      <c r="BB70" s="971"/>
      <c r="BC70" s="972"/>
      <c r="BD70" s="972"/>
      <c r="BE70" s="972"/>
      <c r="BF70" s="972"/>
      <c r="BG70" s="972"/>
      <c r="BH70" s="972"/>
      <c r="BI70" s="972"/>
      <c r="BJ70" s="972"/>
      <c r="BK70" s="972"/>
      <c r="BL70" s="972"/>
      <c r="BM70" s="972"/>
      <c r="BN70" s="972"/>
      <c r="BO70" s="972"/>
      <c r="BP70" s="972"/>
      <c r="BQ70" s="972"/>
      <c r="BR70" s="972"/>
      <c r="BS70" s="972"/>
      <c r="BT70" s="972"/>
      <c r="BU70" s="972"/>
      <c r="BV70" s="972"/>
      <c r="BW70" s="972"/>
      <c r="BX70" s="972"/>
      <c r="BY70" s="972"/>
      <c r="BZ70" s="972"/>
      <c r="CA70" s="972"/>
      <c r="CB70" s="972"/>
      <c r="CD70" s="1075" t="s">
        <v>90</v>
      </c>
      <c r="CE70" s="1075"/>
      <c r="CF70" s="1075"/>
      <c r="CG70" s="1075"/>
      <c r="CH70" s="1075"/>
      <c r="CI70" s="1075"/>
      <c r="CJ70" s="1075"/>
      <c r="CK70" s="223"/>
    </row>
    <row r="71" spans="1:116" ht="7.5" customHeight="1" x14ac:dyDescent="0.25">
      <c r="A71" s="1185"/>
      <c r="B71" s="1186"/>
      <c r="C71" s="1186"/>
      <c r="D71" s="1186"/>
      <c r="E71" s="1186"/>
      <c r="F71" s="1186"/>
      <c r="G71" s="1186"/>
      <c r="H71" s="1186"/>
      <c r="I71" s="1186"/>
      <c r="J71" s="1187"/>
      <c r="L71" s="946" t="e">
        <f>INDEX(#REF!,(COUNTA(#REF!))/2+1,0)</f>
        <v>#REF!</v>
      </c>
      <c r="M71" s="947"/>
      <c r="N71" s="947"/>
      <c r="O71" s="947"/>
      <c r="P71" s="947"/>
      <c r="Q71" s="947"/>
      <c r="R71" s="947"/>
      <c r="S71" s="947"/>
      <c r="T71" s="947"/>
      <c r="U71" s="947"/>
      <c r="V71" s="947"/>
      <c r="W71" s="947"/>
      <c r="X71" s="947"/>
      <c r="Y71" s="947"/>
      <c r="Z71" s="947" t="e">
        <f ca="1">IF(L71&lt;&gt;"",IF(ISERROR(FIND("Skill",L71,1)),INDIRECT(SUBSTITUTE(SUBSTITUTE(L71," ",""),"-","")),"Score"),"")</f>
        <v>#REF!</v>
      </c>
      <c r="AA71" s="947"/>
      <c r="AB71" s="947"/>
      <c r="AC71" s="947"/>
      <c r="AD71" s="1132" t="str">
        <f ca="1">IF(ISNUMBER(Z71),TRUE,"")</f>
        <v/>
      </c>
      <c r="AE71" s="940" t="e">
        <f ca="1">IF(Z71="","",IF(ISNUMBER(Z71),"","Favor"))</f>
        <v>#REF!</v>
      </c>
      <c r="AF71" s="941"/>
      <c r="AG71" s="941"/>
      <c r="AH71" s="942"/>
      <c r="AI71" s="938" t="str">
        <f ca="1">IF(ISNUMBER(AO71),IF(ISNUMBER(AE71),IF(ABS(AE71)&gt;=AO71,"",AO71-ABS(AE71)),AO71),"")</f>
        <v/>
      </c>
      <c r="AJ71" s="940" t="e">
        <f ca="1">IF(Z71="","",IF(ISNUMBER(Z71),"","Bonus"))</f>
        <v>#REF!</v>
      </c>
      <c r="AK71" s="941"/>
      <c r="AL71" s="941"/>
      <c r="AM71" s="942"/>
      <c r="AN71" s="1099" t="str">
        <f ca="1">IF(ISNUMBER(AO71),IF(ISNUMBER(AE71),IF(AE71&gt;AO71,AO71,IF(AE71&gt;=0,AE71,0)),0)+IF(ISNUMBER(AJ71),AJ71,0),"")</f>
        <v/>
      </c>
      <c r="AO71" s="932" t="e">
        <f ca="1">IF(Z71="","",IF(ISNUMBER(Z71),FLOOR(Z71/5,1),"Passive"))</f>
        <v>#REF!</v>
      </c>
      <c r="AP71" s="932"/>
      <c r="AQ71" s="932"/>
      <c r="AR71" s="932"/>
      <c r="AS71" s="932"/>
      <c r="AT71" s="936"/>
      <c r="AU71" s="932" t="e">
        <f ca="1">IF(Z71="","",IF(ISNUMBER(Z71),IF(AND(AI71&gt;0,ISNUMBER(AI71)),AI71&amp;"dS","")&amp;IF(AN71&gt;0,"+"&amp;AN71,"")&amp;IF(AN71&lt;0,AN71,""),"Check"))</f>
        <v>#REF!</v>
      </c>
      <c r="AV71" s="932"/>
      <c r="AW71" s="932"/>
      <c r="AX71" s="932"/>
      <c r="AY71" s="932"/>
      <c r="AZ71" s="933"/>
      <c r="BB71" s="971"/>
      <c r="BC71" s="972"/>
      <c r="BD71" s="972"/>
      <c r="BE71" s="972"/>
      <c r="BF71" s="972"/>
      <c r="BG71" s="972"/>
      <c r="BH71" s="972"/>
      <c r="BI71" s="972"/>
      <c r="BJ71" s="972"/>
      <c r="BK71" s="972"/>
      <c r="BL71" s="972"/>
      <c r="BM71" s="972"/>
      <c r="BN71" s="972"/>
      <c r="BO71" s="972"/>
      <c r="BP71" s="972"/>
      <c r="BQ71" s="972"/>
      <c r="BR71" s="972"/>
      <c r="BS71" s="972"/>
      <c r="BT71" s="972"/>
      <c r="BU71" s="972"/>
      <c r="BV71" s="972"/>
      <c r="BW71" s="972"/>
      <c r="BX71" s="972"/>
      <c r="BY71" s="972"/>
      <c r="BZ71" s="972"/>
      <c r="CA71" s="972"/>
      <c r="CB71" s="972"/>
      <c r="CC71" s="956"/>
      <c r="CD71" s="957"/>
      <c r="CE71" s="957"/>
      <c r="CF71" s="957"/>
      <c r="CG71" s="957"/>
      <c r="CH71" s="957"/>
      <c r="CI71" s="957"/>
      <c r="CJ71" s="958"/>
      <c r="CK71" s="223"/>
    </row>
    <row r="72" spans="1:116" ht="7.5" customHeight="1" thickBot="1" x14ac:dyDescent="0.3">
      <c r="A72" s="1202" t="s">
        <v>444</v>
      </c>
      <c r="B72" s="1202"/>
      <c r="C72" s="1202"/>
      <c r="D72" s="1202"/>
      <c r="E72" s="1202"/>
      <c r="F72" s="1202"/>
      <c r="G72" s="1202"/>
      <c r="H72" s="1202"/>
      <c r="I72" s="1202"/>
      <c r="J72" s="1202"/>
      <c r="L72" s="948"/>
      <c r="M72" s="949"/>
      <c r="N72" s="949"/>
      <c r="O72" s="949"/>
      <c r="P72" s="949"/>
      <c r="Q72" s="949"/>
      <c r="R72" s="949"/>
      <c r="S72" s="949"/>
      <c r="T72" s="949"/>
      <c r="U72" s="949"/>
      <c r="V72" s="949"/>
      <c r="W72" s="949"/>
      <c r="X72" s="949"/>
      <c r="Y72" s="949"/>
      <c r="Z72" s="949"/>
      <c r="AA72" s="949"/>
      <c r="AB72" s="949"/>
      <c r="AC72" s="949"/>
      <c r="AD72" s="1133"/>
      <c r="AE72" s="943"/>
      <c r="AF72" s="944"/>
      <c r="AG72" s="944"/>
      <c r="AH72" s="945"/>
      <c r="AI72" s="939"/>
      <c r="AJ72" s="943"/>
      <c r="AK72" s="944"/>
      <c r="AL72" s="944"/>
      <c r="AM72" s="945"/>
      <c r="AN72" s="1100"/>
      <c r="AO72" s="934"/>
      <c r="AP72" s="934"/>
      <c r="AQ72" s="934"/>
      <c r="AR72" s="934"/>
      <c r="AS72" s="934"/>
      <c r="AT72" s="937"/>
      <c r="AU72" s="934"/>
      <c r="AV72" s="934"/>
      <c r="AW72" s="934"/>
      <c r="AX72" s="934"/>
      <c r="AY72" s="934"/>
      <c r="AZ72" s="935"/>
      <c r="BB72" s="971"/>
      <c r="BC72" s="972"/>
      <c r="BD72" s="972"/>
      <c r="BE72" s="972"/>
      <c r="BF72" s="972"/>
      <c r="BG72" s="972"/>
      <c r="BH72" s="972"/>
      <c r="BI72" s="972"/>
      <c r="BJ72" s="972"/>
      <c r="BK72" s="972"/>
      <c r="BL72" s="972"/>
      <c r="BM72" s="972"/>
      <c r="BN72" s="972"/>
      <c r="BO72" s="972"/>
      <c r="BP72" s="972"/>
      <c r="BQ72" s="972"/>
      <c r="BR72" s="972"/>
      <c r="BS72" s="972"/>
      <c r="BT72" s="972"/>
      <c r="BU72" s="972"/>
      <c r="BV72" s="972"/>
      <c r="BW72" s="972"/>
      <c r="BX72" s="972"/>
      <c r="BY72" s="972"/>
      <c r="BZ72" s="972"/>
      <c r="CA72" s="972"/>
      <c r="CB72" s="972"/>
      <c r="CC72" s="959"/>
      <c r="CD72" s="960"/>
      <c r="CE72" s="960"/>
      <c r="CF72" s="960"/>
      <c r="CG72" s="960"/>
      <c r="CH72" s="960"/>
      <c r="CI72" s="960"/>
      <c r="CJ72" s="961"/>
      <c r="CK72" s="213"/>
    </row>
    <row r="73" spans="1:116" ht="7.5" customHeight="1" x14ac:dyDescent="0.25">
      <c r="A73" s="1162" t="e">
        <f>Experience</f>
        <v>#REF!</v>
      </c>
      <c r="B73" s="1163"/>
      <c r="C73" s="1163"/>
      <c r="D73" s="1163"/>
      <c r="E73" s="1163"/>
      <c r="F73" s="1163"/>
      <c r="G73" s="1163"/>
      <c r="H73" s="1163"/>
      <c r="I73" s="1163"/>
      <c r="J73" s="1164"/>
      <c r="L73" s="946" t="e">
        <f>INDEX(#REF!,(COUNTA(#REF!))/2+1,0)</f>
        <v>#REF!</v>
      </c>
      <c r="M73" s="947"/>
      <c r="N73" s="947"/>
      <c r="O73" s="947"/>
      <c r="P73" s="947"/>
      <c r="Q73" s="947"/>
      <c r="R73" s="947"/>
      <c r="S73" s="947"/>
      <c r="T73" s="947"/>
      <c r="U73" s="947"/>
      <c r="V73" s="947"/>
      <c r="W73" s="947"/>
      <c r="X73" s="947"/>
      <c r="Y73" s="947"/>
      <c r="Z73" s="947" t="e">
        <f ca="1">IF(L73&lt;&gt;"",IF(ISERROR(FIND("Skill",L73,1)),INDIRECT(SUBSTITUTE(SUBSTITUTE(L73," ",""),"-","")),"Score"),"")</f>
        <v>#REF!</v>
      </c>
      <c r="AA73" s="947"/>
      <c r="AB73" s="947"/>
      <c r="AC73" s="947"/>
      <c r="AD73" s="1132" t="str">
        <f ca="1">IF(ISNUMBER(Z73),TRUE,"")</f>
        <v/>
      </c>
      <c r="AE73" s="940" t="e">
        <f ca="1">IF(Z73="","",IF(ISNUMBER(Z73),"","Favor"))</f>
        <v>#REF!</v>
      </c>
      <c r="AF73" s="941"/>
      <c r="AG73" s="941"/>
      <c r="AH73" s="942"/>
      <c r="AI73" s="938" t="str">
        <f ca="1">IF(ISNUMBER(AO73),IF(ISNUMBER(AE73),IF(ABS(AE73)&gt;=AO73,"",AO73-ABS(AE73)),AO73),"")</f>
        <v/>
      </c>
      <c r="AJ73" s="940" t="e">
        <f ca="1">IF(Z73="","",IF(ISNUMBER(Z73),"","Bonus"))</f>
        <v>#REF!</v>
      </c>
      <c r="AK73" s="941"/>
      <c r="AL73" s="941"/>
      <c r="AM73" s="942"/>
      <c r="AN73" s="1099" t="str">
        <f ca="1">IF(ISNUMBER(AO73),IF(ISNUMBER(AE73),IF(AE73&gt;AO73,AO73,IF(AE73&gt;=0,AE73,0)),0)+IF(ISNUMBER(AJ73),AJ73,0),"")</f>
        <v/>
      </c>
      <c r="AO73" s="932" t="e">
        <f ca="1">IF(Z73="","",IF(ISNUMBER(Z73),FLOOR(Z73/5,1),"Passive"))</f>
        <v>#REF!</v>
      </c>
      <c r="AP73" s="932"/>
      <c r="AQ73" s="932"/>
      <c r="AR73" s="932"/>
      <c r="AS73" s="932"/>
      <c r="AT73" s="936"/>
      <c r="AU73" s="932" t="e">
        <f ca="1">IF(Z73="","",IF(ISNUMBER(Z73),IF(AND(AI73&gt;0,ISNUMBER(AI73)),AI73&amp;"dS","")&amp;IF(AN73&gt;0,"+"&amp;AN73,"")&amp;IF(AN73&lt;0,AN73,""),"Check"))</f>
        <v>#REF!</v>
      </c>
      <c r="AV73" s="932"/>
      <c r="AW73" s="932"/>
      <c r="AX73" s="932"/>
      <c r="AY73" s="932"/>
      <c r="AZ73" s="933"/>
      <c r="BB73" s="971"/>
      <c r="BC73" s="972"/>
      <c r="BD73" s="972"/>
      <c r="BE73" s="972"/>
      <c r="BF73" s="972"/>
      <c r="BG73" s="972"/>
      <c r="BH73" s="972"/>
      <c r="BI73" s="972"/>
      <c r="BJ73" s="972"/>
      <c r="BK73" s="972"/>
      <c r="BL73" s="972"/>
      <c r="BM73" s="972"/>
      <c r="BN73" s="972"/>
      <c r="BO73" s="972"/>
      <c r="BP73" s="972"/>
      <c r="BQ73" s="972"/>
      <c r="BR73" s="972"/>
      <c r="BS73" s="972"/>
      <c r="BT73" s="972"/>
      <c r="BU73" s="972"/>
      <c r="BV73" s="972"/>
      <c r="BW73" s="972"/>
      <c r="BX73" s="972"/>
      <c r="BY73" s="972"/>
      <c r="BZ73" s="972"/>
      <c r="CA73" s="972"/>
      <c r="CB73" s="972"/>
      <c r="CC73" s="962"/>
      <c r="CD73" s="963"/>
      <c r="CE73" s="963"/>
      <c r="CF73" s="963"/>
      <c r="CG73" s="963"/>
      <c r="CH73" s="963"/>
      <c r="CI73" s="963"/>
      <c r="CJ73" s="964"/>
      <c r="CK73" s="213"/>
    </row>
    <row r="74" spans="1:116" ht="7.5" customHeight="1" thickBot="1" x14ac:dyDescent="0.3">
      <c r="A74" s="1165"/>
      <c r="B74" s="1166"/>
      <c r="C74" s="1166"/>
      <c r="D74" s="1166"/>
      <c r="E74" s="1166"/>
      <c r="F74" s="1166"/>
      <c r="G74" s="1166"/>
      <c r="H74" s="1166"/>
      <c r="I74" s="1166"/>
      <c r="J74" s="1167"/>
      <c r="L74" s="948"/>
      <c r="M74" s="949"/>
      <c r="N74" s="949"/>
      <c r="O74" s="949"/>
      <c r="P74" s="949"/>
      <c r="Q74" s="949"/>
      <c r="R74" s="949"/>
      <c r="S74" s="949"/>
      <c r="T74" s="949"/>
      <c r="U74" s="949"/>
      <c r="V74" s="949"/>
      <c r="W74" s="949"/>
      <c r="X74" s="949"/>
      <c r="Y74" s="949"/>
      <c r="Z74" s="949"/>
      <c r="AA74" s="949"/>
      <c r="AB74" s="949"/>
      <c r="AC74" s="949"/>
      <c r="AD74" s="1133"/>
      <c r="AE74" s="943"/>
      <c r="AF74" s="944"/>
      <c r="AG74" s="944"/>
      <c r="AH74" s="945"/>
      <c r="AI74" s="939"/>
      <c r="AJ74" s="943"/>
      <c r="AK74" s="944"/>
      <c r="AL74" s="944"/>
      <c r="AM74" s="945"/>
      <c r="AN74" s="1100"/>
      <c r="AO74" s="934"/>
      <c r="AP74" s="934"/>
      <c r="AQ74" s="934"/>
      <c r="AR74" s="934"/>
      <c r="AS74" s="934"/>
      <c r="AT74" s="937"/>
      <c r="AU74" s="934"/>
      <c r="AV74" s="934"/>
      <c r="AW74" s="934"/>
      <c r="AX74" s="934"/>
      <c r="AY74" s="934"/>
      <c r="AZ74" s="935"/>
      <c r="BB74" s="973"/>
      <c r="BC74" s="974"/>
      <c r="BD74" s="974"/>
      <c r="BE74" s="974"/>
      <c r="BF74" s="974"/>
      <c r="BG74" s="974"/>
      <c r="BH74" s="974"/>
      <c r="BI74" s="974"/>
      <c r="BJ74" s="974"/>
      <c r="BK74" s="974"/>
      <c r="BL74" s="974"/>
      <c r="BM74" s="974"/>
      <c r="BN74" s="974"/>
      <c r="BO74" s="974"/>
      <c r="BP74" s="974"/>
      <c r="BQ74" s="974"/>
      <c r="BR74" s="974"/>
      <c r="BS74" s="974"/>
      <c r="BT74" s="974"/>
      <c r="BU74" s="974"/>
      <c r="BV74" s="974"/>
      <c r="BW74" s="974"/>
      <c r="BX74" s="974"/>
      <c r="BY74" s="974"/>
      <c r="BZ74" s="974"/>
      <c r="CA74" s="974"/>
      <c r="CB74" s="974"/>
      <c r="CC74" s="224"/>
      <c r="CD74" s="224"/>
      <c r="CE74" s="224"/>
      <c r="CF74" s="224"/>
      <c r="CG74" s="224"/>
      <c r="CH74" s="224"/>
      <c r="CI74" s="224"/>
      <c r="CJ74" s="224"/>
      <c r="CK74" s="225"/>
    </row>
    <row r="87" spans="84:95" ht="7.5" customHeight="1" x14ac:dyDescent="0.25">
      <c r="CF87" s="299"/>
      <c r="CG87" s="299"/>
      <c r="CH87" s="299"/>
      <c r="CI87" s="299"/>
      <c r="CJ87" s="299"/>
      <c r="CK87" s="299"/>
      <c r="CL87" s="299"/>
      <c r="CM87" s="299"/>
      <c r="CN87" s="299"/>
      <c r="CO87" s="299"/>
      <c r="CP87" s="299"/>
      <c r="CQ87" s="302"/>
    </row>
    <row r="88" spans="84:95" ht="7.5" customHeight="1" x14ac:dyDescent="0.25">
      <c r="CF88" s="293"/>
      <c r="CG88" s="293"/>
      <c r="CH88" s="293"/>
      <c r="CI88" s="293"/>
      <c r="CJ88" s="293"/>
      <c r="CK88" s="293"/>
      <c r="CL88" s="293"/>
      <c r="CM88" s="293"/>
      <c r="CN88" s="293"/>
      <c r="CO88" s="293"/>
      <c r="CP88" s="293"/>
      <c r="CQ88" s="303"/>
    </row>
    <row r="89" spans="84:95" ht="7.5" customHeight="1" x14ac:dyDescent="0.25">
      <c r="CF89" s="293"/>
      <c r="CG89" s="293"/>
      <c r="CH89" s="293"/>
      <c r="CI89" s="293"/>
      <c r="CJ89" s="293"/>
      <c r="CK89" s="293"/>
      <c r="CL89" s="293"/>
      <c r="CM89" s="293"/>
      <c r="CN89" s="293"/>
      <c r="CO89" s="293"/>
      <c r="CP89" s="293"/>
      <c r="CQ89" s="303"/>
    </row>
    <row r="90" spans="84:95" ht="7.5" customHeight="1" x14ac:dyDescent="0.25">
      <c r="CF90" s="293"/>
      <c r="CG90" s="293"/>
      <c r="CH90" s="293"/>
      <c r="CI90" s="293"/>
      <c r="CJ90" s="293"/>
      <c r="CK90" s="293"/>
      <c r="CL90" s="293"/>
      <c r="CM90" s="293"/>
      <c r="CN90" s="293"/>
      <c r="CO90" s="293"/>
      <c r="CP90" s="293"/>
      <c r="CQ90" s="303"/>
    </row>
    <row r="91" spans="84:95" ht="7.5" customHeight="1" x14ac:dyDescent="0.25">
      <c r="CF91" s="293"/>
      <c r="CG91" s="293"/>
      <c r="CH91" s="293"/>
      <c r="CI91" s="293"/>
      <c r="CJ91" s="293"/>
      <c r="CK91" s="293"/>
      <c r="CL91" s="293"/>
      <c r="CM91" s="293"/>
      <c r="CN91" s="293"/>
      <c r="CO91" s="293"/>
      <c r="CP91" s="293"/>
      <c r="CQ91" s="303"/>
    </row>
    <row r="92" spans="84:95" ht="7.5" customHeight="1" x14ac:dyDescent="0.25">
      <c r="CF92" s="293"/>
      <c r="CG92" s="293"/>
      <c r="CH92" s="293"/>
      <c r="CI92" s="293"/>
      <c r="CJ92" s="293"/>
      <c r="CK92" s="293"/>
      <c r="CL92" s="293"/>
      <c r="CM92" s="293"/>
      <c r="CN92" s="293"/>
      <c r="CO92" s="293"/>
      <c r="CP92" s="293"/>
      <c r="CQ92" s="303"/>
    </row>
    <row r="93" spans="84:95" ht="7.5" customHeight="1" x14ac:dyDescent="0.25">
      <c r="CF93" s="293"/>
      <c r="CG93" s="293"/>
      <c r="CH93" s="293"/>
      <c r="CI93" s="293"/>
      <c r="CJ93" s="293"/>
      <c r="CK93" s="293"/>
      <c r="CL93" s="293"/>
      <c r="CM93" s="293"/>
      <c r="CN93" s="293"/>
      <c r="CO93" s="293"/>
      <c r="CP93" s="293"/>
      <c r="CQ93" s="303"/>
    </row>
    <row r="94" spans="84:95" ht="7.5" customHeight="1" x14ac:dyDescent="0.25">
      <c r="CF94" s="293"/>
      <c r="CG94" s="293"/>
      <c r="CH94" s="293"/>
      <c r="CI94" s="293"/>
      <c r="CJ94" s="293"/>
      <c r="CK94" s="293"/>
      <c r="CL94" s="293"/>
      <c r="CM94" s="293"/>
      <c r="CN94" s="293"/>
      <c r="CO94" s="293"/>
      <c r="CP94" s="293"/>
      <c r="CQ94" s="303"/>
    </row>
    <row r="149" spans="1:5" ht="7.5" customHeight="1" x14ac:dyDescent="0.25">
      <c r="A149" s="226"/>
      <c r="B149" s="226"/>
      <c r="C149" s="226"/>
      <c r="D149" s="226"/>
      <c r="E149" s="226"/>
    </row>
    <row r="150" spans="1:5" ht="7.5" customHeight="1" x14ac:dyDescent="0.25">
      <c r="A150" s="226"/>
      <c r="B150" s="226"/>
      <c r="C150" s="226"/>
      <c r="D150" s="226"/>
      <c r="E150" s="226"/>
    </row>
    <row r="151" spans="1:5" ht="7.5" customHeight="1" x14ac:dyDescent="0.25">
      <c r="A151" s="226"/>
      <c r="B151" s="226"/>
      <c r="C151" s="226"/>
      <c r="D151" s="226"/>
      <c r="E151" s="226"/>
    </row>
    <row r="152" spans="1:5" ht="7.5" customHeight="1" x14ac:dyDescent="0.25">
      <c r="A152" s="199"/>
      <c r="B152" s="199"/>
      <c r="C152" s="199"/>
      <c r="D152" s="199"/>
      <c r="E152" s="199"/>
    </row>
  </sheetData>
  <mergeCells count="569">
    <mergeCell ref="DD55:DJ56"/>
    <mergeCell ref="DK55:DM56"/>
    <mergeCell ref="CX57:CY58"/>
    <mergeCell ref="CZ57:DC58"/>
    <mergeCell ref="DD57:DI58"/>
    <mergeCell ref="DJ57:DL58"/>
    <mergeCell ref="DB8:DC9"/>
    <mergeCell ref="CX59:CY60"/>
    <mergeCell ref="CZ59:DC60"/>
    <mergeCell ref="DD59:DI60"/>
    <mergeCell ref="CW55:CX56"/>
    <mergeCell ref="CY55:DC56"/>
    <mergeCell ref="DD65:DI66"/>
    <mergeCell ref="DJ59:DL60"/>
    <mergeCell ref="DD67:DI68"/>
    <mergeCell ref="DJ65:DL66"/>
    <mergeCell ref="DJ67:DL68"/>
    <mergeCell ref="CX61:CY62"/>
    <mergeCell ref="CZ61:DC62"/>
    <mergeCell ref="DD61:DI62"/>
    <mergeCell ref="DJ61:DL62"/>
    <mergeCell ref="CX63:CY64"/>
    <mergeCell ref="CZ63:DC64"/>
    <mergeCell ref="DD63:DI64"/>
    <mergeCell ref="DJ63:DL64"/>
    <mergeCell ref="AU65:AZ66"/>
    <mergeCell ref="L63:Y64"/>
    <mergeCell ref="Z63:AC64"/>
    <mergeCell ref="AD63:AD64"/>
    <mergeCell ref="A35:C35"/>
    <mergeCell ref="A36:C37"/>
    <mergeCell ref="A72:J72"/>
    <mergeCell ref="A45:J46"/>
    <mergeCell ref="A48:J49"/>
    <mergeCell ref="A51:J52"/>
    <mergeCell ref="A54:J55"/>
    <mergeCell ref="A57:J58"/>
    <mergeCell ref="AN67:AN68"/>
    <mergeCell ref="AO67:AS68"/>
    <mergeCell ref="AN63:AN64"/>
    <mergeCell ref="A56:H56"/>
    <mergeCell ref="A59:H59"/>
    <mergeCell ref="AD59:AD60"/>
    <mergeCell ref="AE59:AH60"/>
    <mergeCell ref="AI59:AI60"/>
    <mergeCell ref="AJ59:AM60"/>
    <mergeCell ref="AD61:AD62"/>
    <mergeCell ref="AE61:AH62"/>
    <mergeCell ref="AI61:AI62"/>
    <mergeCell ref="AU67:AZ68"/>
    <mergeCell ref="AD69:AD70"/>
    <mergeCell ref="AE69:AH70"/>
    <mergeCell ref="AI69:AI70"/>
    <mergeCell ref="AJ69:AM70"/>
    <mergeCell ref="AN69:AN70"/>
    <mergeCell ref="AO69:AS70"/>
    <mergeCell ref="AT69:AT70"/>
    <mergeCell ref="AU69:AZ70"/>
    <mergeCell ref="AE67:AH68"/>
    <mergeCell ref="AI67:AI68"/>
    <mergeCell ref="AJ67:AM68"/>
    <mergeCell ref="AT67:AT68"/>
    <mergeCell ref="H30:J32"/>
    <mergeCell ref="A73:J74"/>
    <mergeCell ref="D30:F32"/>
    <mergeCell ref="D33:F35"/>
    <mergeCell ref="Z45:AC46"/>
    <mergeCell ref="Z29:AC30"/>
    <mergeCell ref="A61:J62"/>
    <mergeCell ref="A63:J65"/>
    <mergeCell ref="A70:J71"/>
    <mergeCell ref="A67:J68"/>
    <mergeCell ref="A44:H44"/>
    <mergeCell ref="A47:H47"/>
    <mergeCell ref="A50:H50"/>
    <mergeCell ref="A32:C32"/>
    <mergeCell ref="L59:Y60"/>
    <mergeCell ref="Z59:AC60"/>
    <mergeCell ref="L61:Y62"/>
    <mergeCell ref="Z61:AC62"/>
    <mergeCell ref="A53:H53"/>
    <mergeCell ref="A69:J69"/>
    <mergeCell ref="A40:J41"/>
    <mergeCell ref="A30:C31"/>
    <mergeCell ref="A42:J43"/>
    <mergeCell ref="L39:Y40"/>
    <mergeCell ref="A33:C34"/>
    <mergeCell ref="H36:J38"/>
    <mergeCell ref="D36:F38"/>
    <mergeCell ref="A38:C38"/>
    <mergeCell ref="H33:J35"/>
    <mergeCell ref="Z49:AC50"/>
    <mergeCell ref="AE53:AH54"/>
    <mergeCell ref="AD53:AD54"/>
    <mergeCell ref="Z53:AC54"/>
    <mergeCell ref="Z51:AC52"/>
    <mergeCell ref="Z47:AC48"/>
    <mergeCell ref="AD51:AD52"/>
    <mergeCell ref="AE51:AH52"/>
    <mergeCell ref="Z39:AC40"/>
    <mergeCell ref="Z35:AC36"/>
    <mergeCell ref="Z37:AC38"/>
    <mergeCell ref="AD37:AD38"/>
    <mergeCell ref="AD49:AD50"/>
    <mergeCell ref="Z43:AC44"/>
    <mergeCell ref="AD43:AD44"/>
    <mergeCell ref="AE43:AH44"/>
    <mergeCell ref="Z41:AC42"/>
    <mergeCell ref="AD41:AD42"/>
    <mergeCell ref="AD47:AD48"/>
    <mergeCell ref="L73:Y74"/>
    <mergeCell ref="Z73:AC74"/>
    <mergeCell ref="L71:Y72"/>
    <mergeCell ref="Z71:AC72"/>
    <mergeCell ref="Z31:AC32"/>
    <mergeCell ref="Z33:AC34"/>
    <mergeCell ref="Z69:AC70"/>
    <mergeCell ref="AI63:AI64"/>
    <mergeCell ref="AJ63:AM64"/>
    <mergeCell ref="AD67:AD68"/>
    <mergeCell ref="Z67:AC68"/>
    <mergeCell ref="AI45:AI46"/>
    <mergeCell ref="AJ45:AM46"/>
    <mergeCell ref="AD45:AD46"/>
    <mergeCell ref="AE45:AH46"/>
    <mergeCell ref="AJ61:AM62"/>
    <mergeCell ref="L55:Y56"/>
    <mergeCell ref="L47:Y48"/>
    <mergeCell ref="Z55:AC56"/>
    <mergeCell ref="AE55:AH56"/>
    <mergeCell ref="AI55:AI56"/>
    <mergeCell ref="AJ55:AM56"/>
    <mergeCell ref="AE35:AH36"/>
    <mergeCell ref="AI37:AI38"/>
    <mergeCell ref="L69:Y70"/>
    <mergeCell ref="AO59:AS60"/>
    <mergeCell ref="Z57:AC58"/>
    <mergeCell ref="AD57:AD58"/>
    <mergeCell ref="AE57:AH58"/>
    <mergeCell ref="AI57:AI58"/>
    <mergeCell ref="AJ57:AM58"/>
    <mergeCell ref="AN57:AN58"/>
    <mergeCell ref="AO57:AS58"/>
    <mergeCell ref="L57:Y58"/>
    <mergeCell ref="AN61:AN62"/>
    <mergeCell ref="AO61:AS62"/>
    <mergeCell ref="AE73:AH74"/>
    <mergeCell ref="AD73:AD74"/>
    <mergeCell ref="AJ71:AM72"/>
    <mergeCell ref="AN71:AN72"/>
    <mergeCell ref="AO71:AS72"/>
    <mergeCell ref="AI71:AI72"/>
    <mergeCell ref="AE71:AH72"/>
    <mergeCell ref="AD71:AD72"/>
    <mergeCell ref="AJ73:AM74"/>
    <mergeCell ref="AI73:AI74"/>
    <mergeCell ref="AO73:AS74"/>
    <mergeCell ref="AN73:AN74"/>
    <mergeCell ref="AT65:AT66"/>
    <mergeCell ref="AT61:AT62"/>
    <mergeCell ref="AD55:AD56"/>
    <mergeCell ref="AT57:AT58"/>
    <mergeCell ref="AO53:AS54"/>
    <mergeCell ref="AN53:AN54"/>
    <mergeCell ref="L67:Y68"/>
    <mergeCell ref="AO63:AS64"/>
    <mergeCell ref="AN65:AN66"/>
    <mergeCell ref="AO65:AS66"/>
    <mergeCell ref="L65:Y66"/>
    <mergeCell ref="Z65:AC66"/>
    <mergeCell ref="AD65:AD66"/>
    <mergeCell ref="AE65:AH66"/>
    <mergeCell ref="AI65:AI66"/>
    <mergeCell ref="AJ65:AM66"/>
    <mergeCell ref="AJ53:AM54"/>
    <mergeCell ref="AI53:AI54"/>
    <mergeCell ref="AN55:AN56"/>
    <mergeCell ref="AO55:AS56"/>
    <mergeCell ref="AN59:AN60"/>
    <mergeCell ref="AT55:AT56"/>
    <mergeCell ref="AT63:AT64"/>
    <mergeCell ref="AE63:AH64"/>
    <mergeCell ref="AJ41:AM42"/>
    <mergeCell ref="AN41:AN42"/>
    <mergeCell ref="AE41:AH42"/>
    <mergeCell ref="AI51:AI52"/>
    <mergeCell ref="AJ51:AM52"/>
    <mergeCell ref="AN51:AN52"/>
    <mergeCell ref="AO51:AS52"/>
    <mergeCell ref="AJ47:AM48"/>
    <mergeCell ref="AE49:AH50"/>
    <mergeCell ref="AI49:AI50"/>
    <mergeCell ref="AJ49:AM50"/>
    <mergeCell ref="AN49:AN50"/>
    <mergeCell ref="AO49:AS50"/>
    <mergeCell ref="AE47:AH48"/>
    <mergeCell ref="AI47:AI48"/>
    <mergeCell ref="AN47:AN48"/>
    <mergeCell ref="AO47:AS48"/>
    <mergeCell ref="AE29:AH30"/>
    <mergeCell ref="AD29:AD30"/>
    <mergeCell ref="AN45:AN46"/>
    <mergeCell ref="AO45:AS46"/>
    <mergeCell ref="AD33:AD34"/>
    <mergeCell ref="AE33:AH34"/>
    <mergeCell ref="AI33:AI34"/>
    <mergeCell ref="AE37:AH38"/>
    <mergeCell ref="AD31:AD32"/>
    <mergeCell ref="AE31:AH32"/>
    <mergeCell ref="AD35:AD36"/>
    <mergeCell ref="AI31:AI32"/>
    <mergeCell ref="AJ29:AM30"/>
    <mergeCell ref="AN29:AN30"/>
    <mergeCell ref="AD39:AD40"/>
    <mergeCell ref="AE39:AH40"/>
    <mergeCell ref="AI39:AI40"/>
    <mergeCell ref="AJ39:AM40"/>
    <mergeCell ref="AI43:AI44"/>
    <mergeCell ref="AJ43:AM44"/>
    <mergeCell ref="AN43:AN44"/>
    <mergeCell ref="AO43:AS44"/>
    <mergeCell ref="AO41:AS42"/>
    <mergeCell ref="AI41:AI42"/>
    <mergeCell ref="AO15:AS16"/>
    <mergeCell ref="AT15:AT16"/>
    <mergeCell ref="AD13:AD14"/>
    <mergeCell ref="AD11:AD12"/>
    <mergeCell ref="Z11:AC12"/>
    <mergeCell ref="AI13:AI14"/>
    <mergeCell ref="AJ13:AM14"/>
    <mergeCell ref="AE11:AH12"/>
    <mergeCell ref="AI23:AI24"/>
    <mergeCell ref="AD23:AD24"/>
    <mergeCell ref="AI15:AI16"/>
    <mergeCell ref="AJ15:AM16"/>
    <mergeCell ref="AI21:AI22"/>
    <mergeCell ref="AJ21:AM22"/>
    <mergeCell ref="AI19:AI20"/>
    <mergeCell ref="AJ19:AM20"/>
    <mergeCell ref="AI17:AI18"/>
    <mergeCell ref="AJ17:AM18"/>
    <mergeCell ref="AN15:AN16"/>
    <mergeCell ref="AN21:AN22"/>
    <mergeCell ref="AN19:AN20"/>
    <mergeCell ref="AD7:AD8"/>
    <mergeCell ref="AE7:AH8"/>
    <mergeCell ref="AT11:AT12"/>
    <mergeCell ref="AT37:AT38"/>
    <mergeCell ref="AU37:AZ38"/>
    <mergeCell ref="AO39:AS40"/>
    <mergeCell ref="AT39:AT40"/>
    <mergeCell ref="AJ31:AM32"/>
    <mergeCell ref="AJ35:AM36"/>
    <mergeCell ref="AN39:AN40"/>
    <mergeCell ref="AJ33:AM34"/>
    <mergeCell ref="AN33:AN34"/>
    <mergeCell ref="AN31:AN32"/>
    <mergeCell ref="AT31:AT32"/>
    <mergeCell ref="AN35:AN36"/>
    <mergeCell ref="AO35:AS36"/>
    <mergeCell ref="AT35:AT36"/>
    <mergeCell ref="AU35:AZ36"/>
    <mergeCell ref="AJ37:AM38"/>
    <mergeCell ref="AN37:AN38"/>
    <mergeCell ref="AO37:AS38"/>
    <mergeCell ref="AT33:AT34"/>
    <mergeCell ref="AU33:AZ34"/>
    <mergeCell ref="AI29:AI30"/>
    <mergeCell ref="AJ5:AM6"/>
    <mergeCell ref="AJ23:AM24"/>
    <mergeCell ref="AN23:AN24"/>
    <mergeCell ref="AO23:AS24"/>
    <mergeCell ref="AT23:AT24"/>
    <mergeCell ref="AU5:AZ6"/>
    <mergeCell ref="AN5:AN6"/>
    <mergeCell ref="BB8:BK9"/>
    <mergeCell ref="BL8:BU9"/>
    <mergeCell ref="BL4:BP6"/>
    <mergeCell ref="AT17:AT18"/>
    <mergeCell ref="AT5:AT6"/>
    <mergeCell ref="BQ4:BU6"/>
    <mergeCell ref="BL17:BR18"/>
    <mergeCell ref="BB10:BK11"/>
    <mergeCell ref="BB12:BK13"/>
    <mergeCell ref="BE19:BK20"/>
    <mergeCell ref="BE17:BK18"/>
    <mergeCell ref="AO19:AS20"/>
    <mergeCell ref="AT19:AT20"/>
    <mergeCell ref="AN17:AN18"/>
    <mergeCell ref="AO17:AS18"/>
    <mergeCell ref="AO9:AS10"/>
    <mergeCell ref="AT9:AT10"/>
    <mergeCell ref="A20:C21"/>
    <mergeCell ref="Z23:AC24"/>
    <mergeCell ref="Z25:AC26"/>
    <mergeCell ref="AJ25:AM26"/>
    <mergeCell ref="AN25:AN26"/>
    <mergeCell ref="AO25:AS26"/>
    <mergeCell ref="AT25:AT26"/>
    <mergeCell ref="H20:J22"/>
    <mergeCell ref="A26:C27"/>
    <mergeCell ref="H26:J28"/>
    <mergeCell ref="A28:C28"/>
    <mergeCell ref="AN27:AN28"/>
    <mergeCell ref="L27:Y28"/>
    <mergeCell ref="L25:Y26"/>
    <mergeCell ref="L23:Y24"/>
    <mergeCell ref="L21:Y22"/>
    <mergeCell ref="A22:C22"/>
    <mergeCell ref="L19:Y20"/>
    <mergeCell ref="A23:C24"/>
    <mergeCell ref="A25:C25"/>
    <mergeCell ref="AO21:AS22"/>
    <mergeCell ref="AT21:AT22"/>
    <mergeCell ref="AD19:AD20"/>
    <mergeCell ref="AE19:AH20"/>
    <mergeCell ref="H16:J18"/>
    <mergeCell ref="L15:Y16"/>
    <mergeCell ref="Z15:AC16"/>
    <mergeCell ref="AD15:AD16"/>
    <mergeCell ref="AE15:AH16"/>
    <mergeCell ref="H23:J25"/>
    <mergeCell ref="D20:F22"/>
    <mergeCell ref="D26:F28"/>
    <mergeCell ref="H13:J15"/>
    <mergeCell ref="D23:F25"/>
    <mergeCell ref="D13:F15"/>
    <mergeCell ref="D16:F18"/>
    <mergeCell ref="Z21:AC22"/>
    <mergeCell ref="AD21:AD22"/>
    <mergeCell ref="AD17:AD18"/>
    <mergeCell ref="AE17:AH18"/>
    <mergeCell ref="Z13:AC14"/>
    <mergeCell ref="AE13:AH14"/>
    <mergeCell ref="AD27:AD28"/>
    <mergeCell ref="AD25:AD26"/>
    <mergeCell ref="AE25:AH26"/>
    <mergeCell ref="AE27:AH28"/>
    <mergeCell ref="A18:C18"/>
    <mergeCell ref="AE21:AH22"/>
    <mergeCell ref="AE23:AH24"/>
    <mergeCell ref="Z19:AC20"/>
    <mergeCell ref="Z17:AC18"/>
    <mergeCell ref="Z27:AC28"/>
    <mergeCell ref="AE5:AH6"/>
    <mergeCell ref="A12:C12"/>
    <mergeCell ref="A13:C14"/>
    <mergeCell ref="A16:C17"/>
    <mergeCell ref="C7:F8"/>
    <mergeCell ref="Z5:AC6"/>
    <mergeCell ref="H7:J8"/>
    <mergeCell ref="A7:B8"/>
    <mergeCell ref="H10:J12"/>
    <mergeCell ref="A10:C11"/>
    <mergeCell ref="D10:F12"/>
    <mergeCell ref="AD9:AD10"/>
    <mergeCell ref="AE9:AH10"/>
    <mergeCell ref="A6:J6"/>
    <mergeCell ref="A4:J5"/>
    <mergeCell ref="L17:Y18"/>
    <mergeCell ref="L9:Y10"/>
    <mergeCell ref="L13:Y14"/>
    <mergeCell ref="A1:P2"/>
    <mergeCell ref="AU3:AZ3"/>
    <mergeCell ref="AN3:AS3"/>
    <mergeCell ref="AU1:AZ2"/>
    <mergeCell ref="AC1:AL2"/>
    <mergeCell ref="AN1:AS2"/>
    <mergeCell ref="A3:P3"/>
    <mergeCell ref="R3:AA3"/>
    <mergeCell ref="AC3:AL3"/>
    <mergeCell ref="R1:AA2"/>
    <mergeCell ref="L11:Y12"/>
    <mergeCell ref="AD5:AD6"/>
    <mergeCell ref="A15:C15"/>
    <mergeCell ref="L5:Y6"/>
    <mergeCell ref="AO5:AS6"/>
    <mergeCell ref="AT13:AT14"/>
    <mergeCell ref="L7:Y8"/>
    <mergeCell ref="AI11:AI12"/>
    <mergeCell ref="Z9:AC10"/>
    <mergeCell ref="Z7:AC8"/>
    <mergeCell ref="AI7:AI8"/>
    <mergeCell ref="AJ7:AM8"/>
    <mergeCell ref="AN7:AN8"/>
    <mergeCell ref="AO7:AS8"/>
    <mergeCell ref="AT7:AT8"/>
    <mergeCell ref="AN13:AN14"/>
    <mergeCell ref="AO13:AS14"/>
    <mergeCell ref="AJ11:AM12"/>
    <mergeCell ref="AN11:AN12"/>
    <mergeCell ref="AO11:AS12"/>
    <mergeCell ref="AI5:AI6"/>
    <mergeCell ref="AI9:AI10"/>
    <mergeCell ref="AJ9:AM10"/>
    <mergeCell ref="AN9:AN10"/>
    <mergeCell ref="CC71:CJ73"/>
    <mergeCell ref="CD70:CJ70"/>
    <mergeCell ref="CD34:CJ34"/>
    <mergeCell ref="BT64:CB65"/>
    <mergeCell ref="BB52:BS53"/>
    <mergeCell ref="BB39:BD39"/>
    <mergeCell ref="CC28:CJ29"/>
    <mergeCell ref="CC40:CJ41"/>
    <mergeCell ref="CC52:CJ53"/>
    <mergeCell ref="CC64:CJ65"/>
    <mergeCell ref="CC59:CJ61"/>
    <mergeCell ref="BB63:BD63"/>
    <mergeCell ref="BB64:BS65"/>
    <mergeCell ref="BB54:BG54"/>
    <mergeCell ref="BB55:CB62"/>
    <mergeCell ref="BB66:BG66"/>
    <mergeCell ref="CD46:CJ46"/>
    <mergeCell ref="BT52:CB53"/>
    <mergeCell ref="CD66:CG66"/>
    <mergeCell ref="CD58:CJ58"/>
    <mergeCell ref="CC31:CJ33"/>
    <mergeCell ref="CC55:CJ57"/>
    <mergeCell ref="CD42:CG42"/>
    <mergeCell ref="CC43:CJ45"/>
    <mergeCell ref="CC67:CJ69"/>
    <mergeCell ref="BT40:CB41"/>
    <mergeCell ref="AU7:AZ8"/>
    <mergeCell ref="BB30:BG30"/>
    <mergeCell ref="BB14:BK15"/>
    <mergeCell ref="BL12:BU13"/>
    <mergeCell ref="BL14:BU15"/>
    <mergeCell ref="BB25:CK26"/>
    <mergeCell ref="BB27:BD27"/>
    <mergeCell ref="BB28:BS29"/>
    <mergeCell ref="BL10:BU11"/>
    <mergeCell ref="AU15:AZ16"/>
    <mergeCell ref="AU17:AZ18"/>
    <mergeCell ref="AU19:AZ20"/>
    <mergeCell ref="AU9:AZ10"/>
    <mergeCell ref="AU11:AZ12"/>
    <mergeCell ref="AU13:AZ14"/>
    <mergeCell ref="CH22:CK23"/>
    <mergeCell ref="BQ7:BU7"/>
    <mergeCell ref="AU27:AZ28"/>
    <mergeCell ref="CB6:CK7"/>
    <mergeCell ref="BW17:BZ18"/>
    <mergeCell ref="AU51:AZ52"/>
    <mergeCell ref="AU47:AZ48"/>
    <mergeCell ref="DV7:DZ9"/>
    <mergeCell ref="DQ7:DU9"/>
    <mergeCell ref="DL7:DP9"/>
    <mergeCell ref="DG5:DZ6"/>
    <mergeCell ref="DQ11:DU13"/>
    <mergeCell ref="DV11:DZ13"/>
    <mergeCell ref="AU55:AZ56"/>
    <mergeCell ref="AU57:AZ58"/>
    <mergeCell ref="AT59:AT60"/>
    <mergeCell ref="AU59:AZ60"/>
    <mergeCell ref="CD30:CG30"/>
    <mergeCell ref="DG10:DK10"/>
    <mergeCell ref="CB3:CK5"/>
    <mergeCell ref="CP8:CQ9"/>
    <mergeCell ref="CP10:CQ11"/>
    <mergeCell ref="CU10:CV11"/>
    <mergeCell ref="CW8:CX9"/>
    <mergeCell ref="DB4:DC5"/>
    <mergeCell ref="CW6:CX7"/>
    <mergeCell ref="CR4:CS5"/>
    <mergeCell ref="CR8:CS9"/>
    <mergeCell ref="CR6:CS7"/>
    <mergeCell ref="CW4:CX5"/>
    <mergeCell ref="DB10:DC11"/>
    <mergeCell ref="DV15:DZ17"/>
    <mergeCell ref="DL15:DP17"/>
    <mergeCell ref="DL10:DP10"/>
    <mergeCell ref="DQ10:DU10"/>
    <mergeCell ref="DV10:DZ10"/>
    <mergeCell ref="DQ15:DU17"/>
    <mergeCell ref="BW1:CA4"/>
    <mergeCell ref="BW13:CA14"/>
    <mergeCell ref="BW5:CA6"/>
    <mergeCell ref="BW15:CA15"/>
    <mergeCell ref="DL11:DP13"/>
    <mergeCell ref="DG7:DK9"/>
    <mergeCell ref="CR10:CS11"/>
    <mergeCell ref="CB1:CK2"/>
    <mergeCell ref="CB9:CK10"/>
    <mergeCell ref="BW9:CA12"/>
    <mergeCell ref="BW7:CA8"/>
    <mergeCell ref="CB11:CK15"/>
    <mergeCell ref="CU4:CV5"/>
    <mergeCell ref="CZ4:DA5"/>
    <mergeCell ref="CZ8:DA9"/>
    <mergeCell ref="CZ10:DA11"/>
    <mergeCell ref="CP6:CQ7"/>
    <mergeCell ref="CZ6:DA7"/>
    <mergeCell ref="CC35:CJ37"/>
    <mergeCell ref="BB1:BU2"/>
    <mergeCell ref="BB4:BF6"/>
    <mergeCell ref="BG4:BK6"/>
    <mergeCell ref="BB7:BF7"/>
    <mergeCell ref="BG3:BK3"/>
    <mergeCell ref="BL3:BP3"/>
    <mergeCell ref="BQ3:BU3"/>
    <mergeCell ref="CP2:DC3"/>
    <mergeCell ref="DB6:DC7"/>
    <mergeCell ref="BB3:BF3"/>
    <mergeCell ref="CW10:CX11"/>
    <mergeCell ref="CU8:CV9"/>
    <mergeCell ref="CU6:CV7"/>
    <mergeCell ref="BW22:CG23"/>
    <mergeCell ref="CA17:CK18"/>
    <mergeCell ref="BW20:CG21"/>
    <mergeCell ref="CH20:CK21"/>
    <mergeCell ref="BB40:BS41"/>
    <mergeCell ref="CC47:CJ49"/>
    <mergeCell ref="CD54:CG54"/>
    <mergeCell ref="BL19:BR20"/>
    <mergeCell ref="BB17:BD18"/>
    <mergeCell ref="BB19:BD20"/>
    <mergeCell ref="BS17:BU18"/>
    <mergeCell ref="AU73:AZ74"/>
    <mergeCell ref="AT73:AT74"/>
    <mergeCell ref="AU25:AZ26"/>
    <mergeCell ref="AU45:AZ46"/>
    <mergeCell ref="AT27:AT28"/>
    <mergeCell ref="AU39:AZ40"/>
    <mergeCell ref="BB67:CB74"/>
    <mergeCell ref="BB51:BD51"/>
    <mergeCell ref="BB31:CB38"/>
    <mergeCell ref="BB42:BG42"/>
    <mergeCell ref="BB43:CB50"/>
    <mergeCell ref="BS19:BU20"/>
    <mergeCell ref="AU31:AZ32"/>
    <mergeCell ref="AT43:AT44"/>
    <mergeCell ref="BT28:CB29"/>
    <mergeCell ref="AU71:AZ72"/>
    <mergeCell ref="AT71:AT72"/>
    <mergeCell ref="L29:Y30"/>
    <mergeCell ref="L31:Y32"/>
    <mergeCell ref="L33:Y34"/>
    <mergeCell ref="L35:Y36"/>
    <mergeCell ref="L37:Y38"/>
    <mergeCell ref="L53:Y54"/>
    <mergeCell ref="L41:Y42"/>
    <mergeCell ref="L43:Y44"/>
    <mergeCell ref="L45:Y46"/>
    <mergeCell ref="L51:Y52"/>
    <mergeCell ref="L49:Y50"/>
    <mergeCell ref="AU61:AZ62"/>
    <mergeCell ref="AU63:AZ64"/>
    <mergeCell ref="AU21:AZ22"/>
    <mergeCell ref="AU23:AZ24"/>
    <mergeCell ref="AU53:AZ54"/>
    <mergeCell ref="AT53:AT54"/>
    <mergeCell ref="AU29:AZ30"/>
    <mergeCell ref="AI35:AI36"/>
    <mergeCell ref="AO29:AS30"/>
    <mergeCell ref="AT29:AT30"/>
    <mergeCell ref="AU41:AZ42"/>
    <mergeCell ref="AU43:AZ44"/>
    <mergeCell ref="AO33:AS34"/>
    <mergeCell ref="AO31:AS32"/>
    <mergeCell ref="AO27:AS28"/>
    <mergeCell ref="AT45:AT46"/>
    <mergeCell ref="AI25:AI26"/>
    <mergeCell ref="AI27:AI28"/>
    <mergeCell ref="AJ27:AM28"/>
    <mergeCell ref="AT41:AT42"/>
    <mergeCell ref="AU49:AZ50"/>
    <mergeCell ref="AT51:AT52"/>
    <mergeCell ref="AT47:AT48"/>
    <mergeCell ref="AT49:AT50"/>
  </mergeCells>
  <phoneticPr fontId="4" type="noConversion"/>
  <conditionalFormatting sqref="BW5">
    <cfRule type="expression" dxfId="134" priority="1358">
      <formula>ISNUMBER($BW$5)</formula>
    </cfRule>
  </conditionalFormatting>
  <conditionalFormatting sqref="BW9 BW1">
    <cfRule type="cellIs" dxfId="133" priority="1355" stopIfTrue="1" operator="equal">
      <formula>"Max"</formula>
    </cfRule>
  </conditionalFormatting>
  <conditionalFormatting sqref="BW13:CA14">
    <cfRule type="expression" dxfId="132" priority="1349" stopIfTrue="1">
      <formula>ISNUMBER($BW$13)</formula>
    </cfRule>
  </conditionalFormatting>
  <conditionalFormatting sqref="DV11:DZ13">
    <cfRule type="cellIs" dxfId="131" priority="85" operator="lessThanOrEqual">
      <formula>0</formula>
    </cfRule>
  </conditionalFormatting>
  <conditionalFormatting sqref="DV15:DZ17">
    <cfRule type="cellIs" dxfId="130" priority="84" operator="lessThanOrEqual">
      <formula>0</formula>
    </cfRule>
  </conditionalFormatting>
  <conditionalFormatting sqref="L5:AZ74">
    <cfRule type="expression" dxfId="129" priority="40" stopIfTrue="1">
      <formula>NOT(ISNUMBER($Z5))</formula>
    </cfRule>
    <cfRule type="expression" dxfId="128" priority="1900" stopIfTrue="1">
      <formula>ISNUMBER($AO3)</formula>
    </cfRule>
  </conditionalFormatting>
  <conditionalFormatting sqref="L5:AZ74">
    <cfRule type="expression" dxfId="127" priority="35">
      <formula>$L5=""</formula>
    </cfRule>
  </conditionalFormatting>
  <conditionalFormatting sqref="DQ15">
    <cfRule type="cellIs" dxfId="126" priority="34" stopIfTrue="1" operator="between">
      <formula>0</formula>
      <formula>1000000</formula>
    </cfRule>
  </conditionalFormatting>
  <dataValidations count="1">
    <dataValidation allowBlank="1" showInputMessage="1" showErrorMessage="1" errorTitle="Defining Title Cells" error="Changing the values of these cells will actually break the spreadsheet." sqref="BW20 A61 CA17 BL17 BE19 BE17 BW22 BL19 DD55 CY55 DD57 DD59 DD61 DD63 DD65 DD67"/>
  </dataValidations>
  <printOptions horizontalCentered="1" verticalCentered="1"/>
  <pageMargins left="0.5" right="0.5" top="0.5" bottom="0.5" header="0.3" footer="0.3"/>
  <pageSetup orientation="landscape"/>
  <drawing r:id="rId1"/>
  <extLst>
    <ext xmlns:x14="http://schemas.microsoft.com/office/spreadsheetml/2009/9/main" uri="{78C0D931-6437-407d-A8EE-F0AAD7539E65}">
      <x14:conditionalFormattings>
        <x14:conditionalFormatting xmlns:xm="http://schemas.microsoft.com/office/excel/2006/main">
          <x14:cfRule type="containsText" priority="1379" stopIfTrue="1" operator="containsText" id="{EE89B46E-DF9B-4B6E-AE64-2249576F27CD}">
            <xm:f>NOT(ISERROR(SEARCH("-",BB4)))</xm:f>
            <xm:f>"-"</xm:f>
            <x14:dxf>
              <font>
                <color auto="1"/>
              </font>
            </x14:dxf>
          </x14:cfRule>
          <xm:sqref>DQ11 DL11 DG7 DV7:DZ9 BB4 DL15 BL4 BQ4 DV15 DV11 DL7 DQ7</xm:sqref>
        </x14:conditionalFormatting>
        <x14:conditionalFormatting xmlns:xm="http://schemas.microsoft.com/office/excel/2006/main">
          <x14:cfRule type="beginsWith" priority="5" stopIfTrue="1" operator="beginsWith" id="{D1B6B419-5BFA-4C65-AC44-BFC05DFE86E9}">
            <xm:f>LEFT(BG4,LEN("1-"))="1-"</xm:f>
            <xm:f>"1-"</xm:f>
            <x14:dxf>
              <font>
                <color auto="1"/>
              </font>
            </x14:dxf>
          </x14:cfRule>
          <xm:sqref>BG4</xm:sqref>
        </x14:conditionalFormatting>
      </x14:conditionalFormattings>
    </ex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FG291"/>
  <sheetViews>
    <sheetView showGridLines="0" showRowColHeaders="0" topLeftCell="A17" zoomScale="130" zoomScaleNormal="130" zoomScalePageLayoutView="175" workbookViewId="0">
      <selection activeCell="BP55" sqref="BP55:CD55"/>
    </sheetView>
  </sheetViews>
  <sheetFormatPr defaultColWidth="1.42578125" defaultRowHeight="7.5" customHeight="1" x14ac:dyDescent="0.25"/>
  <cols>
    <col min="1" max="3" width="1.42578125" style="39" customWidth="1"/>
    <col min="4" max="62" width="1.42578125" style="39"/>
    <col min="63" max="63" width="1.42578125" style="39" customWidth="1"/>
    <col min="64" max="99" width="1.42578125" style="39"/>
    <col min="100" max="100" width="1.42578125" style="322"/>
    <col min="101" max="16384" width="1.42578125" style="39"/>
  </cols>
  <sheetData>
    <row r="2" spans="2:134" ht="7.5" customHeight="1" x14ac:dyDescent="0.25">
      <c r="B2" s="199"/>
      <c r="C2" s="315"/>
      <c r="CU2" s="316"/>
      <c r="CV2" s="317"/>
    </row>
    <row r="3" spans="2:134" ht="7.5" customHeight="1" x14ac:dyDescent="0.25">
      <c r="B3" s="318"/>
      <c r="C3" s="319"/>
      <c r="CU3" s="320"/>
      <c r="CV3" s="321"/>
    </row>
    <row r="4" spans="2:134" ht="7.5" customHeight="1" x14ac:dyDescent="0.25">
      <c r="D4" s="1351" t="s">
        <v>515</v>
      </c>
      <c r="E4" s="1255"/>
      <c r="F4" s="1255"/>
      <c r="G4" s="1255"/>
      <c r="H4" s="1255"/>
      <c r="I4" s="1255"/>
      <c r="J4" s="1255"/>
      <c r="K4" s="1255"/>
      <c r="L4" s="1255"/>
      <c r="M4" s="1255"/>
      <c r="N4" s="1255"/>
      <c r="O4" s="1255"/>
      <c r="P4" s="1255"/>
      <c r="Q4" s="1255"/>
      <c r="R4" s="1255"/>
      <c r="S4" s="1255"/>
      <c r="T4" s="1255"/>
      <c r="U4" s="1255"/>
      <c r="V4" s="1255"/>
      <c r="W4" s="1255"/>
      <c r="X4" s="1255"/>
      <c r="Y4" s="1255"/>
      <c r="Z4" s="1255"/>
      <c r="AA4" s="1255"/>
      <c r="AB4" s="1255"/>
      <c r="AC4" s="1255"/>
      <c r="AD4" s="1255"/>
      <c r="AE4" s="1255"/>
      <c r="AF4" s="1255"/>
      <c r="AG4" s="1255"/>
      <c r="AH4" s="1352"/>
      <c r="AJ4" s="1356" t="s">
        <v>558</v>
      </c>
      <c r="AK4" s="1255"/>
      <c r="AL4" s="1255"/>
      <c r="AM4" s="1255"/>
      <c r="AN4" s="1255"/>
      <c r="AO4" s="1255"/>
      <c r="AP4" s="1255"/>
      <c r="AQ4" s="1255"/>
      <c r="AR4" s="1255"/>
      <c r="AS4" s="1255"/>
      <c r="AT4" s="1255"/>
      <c r="AU4" s="1255"/>
      <c r="AV4" s="1255"/>
      <c r="AW4" s="1255"/>
      <c r="AX4" s="1255"/>
      <c r="AY4" s="1255"/>
      <c r="AZ4" s="1255"/>
      <c r="BA4" s="1255"/>
      <c r="BB4" s="1255"/>
      <c r="BC4" s="1255"/>
      <c r="BD4" s="1255"/>
      <c r="BE4" s="1255"/>
      <c r="BF4" s="1255"/>
      <c r="BG4" s="1255"/>
      <c r="BH4" s="1255"/>
      <c r="BI4" s="1255"/>
      <c r="BJ4" s="1255"/>
      <c r="BK4" s="1255"/>
      <c r="BL4" s="1255"/>
      <c r="BM4" s="1255"/>
      <c r="BN4" s="1255"/>
      <c r="BO4" s="1255"/>
      <c r="BP4" s="1255"/>
      <c r="BQ4" s="1255"/>
      <c r="BR4" s="1255"/>
      <c r="BS4" s="1255"/>
      <c r="BT4" s="1255"/>
      <c r="BU4" s="1255"/>
      <c r="BV4" s="1255"/>
      <c r="BW4" s="1255"/>
      <c r="BX4" s="1255"/>
      <c r="BY4" s="1255"/>
      <c r="BZ4" s="1255"/>
      <c r="CA4" s="1255"/>
      <c r="CB4" s="1255"/>
      <c r="CC4" s="1255"/>
      <c r="CD4" s="1255"/>
      <c r="CE4" s="1255"/>
      <c r="CF4" s="1255"/>
      <c r="CG4" s="1255"/>
      <c r="CH4" s="1255"/>
      <c r="CI4" s="1255"/>
      <c r="CJ4" s="1255"/>
      <c r="CK4" s="1255"/>
      <c r="CL4" s="1255"/>
      <c r="CM4" s="1255"/>
      <c r="CN4" s="1255"/>
      <c r="CO4" s="1255"/>
      <c r="CP4" s="1255"/>
      <c r="CQ4" s="1255"/>
      <c r="CR4" s="1255"/>
      <c r="CS4" s="1255"/>
      <c r="CT4" s="1352"/>
    </row>
    <row r="5" spans="2:134" ht="7.5" customHeight="1" x14ac:dyDescent="0.25">
      <c r="D5" s="1257"/>
      <c r="E5" s="1258"/>
      <c r="F5" s="1258"/>
      <c r="G5" s="1258"/>
      <c r="H5" s="1258"/>
      <c r="I5" s="1258"/>
      <c r="J5" s="1258"/>
      <c r="K5" s="1258"/>
      <c r="L5" s="1258"/>
      <c r="M5" s="1258"/>
      <c r="N5" s="1258"/>
      <c r="O5" s="1258"/>
      <c r="P5" s="1258"/>
      <c r="Q5" s="1258"/>
      <c r="R5" s="1258"/>
      <c r="S5" s="1258"/>
      <c r="T5" s="1258"/>
      <c r="U5" s="1258"/>
      <c r="V5" s="1258"/>
      <c r="W5" s="1258"/>
      <c r="X5" s="1258"/>
      <c r="Y5" s="1258"/>
      <c r="Z5" s="1258"/>
      <c r="AA5" s="1258"/>
      <c r="AB5" s="1258"/>
      <c r="AC5" s="1258"/>
      <c r="AD5" s="1258"/>
      <c r="AE5" s="1258"/>
      <c r="AF5" s="1258"/>
      <c r="AG5" s="1258"/>
      <c r="AH5" s="1259"/>
      <c r="AJ5" s="1257"/>
      <c r="AK5" s="1258"/>
      <c r="AL5" s="1258"/>
      <c r="AM5" s="1258"/>
      <c r="AN5" s="1258"/>
      <c r="AO5" s="1258"/>
      <c r="AP5" s="1258"/>
      <c r="AQ5" s="1258"/>
      <c r="AR5" s="1258"/>
      <c r="AS5" s="1258"/>
      <c r="AT5" s="1258"/>
      <c r="AU5" s="1258"/>
      <c r="AV5" s="1258"/>
      <c r="AW5" s="1258"/>
      <c r="AX5" s="1258"/>
      <c r="AY5" s="1258"/>
      <c r="AZ5" s="1258"/>
      <c r="BA5" s="1258"/>
      <c r="BB5" s="1258"/>
      <c r="BC5" s="1258"/>
      <c r="BD5" s="1258"/>
      <c r="BE5" s="1258"/>
      <c r="BF5" s="1258"/>
      <c r="BG5" s="1258"/>
      <c r="BH5" s="1258"/>
      <c r="BI5" s="1258"/>
      <c r="BJ5" s="1258"/>
      <c r="BK5" s="1258"/>
      <c r="BL5" s="1258"/>
      <c r="BM5" s="1258"/>
      <c r="BN5" s="1258"/>
      <c r="BO5" s="1258"/>
      <c r="BP5" s="1258"/>
      <c r="BQ5" s="1258"/>
      <c r="BR5" s="1258"/>
      <c r="BS5" s="1258"/>
      <c r="BT5" s="1258"/>
      <c r="BU5" s="1258"/>
      <c r="BV5" s="1258"/>
      <c r="BW5" s="1258"/>
      <c r="BX5" s="1258"/>
      <c r="BY5" s="1258"/>
      <c r="BZ5" s="1258"/>
      <c r="CA5" s="1258"/>
      <c r="CB5" s="1258"/>
      <c r="CC5" s="1258"/>
      <c r="CD5" s="1258"/>
      <c r="CE5" s="1258"/>
      <c r="CF5" s="1258"/>
      <c r="CG5" s="1258"/>
      <c r="CH5" s="1258"/>
      <c r="CI5" s="1258"/>
      <c r="CJ5" s="1258"/>
      <c r="CK5" s="1258"/>
      <c r="CL5" s="1258"/>
      <c r="CM5" s="1258"/>
      <c r="CN5" s="1258"/>
      <c r="CO5" s="1258"/>
      <c r="CP5" s="1258"/>
      <c r="CQ5" s="1258"/>
      <c r="CR5" s="1258"/>
      <c r="CS5" s="1258"/>
      <c r="CT5" s="1259"/>
      <c r="DS5" s="17"/>
      <c r="DT5" s="17"/>
      <c r="DU5" s="17"/>
      <c r="DV5" s="17"/>
      <c r="DW5" s="17"/>
      <c r="DX5" s="17"/>
      <c r="DY5" s="17"/>
    </row>
    <row r="6" spans="2:134" s="17" customFormat="1" ht="7.5" customHeight="1" x14ac:dyDescent="0.25">
      <c r="D6" s="1353"/>
      <c r="E6" s="1354"/>
      <c r="F6" s="1354"/>
      <c r="G6" s="1354"/>
      <c r="H6" s="1354"/>
      <c r="I6" s="1354"/>
      <c r="J6" s="1354"/>
      <c r="K6" s="1354"/>
      <c r="L6" s="1354"/>
      <c r="M6" s="1354"/>
      <c r="N6" s="1354"/>
      <c r="O6" s="1354"/>
      <c r="P6" s="1354"/>
      <c r="Q6" s="1354"/>
      <c r="R6" s="1354"/>
      <c r="S6" s="1354"/>
      <c r="T6" s="1354"/>
      <c r="U6" s="1354"/>
      <c r="V6" s="1354"/>
      <c r="W6" s="1354"/>
      <c r="X6" s="1354"/>
      <c r="Y6" s="1354"/>
      <c r="Z6" s="1354"/>
      <c r="AA6" s="1354"/>
      <c r="AB6" s="1354"/>
      <c r="AC6" s="1354"/>
      <c r="AD6" s="1354"/>
      <c r="AE6" s="1354"/>
      <c r="AF6" s="1354"/>
      <c r="AG6" s="1354"/>
      <c r="AH6" s="1355"/>
      <c r="AJ6" s="1353"/>
      <c r="AK6" s="1354"/>
      <c r="AL6" s="1354"/>
      <c r="AM6" s="1354"/>
      <c r="AN6" s="1354"/>
      <c r="AO6" s="1354"/>
      <c r="AP6" s="1354"/>
      <c r="AQ6" s="1354"/>
      <c r="AR6" s="1354"/>
      <c r="AS6" s="1354"/>
      <c r="AT6" s="1354"/>
      <c r="AU6" s="1354"/>
      <c r="AV6" s="1354"/>
      <c r="AW6" s="1354"/>
      <c r="AX6" s="1354"/>
      <c r="AY6" s="1354"/>
      <c r="AZ6" s="1354"/>
      <c r="BA6" s="1354"/>
      <c r="BB6" s="1354"/>
      <c r="BC6" s="1354"/>
      <c r="BD6" s="1354"/>
      <c r="BE6" s="1354"/>
      <c r="BF6" s="1354"/>
      <c r="BG6" s="1354"/>
      <c r="BH6" s="1354"/>
      <c r="BI6" s="1354"/>
      <c r="BJ6" s="1354"/>
      <c r="BK6" s="1354"/>
      <c r="BL6" s="1354"/>
      <c r="BM6" s="1354"/>
      <c r="BN6" s="1354"/>
      <c r="BO6" s="1354"/>
      <c r="BP6" s="1354"/>
      <c r="BQ6" s="1354"/>
      <c r="BR6" s="1354"/>
      <c r="BS6" s="1354"/>
      <c r="BT6" s="1354"/>
      <c r="BU6" s="1354"/>
      <c r="BV6" s="1354"/>
      <c r="BW6" s="1354"/>
      <c r="BX6" s="1354"/>
      <c r="BY6" s="1354"/>
      <c r="BZ6" s="1354"/>
      <c r="CA6" s="1354"/>
      <c r="CB6" s="1354"/>
      <c r="CC6" s="1354"/>
      <c r="CD6" s="1354"/>
      <c r="CE6" s="1354"/>
      <c r="CF6" s="1354"/>
      <c r="CG6" s="1354"/>
      <c r="CH6" s="1354"/>
      <c r="CI6" s="1354"/>
      <c r="CJ6" s="1354"/>
      <c r="CK6" s="1354"/>
      <c r="CL6" s="1354"/>
      <c r="CM6" s="1354"/>
      <c r="CN6" s="1354"/>
      <c r="CO6" s="1354"/>
      <c r="CP6" s="1354"/>
      <c r="CQ6" s="1354"/>
      <c r="CR6" s="1354"/>
      <c r="CS6" s="1354"/>
      <c r="CT6" s="1355"/>
      <c r="CW6" s="39"/>
      <c r="CX6" s="39"/>
      <c r="CY6" s="39"/>
      <c r="CZ6" s="39"/>
      <c r="DA6" s="39"/>
      <c r="DB6" s="39"/>
      <c r="DC6" s="39"/>
      <c r="DD6" s="39"/>
      <c r="DE6" s="39"/>
      <c r="DF6" s="39"/>
      <c r="DG6" s="39"/>
      <c r="DH6" s="39"/>
      <c r="DI6" s="39"/>
      <c r="DJ6" s="39"/>
      <c r="DK6" s="39"/>
      <c r="DL6" s="39"/>
      <c r="DM6" s="39"/>
      <c r="DN6" s="39"/>
      <c r="DO6" s="39"/>
      <c r="DP6" s="39"/>
      <c r="DQ6" s="39"/>
      <c r="DR6" s="39"/>
    </row>
    <row r="7" spans="2:134" ht="7.5" customHeight="1" x14ac:dyDescent="0.3">
      <c r="AL7" s="1263"/>
      <c r="AM7" s="1263"/>
      <c r="AN7" s="1263"/>
      <c r="AO7" s="1263"/>
      <c r="AP7" s="1263"/>
      <c r="AQ7" s="1263"/>
      <c r="AR7" s="1263"/>
      <c r="AS7" s="1263"/>
      <c r="AT7" s="1263"/>
      <c r="AU7" s="1263"/>
      <c r="AV7" s="1263"/>
      <c r="AW7" s="1263"/>
      <c r="AX7" s="1263"/>
      <c r="AY7" s="1263"/>
      <c r="AZ7" s="1263"/>
      <c r="BA7" s="1263"/>
      <c r="BB7" s="1263"/>
      <c r="BC7" s="433"/>
      <c r="BD7" s="1357"/>
      <c r="BE7" s="1357"/>
      <c r="BF7" s="1357"/>
      <c r="BG7" s="1357"/>
      <c r="BH7" s="1357"/>
      <c r="BI7" s="1357"/>
      <c r="BJ7" s="1357"/>
      <c r="BK7" s="1357"/>
      <c r="BL7" s="1357"/>
      <c r="BM7" s="1357"/>
      <c r="BN7" s="1357"/>
      <c r="BO7" s="433"/>
      <c r="BP7" s="1357"/>
      <c r="BQ7" s="1357"/>
      <c r="BR7" s="1357"/>
      <c r="BS7" s="1357"/>
      <c r="BT7" s="1357"/>
      <c r="BU7" s="1357"/>
      <c r="BV7" s="1357"/>
      <c r="BW7" s="1357"/>
      <c r="BX7" s="1357"/>
      <c r="BY7" s="1357"/>
      <c r="BZ7" s="1357"/>
      <c r="CA7" s="433"/>
      <c r="CB7" s="1263"/>
      <c r="CC7" s="1263"/>
      <c r="CD7" s="1263"/>
      <c r="CE7" s="1263"/>
      <c r="CF7" s="1263"/>
      <c r="CG7" s="1263"/>
      <c r="CH7" s="1263"/>
      <c r="CI7" s="1263"/>
      <c r="CJ7" s="1263"/>
      <c r="CK7" s="1263"/>
      <c r="CL7" s="1263"/>
      <c r="CM7" s="1263"/>
      <c r="CN7" s="1263"/>
      <c r="CO7" s="1263"/>
      <c r="CP7" s="1263"/>
      <c r="CQ7" s="1263"/>
      <c r="CR7" s="1263"/>
      <c r="CS7" s="323"/>
      <c r="CT7" s="323"/>
      <c r="DS7" s="17"/>
      <c r="DT7" s="17"/>
      <c r="DU7" s="17"/>
      <c r="DV7" s="17"/>
      <c r="DW7" s="17"/>
      <c r="DX7" s="17"/>
      <c r="DY7" s="17"/>
    </row>
    <row r="8" spans="2:134" ht="7.5" customHeight="1" x14ac:dyDescent="0.3">
      <c r="D8" s="1317" t="s">
        <v>516</v>
      </c>
      <c r="E8" s="1317"/>
      <c r="F8" s="1317"/>
      <c r="G8" s="1317"/>
      <c r="H8" s="1317"/>
      <c r="I8" s="1317"/>
      <c r="J8" s="1318"/>
      <c r="K8" s="1572"/>
      <c r="L8" s="1572"/>
      <c r="M8" s="1572"/>
      <c r="N8" s="1572"/>
      <c r="O8" s="1574"/>
      <c r="P8" s="1574"/>
      <c r="Q8" s="1574"/>
      <c r="R8" s="1574"/>
      <c r="S8" s="1574"/>
      <c r="T8" s="1574"/>
      <c r="U8" s="1574"/>
      <c r="V8" s="1574"/>
      <c r="W8" s="1574"/>
      <c r="X8" s="1574"/>
      <c r="Y8" s="1574"/>
      <c r="Z8" s="1574"/>
      <c r="AA8" s="1574"/>
      <c r="AB8" s="1574"/>
      <c r="AC8" s="1574"/>
      <c r="AD8" s="1574"/>
      <c r="AE8" s="1574"/>
      <c r="AF8" s="1574"/>
      <c r="AG8" s="1574"/>
      <c r="AH8" s="1574"/>
      <c r="AL8" s="1263"/>
      <c r="AM8" s="1263"/>
      <c r="AN8" s="1263"/>
      <c r="AO8" s="1263"/>
      <c r="AP8" s="1263"/>
      <c r="AQ8" s="1263"/>
      <c r="AR8" s="1263"/>
      <c r="AS8" s="1263"/>
      <c r="AT8" s="1263"/>
      <c r="AU8" s="1263"/>
      <c r="AV8" s="1263"/>
      <c r="AW8" s="1263"/>
      <c r="AX8" s="1263"/>
      <c r="AY8" s="1263"/>
      <c r="AZ8" s="1263"/>
      <c r="BA8" s="1263"/>
      <c r="BB8" s="1263"/>
      <c r="BC8" s="433"/>
      <c r="BD8" s="1357"/>
      <c r="BE8" s="1357"/>
      <c r="BF8" s="1357"/>
      <c r="BG8" s="1357"/>
      <c r="BH8" s="1357"/>
      <c r="BI8" s="1357"/>
      <c r="BJ8" s="1357"/>
      <c r="BK8" s="1357"/>
      <c r="BL8" s="1357"/>
      <c r="BM8" s="1357"/>
      <c r="BN8" s="1357"/>
      <c r="BO8" s="433"/>
      <c r="BP8" s="1357"/>
      <c r="BQ8" s="1357"/>
      <c r="BR8" s="1357"/>
      <c r="BS8" s="1357"/>
      <c r="BT8" s="1357"/>
      <c r="BU8" s="1357"/>
      <c r="BV8" s="1357"/>
      <c r="BW8" s="1357"/>
      <c r="BX8" s="1357"/>
      <c r="BY8" s="1357"/>
      <c r="BZ8" s="1357"/>
      <c r="CA8" s="433"/>
      <c r="CB8" s="1263"/>
      <c r="CC8" s="1263"/>
      <c r="CD8" s="1263"/>
      <c r="CE8" s="1263"/>
      <c r="CF8" s="1263"/>
      <c r="CG8" s="1263"/>
      <c r="CH8" s="1263"/>
      <c r="CI8" s="1263"/>
      <c r="CJ8" s="1263"/>
      <c r="CK8" s="1263"/>
      <c r="CL8" s="1263"/>
      <c r="CM8" s="1263"/>
      <c r="CN8" s="1263"/>
      <c r="CO8" s="1263"/>
      <c r="CP8" s="1263"/>
      <c r="CQ8" s="1263"/>
      <c r="CR8" s="1263"/>
      <c r="CS8" s="324"/>
      <c r="CT8" s="324"/>
      <c r="DS8" s="17"/>
      <c r="DT8" s="17"/>
      <c r="DU8" s="17"/>
      <c r="DV8" s="17"/>
      <c r="DW8" s="17"/>
      <c r="DX8" s="17"/>
      <c r="DY8" s="17"/>
    </row>
    <row r="9" spans="2:134" ht="7.5" customHeight="1" x14ac:dyDescent="0.3">
      <c r="D9" s="1317"/>
      <c r="E9" s="1317"/>
      <c r="F9" s="1317"/>
      <c r="G9" s="1317"/>
      <c r="H9" s="1317"/>
      <c r="I9" s="1317"/>
      <c r="J9" s="1318"/>
      <c r="K9" s="1573"/>
      <c r="L9" s="1573"/>
      <c r="M9" s="1573"/>
      <c r="N9" s="1573"/>
      <c r="O9" s="1575"/>
      <c r="P9" s="1575"/>
      <c r="Q9" s="1575"/>
      <c r="R9" s="1575"/>
      <c r="S9" s="1575"/>
      <c r="T9" s="1575"/>
      <c r="U9" s="1575"/>
      <c r="V9" s="1575"/>
      <c r="W9" s="1575"/>
      <c r="X9" s="1575"/>
      <c r="Y9" s="1575"/>
      <c r="Z9" s="1575"/>
      <c r="AA9" s="1575"/>
      <c r="AB9" s="1575"/>
      <c r="AC9" s="1575"/>
      <c r="AD9" s="1575"/>
      <c r="AE9" s="1575"/>
      <c r="AF9" s="1575"/>
      <c r="AG9" s="1575"/>
      <c r="AH9" s="1575"/>
      <c r="AL9" s="1264"/>
      <c r="AM9" s="1264"/>
      <c r="AN9" s="1264"/>
      <c r="AO9" s="1264"/>
      <c r="AP9" s="1264"/>
      <c r="AQ9" s="1264"/>
      <c r="AR9" s="1264"/>
      <c r="AS9" s="1264"/>
      <c r="AT9" s="1264"/>
      <c r="AU9" s="1264"/>
      <c r="AV9" s="1264"/>
      <c r="AW9" s="1264"/>
      <c r="AX9" s="1264"/>
      <c r="AY9" s="1264"/>
      <c r="AZ9" s="1264"/>
      <c r="BA9" s="1264"/>
      <c r="BB9" s="1264"/>
      <c r="BC9" s="433"/>
      <c r="BD9" s="1358"/>
      <c r="BE9" s="1358"/>
      <c r="BF9" s="1358"/>
      <c r="BG9" s="1358"/>
      <c r="BH9" s="1358"/>
      <c r="BI9" s="1358"/>
      <c r="BJ9" s="1358"/>
      <c r="BK9" s="1358"/>
      <c r="BL9" s="1358"/>
      <c r="BM9" s="1358"/>
      <c r="BN9" s="1358"/>
      <c r="BO9" s="433"/>
      <c r="BP9" s="1358"/>
      <c r="BQ9" s="1358"/>
      <c r="BR9" s="1358"/>
      <c r="BS9" s="1358"/>
      <c r="BT9" s="1358"/>
      <c r="BU9" s="1358"/>
      <c r="BV9" s="1358"/>
      <c r="BW9" s="1358"/>
      <c r="BX9" s="1358"/>
      <c r="BY9" s="1358"/>
      <c r="BZ9" s="1358"/>
      <c r="CA9" s="433"/>
      <c r="CB9" s="1263"/>
      <c r="CC9" s="1263"/>
      <c r="CD9" s="1263"/>
      <c r="CE9" s="1263"/>
      <c r="CF9" s="1263"/>
      <c r="CG9" s="1263"/>
      <c r="CH9" s="1263"/>
      <c r="CI9" s="1263"/>
      <c r="CJ9" s="1263"/>
      <c r="CK9" s="1263"/>
      <c r="CL9" s="1263"/>
      <c r="CM9" s="1263"/>
      <c r="CN9" s="1263"/>
      <c r="CO9" s="1263"/>
      <c r="CP9" s="1263"/>
      <c r="CQ9" s="1263"/>
      <c r="CR9" s="1263"/>
      <c r="CS9" s="324"/>
      <c r="CT9" s="324"/>
      <c r="DS9" s="17"/>
      <c r="DT9" s="17"/>
      <c r="DU9" s="17"/>
      <c r="DV9" s="17"/>
      <c r="DW9" s="17"/>
      <c r="DX9" s="17"/>
      <c r="DY9" s="17"/>
    </row>
    <row r="10" spans="2:134" ht="7.5" customHeight="1" x14ac:dyDescent="0.25">
      <c r="D10" s="430"/>
      <c r="E10" s="430"/>
      <c r="F10" s="430"/>
      <c r="G10" s="430"/>
      <c r="H10" s="431"/>
      <c r="I10" s="431"/>
      <c r="J10" s="431"/>
      <c r="K10" s="441"/>
      <c r="L10" s="441"/>
      <c r="M10" s="441"/>
      <c r="N10" s="442"/>
      <c r="O10" s="443"/>
      <c r="P10" s="443"/>
      <c r="Q10" s="443"/>
      <c r="R10" s="442"/>
      <c r="S10" s="443"/>
      <c r="T10" s="443"/>
      <c r="U10" s="443"/>
      <c r="V10" s="442"/>
      <c r="W10" s="443"/>
      <c r="X10" s="443"/>
      <c r="Y10" s="443"/>
      <c r="Z10" s="442"/>
      <c r="AA10" s="443"/>
      <c r="AB10" s="443"/>
      <c r="AC10" s="443"/>
      <c r="AD10" s="442"/>
      <c r="AE10" s="444"/>
      <c r="AF10" s="444"/>
      <c r="AG10" s="444"/>
      <c r="AH10" s="445"/>
      <c r="AL10" s="1268" t="s">
        <v>61</v>
      </c>
      <c r="AM10" s="1268"/>
      <c r="AN10" s="1268"/>
      <c r="AO10" s="1268"/>
      <c r="AP10" s="1268"/>
      <c r="AQ10" s="1268"/>
      <c r="AR10" s="1268"/>
      <c r="AS10" s="1268"/>
      <c r="AT10" s="1268"/>
      <c r="AU10" s="1268"/>
      <c r="AV10" s="1268"/>
      <c r="AW10" s="1268"/>
      <c r="AX10" s="1268"/>
      <c r="AY10" s="1268"/>
      <c r="AZ10" s="1268"/>
      <c r="BA10" s="1268"/>
      <c r="BB10" s="1268"/>
      <c r="BD10" s="1265" t="s">
        <v>19</v>
      </c>
      <c r="BE10" s="1265"/>
      <c r="BF10" s="1265"/>
      <c r="BG10" s="1265"/>
      <c r="BH10" s="1265"/>
      <c r="BI10" s="1265"/>
      <c r="BJ10" s="1265"/>
      <c r="BK10" s="1265"/>
      <c r="BL10" s="1265"/>
      <c r="BM10" s="1265"/>
      <c r="BN10" s="1265"/>
      <c r="BP10" s="1265" t="s">
        <v>26</v>
      </c>
      <c r="BQ10" s="1265"/>
      <c r="BR10" s="1265"/>
      <c r="BS10" s="1265"/>
      <c r="BT10" s="1265"/>
      <c r="BU10" s="1265"/>
      <c r="BV10" s="1265"/>
      <c r="BW10" s="1265"/>
      <c r="BX10" s="1265"/>
      <c r="BY10" s="1265"/>
      <c r="BZ10" s="1265"/>
      <c r="CB10" s="1268" t="s">
        <v>50</v>
      </c>
      <c r="CC10" s="1268"/>
      <c r="CD10" s="1268"/>
      <c r="CE10" s="1268"/>
      <c r="CF10" s="1268"/>
      <c r="CG10" s="1268"/>
      <c r="CH10" s="1268"/>
      <c r="CI10" s="1268"/>
      <c r="CJ10" s="1268"/>
      <c r="CK10" s="1268"/>
      <c r="CL10" s="1268"/>
      <c r="CM10" s="1268"/>
      <c r="CN10" s="1268"/>
      <c r="CO10" s="1268"/>
      <c r="CP10" s="1268"/>
      <c r="CQ10" s="1268"/>
      <c r="CR10" s="1268"/>
      <c r="DS10" s="17"/>
      <c r="DT10" s="17"/>
      <c r="DU10" s="17"/>
      <c r="DV10" s="17"/>
      <c r="DW10" s="17"/>
      <c r="DX10" s="17"/>
      <c r="DY10" s="17"/>
      <c r="DZ10" s="17"/>
      <c r="EA10" s="17"/>
      <c r="EB10" s="17"/>
      <c r="EC10" s="17"/>
      <c r="ED10" s="17"/>
    </row>
    <row r="11" spans="2:134" ht="7.5" customHeight="1" x14ac:dyDescent="0.25">
      <c r="D11" s="1317" t="s">
        <v>517</v>
      </c>
      <c r="E11" s="1317"/>
      <c r="F11" s="1317"/>
      <c r="G11" s="1317"/>
      <c r="H11" s="1317"/>
      <c r="I11" s="1317"/>
      <c r="J11" s="1318"/>
      <c r="K11" s="1572"/>
      <c r="L11" s="1572"/>
      <c r="M11" s="1572"/>
      <c r="N11" s="1572"/>
      <c r="O11" s="1574"/>
      <c r="P11" s="1574"/>
      <c r="Q11" s="1574"/>
      <c r="R11" s="1574"/>
      <c r="S11" s="1574"/>
      <c r="T11" s="1574"/>
      <c r="U11" s="1574"/>
      <c r="V11" s="1574"/>
      <c r="W11" s="1574"/>
      <c r="X11" s="1574"/>
      <c r="Y11" s="1574"/>
      <c r="Z11" s="1574"/>
      <c r="AA11" s="1574"/>
      <c r="AB11" s="1574"/>
      <c r="AC11" s="1574"/>
      <c r="AD11" s="1574"/>
      <c r="AE11" s="1574"/>
      <c r="AF11" s="1574"/>
      <c r="AG11" s="1574"/>
      <c r="AH11" s="1574"/>
      <c r="AL11" s="1263"/>
      <c r="AM11" s="1263"/>
      <c r="AN11" s="1263"/>
      <c r="AO11" s="1263"/>
      <c r="AP11" s="1263"/>
      <c r="AQ11" s="433"/>
      <c r="AR11" s="1263"/>
      <c r="AS11" s="1263"/>
      <c r="AT11" s="1263"/>
      <c r="AU11" s="1263"/>
      <c r="AV11" s="1263"/>
      <c r="AW11" s="1263"/>
      <c r="AX11" s="1263"/>
      <c r="AY11" s="1263"/>
      <c r="AZ11" s="1263"/>
      <c r="BA11" s="433"/>
      <c r="BB11" s="1263"/>
      <c r="BC11" s="1263"/>
      <c r="BD11" s="1263"/>
      <c r="BE11" s="1263"/>
      <c r="BF11" s="1263"/>
      <c r="BG11" s="1263"/>
      <c r="BH11" s="1263"/>
      <c r="BI11" s="1263"/>
      <c r="BJ11" s="1263"/>
      <c r="BK11" s="433"/>
      <c r="BL11" s="1263"/>
      <c r="BM11" s="1263"/>
      <c r="BN11" s="1263"/>
      <c r="BO11" s="1263"/>
      <c r="BP11" s="1263"/>
      <c r="BQ11" s="1263"/>
      <c r="BR11" s="1263"/>
      <c r="BS11" s="1263"/>
      <c r="BT11" s="1263"/>
      <c r="BU11" s="433"/>
      <c r="BV11" s="1263"/>
      <c r="BW11" s="1263"/>
      <c r="BX11" s="1263"/>
      <c r="BY11" s="1263"/>
      <c r="BZ11" s="1263"/>
      <c r="CA11" s="1263"/>
      <c r="CB11" s="1263"/>
      <c r="CC11" s="1263"/>
      <c r="CD11" s="1263"/>
      <c r="CE11" s="434"/>
      <c r="CF11" s="1266"/>
      <c r="CG11" s="1266"/>
      <c r="CH11" s="1266"/>
      <c r="CI11" s="1266"/>
      <c r="CJ11" s="1266"/>
      <c r="CK11" s="1266"/>
      <c r="CL11" s="1266"/>
      <c r="CM11" s="1266"/>
      <c r="CN11" s="1266"/>
      <c r="CO11" s="1266"/>
      <c r="CP11" s="1266"/>
      <c r="CQ11" s="1266"/>
      <c r="CR11" s="1266"/>
      <c r="CW11" s="17"/>
      <c r="CX11" s="17"/>
      <c r="CY11" s="17"/>
      <c r="CZ11" s="17"/>
      <c r="DA11" s="17"/>
      <c r="DB11" s="17"/>
      <c r="DC11" s="17"/>
      <c r="DD11" s="17"/>
      <c r="DE11" s="17"/>
      <c r="DF11" s="17"/>
      <c r="DG11" s="17"/>
      <c r="DH11" s="17"/>
      <c r="DI11" s="17"/>
      <c r="DJ11" s="17"/>
      <c r="DK11" s="17"/>
      <c r="DL11" s="17"/>
      <c r="DM11" s="17"/>
      <c r="DN11" s="17"/>
      <c r="DO11" s="17"/>
      <c r="DP11" s="17"/>
      <c r="DQ11" s="17"/>
      <c r="DS11" s="17"/>
      <c r="DT11" s="17"/>
      <c r="DU11" s="17"/>
      <c r="DV11" s="17"/>
      <c r="DW11" s="17"/>
      <c r="DX11" s="17"/>
      <c r="DY11" s="17"/>
      <c r="DZ11" s="17"/>
      <c r="EA11" s="17"/>
      <c r="EB11" s="17"/>
      <c r="EC11" s="17"/>
      <c r="ED11" s="17"/>
    </row>
    <row r="12" spans="2:134" ht="7.5" customHeight="1" x14ac:dyDescent="0.25">
      <c r="D12" s="1317"/>
      <c r="E12" s="1317"/>
      <c r="F12" s="1317"/>
      <c r="G12" s="1317"/>
      <c r="H12" s="1317"/>
      <c r="I12" s="1317"/>
      <c r="J12" s="1318"/>
      <c r="K12" s="1573"/>
      <c r="L12" s="1573"/>
      <c r="M12" s="1573"/>
      <c r="N12" s="1573"/>
      <c r="O12" s="1575"/>
      <c r="P12" s="1575"/>
      <c r="Q12" s="1575"/>
      <c r="R12" s="1575"/>
      <c r="S12" s="1575"/>
      <c r="T12" s="1575"/>
      <c r="U12" s="1575"/>
      <c r="V12" s="1575"/>
      <c r="W12" s="1575"/>
      <c r="X12" s="1575"/>
      <c r="Y12" s="1575"/>
      <c r="Z12" s="1575"/>
      <c r="AA12" s="1575"/>
      <c r="AB12" s="1575"/>
      <c r="AC12" s="1575"/>
      <c r="AD12" s="1575"/>
      <c r="AE12" s="1575"/>
      <c r="AF12" s="1575"/>
      <c r="AG12" s="1575"/>
      <c r="AH12" s="1575"/>
      <c r="AL12" s="1263"/>
      <c r="AM12" s="1263"/>
      <c r="AN12" s="1263"/>
      <c r="AO12" s="1263"/>
      <c r="AP12" s="1263"/>
      <c r="AQ12" s="433"/>
      <c r="AR12" s="1263"/>
      <c r="AS12" s="1263"/>
      <c r="AT12" s="1263"/>
      <c r="AU12" s="1263"/>
      <c r="AV12" s="1263"/>
      <c r="AW12" s="1263"/>
      <c r="AX12" s="1263"/>
      <c r="AY12" s="1263"/>
      <c r="AZ12" s="1263"/>
      <c r="BA12" s="433"/>
      <c r="BB12" s="1263"/>
      <c r="BC12" s="1263"/>
      <c r="BD12" s="1263"/>
      <c r="BE12" s="1263"/>
      <c r="BF12" s="1263"/>
      <c r="BG12" s="1263"/>
      <c r="BH12" s="1263"/>
      <c r="BI12" s="1263"/>
      <c r="BJ12" s="1263"/>
      <c r="BK12" s="433"/>
      <c r="BL12" s="1263"/>
      <c r="BM12" s="1263"/>
      <c r="BN12" s="1263"/>
      <c r="BO12" s="1263"/>
      <c r="BP12" s="1263"/>
      <c r="BQ12" s="1263"/>
      <c r="BR12" s="1263"/>
      <c r="BS12" s="1263"/>
      <c r="BT12" s="1263"/>
      <c r="BU12" s="433"/>
      <c r="BV12" s="1263"/>
      <c r="BW12" s="1263"/>
      <c r="BX12" s="1263"/>
      <c r="BY12" s="1263"/>
      <c r="BZ12" s="1263"/>
      <c r="CA12" s="1263"/>
      <c r="CB12" s="1263"/>
      <c r="CC12" s="1263"/>
      <c r="CD12" s="1263"/>
      <c r="CE12" s="434"/>
      <c r="CF12" s="1266"/>
      <c r="CG12" s="1266"/>
      <c r="CH12" s="1266"/>
      <c r="CI12" s="1266"/>
      <c r="CJ12" s="1266"/>
      <c r="CK12" s="1266"/>
      <c r="CL12" s="1266"/>
      <c r="CM12" s="1266"/>
      <c r="CN12" s="1266"/>
      <c r="CO12" s="1266"/>
      <c r="CP12" s="1266"/>
      <c r="CQ12" s="1266"/>
      <c r="CR12" s="1266"/>
      <c r="CW12" s="17"/>
      <c r="CX12" s="17"/>
      <c r="CY12" s="17"/>
      <c r="CZ12" s="17"/>
      <c r="DA12" s="17"/>
      <c r="DB12" s="17"/>
      <c r="DC12" s="17"/>
      <c r="DD12" s="17"/>
      <c r="DE12" s="17"/>
      <c r="DF12" s="17"/>
      <c r="DG12" s="17"/>
      <c r="DH12" s="17"/>
      <c r="DI12" s="17"/>
      <c r="DJ12" s="17"/>
      <c r="DK12" s="17"/>
      <c r="DL12" s="17"/>
      <c r="DM12" s="17"/>
      <c r="DN12" s="17"/>
      <c r="DO12" s="17"/>
      <c r="DP12" s="17"/>
      <c r="DQ12" s="17"/>
      <c r="DR12" s="17"/>
      <c r="DS12" s="17"/>
      <c r="DT12" s="17"/>
      <c r="DU12" s="17"/>
      <c r="DV12" s="17"/>
      <c r="DW12" s="17"/>
      <c r="DX12" s="17"/>
      <c r="DY12" s="17"/>
      <c r="DZ12" s="17"/>
      <c r="EA12" s="17"/>
      <c r="EB12" s="17"/>
      <c r="EC12" s="17"/>
      <c r="ED12" s="17"/>
    </row>
    <row r="13" spans="2:134" ht="7.5" customHeight="1" x14ac:dyDescent="0.25">
      <c r="D13" s="430"/>
      <c r="E13" s="430"/>
      <c r="F13" s="430"/>
      <c r="G13" s="430"/>
      <c r="H13" s="431"/>
      <c r="I13" s="431"/>
      <c r="J13" s="431"/>
      <c r="K13" s="441"/>
      <c r="L13" s="441"/>
      <c r="M13" s="441"/>
      <c r="N13" s="442"/>
      <c r="O13" s="443"/>
      <c r="P13" s="443"/>
      <c r="Q13" s="443"/>
      <c r="R13" s="442"/>
      <c r="S13" s="443"/>
      <c r="T13" s="443"/>
      <c r="U13" s="443"/>
      <c r="V13" s="442"/>
      <c r="W13" s="443"/>
      <c r="X13" s="443"/>
      <c r="Y13" s="443"/>
      <c r="Z13" s="442"/>
      <c r="AA13" s="443"/>
      <c r="AB13" s="443"/>
      <c r="AC13" s="443"/>
      <c r="AD13" s="442"/>
      <c r="AE13" s="444"/>
      <c r="AF13" s="444"/>
      <c r="AG13" s="444"/>
      <c r="AH13" s="445"/>
      <c r="AL13" s="1344"/>
      <c r="AM13" s="1344"/>
      <c r="AN13" s="1344"/>
      <c r="AO13" s="1344"/>
      <c r="AP13" s="1344"/>
      <c r="AQ13" s="433"/>
      <c r="AR13" s="1264"/>
      <c r="AS13" s="1264"/>
      <c r="AT13" s="1264"/>
      <c r="AU13" s="1264"/>
      <c r="AV13" s="1264"/>
      <c r="AW13" s="1264"/>
      <c r="AX13" s="1264"/>
      <c r="AY13" s="1264"/>
      <c r="AZ13" s="1264"/>
      <c r="BA13" s="433"/>
      <c r="BB13" s="1264"/>
      <c r="BC13" s="1264"/>
      <c r="BD13" s="1264"/>
      <c r="BE13" s="1264"/>
      <c r="BF13" s="1264"/>
      <c r="BG13" s="1264"/>
      <c r="BH13" s="1264"/>
      <c r="BI13" s="1264"/>
      <c r="BJ13" s="1264"/>
      <c r="BK13" s="433"/>
      <c r="BL13" s="1264"/>
      <c r="BM13" s="1264"/>
      <c r="BN13" s="1264"/>
      <c r="BO13" s="1264"/>
      <c r="BP13" s="1264"/>
      <c r="BQ13" s="1264"/>
      <c r="BR13" s="1264"/>
      <c r="BS13" s="1264"/>
      <c r="BT13" s="1264"/>
      <c r="BU13" s="433"/>
      <c r="BV13" s="1264"/>
      <c r="BW13" s="1264"/>
      <c r="BX13" s="1264"/>
      <c r="BY13" s="1264"/>
      <c r="BZ13" s="1264"/>
      <c r="CA13" s="1264"/>
      <c r="CB13" s="1264"/>
      <c r="CC13" s="1264"/>
      <c r="CD13" s="1264"/>
      <c r="CE13" s="433"/>
      <c r="CF13" s="1267"/>
      <c r="CG13" s="1267"/>
      <c r="CH13" s="1267"/>
      <c r="CI13" s="1267"/>
      <c r="CJ13" s="1267"/>
      <c r="CK13" s="1267"/>
      <c r="CL13" s="1267"/>
      <c r="CM13" s="1267"/>
      <c r="CN13" s="1267"/>
      <c r="CO13" s="1267"/>
      <c r="CP13" s="1267"/>
      <c r="CQ13" s="1267"/>
      <c r="CR13" s="126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c r="DV13" s="17"/>
      <c r="DW13" s="17"/>
      <c r="DX13" s="17"/>
      <c r="DY13" s="17"/>
      <c r="DZ13" s="17"/>
      <c r="EA13" s="17"/>
      <c r="EB13" s="17"/>
      <c r="EC13" s="17"/>
      <c r="ED13" s="17"/>
    </row>
    <row r="14" spans="2:134" ht="7.5" customHeight="1" x14ac:dyDescent="0.25">
      <c r="D14" s="1336" t="s">
        <v>520</v>
      </c>
      <c r="E14" s="1336"/>
      <c r="F14" s="1336"/>
      <c r="G14" s="1336"/>
      <c r="H14" s="1336"/>
      <c r="I14" s="1336"/>
      <c r="J14" s="1337"/>
      <c r="K14" s="1560"/>
      <c r="L14" s="1561"/>
      <c r="M14" s="1561"/>
      <c r="N14" s="1562"/>
      <c r="O14" s="1566"/>
      <c r="P14" s="1567"/>
      <c r="Q14" s="1567"/>
      <c r="R14" s="1568"/>
      <c r="S14" s="1566"/>
      <c r="T14" s="1567"/>
      <c r="U14" s="1567"/>
      <c r="V14" s="1568"/>
      <c r="W14" s="1566"/>
      <c r="X14" s="1567"/>
      <c r="Y14" s="1567"/>
      <c r="Z14" s="1568"/>
      <c r="AA14" s="1566"/>
      <c r="AB14" s="1567"/>
      <c r="AC14" s="1567"/>
      <c r="AD14" s="1568"/>
      <c r="AE14" s="1566"/>
      <c r="AF14" s="1567"/>
      <c r="AG14" s="1567"/>
      <c r="AH14" s="1568"/>
      <c r="AL14" s="1359" t="s">
        <v>15</v>
      </c>
      <c r="AM14" s="1359"/>
      <c r="AN14" s="1359"/>
      <c r="AO14" s="1359"/>
      <c r="AP14" s="1359"/>
      <c r="AR14" s="1268" t="s">
        <v>10</v>
      </c>
      <c r="AS14" s="1268"/>
      <c r="AT14" s="1268"/>
      <c r="AU14" s="1268"/>
      <c r="AV14" s="1268"/>
      <c r="AW14" s="1268"/>
      <c r="AX14" s="1268"/>
      <c r="AY14" s="1268"/>
      <c r="AZ14" s="1268"/>
      <c r="BB14" s="1268" t="s">
        <v>11</v>
      </c>
      <c r="BC14" s="1268"/>
      <c r="BD14" s="1268"/>
      <c r="BE14" s="1268"/>
      <c r="BF14" s="1268"/>
      <c r="BG14" s="1268"/>
      <c r="BH14" s="1268"/>
      <c r="BI14" s="1268"/>
      <c r="BJ14" s="1268"/>
      <c r="BL14" s="1268" t="s">
        <v>12</v>
      </c>
      <c r="BM14" s="1268"/>
      <c r="BN14" s="1268"/>
      <c r="BO14" s="1268"/>
      <c r="BP14" s="1268"/>
      <c r="BQ14" s="1268"/>
      <c r="BR14" s="1268"/>
      <c r="BS14" s="1268"/>
      <c r="BT14" s="1268"/>
      <c r="BV14" s="1268" t="s">
        <v>100</v>
      </c>
      <c r="BW14" s="1268"/>
      <c r="BX14" s="1268"/>
      <c r="BY14" s="1268"/>
      <c r="BZ14" s="1268"/>
      <c r="CA14" s="1268"/>
      <c r="CB14" s="1268"/>
      <c r="CC14" s="1268"/>
      <c r="CD14" s="1268"/>
      <c r="CF14" s="1350" t="s">
        <v>554</v>
      </c>
      <c r="CG14" s="1350"/>
      <c r="CH14" s="1350"/>
      <c r="CI14" s="1350"/>
      <c r="CJ14" s="1350"/>
      <c r="CK14" s="1350"/>
      <c r="CL14" s="1350"/>
      <c r="CM14" s="1350"/>
      <c r="CN14" s="1350"/>
      <c r="CO14" s="1350"/>
      <c r="CP14" s="1350"/>
      <c r="CQ14" s="1350"/>
      <c r="CR14" s="1350"/>
      <c r="CW14" s="17"/>
      <c r="CX14" s="17"/>
      <c r="CY14" s="17"/>
      <c r="CZ14" s="17"/>
      <c r="DA14" s="17"/>
      <c r="DB14" s="17"/>
      <c r="DC14" s="17"/>
      <c r="DD14" s="17"/>
      <c r="DE14" s="17"/>
      <c r="DF14" s="17"/>
      <c r="DG14" s="17"/>
      <c r="DH14" s="17"/>
      <c r="DI14" s="17"/>
      <c r="DJ14" s="17"/>
      <c r="DK14" s="17"/>
      <c r="DL14" s="17"/>
      <c r="DM14" s="17"/>
      <c r="DN14" s="17"/>
      <c r="DO14" s="17"/>
      <c r="DP14" s="17"/>
      <c r="DQ14" s="17"/>
      <c r="DR14" s="17"/>
      <c r="DS14" s="17"/>
      <c r="DT14" s="17"/>
      <c r="DU14" s="17"/>
      <c r="DV14" s="17"/>
      <c r="DW14" s="17"/>
      <c r="DX14" s="17"/>
      <c r="DY14" s="17"/>
      <c r="DZ14" s="17"/>
      <c r="EA14" s="17"/>
      <c r="EB14" s="17"/>
      <c r="EC14" s="17"/>
      <c r="ED14" s="17"/>
    </row>
    <row r="15" spans="2:134" ht="7.5" customHeight="1" x14ac:dyDescent="0.25">
      <c r="D15" s="1336"/>
      <c r="E15" s="1336"/>
      <c r="F15" s="1336"/>
      <c r="G15" s="1336"/>
      <c r="H15" s="1336"/>
      <c r="I15" s="1336"/>
      <c r="J15" s="1337"/>
      <c r="K15" s="1563"/>
      <c r="L15" s="1564"/>
      <c r="M15" s="1564"/>
      <c r="N15" s="1565"/>
      <c r="O15" s="1569"/>
      <c r="P15" s="1570"/>
      <c r="Q15" s="1570"/>
      <c r="R15" s="1571"/>
      <c r="S15" s="1569"/>
      <c r="T15" s="1570"/>
      <c r="U15" s="1570"/>
      <c r="V15" s="1571"/>
      <c r="W15" s="1569"/>
      <c r="X15" s="1570"/>
      <c r="Y15" s="1570"/>
      <c r="Z15" s="1571"/>
      <c r="AA15" s="1569"/>
      <c r="AB15" s="1570"/>
      <c r="AC15" s="1570"/>
      <c r="AD15" s="1571"/>
      <c r="AE15" s="1569"/>
      <c r="AF15" s="1570"/>
      <c r="AG15" s="1570"/>
      <c r="AH15" s="1571"/>
      <c r="CW15" s="17"/>
      <c r="CX15" s="17"/>
      <c r="CY15" s="17"/>
      <c r="CZ15" s="17"/>
      <c r="DA15" s="17"/>
      <c r="DB15" s="17"/>
      <c r="DC15" s="17"/>
      <c r="DD15" s="17"/>
      <c r="DE15" s="17"/>
      <c r="DF15" s="17"/>
      <c r="DG15" s="17"/>
      <c r="DH15" s="17"/>
      <c r="DI15" s="17"/>
      <c r="DJ15" s="17"/>
      <c r="DK15" s="17"/>
      <c r="DL15" s="17"/>
      <c r="DM15" s="17"/>
      <c r="DN15" s="17"/>
      <c r="DO15" s="17"/>
      <c r="DP15" s="17"/>
      <c r="DQ15" s="17"/>
      <c r="DR15" s="17"/>
      <c r="DS15" s="17"/>
      <c r="DT15" s="17"/>
      <c r="DU15" s="17"/>
      <c r="DV15" s="17"/>
      <c r="DW15" s="17"/>
      <c r="DX15" s="17"/>
      <c r="DY15" s="17"/>
      <c r="DZ15" s="17"/>
      <c r="EA15" s="17"/>
      <c r="EB15" s="17"/>
      <c r="EC15" s="17"/>
      <c r="ED15" s="17"/>
    </row>
    <row r="16" spans="2:134" ht="7.5" customHeight="1" x14ac:dyDescent="0.25">
      <c r="D16" s="430"/>
      <c r="E16" s="430"/>
      <c r="F16" s="430"/>
      <c r="G16" s="432"/>
      <c r="H16" s="431"/>
      <c r="I16" s="431"/>
      <c r="J16" s="431"/>
      <c r="K16" s="441"/>
      <c r="L16" s="441"/>
      <c r="M16" s="441"/>
      <c r="N16" s="442"/>
      <c r="O16" s="443"/>
      <c r="P16" s="443"/>
      <c r="Q16" s="443"/>
      <c r="R16" s="442"/>
      <c r="S16" s="443"/>
      <c r="T16" s="443"/>
      <c r="U16" s="443"/>
      <c r="V16" s="442"/>
      <c r="W16" s="443"/>
      <c r="X16" s="443"/>
      <c r="Y16" s="443"/>
      <c r="Z16" s="442"/>
      <c r="AA16" s="443"/>
      <c r="AB16" s="443"/>
      <c r="AC16" s="443"/>
      <c r="AD16" s="442"/>
      <c r="AE16" s="444"/>
      <c r="AF16" s="444"/>
      <c r="AG16" s="444"/>
      <c r="AH16" s="445"/>
      <c r="AJ16" s="1254" t="s">
        <v>518</v>
      </c>
      <c r="AK16" s="1255"/>
      <c r="AL16" s="1255"/>
      <c r="AM16" s="1255"/>
      <c r="AN16" s="1255"/>
      <c r="AO16" s="1255"/>
      <c r="AP16" s="1255"/>
      <c r="AQ16" s="1255"/>
      <c r="AR16" s="1255"/>
      <c r="AS16" s="1255"/>
      <c r="AT16" s="1255"/>
      <c r="AU16" s="1255"/>
      <c r="AV16" s="1255"/>
      <c r="AW16" s="1255"/>
      <c r="AX16" s="1255"/>
      <c r="AY16" s="1255"/>
      <c r="AZ16" s="1255"/>
      <c r="BA16" s="1255"/>
      <c r="BB16" s="1255"/>
      <c r="BC16" s="1255"/>
      <c r="BD16" s="1255"/>
      <c r="BE16" s="1255"/>
      <c r="BF16" s="1255"/>
      <c r="BG16" s="1255"/>
      <c r="BH16" s="1255"/>
      <c r="BI16" s="1255"/>
      <c r="BJ16" s="1255"/>
      <c r="BK16" s="1255"/>
      <c r="BL16" s="1255"/>
      <c r="BM16" s="1255"/>
      <c r="BN16" s="1256"/>
      <c r="BP16" s="1254" t="s">
        <v>519</v>
      </c>
      <c r="BQ16" s="1255"/>
      <c r="BR16" s="1255"/>
      <c r="BS16" s="1255"/>
      <c r="BT16" s="1255"/>
      <c r="BU16" s="1255"/>
      <c r="BV16" s="1255"/>
      <c r="BW16" s="1255"/>
      <c r="BX16" s="1255"/>
      <c r="BY16" s="1255"/>
      <c r="BZ16" s="1255"/>
      <c r="CA16" s="1255"/>
      <c r="CB16" s="1255"/>
      <c r="CC16" s="1255"/>
      <c r="CD16" s="1255"/>
      <c r="CE16" s="1255"/>
      <c r="CF16" s="1255"/>
      <c r="CG16" s="1255"/>
      <c r="CH16" s="1255"/>
      <c r="CI16" s="1255"/>
      <c r="CJ16" s="1255"/>
      <c r="CK16" s="1255"/>
      <c r="CL16" s="1255"/>
      <c r="CM16" s="1255"/>
      <c r="CN16" s="1255"/>
      <c r="CO16" s="1255"/>
      <c r="CP16" s="1255"/>
      <c r="CQ16" s="1255"/>
      <c r="CR16" s="1255"/>
      <c r="CS16" s="1255"/>
      <c r="CT16" s="1256"/>
      <c r="CW16" s="17"/>
      <c r="CX16" s="17"/>
      <c r="CY16" s="17"/>
      <c r="CZ16" s="17"/>
      <c r="DA16" s="17"/>
      <c r="DB16" s="17"/>
      <c r="DC16" s="17"/>
      <c r="DD16" s="17"/>
      <c r="DE16" s="17"/>
      <c r="DF16" s="17"/>
      <c r="DG16" s="17"/>
      <c r="DH16" s="17"/>
      <c r="DI16" s="17"/>
      <c r="DJ16" s="17"/>
      <c r="DK16" s="17"/>
      <c r="DL16" s="17"/>
      <c r="DM16" s="17"/>
      <c r="DN16" s="17"/>
      <c r="DO16" s="17"/>
      <c r="DP16" s="17"/>
      <c r="DQ16" s="17"/>
      <c r="DR16" s="17"/>
      <c r="DS16" s="17"/>
      <c r="DT16" s="17"/>
      <c r="DU16" s="17"/>
      <c r="DV16" s="17"/>
      <c r="DW16" s="17"/>
      <c r="DX16" s="17"/>
      <c r="DY16" s="17"/>
      <c r="DZ16" s="17"/>
      <c r="EA16" s="17"/>
      <c r="EB16" s="17"/>
      <c r="EC16" s="17"/>
      <c r="ED16" s="17"/>
    </row>
    <row r="17" spans="4:137" ht="7.5" customHeight="1" x14ac:dyDescent="0.25">
      <c r="D17" s="1336" t="s">
        <v>557</v>
      </c>
      <c r="E17" s="1336"/>
      <c r="F17" s="1336"/>
      <c r="G17" s="1336"/>
      <c r="H17" s="1336"/>
      <c r="I17" s="1336"/>
      <c r="J17" s="1337"/>
      <c r="K17" s="1560"/>
      <c r="L17" s="1561"/>
      <c r="M17" s="1561"/>
      <c r="N17" s="1562"/>
      <c r="O17" s="1566"/>
      <c r="P17" s="1567"/>
      <c r="Q17" s="1567"/>
      <c r="R17" s="1568"/>
      <c r="S17" s="1566"/>
      <c r="T17" s="1567"/>
      <c r="U17" s="1567"/>
      <c r="V17" s="1568"/>
      <c r="W17" s="1566"/>
      <c r="X17" s="1567"/>
      <c r="Y17" s="1567"/>
      <c r="Z17" s="1568"/>
      <c r="AA17" s="1566"/>
      <c r="AB17" s="1567"/>
      <c r="AC17" s="1567"/>
      <c r="AD17" s="1568"/>
      <c r="AE17" s="1566"/>
      <c r="AF17" s="1567"/>
      <c r="AG17" s="1567"/>
      <c r="AH17" s="1568"/>
      <c r="AJ17" s="1257"/>
      <c r="AK17" s="1258"/>
      <c r="AL17" s="1258"/>
      <c r="AM17" s="1258"/>
      <c r="AN17" s="1258"/>
      <c r="AO17" s="1258"/>
      <c r="AP17" s="1258"/>
      <c r="AQ17" s="1258"/>
      <c r="AR17" s="1258"/>
      <c r="AS17" s="1258"/>
      <c r="AT17" s="1258"/>
      <c r="AU17" s="1258"/>
      <c r="AV17" s="1258"/>
      <c r="AW17" s="1258"/>
      <c r="AX17" s="1258"/>
      <c r="AY17" s="1258"/>
      <c r="AZ17" s="1258"/>
      <c r="BA17" s="1258"/>
      <c r="BB17" s="1258"/>
      <c r="BC17" s="1258"/>
      <c r="BD17" s="1258"/>
      <c r="BE17" s="1258"/>
      <c r="BF17" s="1258"/>
      <c r="BG17" s="1258"/>
      <c r="BH17" s="1258"/>
      <c r="BI17" s="1258"/>
      <c r="BJ17" s="1258"/>
      <c r="BK17" s="1258"/>
      <c r="BL17" s="1258"/>
      <c r="BM17" s="1258"/>
      <c r="BN17" s="1259"/>
      <c r="BP17" s="1257"/>
      <c r="BQ17" s="1258"/>
      <c r="BR17" s="1258"/>
      <c r="BS17" s="1258"/>
      <c r="BT17" s="1258"/>
      <c r="BU17" s="1258"/>
      <c r="BV17" s="1258"/>
      <c r="BW17" s="1258"/>
      <c r="BX17" s="1258"/>
      <c r="BY17" s="1258"/>
      <c r="BZ17" s="1258"/>
      <c r="CA17" s="1258"/>
      <c r="CB17" s="1258"/>
      <c r="CC17" s="1258"/>
      <c r="CD17" s="1258"/>
      <c r="CE17" s="1258"/>
      <c r="CF17" s="1258"/>
      <c r="CG17" s="1258"/>
      <c r="CH17" s="1258"/>
      <c r="CI17" s="1258"/>
      <c r="CJ17" s="1258"/>
      <c r="CK17" s="1258"/>
      <c r="CL17" s="1258"/>
      <c r="CM17" s="1258"/>
      <c r="CN17" s="1258"/>
      <c r="CO17" s="1258"/>
      <c r="CP17" s="1258"/>
      <c r="CQ17" s="1258"/>
      <c r="CR17" s="1258"/>
      <c r="CS17" s="1258"/>
      <c r="CT17" s="1259"/>
      <c r="CU17" s="17"/>
      <c r="CV17" s="17"/>
      <c r="CW17" s="17"/>
      <c r="CX17" s="17"/>
      <c r="CY17" s="17"/>
      <c r="CZ17" s="17"/>
      <c r="DA17" s="17"/>
      <c r="DB17" s="17"/>
      <c r="DC17" s="17"/>
      <c r="DD17" s="17"/>
      <c r="DE17" s="17"/>
      <c r="DF17" s="17"/>
      <c r="DG17" s="17"/>
      <c r="DH17" s="17"/>
      <c r="DI17" s="17"/>
      <c r="DJ17" s="17"/>
      <c r="DK17" s="17"/>
      <c r="DL17" s="17"/>
      <c r="DM17" s="17"/>
      <c r="DN17" s="17"/>
      <c r="DO17" s="17"/>
      <c r="DP17" s="17"/>
      <c r="DQ17" s="17"/>
      <c r="DR17" s="17"/>
      <c r="DS17" s="17"/>
      <c r="DT17" s="17"/>
      <c r="DU17" s="17"/>
      <c r="DV17" s="17"/>
      <c r="DW17" s="17"/>
      <c r="DX17" s="17"/>
      <c r="DY17" s="17"/>
      <c r="DZ17" s="17"/>
      <c r="EA17" s="17"/>
      <c r="EB17" s="17"/>
      <c r="EC17" s="17"/>
      <c r="ED17" s="17"/>
    </row>
    <row r="18" spans="4:137" ht="7.5" customHeight="1" x14ac:dyDescent="0.25">
      <c r="D18" s="1336"/>
      <c r="E18" s="1336"/>
      <c r="F18" s="1336"/>
      <c r="G18" s="1336"/>
      <c r="H18" s="1336"/>
      <c r="I18" s="1336"/>
      <c r="J18" s="1337"/>
      <c r="K18" s="1563"/>
      <c r="L18" s="1564"/>
      <c r="M18" s="1564"/>
      <c r="N18" s="1565"/>
      <c r="O18" s="1569"/>
      <c r="P18" s="1570"/>
      <c r="Q18" s="1570"/>
      <c r="R18" s="1571"/>
      <c r="S18" s="1569"/>
      <c r="T18" s="1570"/>
      <c r="U18" s="1570"/>
      <c r="V18" s="1571"/>
      <c r="W18" s="1569"/>
      <c r="X18" s="1570"/>
      <c r="Y18" s="1570"/>
      <c r="Z18" s="1571"/>
      <c r="AA18" s="1569"/>
      <c r="AB18" s="1570"/>
      <c r="AC18" s="1570"/>
      <c r="AD18" s="1571"/>
      <c r="AE18" s="1569"/>
      <c r="AF18" s="1570"/>
      <c r="AG18" s="1570"/>
      <c r="AH18" s="1571"/>
      <c r="AJ18" s="1260"/>
      <c r="AK18" s="1261"/>
      <c r="AL18" s="1261"/>
      <c r="AM18" s="1261"/>
      <c r="AN18" s="1261"/>
      <c r="AO18" s="1261"/>
      <c r="AP18" s="1261"/>
      <c r="AQ18" s="1261"/>
      <c r="AR18" s="1261"/>
      <c r="AS18" s="1261"/>
      <c r="AT18" s="1261"/>
      <c r="AU18" s="1261"/>
      <c r="AV18" s="1261"/>
      <c r="AW18" s="1261"/>
      <c r="AX18" s="1261"/>
      <c r="AY18" s="1261"/>
      <c r="AZ18" s="1261"/>
      <c r="BA18" s="1261"/>
      <c r="BB18" s="1261"/>
      <c r="BC18" s="1261"/>
      <c r="BD18" s="1261"/>
      <c r="BE18" s="1261"/>
      <c r="BF18" s="1261"/>
      <c r="BG18" s="1261"/>
      <c r="BH18" s="1261"/>
      <c r="BI18" s="1261"/>
      <c r="BJ18" s="1261"/>
      <c r="BK18" s="1261"/>
      <c r="BL18" s="1261"/>
      <c r="BM18" s="1261"/>
      <c r="BN18" s="1262"/>
      <c r="BP18" s="1260"/>
      <c r="BQ18" s="1261"/>
      <c r="BR18" s="1261"/>
      <c r="BS18" s="1261"/>
      <c r="BT18" s="1261"/>
      <c r="BU18" s="1261"/>
      <c r="BV18" s="1261"/>
      <c r="BW18" s="1261"/>
      <c r="BX18" s="1261"/>
      <c r="BY18" s="1261"/>
      <c r="BZ18" s="1261"/>
      <c r="CA18" s="1261"/>
      <c r="CB18" s="1261"/>
      <c r="CC18" s="1261"/>
      <c r="CD18" s="1261"/>
      <c r="CE18" s="1261"/>
      <c r="CF18" s="1261"/>
      <c r="CG18" s="1261"/>
      <c r="CH18" s="1261"/>
      <c r="CI18" s="1261"/>
      <c r="CJ18" s="1261"/>
      <c r="CK18" s="1261"/>
      <c r="CL18" s="1261"/>
      <c r="CM18" s="1261"/>
      <c r="CN18" s="1261"/>
      <c r="CO18" s="1261"/>
      <c r="CP18" s="1261"/>
      <c r="CQ18" s="1261"/>
      <c r="CR18" s="1261"/>
      <c r="CS18" s="1261"/>
      <c r="CT18" s="1262"/>
      <c r="CW18" s="17"/>
      <c r="CX18" s="17"/>
      <c r="CY18" s="17"/>
      <c r="CZ18" s="17"/>
      <c r="DA18" s="17"/>
      <c r="DB18" s="17"/>
      <c r="DC18" s="17"/>
      <c r="DD18" s="17"/>
      <c r="DE18" s="17"/>
      <c r="DF18" s="17"/>
      <c r="DG18" s="17"/>
      <c r="DH18" s="17"/>
      <c r="DI18" s="17"/>
      <c r="DJ18" s="17"/>
      <c r="DK18" s="17"/>
      <c r="DL18" s="17"/>
      <c r="DM18" s="17"/>
      <c r="DN18" s="17"/>
      <c r="DO18" s="17"/>
      <c r="DP18" s="17"/>
      <c r="DQ18" s="17"/>
      <c r="DR18" s="17"/>
      <c r="DS18" s="17"/>
      <c r="DT18" s="17"/>
      <c r="DU18" s="17"/>
      <c r="DV18" s="17"/>
      <c r="DW18" s="17"/>
      <c r="DX18" s="17"/>
      <c r="DY18" s="17"/>
      <c r="DZ18" s="17"/>
      <c r="EA18" s="17"/>
      <c r="EB18" s="17"/>
      <c r="EC18" s="17"/>
      <c r="ED18" s="17"/>
    </row>
    <row r="19" spans="4:137" ht="7.5" customHeight="1" x14ac:dyDescent="0.25">
      <c r="D19" s="17"/>
      <c r="E19" s="17"/>
      <c r="F19" s="17"/>
      <c r="G19" s="430"/>
      <c r="H19" s="431"/>
      <c r="I19" s="431"/>
      <c r="J19" s="431"/>
      <c r="K19" s="441"/>
      <c r="L19" s="441"/>
      <c r="M19" s="441"/>
      <c r="N19" s="442"/>
      <c r="O19" s="443"/>
      <c r="P19" s="443"/>
      <c r="Q19" s="443"/>
      <c r="R19" s="442"/>
      <c r="S19" s="443"/>
      <c r="T19" s="443"/>
      <c r="U19" s="443"/>
      <c r="V19" s="442"/>
      <c r="W19" s="443"/>
      <c r="X19" s="443"/>
      <c r="Y19" s="443"/>
      <c r="Z19" s="442"/>
      <c r="AA19" s="443"/>
      <c r="AB19" s="443"/>
      <c r="AC19" s="443"/>
      <c r="AD19" s="442"/>
      <c r="AE19" s="444"/>
      <c r="AF19" s="444"/>
      <c r="AG19" s="444"/>
      <c r="AH19" s="445"/>
      <c r="AJ19" s="1309"/>
      <c r="AK19" s="1310"/>
      <c r="AL19" s="1311"/>
      <c r="AM19" s="1360" t="s">
        <v>81</v>
      </c>
      <c r="AN19" s="1342"/>
      <c r="AO19" s="1342"/>
      <c r="AP19" s="1342"/>
      <c r="AQ19" s="1342"/>
      <c r="AR19" s="1342"/>
      <c r="AS19" s="1342"/>
      <c r="AT19" s="1342"/>
      <c r="AU19" s="1342"/>
      <c r="AV19" s="1342"/>
      <c r="AX19" s="1345"/>
      <c r="AY19" s="1346"/>
      <c r="AZ19" s="1347"/>
      <c r="BB19" s="1340" t="s">
        <v>521</v>
      </c>
      <c r="BC19" s="1340"/>
      <c r="BD19" s="1340"/>
      <c r="BE19" s="1340"/>
      <c r="BF19" s="1340"/>
      <c r="BG19" s="1340"/>
      <c r="BH19" s="1340"/>
      <c r="BI19" s="1340"/>
      <c r="BJ19" s="1340"/>
      <c r="BK19" s="1341"/>
      <c r="BL19" s="1219"/>
      <c r="BM19" s="1220"/>
      <c r="BN19" s="1221"/>
      <c r="BO19" s="17"/>
      <c r="BP19" s="1312" t="s">
        <v>85</v>
      </c>
      <c r="BQ19" s="1313"/>
      <c r="BR19" s="1313"/>
      <c r="BS19" s="1313"/>
      <c r="BT19" s="1313"/>
      <c r="BU19" s="1313"/>
      <c r="BV19" s="1313"/>
      <c r="BW19" s="1313"/>
      <c r="BX19" s="1313"/>
      <c r="BY19" s="1313"/>
      <c r="BZ19" s="1313"/>
      <c r="CA19" s="1313"/>
      <c r="CB19" s="1313"/>
      <c r="CC19" s="1313"/>
      <c r="CD19" s="1314"/>
      <c r="CE19" s="1290" t="s">
        <v>89</v>
      </c>
      <c r="CF19" s="1291"/>
      <c r="CG19" s="1291"/>
      <c r="CH19" s="1291"/>
      <c r="CI19" s="1291"/>
      <c r="CJ19" s="1291"/>
      <c r="CK19" s="1291"/>
      <c r="CL19" s="1292"/>
      <c r="CM19" s="325" t="s">
        <v>88</v>
      </c>
      <c r="CN19" s="326"/>
      <c r="CO19" s="326"/>
      <c r="CP19" s="326"/>
      <c r="CQ19" s="326"/>
      <c r="CR19" s="326"/>
      <c r="CS19" s="326"/>
      <c r="CT19" s="327"/>
      <c r="CW19" s="17"/>
      <c r="CX19" s="17"/>
      <c r="CY19" s="17"/>
      <c r="CZ19" s="17"/>
      <c r="DA19" s="17"/>
      <c r="DB19" s="17"/>
      <c r="DC19" s="17"/>
      <c r="DD19" s="17"/>
      <c r="DE19" s="17"/>
      <c r="DF19" s="17"/>
      <c r="DG19" s="17"/>
      <c r="DH19" s="17"/>
      <c r="DI19" s="17"/>
      <c r="DJ19" s="17"/>
      <c r="DK19" s="17"/>
      <c r="DL19" s="17"/>
      <c r="DM19" s="17"/>
      <c r="DN19" s="17"/>
      <c r="DO19" s="17"/>
      <c r="DP19" s="17"/>
      <c r="DQ19" s="17"/>
      <c r="DR19" s="17"/>
      <c r="DS19" s="17"/>
      <c r="DT19" s="17"/>
      <c r="DU19" s="17"/>
      <c r="DV19" s="17"/>
      <c r="DW19" s="17"/>
      <c r="DX19" s="17"/>
      <c r="DY19" s="17"/>
      <c r="DZ19" s="17"/>
      <c r="EA19" s="17"/>
      <c r="EB19" s="17"/>
      <c r="EC19" s="17"/>
      <c r="ED19" s="17"/>
    </row>
    <row r="20" spans="4:137" ht="7.5" customHeight="1" x14ac:dyDescent="0.25">
      <c r="D20" s="1252" t="s">
        <v>522</v>
      </c>
      <c r="E20" s="1252"/>
      <c r="F20" s="1252"/>
      <c r="G20" s="1252"/>
      <c r="H20" s="1252"/>
      <c r="I20" s="1252"/>
      <c r="J20" s="1253"/>
      <c r="K20" s="1547"/>
      <c r="L20" s="1548"/>
      <c r="M20" s="1548"/>
      <c r="N20" s="1549"/>
      <c r="O20" s="1547"/>
      <c r="P20" s="1548"/>
      <c r="Q20" s="1548"/>
      <c r="R20" s="1549"/>
      <c r="S20" s="1547"/>
      <c r="T20" s="1548"/>
      <c r="U20" s="1548"/>
      <c r="V20" s="1549"/>
      <c r="W20" s="1547"/>
      <c r="X20" s="1548"/>
      <c r="Y20" s="1548"/>
      <c r="Z20" s="1549"/>
      <c r="AA20" s="1547"/>
      <c r="AB20" s="1548"/>
      <c r="AC20" s="1548"/>
      <c r="AD20" s="1549"/>
      <c r="AE20" s="1547"/>
      <c r="AF20" s="1548"/>
      <c r="AG20" s="1548"/>
      <c r="AH20" s="1549"/>
      <c r="AJ20" s="1557"/>
      <c r="AK20" s="1558"/>
      <c r="AL20" s="1559"/>
      <c r="AM20" s="1360"/>
      <c r="AN20" s="1342"/>
      <c r="AO20" s="1342"/>
      <c r="AP20" s="1342"/>
      <c r="AQ20" s="1342"/>
      <c r="AR20" s="1342"/>
      <c r="AS20" s="1342"/>
      <c r="AT20" s="1342"/>
      <c r="AU20" s="1342"/>
      <c r="AV20" s="1342"/>
      <c r="AX20" s="1177"/>
      <c r="AY20" s="1052"/>
      <c r="AZ20" s="1348"/>
      <c r="BB20" s="1342"/>
      <c r="BC20" s="1342"/>
      <c r="BD20" s="1342"/>
      <c r="BE20" s="1342"/>
      <c r="BF20" s="1342"/>
      <c r="BG20" s="1342"/>
      <c r="BH20" s="1342"/>
      <c r="BI20" s="1342"/>
      <c r="BJ20" s="1342"/>
      <c r="BK20" s="1343"/>
      <c r="BL20" s="1284"/>
      <c r="BM20" s="1285"/>
      <c r="BN20" s="1286"/>
      <c r="BP20" s="1269"/>
      <c r="BQ20" s="1270"/>
      <c r="BR20" s="1270"/>
      <c r="BS20" s="1270"/>
      <c r="BT20" s="1270"/>
      <c r="BU20" s="1270"/>
      <c r="BV20" s="1270"/>
      <c r="BW20" s="1270"/>
      <c r="BX20" s="1270"/>
      <c r="BY20" s="1270"/>
      <c r="BZ20" s="1270"/>
      <c r="CA20" s="1270"/>
      <c r="CB20" s="1270"/>
      <c r="CC20" s="1270"/>
      <c r="CD20" s="1300"/>
      <c r="CE20" s="1275"/>
      <c r="CF20" s="1276"/>
      <c r="CG20" s="1276"/>
      <c r="CH20" s="1276"/>
      <c r="CI20" s="1276"/>
      <c r="CJ20" s="1276"/>
      <c r="CK20" s="1276"/>
      <c r="CL20" s="1301"/>
      <c r="CM20" s="1243"/>
      <c r="CN20" s="1244"/>
      <c r="CO20" s="1244"/>
      <c r="CP20" s="1244"/>
      <c r="CQ20" s="1244"/>
      <c r="CR20" s="1244"/>
      <c r="CS20" s="1244"/>
      <c r="CT20" s="1281"/>
      <c r="CW20" s="17"/>
      <c r="CX20" s="17"/>
      <c r="CY20" s="17"/>
      <c r="CZ20" s="17"/>
      <c r="DA20" s="17"/>
      <c r="DB20" s="17"/>
      <c r="DC20" s="17"/>
      <c r="DD20" s="17"/>
      <c r="DE20" s="17"/>
      <c r="DF20" s="17"/>
      <c r="DG20" s="17"/>
      <c r="DH20" s="17"/>
      <c r="DI20" s="17"/>
      <c r="DJ20" s="17"/>
      <c r="DK20" s="17"/>
      <c r="DL20" s="17"/>
      <c r="DM20" s="17"/>
      <c r="DN20" s="17"/>
      <c r="DO20" s="17"/>
      <c r="DP20" s="17"/>
      <c r="DQ20" s="17"/>
      <c r="DR20" s="17"/>
      <c r="DS20" s="17"/>
      <c r="DT20" s="17"/>
      <c r="DU20" s="17"/>
      <c r="DV20" s="17"/>
      <c r="DW20" s="17"/>
      <c r="DX20" s="17"/>
      <c r="DY20" s="17"/>
      <c r="DZ20" s="17"/>
      <c r="EA20" s="17"/>
      <c r="EB20" s="17"/>
      <c r="EC20" s="17"/>
      <c r="ED20" s="17"/>
    </row>
    <row r="21" spans="4:137" ht="7.5" customHeight="1" x14ac:dyDescent="0.25">
      <c r="D21" s="1252"/>
      <c r="E21" s="1252"/>
      <c r="F21" s="1252"/>
      <c r="G21" s="1252"/>
      <c r="H21" s="1252"/>
      <c r="I21" s="1252"/>
      <c r="J21" s="1253"/>
      <c r="K21" s="1550"/>
      <c r="L21" s="1551"/>
      <c r="M21" s="1551"/>
      <c r="N21" s="1552"/>
      <c r="O21" s="1550"/>
      <c r="P21" s="1551"/>
      <c r="Q21" s="1551"/>
      <c r="R21" s="1552"/>
      <c r="S21" s="1550"/>
      <c r="T21" s="1551"/>
      <c r="U21" s="1551"/>
      <c r="V21" s="1552"/>
      <c r="W21" s="1550"/>
      <c r="X21" s="1551"/>
      <c r="Y21" s="1551"/>
      <c r="Z21" s="1552"/>
      <c r="AA21" s="1550"/>
      <c r="AB21" s="1551"/>
      <c r="AC21" s="1551"/>
      <c r="AD21" s="1552"/>
      <c r="AE21" s="1550"/>
      <c r="AF21" s="1551"/>
      <c r="AG21" s="1551"/>
      <c r="AH21" s="1552"/>
      <c r="AX21" s="1297"/>
      <c r="AY21" s="1298"/>
      <c r="AZ21" s="1299"/>
      <c r="BB21" s="17"/>
      <c r="BC21" s="17"/>
      <c r="BD21" s="17"/>
      <c r="BE21" s="17"/>
      <c r="BF21" s="17"/>
      <c r="BL21" s="17"/>
      <c r="BM21" s="17"/>
      <c r="BN21" s="17"/>
      <c r="BP21" s="1272"/>
      <c r="BQ21" s="1273"/>
      <c r="BR21" s="1273"/>
      <c r="BS21" s="1273"/>
      <c r="BT21" s="1273"/>
      <c r="BU21" s="1273"/>
      <c r="BV21" s="1273"/>
      <c r="BW21" s="1273"/>
      <c r="BX21" s="1273"/>
      <c r="BY21" s="1273"/>
      <c r="BZ21" s="1273"/>
      <c r="CA21" s="1273"/>
      <c r="CB21" s="1273"/>
      <c r="CC21" s="1273"/>
      <c r="CD21" s="1274"/>
      <c r="CE21" s="1278"/>
      <c r="CF21" s="1279"/>
      <c r="CG21" s="1279"/>
      <c r="CH21" s="1279"/>
      <c r="CI21" s="1279"/>
      <c r="CJ21" s="1279"/>
      <c r="CK21" s="1279"/>
      <c r="CL21" s="1280"/>
      <c r="CM21" s="1246"/>
      <c r="CN21" s="1247"/>
      <c r="CO21" s="1247"/>
      <c r="CP21" s="1247"/>
      <c r="CQ21" s="1247"/>
      <c r="CR21" s="1247"/>
      <c r="CS21" s="1247"/>
      <c r="CT21" s="1248"/>
      <c r="CU21" s="17"/>
      <c r="CV21" s="17"/>
      <c r="CW21" s="17"/>
      <c r="CX21" s="17"/>
      <c r="CY21" s="17"/>
      <c r="CZ21" s="17"/>
      <c r="DA21" s="17"/>
      <c r="DB21" s="17"/>
      <c r="DC21" s="17"/>
      <c r="DD21" s="17"/>
      <c r="DE21" s="17"/>
      <c r="DF21" s="17"/>
      <c r="DG21" s="17"/>
      <c r="DH21" s="17"/>
      <c r="DI21" s="17"/>
      <c r="DJ21" s="17"/>
      <c r="DK21" s="17"/>
      <c r="DL21" s="17"/>
      <c r="DM21" s="17"/>
      <c r="DN21" s="17"/>
      <c r="DO21" s="17"/>
      <c r="DP21" s="17"/>
      <c r="DQ21" s="17"/>
      <c r="DR21" s="17"/>
      <c r="DS21" s="17"/>
      <c r="DT21" s="17"/>
      <c r="DU21" s="17"/>
      <c r="DV21" s="17"/>
      <c r="DW21" s="17"/>
      <c r="DX21" s="17"/>
      <c r="DY21" s="17"/>
      <c r="DZ21" s="17"/>
      <c r="EA21" s="17"/>
      <c r="EB21" s="17"/>
      <c r="EC21" s="17"/>
      <c r="ED21" s="17"/>
    </row>
    <row r="22" spans="4:137" ht="7.5" customHeight="1" x14ac:dyDescent="0.25">
      <c r="D22" s="430"/>
      <c r="E22" s="430"/>
      <c r="F22" s="430"/>
      <c r="G22" s="430"/>
      <c r="H22" s="431"/>
      <c r="I22" s="431"/>
      <c r="J22" s="431"/>
      <c r="K22" s="446"/>
      <c r="L22" s="446"/>
      <c r="M22" s="441"/>
      <c r="N22" s="442"/>
      <c r="O22" s="443"/>
      <c r="P22" s="443"/>
      <c r="Q22" s="443"/>
      <c r="R22" s="442"/>
      <c r="S22" s="443"/>
      <c r="T22" s="443"/>
      <c r="U22" s="443"/>
      <c r="V22" s="442"/>
      <c r="W22" s="443"/>
      <c r="X22" s="443"/>
      <c r="Y22" s="443"/>
      <c r="Z22" s="442"/>
      <c r="AA22" s="443"/>
      <c r="AB22" s="443"/>
      <c r="AC22" s="443"/>
      <c r="AD22" s="442"/>
      <c r="AE22" s="444"/>
      <c r="AF22" s="444"/>
      <c r="AG22" s="444"/>
      <c r="AH22" s="445"/>
      <c r="AJ22" s="1555" t="s">
        <v>58</v>
      </c>
      <c r="AK22" s="1555"/>
      <c r="AL22" s="1555"/>
      <c r="AM22" s="1555"/>
      <c r="AN22" s="1555"/>
      <c r="AO22" s="1555"/>
      <c r="AP22" s="1555"/>
      <c r="AQ22" s="1555"/>
      <c r="AR22" s="1555"/>
      <c r="AS22" s="1556"/>
      <c r="AT22" s="1216"/>
      <c r="AU22" s="1217"/>
      <c r="AV22" s="1218"/>
      <c r="BB22" s="714" t="s">
        <v>560</v>
      </c>
      <c r="BC22" s="714"/>
      <c r="BD22" s="714"/>
      <c r="BE22" s="714"/>
      <c r="BF22" s="714"/>
      <c r="BG22" s="714"/>
      <c r="BH22" s="714"/>
      <c r="BI22" s="714"/>
      <c r="BJ22" s="714"/>
      <c r="BK22" s="714"/>
      <c r="BL22" s="714"/>
      <c r="BM22" s="714"/>
      <c r="BN22" s="714"/>
      <c r="BP22" s="1287" t="s">
        <v>86</v>
      </c>
      <c r="BQ22" s="1288"/>
      <c r="BR22" s="1288"/>
      <c r="BS22" s="1288"/>
      <c r="BT22" s="1288"/>
      <c r="BU22" s="1288"/>
      <c r="BV22" s="1288"/>
      <c r="BW22" s="1288"/>
      <c r="BX22" s="1288"/>
      <c r="BY22" s="1288"/>
      <c r="BZ22" s="1288"/>
      <c r="CA22" s="1288"/>
      <c r="CB22" s="1288"/>
      <c r="CC22" s="1288"/>
      <c r="CD22" s="1288"/>
      <c r="CE22" s="1288"/>
      <c r="CF22" s="1288"/>
      <c r="CG22" s="1288"/>
      <c r="CH22" s="1288"/>
      <c r="CI22" s="1288"/>
      <c r="CJ22" s="1288"/>
      <c r="CK22" s="1288"/>
      <c r="CL22" s="1288"/>
      <c r="CM22" s="1289" t="s">
        <v>91</v>
      </c>
      <c r="CN22" s="1289"/>
      <c r="CO22" s="1289"/>
      <c r="CP22" s="1289"/>
      <c r="CQ22" s="328"/>
      <c r="CR22" s="328"/>
      <c r="CS22" s="328"/>
      <c r="CT22" s="329"/>
      <c r="CU22" s="17"/>
      <c r="CV22" s="17"/>
      <c r="CW22" s="17"/>
      <c r="CX22" s="17"/>
      <c r="CY22" s="17"/>
      <c r="CZ22" s="17"/>
      <c r="DA22" s="17"/>
      <c r="DB22" s="17"/>
      <c r="DC22" s="17"/>
      <c r="DD22" s="17"/>
      <c r="DE22" s="17"/>
      <c r="DF22" s="17"/>
      <c r="DG22" s="17"/>
      <c r="DH22" s="17"/>
      <c r="DI22" s="17"/>
      <c r="DJ22" s="17"/>
      <c r="DK22" s="17"/>
      <c r="DL22" s="17"/>
      <c r="DM22" s="17"/>
      <c r="DN22" s="17"/>
      <c r="DO22" s="17"/>
      <c r="DP22" s="17"/>
      <c r="DQ22" s="17"/>
      <c r="DR22" s="17"/>
      <c r="DS22" s="17"/>
      <c r="DT22" s="17"/>
      <c r="DU22" s="17"/>
      <c r="DV22" s="17"/>
      <c r="DW22" s="17"/>
      <c r="DX22" s="17"/>
      <c r="DY22" s="17"/>
      <c r="DZ22" s="17"/>
      <c r="EA22" s="17"/>
      <c r="EB22" s="17"/>
      <c r="EC22" s="17"/>
      <c r="ED22" s="17"/>
    </row>
    <row r="23" spans="4:137" ht="7.5" customHeight="1" x14ac:dyDescent="0.25">
      <c r="D23" s="1252" t="s">
        <v>523</v>
      </c>
      <c r="E23" s="1252"/>
      <c r="F23" s="1252"/>
      <c r="G23" s="1252"/>
      <c r="H23" s="1252"/>
      <c r="I23" s="1252"/>
      <c r="J23" s="1253"/>
      <c r="K23" s="1547"/>
      <c r="L23" s="1548"/>
      <c r="M23" s="1548"/>
      <c r="N23" s="1549"/>
      <c r="O23" s="1547"/>
      <c r="P23" s="1548"/>
      <c r="Q23" s="1548"/>
      <c r="R23" s="1549"/>
      <c r="S23" s="1547"/>
      <c r="T23" s="1548"/>
      <c r="U23" s="1548"/>
      <c r="V23" s="1549"/>
      <c r="W23" s="1547"/>
      <c r="X23" s="1548"/>
      <c r="Y23" s="1548"/>
      <c r="Z23" s="1549"/>
      <c r="AA23" s="1547"/>
      <c r="AB23" s="1548"/>
      <c r="AC23" s="1548"/>
      <c r="AD23" s="1549"/>
      <c r="AE23" s="1547"/>
      <c r="AF23" s="1548"/>
      <c r="AG23" s="1548"/>
      <c r="AH23" s="1549"/>
      <c r="AJ23" s="1555"/>
      <c r="AK23" s="1555"/>
      <c r="AL23" s="1555"/>
      <c r="AM23" s="1555"/>
      <c r="AN23" s="1555"/>
      <c r="AO23" s="1555"/>
      <c r="AP23" s="1555"/>
      <c r="AQ23" s="1555"/>
      <c r="AR23" s="1555"/>
      <c r="AS23" s="1556"/>
      <c r="AT23" s="1219"/>
      <c r="AU23" s="1220"/>
      <c r="AV23" s="1221"/>
      <c r="BB23" s="714"/>
      <c r="BC23" s="714"/>
      <c r="BD23" s="714"/>
      <c r="BE23" s="714"/>
      <c r="BF23" s="714"/>
      <c r="BG23" s="714"/>
      <c r="BH23" s="714"/>
      <c r="BI23" s="714"/>
      <c r="BJ23" s="714"/>
      <c r="BK23" s="714"/>
      <c r="BL23" s="714"/>
      <c r="BM23" s="714"/>
      <c r="BN23" s="714"/>
      <c r="BP23" s="1293"/>
      <c r="BQ23" s="1302"/>
      <c r="BR23" s="1302"/>
      <c r="BS23" s="1302"/>
      <c r="BT23" s="1302"/>
      <c r="BU23" s="1302"/>
      <c r="BV23" s="1302"/>
      <c r="BW23" s="1302"/>
      <c r="BX23" s="1302"/>
      <c r="BY23" s="1302"/>
      <c r="BZ23" s="1302"/>
      <c r="CA23" s="1302"/>
      <c r="CB23" s="1302"/>
      <c r="CC23" s="1302"/>
      <c r="CD23" s="1302"/>
      <c r="CE23" s="1302"/>
      <c r="CF23" s="1302"/>
      <c r="CG23" s="1302"/>
      <c r="CH23" s="1302"/>
      <c r="CI23" s="1302"/>
      <c r="CJ23" s="1302"/>
      <c r="CK23" s="1302"/>
      <c r="CL23" s="1302"/>
      <c r="CM23" s="1338"/>
      <c r="CN23" s="1307"/>
      <c r="CO23" s="1307"/>
      <c r="CP23" s="1307"/>
      <c r="CQ23" s="1307"/>
      <c r="CR23" s="1307"/>
      <c r="CS23" s="1307"/>
      <c r="CT23" s="1339"/>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row>
    <row r="24" spans="4:137" ht="7.5" customHeight="1" x14ac:dyDescent="0.25">
      <c r="D24" s="1252"/>
      <c r="E24" s="1252"/>
      <c r="F24" s="1252"/>
      <c r="G24" s="1252"/>
      <c r="H24" s="1252"/>
      <c r="I24" s="1252"/>
      <c r="J24" s="1253"/>
      <c r="K24" s="1550"/>
      <c r="L24" s="1551"/>
      <c r="M24" s="1551"/>
      <c r="N24" s="1552"/>
      <c r="O24" s="1550"/>
      <c r="P24" s="1551"/>
      <c r="Q24" s="1551"/>
      <c r="R24" s="1552"/>
      <c r="S24" s="1550"/>
      <c r="T24" s="1551"/>
      <c r="U24" s="1551"/>
      <c r="V24" s="1552"/>
      <c r="W24" s="1550"/>
      <c r="X24" s="1551"/>
      <c r="Y24" s="1551"/>
      <c r="Z24" s="1552"/>
      <c r="AA24" s="1550"/>
      <c r="AB24" s="1551"/>
      <c r="AC24" s="1551"/>
      <c r="AD24" s="1552"/>
      <c r="AE24" s="1550"/>
      <c r="AF24" s="1551"/>
      <c r="AG24" s="1551"/>
      <c r="AH24" s="1552"/>
      <c r="AJ24" s="1553" t="s">
        <v>57</v>
      </c>
      <c r="AK24" s="1553"/>
      <c r="AL24" s="1553"/>
      <c r="AM24" s="1553"/>
      <c r="AN24" s="1553"/>
      <c r="AO24" s="1553"/>
      <c r="AP24" s="1553"/>
      <c r="AQ24" s="1553"/>
      <c r="AR24" s="1553"/>
      <c r="AS24" s="1554"/>
      <c r="AT24" s="1217"/>
      <c r="AU24" s="1217"/>
      <c r="AV24" s="1218"/>
      <c r="BB24" s="17"/>
      <c r="BC24" s="1345"/>
      <c r="BD24" s="1346"/>
      <c r="BE24" s="1347"/>
      <c r="BF24" s="17"/>
      <c r="BG24" s="1345"/>
      <c r="BH24" s="1346"/>
      <c r="BI24" s="1347"/>
      <c r="BJ24" s="17"/>
      <c r="BK24" s="1345"/>
      <c r="BL24" s="1346"/>
      <c r="BM24" s="1347"/>
      <c r="BP24" s="1303"/>
      <c r="BQ24" s="1302"/>
      <c r="BR24" s="1302"/>
      <c r="BS24" s="1302"/>
      <c r="BT24" s="1302"/>
      <c r="BU24" s="1302"/>
      <c r="BV24" s="1302"/>
      <c r="BW24" s="1302"/>
      <c r="BX24" s="1302"/>
      <c r="BY24" s="1302"/>
      <c r="BZ24" s="1302"/>
      <c r="CA24" s="1302"/>
      <c r="CB24" s="1302"/>
      <c r="CC24" s="1302"/>
      <c r="CD24" s="1302"/>
      <c r="CE24" s="1302"/>
      <c r="CF24" s="1302"/>
      <c r="CG24" s="1302"/>
      <c r="CH24" s="1302"/>
      <c r="CI24" s="1302"/>
      <c r="CJ24" s="1302"/>
      <c r="CK24" s="1302"/>
      <c r="CL24" s="1302"/>
      <c r="CM24" s="1228"/>
      <c r="CN24" s="1229"/>
      <c r="CO24" s="1229"/>
      <c r="CP24" s="1229"/>
      <c r="CQ24" s="1229"/>
      <c r="CR24" s="1229"/>
      <c r="CS24" s="1229"/>
      <c r="CT24" s="1308"/>
      <c r="CU24" s="17"/>
      <c r="CV24" s="17"/>
      <c r="CW24" s="17"/>
      <c r="CX24" s="17"/>
      <c r="CY24" s="17"/>
      <c r="CZ24" s="17"/>
      <c r="DA24" s="17"/>
      <c r="DB24" s="17"/>
      <c r="DC24" s="17"/>
      <c r="DD24" s="17"/>
      <c r="DE24" s="17"/>
      <c r="DF24" s="17"/>
      <c r="DG24" s="17"/>
      <c r="DH24" s="17"/>
      <c r="DI24" s="17"/>
      <c r="DJ24" s="17"/>
      <c r="DK24" s="17"/>
      <c r="DL24" s="17"/>
      <c r="DM24" s="17"/>
      <c r="DN24" s="17"/>
      <c r="DO24" s="17"/>
      <c r="DP24" s="17"/>
      <c r="DQ24" s="17"/>
      <c r="DR24" s="17"/>
      <c r="DS24" s="17"/>
      <c r="DT24" s="17"/>
      <c r="DU24" s="17"/>
      <c r="DV24" s="17"/>
      <c r="DW24" s="17"/>
      <c r="DX24" s="17"/>
      <c r="DY24" s="17"/>
      <c r="DZ24" s="17"/>
      <c r="EA24" s="17"/>
      <c r="EB24" s="17"/>
      <c r="EC24" s="17"/>
      <c r="ED24" s="17"/>
    </row>
    <row r="25" spans="4:137" ht="7.5" customHeight="1" x14ac:dyDescent="0.25">
      <c r="AJ25" s="1553"/>
      <c r="AK25" s="1553"/>
      <c r="AL25" s="1553"/>
      <c r="AM25" s="1553"/>
      <c r="AN25" s="1553"/>
      <c r="AO25" s="1553"/>
      <c r="AP25" s="1553"/>
      <c r="AQ25" s="1553"/>
      <c r="AR25" s="1553"/>
      <c r="AS25" s="1554"/>
      <c r="AT25" s="1220"/>
      <c r="AU25" s="1220"/>
      <c r="AV25" s="1221"/>
      <c r="BB25" s="17"/>
      <c r="BC25" s="1177"/>
      <c r="BD25" s="1052"/>
      <c r="BE25" s="1348"/>
      <c r="BF25" s="17"/>
      <c r="BG25" s="1177"/>
      <c r="BH25" s="1052"/>
      <c r="BI25" s="1348"/>
      <c r="BJ25" s="17"/>
      <c r="BK25" s="1177"/>
      <c r="BL25" s="1052"/>
      <c r="BM25" s="1348"/>
      <c r="BP25" s="1303"/>
      <c r="BQ25" s="1302"/>
      <c r="BR25" s="1302"/>
      <c r="BS25" s="1302"/>
      <c r="BT25" s="1302"/>
      <c r="BU25" s="1302"/>
      <c r="BV25" s="1302"/>
      <c r="BW25" s="1302"/>
      <c r="BX25" s="1302"/>
      <c r="BY25" s="1302"/>
      <c r="BZ25" s="1302"/>
      <c r="CA25" s="1302"/>
      <c r="CB25" s="1302"/>
      <c r="CC25" s="1302"/>
      <c r="CD25" s="1302"/>
      <c r="CE25" s="1302"/>
      <c r="CF25" s="1302"/>
      <c r="CG25" s="1302"/>
      <c r="CH25" s="1302"/>
      <c r="CI25" s="1302"/>
      <c r="CJ25" s="1302"/>
      <c r="CK25" s="1302"/>
      <c r="CL25" s="1302"/>
      <c r="CM25" s="1231"/>
      <c r="CN25" s="1232"/>
      <c r="CO25" s="1232"/>
      <c r="CP25" s="1232"/>
      <c r="CQ25" s="1232"/>
      <c r="CR25" s="1232"/>
      <c r="CS25" s="1232"/>
      <c r="CT25" s="1233"/>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W25" s="17"/>
      <c r="DX25" s="17"/>
      <c r="DY25" s="17"/>
      <c r="DZ25" s="17"/>
      <c r="EA25" s="17"/>
      <c r="EB25" s="17"/>
      <c r="EC25" s="17"/>
      <c r="ED25" s="17"/>
    </row>
    <row r="26" spans="4:137" ht="7.5" customHeight="1" x14ac:dyDescent="0.25">
      <c r="D26" s="1254" t="s">
        <v>524</v>
      </c>
      <c r="E26" s="1255"/>
      <c r="F26" s="1255"/>
      <c r="G26" s="1255"/>
      <c r="H26" s="1255"/>
      <c r="I26" s="1255"/>
      <c r="J26" s="1255"/>
      <c r="K26" s="1255"/>
      <c r="L26" s="1255"/>
      <c r="M26" s="1255"/>
      <c r="N26" s="1255"/>
      <c r="O26" s="1255"/>
      <c r="P26" s="1255"/>
      <c r="Q26" s="1255"/>
      <c r="R26" s="1255"/>
      <c r="S26" s="1255"/>
      <c r="T26" s="1255"/>
      <c r="U26" s="1255"/>
      <c r="V26" s="1255"/>
      <c r="W26" s="1255"/>
      <c r="X26" s="1255"/>
      <c r="Y26" s="1255"/>
      <c r="Z26" s="1255"/>
      <c r="AA26" s="1255"/>
      <c r="AB26" s="1255"/>
      <c r="AC26" s="1255"/>
      <c r="AD26" s="1255"/>
      <c r="AE26" s="1255"/>
      <c r="AF26" s="1255"/>
      <c r="AG26" s="1255"/>
      <c r="AH26" s="1256"/>
      <c r="AJ26" s="1555" t="s">
        <v>514</v>
      </c>
      <c r="AK26" s="1555"/>
      <c r="AL26" s="1555"/>
      <c r="AM26" s="1555"/>
      <c r="AN26" s="1555"/>
      <c r="AO26" s="1555"/>
      <c r="AP26" s="1555"/>
      <c r="AQ26" s="1555"/>
      <c r="AR26" s="1555"/>
      <c r="AS26" s="1556"/>
      <c r="AT26" s="1217"/>
      <c r="AU26" s="1217"/>
      <c r="AV26" s="1218"/>
      <c r="BB26" s="17"/>
      <c r="BC26" s="1297"/>
      <c r="BD26" s="1298"/>
      <c r="BE26" s="1299"/>
      <c r="BF26" s="17"/>
      <c r="BG26" s="1297"/>
      <c r="BH26" s="1298"/>
      <c r="BI26" s="1299"/>
      <c r="BJ26" s="17"/>
      <c r="BK26" s="1297"/>
      <c r="BL26" s="1298"/>
      <c r="BM26" s="1299"/>
      <c r="BP26" s="1303"/>
      <c r="BQ26" s="1302"/>
      <c r="BR26" s="1302"/>
      <c r="BS26" s="1302"/>
      <c r="BT26" s="1302"/>
      <c r="BU26" s="1302"/>
      <c r="BV26" s="1302"/>
      <c r="BW26" s="1302"/>
      <c r="BX26" s="1302"/>
      <c r="BY26" s="1302"/>
      <c r="BZ26" s="1302"/>
      <c r="CA26" s="1302"/>
      <c r="CB26" s="1302"/>
      <c r="CC26" s="1302"/>
      <c r="CD26" s="1302"/>
      <c r="CE26" s="1302"/>
      <c r="CF26" s="1302"/>
      <c r="CG26" s="1302"/>
      <c r="CH26" s="1302"/>
      <c r="CI26" s="1302"/>
      <c r="CJ26" s="1302"/>
      <c r="CK26" s="1302"/>
      <c r="CL26" s="1302"/>
      <c r="CM26" s="1289" t="s">
        <v>525</v>
      </c>
      <c r="CN26" s="1289"/>
      <c r="CO26" s="1289"/>
      <c r="CP26" s="1289"/>
      <c r="CQ26" s="199"/>
      <c r="CR26" s="199"/>
      <c r="CS26" s="199"/>
      <c r="CT26" s="329"/>
      <c r="CU26" s="17"/>
      <c r="CV26" s="17"/>
      <c r="CW26" s="17"/>
      <c r="CX26" s="17"/>
      <c r="CY26" s="17"/>
      <c r="CZ26" s="17"/>
      <c r="DA26" s="17"/>
      <c r="DB26" s="17"/>
      <c r="DC26" s="17"/>
      <c r="DD26" s="17"/>
      <c r="DE26" s="17"/>
      <c r="DF26" s="17"/>
      <c r="DG26" s="17"/>
      <c r="DH26" s="17"/>
      <c r="DI26" s="17"/>
      <c r="DJ26" s="17"/>
      <c r="DK26" s="17"/>
      <c r="DL26" s="17"/>
      <c r="DM26" s="17"/>
      <c r="DN26" s="17"/>
      <c r="DO26" s="17"/>
      <c r="DP26" s="17"/>
      <c r="DQ26" s="17"/>
      <c r="DW26" s="17"/>
      <c r="DX26" s="17"/>
      <c r="DY26" s="17"/>
      <c r="DZ26" s="17"/>
      <c r="EA26" s="17"/>
      <c r="EB26" s="17"/>
      <c r="EC26" s="17"/>
      <c r="ED26" s="17"/>
    </row>
    <row r="27" spans="4:137" ht="7.5" customHeight="1" x14ac:dyDescent="0.25">
      <c r="D27" s="1257"/>
      <c r="E27" s="1258"/>
      <c r="F27" s="1258"/>
      <c r="G27" s="1258"/>
      <c r="H27" s="1258"/>
      <c r="I27" s="1258"/>
      <c r="J27" s="1258"/>
      <c r="K27" s="1258"/>
      <c r="L27" s="1258"/>
      <c r="M27" s="1258"/>
      <c r="N27" s="1258"/>
      <c r="O27" s="1258"/>
      <c r="P27" s="1258"/>
      <c r="Q27" s="1258"/>
      <c r="R27" s="1258"/>
      <c r="S27" s="1258"/>
      <c r="T27" s="1258"/>
      <c r="U27" s="1258"/>
      <c r="V27" s="1258"/>
      <c r="W27" s="1258"/>
      <c r="X27" s="1258"/>
      <c r="Y27" s="1258"/>
      <c r="Z27" s="1258"/>
      <c r="AA27" s="1258"/>
      <c r="AB27" s="1258"/>
      <c r="AC27" s="1258"/>
      <c r="AD27" s="1258"/>
      <c r="AE27" s="1258"/>
      <c r="AF27" s="1258"/>
      <c r="AG27" s="1258"/>
      <c r="AH27" s="1259"/>
      <c r="AI27" s="330"/>
      <c r="AJ27" s="1555"/>
      <c r="AK27" s="1555"/>
      <c r="AL27" s="1555"/>
      <c r="AM27" s="1555"/>
      <c r="AN27" s="1555"/>
      <c r="AO27" s="1555"/>
      <c r="AP27" s="1555"/>
      <c r="AQ27" s="1555"/>
      <c r="AR27" s="1555"/>
      <c r="AS27" s="1556"/>
      <c r="AT27" s="1220"/>
      <c r="AU27" s="1220"/>
      <c r="AV27" s="1221"/>
      <c r="BB27" s="17"/>
      <c r="BC27" s="1349" t="s">
        <v>454</v>
      </c>
      <c r="BD27" s="1349"/>
      <c r="BE27" s="1349"/>
      <c r="BF27" s="440"/>
      <c r="BG27" s="1349" t="s">
        <v>455</v>
      </c>
      <c r="BH27" s="1349"/>
      <c r="BI27" s="1349"/>
      <c r="BJ27" s="440"/>
      <c r="BK27" s="1349" t="s">
        <v>559</v>
      </c>
      <c r="BL27" s="1349"/>
      <c r="BM27" s="1349"/>
      <c r="BP27" s="1303"/>
      <c r="BQ27" s="1302"/>
      <c r="BR27" s="1302"/>
      <c r="BS27" s="1302"/>
      <c r="BT27" s="1302"/>
      <c r="BU27" s="1302"/>
      <c r="BV27" s="1302"/>
      <c r="BW27" s="1302"/>
      <c r="BX27" s="1302"/>
      <c r="BY27" s="1302"/>
      <c r="BZ27" s="1302"/>
      <c r="CA27" s="1302"/>
      <c r="CB27" s="1302"/>
      <c r="CC27" s="1302"/>
      <c r="CD27" s="1302"/>
      <c r="CE27" s="1302"/>
      <c r="CF27" s="1302"/>
      <c r="CG27" s="1302"/>
      <c r="CH27" s="1302"/>
      <c r="CI27" s="1302"/>
      <c r="CJ27" s="1302"/>
      <c r="CK27" s="1302"/>
      <c r="CL27" s="1302"/>
      <c r="CM27" s="1334"/>
      <c r="CN27" s="1306"/>
      <c r="CO27" s="1306"/>
      <c r="CP27" s="1306"/>
      <c r="CQ27" s="1306"/>
      <c r="CR27" s="1306"/>
      <c r="CS27" s="1306"/>
      <c r="CT27" s="1335"/>
      <c r="CU27" s="17"/>
      <c r="CV27" s="17"/>
      <c r="CW27" s="17"/>
      <c r="CX27" s="17"/>
      <c r="CY27" s="17"/>
      <c r="CZ27" s="17"/>
      <c r="DA27" s="17"/>
      <c r="DB27" s="17"/>
      <c r="DC27" s="17"/>
      <c r="DD27" s="17"/>
      <c r="DE27" s="17"/>
      <c r="DF27" s="17"/>
      <c r="DG27" s="17"/>
      <c r="DH27" s="17"/>
      <c r="DI27" s="17"/>
      <c r="DJ27" s="17"/>
      <c r="DK27" s="17"/>
      <c r="DL27" s="17"/>
      <c r="DM27" s="17"/>
      <c r="DN27" s="17"/>
      <c r="DO27" s="17"/>
      <c r="DP27" s="17"/>
      <c r="DQ27" s="17"/>
      <c r="DW27" s="17"/>
      <c r="DX27" s="17"/>
      <c r="DY27" s="17"/>
      <c r="DZ27" s="17"/>
      <c r="EA27" s="17"/>
      <c r="EB27" s="17"/>
      <c r="EC27" s="17"/>
      <c r="ED27" s="17"/>
    </row>
    <row r="28" spans="4:137" ht="7.5" customHeight="1" x14ac:dyDescent="0.25">
      <c r="D28" s="1260"/>
      <c r="E28" s="1261"/>
      <c r="F28" s="1261"/>
      <c r="G28" s="1261"/>
      <c r="H28" s="1261"/>
      <c r="I28" s="1261"/>
      <c r="J28" s="1261"/>
      <c r="K28" s="1261"/>
      <c r="L28" s="1261"/>
      <c r="M28" s="1261"/>
      <c r="N28" s="1261"/>
      <c r="O28" s="1261"/>
      <c r="P28" s="1261"/>
      <c r="Q28" s="1261"/>
      <c r="R28" s="1261"/>
      <c r="S28" s="1261"/>
      <c r="T28" s="1261"/>
      <c r="U28" s="1261"/>
      <c r="V28" s="1261"/>
      <c r="W28" s="1261"/>
      <c r="X28" s="1261"/>
      <c r="Y28" s="1261"/>
      <c r="Z28" s="1261"/>
      <c r="AA28" s="1261"/>
      <c r="AB28" s="1261"/>
      <c r="AC28" s="1261"/>
      <c r="AD28" s="1261"/>
      <c r="AE28" s="1261"/>
      <c r="AF28" s="1261"/>
      <c r="AG28" s="1261"/>
      <c r="AH28" s="1262"/>
      <c r="AI28" s="330"/>
      <c r="AJ28" s="17"/>
      <c r="AK28" s="17"/>
      <c r="AL28" s="17"/>
      <c r="AM28" s="17"/>
      <c r="AN28" s="17"/>
      <c r="AO28" s="17"/>
      <c r="AP28" s="17"/>
      <c r="AQ28" s="17"/>
      <c r="AR28" s="17"/>
      <c r="AS28" s="17"/>
      <c r="BB28" s="17"/>
      <c r="BC28" s="17"/>
      <c r="BD28" s="17"/>
      <c r="BE28" s="17"/>
      <c r="BF28" s="17"/>
      <c r="BG28" s="17"/>
      <c r="BH28" s="17"/>
      <c r="BI28" s="17"/>
      <c r="BJ28" s="17"/>
      <c r="BK28" s="17"/>
      <c r="BL28" s="17"/>
      <c r="BM28" s="17"/>
      <c r="BP28" s="1303"/>
      <c r="BQ28" s="1302"/>
      <c r="BR28" s="1302"/>
      <c r="BS28" s="1302"/>
      <c r="BT28" s="1302"/>
      <c r="BU28" s="1302"/>
      <c r="BV28" s="1302"/>
      <c r="BW28" s="1302"/>
      <c r="BX28" s="1302"/>
      <c r="BY28" s="1302"/>
      <c r="BZ28" s="1302"/>
      <c r="CA28" s="1302"/>
      <c r="CB28" s="1302"/>
      <c r="CC28" s="1302"/>
      <c r="CD28" s="1302"/>
      <c r="CE28" s="1302"/>
      <c r="CF28" s="1302"/>
      <c r="CG28" s="1302"/>
      <c r="CH28" s="1302"/>
      <c r="CI28" s="1302"/>
      <c r="CJ28" s="1302"/>
      <c r="CK28" s="1302"/>
      <c r="CL28" s="1302"/>
      <c r="CM28" s="1243"/>
      <c r="CN28" s="1244"/>
      <c r="CO28" s="1244"/>
      <c r="CP28" s="1244"/>
      <c r="CQ28" s="1244"/>
      <c r="CR28" s="1244"/>
      <c r="CS28" s="1244"/>
      <c r="CT28" s="1281"/>
      <c r="CU28" s="17"/>
      <c r="CV28" s="17"/>
      <c r="CW28" s="17"/>
      <c r="CX28" s="17"/>
      <c r="CY28" s="17"/>
      <c r="CZ28" s="17"/>
      <c r="DA28" s="17"/>
      <c r="DB28" s="17"/>
      <c r="DC28" s="17"/>
      <c r="DD28" s="17"/>
      <c r="DE28" s="17"/>
      <c r="DF28" s="17"/>
      <c r="DG28" s="17"/>
      <c r="DH28" s="17"/>
      <c r="DI28" s="17"/>
      <c r="DJ28" s="17"/>
      <c r="DK28" s="17"/>
      <c r="DL28" s="17"/>
      <c r="DM28" s="17"/>
      <c r="DN28" s="17"/>
      <c r="DO28" s="17"/>
      <c r="DP28" s="17"/>
      <c r="DQ28" s="17"/>
      <c r="DW28" s="17"/>
      <c r="DX28" s="17"/>
      <c r="DY28" s="17"/>
      <c r="DZ28" s="17"/>
      <c r="EA28" s="17"/>
      <c r="EB28" s="17"/>
      <c r="EC28" s="17"/>
      <c r="ED28" s="17"/>
      <c r="EE28" s="17"/>
      <c r="EF28" s="17"/>
    </row>
    <row r="29" spans="4:137" ht="7.5" customHeight="1" x14ac:dyDescent="0.25">
      <c r="AI29" s="330"/>
      <c r="AP29" s="1283" t="s">
        <v>487</v>
      </c>
      <c r="AQ29" s="1283"/>
      <c r="AR29" s="1283"/>
      <c r="AS29" s="1283"/>
      <c r="AT29" s="1283"/>
      <c r="AU29" s="1283"/>
      <c r="AV29" s="1283"/>
      <c r="AW29" s="1283"/>
      <c r="AX29" s="1283"/>
      <c r="AY29" s="1283"/>
      <c r="BO29" s="438"/>
      <c r="BP29" s="1303"/>
      <c r="BQ29" s="1302"/>
      <c r="BR29" s="1302"/>
      <c r="BS29" s="1302"/>
      <c r="BT29" s="1302"/>
      <c r="BU29" s="1302"/>
      <c r="BV29" s="1302"/>
      <c r="BW29" s="1302"/>
      <c r="BX29" s="1302"/>
      <c r="BY29" s="1302"/>
      <c r="BZ29" s="1302"/>
      <c r="CA29" s="1302"/>
      <c r="CB29" s="1302"/>
      <c r="CC29" s="1302"/>
      <c r="CD29" s="1302"/>
      <c r="CE29" s="1302"/>
      <c r="CF29" s="1302"/>
      <c r="CG29" s="1302"/>
      <c r="CH29" s="1302"/>
      <c r="CI29" s="1302"/>
      <c r="CJ29" s="1302"/>
      <c r="CK29" s="1302"/>
      <c r="CL29" s="1302"/>
      <c r="CM29" s="1246"/>
      <c r="CN29" s="1247"/>
      <c r="CO29" s="1247"/>
      <c r="CP29" s="1247"/>
      <c r="CQ29" s="1247"/>
      <c r="CR29" s="1247"/>
      <c r="CS29" s="1247"/>
      <c r="CT29" s="1248"/>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W29" s="17"/>
      <c r="DX29" s="17"/>
      <c r="DY29" s="17"/>
      <c r="DZ29" s="17"/>
      <c r="EA29" s="17"/>
      <c r="EB29" s="17"/>
      <c r="EC29" s="17"/>
      <c r="ED29" s="17"/>
      <c r="EE29" s="17"/>
      <c r="EF29" s="17"/>
    </row>
    <row r="30" spans="4:137" ht="7.5" customHeight="1" x14ac:dyDescent="0.25">
      <c r="D30" s="918" t="s">
        <v>538</v>
      </c>
      <c r="E30" s="918"/>
      <c r="F30" s="918"/>
      <c r="G30" s="918"/>
      <c r="H30" s="918"/>
      <c r="I30" s="918"/>
      <c r="J30" s="918"/>
      <c r="K30" s="918"/>
      <c r="L30" s="918"/>
      <c r="M30" s="918"/>
      <c r="N30" s="919"/>
      <c r="O30" s="926"/>
      <c r="P30" s="927"/>
      <c r="Q30" s="927"/>
      <c r="R30" s="928"/>
      <c r="S30" s="920"/>
      <c r="T30" s="921"/>
      <c r="U30" s="921"/>
      <c r="V30" s="922"/>
      <c r="W30" s="920"/>
      <c r="X30" s="921"/>
      <c r="Y30" s="921"/>
      <c r="Z30" s="922"/>
      <c r="AA30" s="920"/>
      <c r="AB30" s="921"/>
      <c r="AC30" s="921"/>
      <c r="AD30" s="922"/>
      <c r="AE30" s="920"/>
      <c r="AF30" s="921"/>
      <c r="AG30" s="921"/>
      <c r="AH30" s="922"/>
      <c r="AI30" s="1282"/>
      <c r="AP30" s="1283"/>
      <c r="AQ30" s="1283"/>
      <c r="AR30" s="1283"/>
      <c r="AS30" s="1283"/>
      <c r="AT30" s="1283"/>
      <c r="AU30" s="1283"/>
      <c r="AV30" s="1283"/>
      <c r="AW30" s="1283"/>
      <c r="AX30" s="1283"/>
      <c r="AY30" s="1283"/>
      <c r="BG30" s="437"/>
      <c r="BO30" s="438"/>
      <c r="BP30" s="1304"/>
      <c r="BQ30" s="1305"/>
      <c r="BR30" s="1305"/>
      <c r="BS30" s="1305"/>
      <c r="BT30" s="1305"/>
      <c r="BU30" s="1305"/>
      <c r="BV30" s="1305"/>
      <c r="BW30" s="1305"/>
      <c r="BX30" s="1305"/>
      <c r="BY30" s="1305"/>
      <c r="BZ30" s="1305"/>
      <c r="CA30" s="1305"/>
      <c r="CB30" s="1305"/>
      <c r="CC30" s="1305"/>
      <c r="CD30" s="1305"/>
      <c r="CE30" s="1305"/>
      <c r="CF30" s="1305"/>
      <c r="CG30" s="1305"/>
      <c r="CH30" s="1305"/>
      <c r="CI30" s="1305"/>
      <c r="CJ30" s="1305"/>
      <c r="CK30" s="1305"/>
      <c r="CL30" s="1305"/>
      <c r="CM30" s="331"/>
      <c r="CN30" s="331"/>
      <c r="CO30" s="331"/>
      <c r="CP30" s="331"/>
      <c r="CQ30" s="331"/>
      <c r="CR30" s="331"/>
      <c r="CS30" s="331"/>
      <c r="CT30" s="332"/>
      <c r="CU30" s="330"/>
      <c r="CV30" s="333"/>
      <c r="CW30" s="17"/>
      <c r="CX30" s="17"/>
      <c r="CY30" s="17"/>
      <c r="CZ30" s="17"/>
      <c r="DA30" s="17"/>
      <c r="DB30" s="17"/>
      <c r="DC30" s="17"/>
      <c r="DD30" s="17"/>
      <c r="DE30" s="17"/>
      <c r="DF30" s="17"/>
      <c r="DG30" s="17"/>
      <c r="DH30" s="17"/>
      <c r="DI30" s="17"/>
      <c r="DJ30" s="17"/>
      <c r="DK30" s="17"/>
      <c r="DL30" s="17"/>
      <c r="DM30" s="17"/>
      <c r="DN30" s="17"/>
      <c r="DO30" s="17"/>
      <c r="DP30" s="17"/>
      <c r="DQ30" s="17"/>
      <c r="DW30" s="17"/>
      <c r="DX30" s="17"/>
      <c r="DY30" s="17"/>
      <c r="DZ30" s="17"/>
      <c r="EA30" s="17"/>
      <c r="EB30" s="17"/>
      <c r="EC30" s="17"/>
      <c r="ED30" s="17"/>
      <c r="EE30" s="17"/>
      <c r="EF30" s="17"/>
    </row>
    <row r="31" spans="4:137" ht="7.5" customHeight="1" x14ac:dyDescent="0.25">
      <c r="D31" s="918"/>
      <c r="E31" s="918"/>
      <c r="F31" s="918"/>
      <c r="G31" s="918"/>
      <c r="H31" s="918"/>
      <c r="I31" s="918"/>
      <c r="J31" s="918"/>
      <c r="K31" s="918"/>
      <c r="L31" s="918"/>
      <c r="M31" s="918"/>
      <c r="N31" s="919"/>
      <c r="O31" s="929"/>
      <c r="P31" s="930"/>
      <c r="Q31" s="930"/>
      <c r="R31" s="931"/>
      <c r="S31" s="923"/>
      <c r="T31" s="924"/>
      <c r="U31" s="924"/>
      <c r="V31" s="925"/>
      <c r="W31" s="923"/>
      <c r="X31" s="924"/>
      <c r="Y31" s="924"/>
      <c r="Z31" s="925"/>
      <c r="AA31" s="923"/>
      <c r="AB31" s="924"/>
      <c r="AC31" s="924"/>
      <c r="AD31" s="925"/>
      <c r="AE31" s="923"/>
      <c r="AF31" s="924"/>
      <c r="AG31" s="924"/>
      <c r="AH31" s="925"/>
      <c r="AI31" s="1282"/>
      <c r="BP31" s="1325" t="s">
        <v>85</v>
      </c>
      <c r="BQ31" s="1326"/>
      <c r="BR31" s="1326"/>
      <c r="BS31" s="1326"/>
      <c r="BT31" s="1326"/>
      <c r="BU31" s="1326"/>
      <c r="BV31" s="1326"/>
      <c r="BW31" s="1326"/>
      <c r="BX31" s="1326"/>
      <c r="BY31" s="1326"/>
      <c r="BZ31" s="1326"/>
      <c r="CA31" s="1326"/>
      <c r="CB31" s="1326"/>
      <c r="CC31" s="1326"/>
      <c r="CD31" s="1327"/>
      <c r="CE31" s="1328" t="s">
        <v>89</v>
      </c>
      <c r="CF31" s="1329"/>
      <c r="CG31" s="1329"/>
      <c r="CH31" s="1329"/>
      <c r="CI31" s="1329"/>
      <c r="CJ31" s="1329"/>
      <c r="CK31" s="1329"/>
      <c r="CL31" s="1330"/>
      <c r="CM31" s="325" t="s">
        <v>88</v>
      </c>
      <c r="CN31" s="326"/>
      <c r="CO31" s="326"/>
      <c r="CP31" s="326"/>
      <c r="CQ31" s="326"/>
      <c r="CR31" s="326"/>
      <c r="CS31" s="326"/>
      <c r="CT31" s="327"/>
      <c r="CU31" s="1213" t="s">
        <v>527</v>
      </c>
      <c r="CV31" s="1213"/>
      <c r="CW31" s="17"/>
      <c r="CX31" s="17"/>
      <c r="CY31" s="17"/>
      <c r="CZ31" s="17"/>
      <c r="DA31" s="17"/>
      <c r="DB31" s="17"/>
      <c r="DC31" s="17"/>
      <c r="DD31" s="17"/>
      <c r="DE31" s="17"/>
      <c r="DF31" s="17"/>
      <c r="DG31" s="17"/>
      <c r="DH31" s="17"/>
      <c r="DI31" s="17"/>
      <c r="DJ31" s="17"/>
      <c r="DK31" s="17"/>
      <c r="DL31" s="17"/>
      <c r="DM31" s="17"/>
      <c r="DN31" s="17"/>
      <c r="DO31" s="17"/>
      <c r="DP31" s="17"/>
      <c r="DQ31" s="17"/>
      <c r="DX31" s="17"/>
      <c r="DY31" s="17"/>
      <c r="DZ31" s="17"/>
      <c r="EA31" s="17"/>
      <c r="EB31" s="17"/>
      <c r="EC31" s="17"/>
      <c r="ED31" s="17"/>
      <c r="EE31" s="17"/>
      <c r="EF31" s="17"/>
      <c r="EG31" s="17"/>
    </row>
    <row r="32" spans="4:137" ht="7.5" customHeight="1" x14ac:dyDescent="0.25">
      <c r="D32" s="334"/>
      <c r="E32" s="334"/>
      <c r="F32" s="334"/>
      <c r="G32" s="334"/>
      <c r="H32" s="334"/>
      <c r="I32" s="334"/>
      <c r="J32" s="334"/>
      <c r="K32" s="334"/>
      <c r="L32" s="334"/>
      <c r="O32" s="335"/>
      <c r="P32" s="335"/>
      <c r="AI32" s="336"/>
      <c r="BP32" s="1269"/>
      <c r="BQ32" s="1270"/>
      <c r="BR32" s="1270"/>
      <c r="BS32" s="1270"/>
      <c r="BT32" s="1270"/>
      <c r="BU32" s="1270"/>
      <c r="BV32" s="1270"/>
      <c r="BW32" s="1270"/>
      <c r="BX32" s="1270"/>
      <c r="BY32" s="1270"/>
      <c r="BZ32" s="1270"/>
      <c r="CA32" s="1270"/>
      <c r="CB32" s="1270"/>
      <c r="CC32" s="1270"/>
      <c r="CD32" s="1271"/>
      <c r="CE32" s="1275"/>
      <c r="CF32" s="1276"/>
      <c r="CG32" s="1276"/>
      <c r="CH32" s="1276"/>
      <c r="CI32" s="1276"/>
      <c r="CJ32" s="1276"/>
      <c r="CK32" s="1276"/>
      <c r="CL32" s="1277"/>
      <c r="CM32" s="1243"/>
      <c r="CN32" s="1244"/>
      <c r="CO32" s="1244"/>
      <c r="CP32" s="1244"/>
      <c r="CQ32" s="1244"/>
      <c r="CR32" s="1244"/>
      <c r="CS32" s="1244"/>
      <c r="CT32" s="1245"/>
      <c r="CU32" s="1213"/>
      <c r="CV32" s="1213"/>
      <c r="CW32" s="17"/>
      <c r="CX32" s="17"/>
      <c r="CY32" s="17"/>
      <c r="CZ32" s="17"/>
      <c r="DA32" s="17"/>
      <c r="DB32" s="17"/>
      <c r="DC32" s="17"/>
      <c r="DD32" s="17"/>
      <c r="DE32" s="17"/>
      <c r="DF32" s="17"/>
      <c r="DG32" s="17"/>
      <c r="DH32" s="17"/>
      <c r="DI32" s="17"/>
      <c r="DJ32" s="17"/>
      <c r="DK32" s="17"/>
      <c r="DL32" s="17"/>
      <c r="DM32" s="17"/>
      <c r="DN32" s="17"/>
      <c r="DO32" s="17"/>
      <c r="DP32" s="17"/>
      <c r="DQ32" s="17"/>
      <c r="DX32" s="17"/>
      <c r="DY32" s="17"/>
      <c r="DZ32" s="17"/>
      <c r="EA32" s="17"/>
      <c r="EB32" s="17"/>
      <c r="EC32" s="17"/>
      <c r="ED32" s="17"/>
      <c r="EE32" s="17"/>
      <c r="EF32" s="17"/>
      <c r="EG32" s="17"/>
    </row>
    <row r="33" spans="4:137" ht="7.5" customHeight="1" x14ac:dyDescent="0.25">
      <c r="D33" s="918" t="s">
        <v>539</v>
      </c>
      <c r="E33" s="918"/>
      <c r="F33" s="918"/>
      <c r="G33" s="918"/>
      <c r="H33" s="918"/>
      <c r="I33" s="918"/>
      <c r="J33" s="918"/>
      <c r="K33" s="918"/>
      <c r="L33" s="918"/>
      <c r="M33" s="918"/>
      <c r="N33" s="919"/>
      <c r="O33" s="926"/>
      <c r="P33" s="927"/>
      <c r="Q33" s="927"/>
      <c r="R33" s="928"/>
      <c r="S33" s="920"/>
      <c r="T33" s="921"/>
      <c r="U33" s="921"/>
      <c r="V33" s="922"/>
      <c r="W33" s="920"/>
      <c r="X33" s="921"/>
      <c r="Y33" s="921"/>
      <c r="Z33" s="922"/>
      <c r="AA33" s="920"/>
      <c r="AB33" s="921"/>
      <c r="AC33" s="921"/>
      <c r="AD33" s="922"/>
      <c r="AE33" s="920"/>
      <c r="AF33" s="921"/>
      <c r="AG33" s="921"/>
      <c r="AH33" s="922"/>
      <c r="AI33" s="1282"/>
      <c r="BP33" s="1272"/>
      <c r="BQ33" s="1273"/>
      <c r="BR33" s="1273"/>
      <c r="BS33" s="1273"/>
      <c r="BT33" s="1273"/>
      <c r="BU33" s="1273"/>
      <c r="BV33" s="1273"/>
      <c r="BW33" s="1273"/>
      <c r="BX33" s="1273"/>
      <c r="BY33" s="1273"/>
      <c r="BZ33" s="1273"/>
      <c r="CA33" s="1273"/>
      <c r="CB33" s="1273"/>
      <c r="CC33" s="1273"/>
      <c r="CD33" s="1274"/>
      <c r="CE33" s="1278"/>
      <c r="CF33" s="1279"/>
      <c r="CG33" s="1279"/>
      <c r="CH33" s="1279"/>
      <c r="CI33" s="1279"/>
      <c r="CJ33" s="1279"/>
      <c r="CK33" s="1279"/>
      <c r="CL33" s="1280"/>
      <c r="CM33" s="1246"/>
      <c r="CN33" s="1247"/>
      <c r="CO33" s="1247"/>
      <c r="CP33" s="1247"/>
      <c r="CQ33" s="1247"/>
      <c r="CR33" s="1247"/>
      <c r="CS33" s="1247"/>
      <c r="CT33" s="1248"/>
      <c r="CU33" s="330"/>
      <c r="CV33" s="333"/>
      <c r="CW33" s="17"/>
      <c r="CX33" s="17"/>
      <c r="CY33" s="17"/>
      <c r="CZ33" s="17"/>
      <c r="DA33" s="17"/>
      <c r="DB33" s="17"/>
      <c r="DC33" s="17"/>
      <c r="DD33" s="17"/>
      <c r="DE33" s="17"/>
      <c r="DF33" s="17"/>
      <c r="DG33" s="17"/>
      <c r="DH33" s="17"/>
      <c r="DI33" s="17"/>
      <c r="DJ33" s="17"/>
      <c r="DK33" s="17"/>
      <c r="DL33" s="17"/>
      <c r="DM33" s="17"/>
      <c r="DN33" s="17"/>
      <c r="DO33" s="17"/>
      <c r="DP33" s="17"/>
      <c r="DQ33" s="17"/>
      <c r="DW33" s="17"/>
      <c r="DX33" s="17"/>
      <c r="DY33" s="17"/>
      <c r="DZ33" s="17"/>
      <c r="EA33" s="17"/>
      <c r="EB33" s="17"/>
      <c r="EC33" s="17"/>
      <c r="ED33" s="17"/>
      <c r="EE33" s="17"/>
      <c r="EF33" s="17"/>
      <c r="EG33" s="17"/>
    </row>
    <row r="34" spans="4:137" ht="7.5" customHeight="1" x14ac:dyDescent="0.25">
      <c r="D34" s="918"/>
      <c r="E34" s="918"/>
      <c r="F34" s="918"/>
      <c r="G34" s="918"/>
      <c r="H34" s="918"/>
      <c r="I34" s="918"/>
      <c r="J34" s="918"/>
      <c r="K34" s="918"/>
      <c r="L34" s="918"/>
      <c r="M34" s="918"/>
      <c r="N34" s="919"/>
      <c r="O34" s="929"/>
      <c r="P34" s="930"/>
      <c r="Q34" s="930"/>
      <c r="R34" s="931"/>
      <c r="S34" s="923"/>
      <c r="T34" s="924"/>
      <c r="U34" s="924"/>
      <c r="V34" s="925"/>
      <c r="W34" s="923"/>
      <c r="X34" s="924"/>
      <c r="Y34" s="924"/>
      <c r="Z34" s="925"/>
      <c r="AA34" s="923"/>
      <c r="AB34" s="924"/>
      <c r="AC34" s="924"/>
      <c r="AD34" s="925"/>
      <c r="AE34" s="923"/>
      <c r="AF34" s="924"/>
      <c r="AG34" s="924"/>
      <c r="AH34" s="925"/>
      <c r="AI34" s="1282"/>
      <c r="BP34" s="1250" t="s">
        <v>86</v>
      </c>
      <c r="BQ34" s="1251"/>
      <c r="BR34" s="1251"/>
      <c r="BS34" s="1251"/>
      <c r="BT34" s="1251"/>
      <c r="BU34" s="1251"/>
      <c r="BV34" s="1251"/>
      <c r="BW34" s="1251"/>
      <c r="BX34" s="1251"/>
      <c r="BY34" s="1251"/>
      <c r="BZ34" s="1251"/>
      <c r="CA34" s="1251"/>
      <c r="CB34" s="1251"/>
      <c r="CC34" s="1251"/>
      <c r="CD34" s="1251"/>
      <c r="CE34" s="1251"/>
      <c r="CF34" s="1251"/>
      <c r="CG34" s="1251"/>
      <c r="CH34" s="1251"/>
      <c r="CI34" s="1251"/>
      <c r="CJ34" s="1251"/>
      <c r="CK34" s="1251"/>
      <c r="CL34" s="1251"/>
      <c r="CM34" s="1222" t="s">
        <v>91</v>
      </c>
      <c r="CN34" s="1222"/>
      <c r="CO34" s="1222"/>
      <c r="CP34" s="1222"/>
      <c r="CQ34" s="328"/>
      <c r="CR34" s="328"/>
      <c r="CS34" s="328"/>
      <c r="CT34" s="329"/>
      <c r="CU34" s="1213" t="s">
        <v>528</v>
      </c>
      <c r="CV34" s="1213"/>
      <c r="CW34" s="17"/>
      <c r="CX34" s="17"/>
      <c r="CY34" s="17"/>
      <c r="CZ34" s="17"/>
      <c r="DA34" s="17"/>
      <c r="DB34" s="17"/>
      <c r="DC34" s="17"/>
      <c r="DD34" s="17"/>
      <c r="DE34" s="17"/>
      <c r="DF34" s="17"/>
      <c r="DG34" s="17"/>
      <c r="DH34" s="17"/>
      <c r="DI34" s="17"/>
      <c r="DJ34" s="17"/>
      <c r="DK34" s="17"/>
      <c r="DL34" s="17"/>
      <c r="DM34" s="17"/>
      <c r="DN34" s="17"/>
      <c r="DO34" s="17"/>
      <c r="DP34" s="17"/>
      <c r="DQ34" s="17"/>
      <c r="DW34" s="17"/>
      <c r="DX34" s="17"/>
      <c r="DY34" s="17"/>
      <c r="DZ34" s="17"/>
      <c r="EA34" s="17"/>
      <c r="EB34" s="17"/>
      <c r="EC34" s="17"/>
      <c r="ED34" s="17"/>
      <c r="EE34" s="17"/>
      <c r="EF34" s="17"/>
      <c r="EG34" s="17"/>
    </row>
    <row r="35" spans="4:137" ht="7.5" customHeight="1" x14ac:dyDescent="0.25">
      <c r="D35" s="334"/>
      <c r="E35" s="334"/>
      <c r="F35" s="334"/>
      <c r="G35" s="334"/>
      <c r="H35" s="334"/>
      <c r="I35" s="334"/>
      <c r="J35" s="334"/>
      <c r="K35" s="334"/>
      <c r="L35" s="334"/>
      <c r="O35" s="335"/>
      <c r="P35" s="335"/>
      <c r="AI35" s="336"/>
      <c r="BP35" s="1293"/>
      <c r="BQ35" s="1294"/>
      <c r="BR35" s="1294"/>
      <c r="BS35" s="1294"/>
      <c r="BT35" s="1294"/>
      <c r="BU35" s="1294"/>
      <c r="BV35" s="1294"/>
      <c r="BW35" s="1294"/>
      <c r="BX35" s="1294"/>
      <c r="BY35" s="1294"/>
      <c r="BZ35" s="1294"/>
      <c r="CA35" s="1294"/>
      <c r="CB35" s="1294"/>
      <c r="CC35" s="1294"/>
      <c r="CD35" s="1294"/>
      <c r="CE35" s="1294"/>
      <c r="CF35" s="1294"/>
      <c r="CG35" s="1294"/>
      <c r="CH35" s="1294"/>
      <c r="CI35" s="1294"/>
      <c r="CJ35" s="1294"/>
      <c r="CK35" s="1294"/>
      <c r="CL35" s="1294"/>
      <c r="CM35" s="1225"/>
      <c r="CN35" s="1226"/>
      <c r="CO35" s="1226"/>
      <c r="CP35" s="1226"/>
      <c r="CQ35" s="1226"/>
      <c r="CR35" s="1226"/>
      <c r="CS35" s="1226"/>
      <c r="CT35" s="1227"/>
      <c r="CU35" s="1213"/>
      <c r="CV35" s="1213"/>
      <c r="CW35" s="17"/>
      <c r="CX35" s="17"/>
      <c r="CY35" s="17"/>
      <c r="CZ35" s="17"/>
      <c r="DA35" s="17"/>
      <c r="DB35" s="17"/>
      <c r="DC35" s="17"/>
      <c r="DD35" s="17"/>
      <c r="DE35" s="17"/>
      <c r="DF35" s="17"/>
      <c r="DG35" s="17"/>
      <c r="DH35" s="17"/>
      <c r="DI35" s="17"/>
      <c r="DJ35" s="17"/>
      <c r="DK35" s="17"/>
      <c r="DL35" s="17"/>
      <c r="DM35" s="17"/>
      <c r="DN35" s="17"/>
      <c r="DO35" s="17"/>
      <c r="DP35" s="17"/>
      <c r="DQ35" s="17"/>
      <c r="DW35" s="17"/>
      <c r="DX35" s="17"/>
      <c r="DY35" s="17"/>
      <c r="DZ35" s="17"/>
      <c r="EA35" s="17"/>
      <c r="EB35" s="17"/>
      <c r="EC35" s="17"/>
      <c r="ED35" s="17"/>
      <c r="EE35" s="17"/>
      <c r="EF35" s="17"/>
      <c r="EG35" s="17"/>
    </row>
    <row r="36" spans="4:137" ht="7.5" customHeight="1" x14ac:dyDescent="0.25">
      <c r="D36" s="918" t="s">
        <v>529</v>
      </c>
      <c r="E36" s="918"/>
      <c r="F36" s="918"/>
      <c r="G36" s="918"/>
      <c r="H36" s="918"/>
      <c r="I36" s="918"/>
      <c r="J36" s="918"/>
      <c r="K36" s="918"/>
      <c r="L36" s="918"/>
      <c r="M36" s="918"/>
      <c r="N36" s="919"/>
      <c r="O36" s="926"/>
      <c r="P36" s="927"/>
      <c r="Q36" s="927"/>
      <c r="R36" s="928"/>
      <c r="S36" s="920"/>
      <c r="T36" s="921"/>
      <c r="U36" s="921"/>
      <c r="V36" s="922"/>
      <c r="W36" s="920"/>
      <c r="X36" s="921"/>
      <c r="Y36" s="921"/>
      <c r="Z36" s="922"/>
      <c r="AA36" s="920"/>
      <c r="AB36" s="921"/>
      <c r="AC36" s="921"/>
      <c r="AD36" s="922"/>
      <c r="AE36" s="920"/>
      <c r="AF36" s="921"/>
      <c r="AG36" s="921"/>
      <c r="AH36" s="922"/>
      <c r="AI36" s="1282"/>
      <c r="AP36" s="1283" t="s">
        <v>363</v>
      </c>
      <c r="AQ36" s="1283"/>
      <c r="AR36" s="1283"/>
      <c r="AS36" s="1283"/>
      <c r="AT36" s="1283"/>
      <c r="AU36" s="1283"/>
      <c r="AV36" s="1283"/>
      <c r="AW36" s="1283"/>
      <c r="AX36" s="1283"/>
      <c r="AY36" s="1283"/>
      <c r="BG36" s="17"/>
      <c r="BP36" s="1293"/>
      <c r="BQ36" s="1294"/>
      <c r="BR36" s="1294"/>
      <c r="BS36" s="1294"/>
      <c r="BT36" s="1294"/>
      <c r="BU36" s="1294"/>
      <c r="BV36" s="1294"/>
      <c r="BW36" s="1294"/>
      <c r="BX36" s="1294"/>
      <c r="BY36" s="1294"/>
      <c r="BZ36" s="1294"/>
      <c r="CA36" s="1294"/>
      <c r="CB36" s="1294"/>
      <c r="CC36" s="1294"/>
      <c r="CD36" s="1294"/>
      <c r="CE36" s="1294"/>
      <c r="CF36" s="1294"/>
      <c r="CG36" s="1294"/>
      <c r="CH36" s="1294"/>
      <c r="CI36" s="1294"/>
      <c r="CJ36" s="1294"/>
      <c r="CK36" s="1294"/>
      <c r="CL36" s="1294"/>
      <c r="CM36" s="1228"/>
      <c r="CN36" s="1229"/>
      <c r="CO36" s="1229"/>
      <c r="CP36" s="1229"/>
      <c r="CQ36" s="1229"/>
      <c r="CR36" s="1229"/>
      <c r="CS36" s="1229"/>
      <c r="CT36" s="1230"/>
      <c r="CU36" s="330"/>
      <c r="CV36" s="333"/>
      <c r="CW36" s="17"/>
      <c r="CX36" s="17"/>
      <c r="CY36" s="17"/>
      <c r="CZ36" s="17"/>
      <c r="DA36" s="17"/>
      <c r="DB36" s="17"/>
      <c r="DC36" s="17"/>
      <c r="DD36" s="17"/>
      <c r="DE36" s="17"/>
      <c r="DF36" s="17"/>
      <c r="DG36" s="17"/>
      <c r="DH36" s="17"/>
      <c r="DI36" s="17"/>
      <c r="DJ36" s="17"/>
      <c r="DK36" s="17"/>
      <c r="DL36" s="17"/>
      <c r="DM36" s="17"/>
      <c r="DN36" s="17"/>
      <c r="DO36" s="17"/>
      <c r="DP36" s="17"/>
      <c r="DQ36" s="17"/>
      <c r="DW36" s="17"/>
      <c r="DX36" s="17"/>
      <c r="DY36" s="17"/>
      <c r="DZ36" s="17"/>
      <c r="EA36" s="17"/>
      <c r="EB36" s="17"/>
      <c r="EC36" s="17"/>
      <c r="ED36" s="17"/>
      <c r="EE36" s="17"/>
      <c r="EF36" s="17"/>
      <c r="EG36" s="17"/>
    </row>
    <row r="37" spans="4:137" ht="7.5" customHeight="1" x14ac:dyDescent="0.25">
      <c r="D37" s="918"/>
      <c r="E37" s="918"/>
      <c r="F37" s="918"/>
      <c r="G37" s="918"/>
      <c r="H37" s="918"/>
      <c r="I37" s="918"/>
      <c r="J37" s="918"/>
      <c r="K37" s="918"/>
      <c r="L37" s="918"/>
      <c r="M37" s="918"/>
      <c r="N37" s="919"/>
      <c r="O37" s="929"/>
      <c r="P37" s="930"/>
      <c r="Q37" s="930"/>
      <c r="R37" s="931"/>
      <c r="S37" s="923"/>
      <c r="T37" s="924"/>
      <c r="U37" s="924"/>
      <c r="V37" s="925"/>
      <c r="W37" s="923"/>
      <c r="X37" s="924"/>
      <c r="Y37" s="924"/>
      <c r="Z37" s="925"/>
      <c r="AA37" s="923"/>
      <c r="AB37" s="924"/>
      <c r="AC37" s="924"/>
      <c r="AD37" s="925"/>
      <c r="AE37" s="923"/>
      <c r="AF37" s="924"/>
      <c r="AG37" s="924"/>
      <c r="AH37" s="925"/>
      <c r="AI37" s="1282"/>
      <c r="AP37" s="1283"/>
      <c r="AQ37" s="1283"/>
      <c r="AR37" s="1283"/>
      <c r="AS37" s="1283"/>
      <c r="AT37" s="1283"/>
      <c r="AU37" s="1283"/>
      <c r="AV37" s="1283"/>
      <c r="AW37" s="1283"/>
      <c r="AX37" s="1283"/>
      <c r="AY37" s="1283"/>
      <c r="BG37" s="17"/>
      <c r="BP37" s="1293"/>
      <c r="BQ37" s="1294"/>
      <c r="BR37" s="1294"/>
      <c r="BS37" s="1294"/>
      <c r="BT37" s="1294"/>
      <c r="BU37" s="1294"/>
      <c r="BV37" s="1294"/>
      <c r="BW37" s="1294"/>
      <c r="BX37" s="1294"/>
      <c r="BY37" s="1294"/>
      <c r="BZ37" s="1294"/>
      <c r="CA37" s="1294"/>
      <c r="CB37" s="1294"/>
      <c r="CC37" s="1294"/>
      <c r="CD37" s="1294"/>
      <c r="CE37" s="1294"/>
      <c r="CF37" s="1294"/>
      <c r="CG37" s="1294"/>
      <c r="CH37" s="1294"/>
      <c r="CI37" s="1294"/>
      <c r="CJ37" s="1294"/>
      <c r="CK37" s="1294"/>
      <c r="CL37" s="1294"/>
      <c r="CM37" s="1231"/>
      <c r="CN37" s="1232"/>
      <c r="CO37" s="1232"/>
      <c r="CP37" s="1232"/>
      <c r="CQ37" s="1232"/>
      <c r="CR37" s="1232"/>
      <c r="CS37" s="1232"/>
      <c r="CT37" s="1233"/>
      <c r="CU37" s="1213" t="s">
        <v>527</v>
      </c>
      <c r="CV37" s="1213"/>
      <c r="CW37" s="17"/>
      <c r="CX37" s="17"/>
      <c r="CY37" s="17"/>
      <c r="CZ37" s="17"/>
      <c r="DA37" s="17"/>
      <c r="DB37" s="17"/>
      <c r="DC37" s="17"/>
      <c r="DD37" s="17"/>
      <c r="DE37" s="17"/>
      <c r="DF37" s="17"/>
      <c r="DG37" s="17"/>
      <c r="DH37" s="17"/>
      <c r="DI37" s="17"/>
      <c r="DJ37" s="17"/>
      <c r="DK37" s="17"/>
      <c r="DL37" s="17"/>
      <c r="DM37" s="17"/>
      <c r="DN37" s="17"/>
      <c r="DO37" s="17"/>
      <c r="DP37" s="17"/>
      <c r="DQ37" s="17"/>
      <c r="DW37" s="17"/>
      <c r="DX37" s="17"/>
      <c r="DY37" s="17"/>
      <c r="DZ37" s="17"/>
      <c r="EA37" s="17"/>
      <c r="EB37" s="17"/>
      <c r="EC37" s="17"/>
      <c r="ED37" s="17"/>
      <c r="EE37" s="17"/>
      <c r="EF37" s="17"/>
      <c r="EG37" s="17"/>
    </row>
    <row r="38" spans="4:137" ht="7.5" customHeight="1" x14ac:dyDescent="0.25">
      <c r="D38" s="334"/>
      <c r="E38" s="334"/>
      <c r="F38" s="334"/>
      <c r="G38" s="334"/>
      <c r="H38" s="334"/>
      <c r="I38" s="334"/>
      <c r="J38" s="334"/>
      <c r="K38" s="334"/>
      <c r="L38" s="334"/>
      <c r="O38" s="335"/>
      <c r="P38" s="335"/>
      <c r="AI38" s="336"/>
      <c r="BG38" s="17"/>
      <c r="BP38" s="1293"/>
      <c r="BQ38" s="1294"/>
      <c r="BR38" s="1294"/>
      <c r="BS38" s="1294"/>
      <c r="BT38" s="1294"/>
      <c r="BU38" s="1294"/>
      <c r="BV38" s="1294"/>
      <c r="BW38" s="1294"/>
      <c r="BX38" s="1294"/>
      <c r="BY38" s="1294"/>
      <c r="BZ38" s="1294"/>
      <c r="CA38" s="1294"/>
      <c r="CB38" s="1294"/>
      <c r="CC38" s="1294"/>
      <c r="CD38" s="1294"/>
      <c r="CE38" s="1294"/>
      <c r="CF38" s="1294"/>
      <c r="CG38" s="1294"/>
      <c r="CH38" s="1294"/>
      <c r="CI38" s="1294"/>
      <c r="CJ38" s="1294"/>
      <c r="CK38" s="1294"/>
      <c r="CL38" s="1294"/>
      <c r="CM38" s="1222" t="s">
        <v>525</v>
      </c>
      <c r="CN38" s="1222"/>
      <c r="CO38" s="1222"/>
      <c r="CP38" s="1222"/>
      <c r="CQ38" s="199"/>
      <c r="CR38" s="199"/>
      <c r="CS38" s="199"/>
      <c r="CT38" s="329"/>
      <c r="CU38" s="1213"/>
      <c r="CV38" s="1213"/>
      <c r="CW38" s="17"/>
      <c r="CX38" s="17"/>
      <c r="CY38" s="17"/>
      <c r="CZ38" s="17"/>
      <c r="DA38" s="17"/>
      <c r="DB38" s="17"/>
      <c r="DC38" s="17"/>
      <c r="DD38" s="17"/>
      <c r="DE38" s="17"/>
      <c r="DF38" s="17"/>
      <c r="DG38" s="17"/>
      <c r="DH38" s="17"/>
      <c r="DI38" s="17"/>
      <c r="DJ38" s="17"/>
      <c r="DK38" s="17"/>
      <c r="DL38" s="17"/>
      <c r="DM38" s="17"/>
      <c r="DN38" s="17"/>
      <c r="DO38" s="17"/>
      <c r="DP38" s="17"/>
      <c r="DQ38" s="17"/>
      <c r="DW38" s="17"/>
      <c r="DX38" s="17"/>
      <c r="DY38" s="17"/>
      <c r="DZ38" s="17"/>
      <c r="EA38" s="17"/>
      <c r="EB38" s="17"/>
      <c r="EC38" s="17"/>
      <c r="ED38" s="17"/>
      <c r="EE38" s="17"/>
      <c r="EF38" s="17"/>
      <c r="EG38" s="17"/>
    </row>
    <row r="39" spans="4:137" ht="7.5" customHeight="1" x14ac:dyDescent="0.25">
      <c r="D39" s="918" t="s">
        <v>530</v>
      </c>
      <c r="E39" s="918"/>
      <c r="F39" s="918"/>
      <c r="G39" s="918"/>
      <c r="H39" s="918"/>
      <c r="I39" s="918"/>
      <c r="J39" s="918"/>
      <c r="K39" s="918"/>
      <c r="L39" s="918"/>
      <c r="M39" s="918"/>
      <c r="N39" s="919"/>
      <c r="O39" s="926"/>
      <c r="P39" s="927"/>
      <c r="Q39" s="927"/>
      <c r="R39" s="928"/>
      <c r="S39" s="920"/>
      <c r="T39" s="921"/>
      <c r="U39" s="921"/>
      <c r="V39" s="922"/>
      <c r="W39" s="920"/>
      <c r="X39" s="921"/>
      <c r="Y39" s="921"/>
      <c r="Z39" s="922"/>
      <c r="AA39" s="920"/>
      <c r="AB39" s="921"/>
      <c r="AC39" s="921"/>
      <c r="AD39" s="922"/>
      <c r="AE39" s="920"/>
      <c r="AF39" s="921"/>
      <c r="AG39" s="921"/>
      <c r="AH39" s="922"/>
      <c r="AI39" s="1282"/>
      <c r="BG39" s="17"/>
      <c r="BP39" s="1293"/>
      <c r="BQ39" s="1294"/>
      <c r="BR39" s="1294"/>
      <c r="BS39" s="1294"/>
      <c r="BT39" s="1294"/>
      <c r="BU39" s="1294"/>
      <c r="BV39" s="1294"/>
      <c r="BW39" s="1294"/>
      <c r="BX39" s="1294"/>
      <c r="BY39" s="1294"/>
      <c r="BZ39" s="1294"/>
      <c r="CA39" s="1294"/>
      <c r="CB39" s="1294"/>
      <c r="CC39" s="1294"/>
      <c r="CD39" s="1294"/>
      <c r="CE39" s="1294"/>
      <c r="CF39" s="1294"/>
      <c r="CG39" s="1294"/>
      <c r="CH39" s="1294"/>
      <c r="CI39" s="1294"/>
      <c r="CJ39" s="1294"/>
      <c r="CK39" s="1294"/>
      <c r="CL39" s="1294"/>
      <c r="CM39" s="1240"/>
      <c r="CN39" s="1241"/>
      <c r="CO39" s="1241"/>
      <c r="CP39" s="1241"/>
      <c r="CQ39" s="1241"/>
      <c r="CR39" s="1241"/>
      <c r="CS39" s="1241"/>
      <c r="CT39" s="1242"/>
      <c r="CU39" s="330"/>
      <c r="CV39" s="333"/>
      <c r="CW39" s="17"/>
      <c r="CX39" s="17"/>
      <c r="CY39" s="17"/>
      <c r="CZ39" s="17"/>
      <c r="DA39" s="17"/>
      <c r="DB39" s="17"/>
      <c r="DC39" s="17"/>
      <c r="DD39" s="17"/>
      <c r="DE39" s="17"/>
      <c r="DF39" s="17"/>
      <c r="DG39" s="17"/>
      <c r="DH39" s="17"/>
      <c r="DI39" s="17"/>
      <c r="DJ39" s="17"/>
      <c r="DK39" s="17"/>
      <c r="DL39" s="17"/>
      <c r="DM39" s="17"/>
      <c r="DN39" s="17"/>
      <c r="DO39" s="17"/>
      <c r="DP39" s="17"/>
      <c r="DQ39" s="17"/>
      <c r="DW39" s="17"/>
      <c r="DX39" s="17"/>
      <c r="DY39" s="17"/>
      <c r="DZ39" s="17"/>
      <c r="EA39" s="17"/>
      <c r="EB39" s="17"/>
      <c r="EC39" s="17"/>
      <c r="ED39" s="17"/>
      <c r="EE39" s="17"/>
      <c r="EF39" s="17"/>
      <c r="EG39" s="17"/>
    </row>
    <row r="40" spans="4:137" ht="7.5" customHeight="1" x14ac:dyDescent="0.25">
      <c r="D40" s="918"/>
      <c r="E40" s="918"/>
      <c r="F40" s="918"/>
      <c r="G40" s="918"/>
      <c r="H40" s="918"/>
      <c r="I40" s="918"/>
      <c r="J40" s="918"/>
      <c r="K40" s="918"/>
      <c r="L40" s="918"/>
      <c r="M40" s="918"/>
      <c r="N40" s="919"/>
      <c r="O40" s="929"/>
      <c r="P40" s="930"/>
      <c r="Q40" s="930"/>
      <c r="R40" s="931"/>
      <c r="S40" s="923"/>
      <c r="T40" s="924"/>
      <c r="U40" s="924"/>
      <c r="V40" s="925"/>
      <c r="W40" s="923"/>
      <c r="X40" s="924"/>
      <c r="Y40" s="924"/>
      <c r="Z40" s="925"/>
      <c r="AA40" s="923"/>
      <c r="AB40" s="924"/>
      <c r="AC40" s="924"/>
      <c r="AD40" s="925"/>
      <c r="AE40" s="923"/>
      <c r="AF40" s="924"/>
      <c r="AG40" s="924"/>
      <c r="AH40" s="925"/>
      <c r="AI40" s="1282"/>
      <c r="BG40" s="17"/>
      <c r="BH40" s="17"/>
      <c r="BN40" s="17"/>
      <c r="BP40" s="1293"/>
      <c r="BQ40" s="1294"/>
      <c r="BR40" s="1294"/>
      <c r="BS40" s="1294"/>
      <c r="BT40" s="1294"/>
      <c r="BU40" s="1294"/>
      <c r="BV40" s="1294"/>
      <c r="BW40" s="1294"/>
      <c r="BX40" s="1294"/>
      <c r="BY40" s="1294"/>
      <c r="BZ40" s="1294"/>
      <c r="CA40" s="1294"/>
      <c r="CB40" s="1294"/>
      <c r="CC40" s="1294"/>
      <c r="CD40" s="1294"/>
      <c r="CE40" s="1294"/>
      <c r="CF40" s="1294"/>
      <c r="CG40" s="1294"/>
      <c r="CH40" s="1294"/>
      <c r="CI40" s="1294"/>
      <c r="CJ40" s="1294"/>
      <c r="CK40" s="1294"/>
      <c r="CL40" s="1294"/>
      <c r="CM40" s="1243"/>
      <c r="CN40" s="1244"/>
      <c r="CO40" s="1244"/>
      <c r="CP40" s="1244"/>
      <c r="CQ40" s="1244"/>
      <c r="CR40" s="1244"/>
      <c r="CS40" s="1244"/>
      <c r="CT40" s="1245"/>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W40" s="17"/>
      <c r="DX40" s="17"/>
      <c r="DY40" s="17"/>
      <c r="DZ40" s="17"/>
      <c r="EA40" s="17"/>
      <c r="EB40" s="17"/>
      <c r="EC40" s="17"/>
      <c r="ED40" s="17"/>
      <c r="EE40" s="17"/>
      <c r="EF40" s="17"/>
      <c r="EG40" s="17"/>
    </row>
    <row r="41" spans="4:137" ht="7.5" customHeight="1" x14ac:dyDescent="0.25">
      <c r="D41" s="334"/>
      <c r="E41" s="334"/>
      <c r="F41" s="334"/>
      <c r="G41" s="334"/>
      <c r="H41" s="334"/>
      <c r="I41" s="334"/>
      <c r="J41" s="334"/>
      <c r="K41" s="334"/>
      <c r="L41" s="334"/>
      <c r="O41" s="335"/>
      <c r="P41" s="335"/>
      <c r="AI41" s="336"/>
      <c r="BG41" s="17"/>
      <c r="BH41" s="17"/>
      <c r="BI41" s="17"/>
      <c r="BJ41" s="17"/>
      <c r="BK41" s="17"/>
      <c r="BL41" s="17"/>
      <c r="BM41" s="17"/>
      <c r="BN41" s="17"/>
      <c r="BP41" s="1293"/>
      <c r="BQ41" s="1294"/>
      <c r="BR41" s="1294"/>
      <c r="BS41" s="1294"/>
      <c r="BT41" s="1294"/>
      <c r="BU41" s="1294"/>
      <c r="BV41" s="1294"/>
      <c r="BW41" s="1294"/>
      <c r="BX41" s="1294"/>
      <c r="BY41" s="1294"/>
      <c r="BZ41" s="1294"/>
      <c r="CA41" s="1294"/>
      <c r="CB41" s="1294"/>
      <c r="CC41" s="1294"/>
      <c r="CD41" s="1294"/>
      <c r="CE41" s="1294"/>
      <c r="CF41" s="1294"/>
      <c r="CG41" s="1294"/>
      <c r="CH41" s="1294"/>
      <c r="CI41" s="1294"/>
      <c r="CJ41" s="1294"/>
      <c r="CK41" s="1294"/>
      <c r="CL41" s="1294"/>
      <c r="CM41" s="1246"/>
      <c r="CN41" s="1247"/>
      <c r="CO41" s="1247"/>
      <c r="CP41" s="1247"/>
      <c r="CQ41" s="1247"/>
      <c r="CR41" s="1247"/>
      <c r="CS41" s="1247"/>
      <c r="CT41" s="1248"/>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W41" s="17"/>
      <c r="DX41" s="17"/>
      <c r="DY41" s="17"/>
      <c r="DZ41" s="17"/>
      <c r="EA41" s="17"/>
      <c r="EB41" s="17"/>
      <c r="EC41" s="17"/>
      <c r="ED41" s="17"/>
      <c r="EE41" s="17"/>
      <c r="EF41" s="17"/>
      <c r="EG41" s="17"/>
    </row>
    <row r="42" spans="4:137" ht="7.5" customHeight="1" x14ac:dyDescent="0.25">
      <c r="D42" s="918" t="s">
        <v>533</v>
      </c>
      <c r="E42" s="918"/>
      <c r="F42" s="918"/>
      <c r="G42" s="918"/>
      <c r="H42" s="918"/>
      <c r="I42" s="918"/>
      <c r="J42" s="918"/>
      <c r="K42" s="918"/>
      <c r="L42" s="918"/>
      <c r="M42" s="918"/>
      <c r="N42" s="919"/>
      <c r="O42" s="926"/>
      <c r="P42" s="927"/>
      <c r="Q42" s="927"/>
      <c r="R42" s="928"/>
      <c r="S42" s="920"/>
      <c r="T42" s="921"/>
      <c r="U42" s="921"/>
      <c r="V42" s="922"/>
      <c r="W42" s="920"/>
      <c r="X42" s="921"/>
      <c r="Y42" s="921"/>
      <c r="Z42" s="922"/>
      <c r="AA42" s="920"/>
      <c r="AB42" s="921"/>
      <c r="AC42" s="921"/>
      <c r="AD42" s="922"/>
      <c r="AE42" s="920"/>
      <c r="AF42" s="921"/>
      <c r="AG42" s="921"/>
      <c r="AH42" s="922"/>
      <c r="AI42" s="1282"/>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N42" s="17"/>
      <c r="BP42" s="1295"/>
      <c r="BQ42" s="1296"/>
      <c r="BR42" s="1296"/>
      <c r="BS42" s="1296"/>
      <c r="BT42" s="1296"/>
      <c r="BU42" s="1296"/>
      <c r="BV42" s="1296"/>
      <c r="BW42" s="1296"/>
      <c r="BX42" s="1296"/>
      <c r="BY42" s="1296"/>
      <c r="BZ42" s="1296"/>
      <c r="CA42" s="1296"/>
      <c r="CB42" s="1296"/>
      <c r="CC42" s="1296"/>
      <c r="CD42" s="1296"/>
      <c r="CE42" s="1296"/>
      <c r="CF42" s="1296"/>
      <c r="CG42" s="1296"/>
      <c r="CH42" s="1296"/>
      <c r="CI42" s="1296"/>
      <c r="CJ42" s="1296"/>
      <c r="CK42" s="1296"/>
      <c r="CL42" s="1296"/>
      <c r="CM42" s="331"/>
      <c r="CN42" s="331"/>
      <c r="CO42" s="331"/>
      <c r="CP42" s="331"/>
      <c r="CQ42" s="331"/>
      <c r="CR42" s="331"/>
      <c r="CS42" s="331"/>
      <c r="CT42" s="332"/>
      <c r="CU42" s="330"/>
      <c r="CV42" s="333"/>
      <c r="CW42" s="17"/>
      <c r="CX42" s="17"/>
      <c r="CY42" s="17"/>
      <c r="CZ42" s="17"/>
      <c r="DA42" s="17"/>
      <c r="DB42" s="17"/>
      <c r="DC42" s="17"/>
      <c r="DD42" s="17"/>
      <c r="DE42" s="17"/>
      <c r="DF42" s="17"/>
      <c r="DG42" s="17"/>
      <c r="DH42" s="17"/>
      <c r="DI42" s="17"/>
      <c r="DJ42" s="17"/>
      <c r="DK42" s="17"/>
      <c r="DL42" s="17"/>
      <c r="DM42" s="17"/>
      <c r="DN42" s="17"/>
      <c r="DO42" s="17"/>
      <c r="DP42" s="17"/>
      <c r="DQ42" s="17"/>
      <c r="DW42" s="17"/>
      <c r="DX42" s="17"/>
      <c r="DY42" s="17"/>
      <c r="DZ42" s="17"/>
      <c r="EA42" s="17"/>
      <c r="EB42" s="17"/>
      <c r="EC42" s="17"/>
      <c r="ED42" s="17"/>
      <c r="EE42" s="17"/>
      <c r="EF42" s="17"/>
      <c r="EG42" s="17"/>
    </row>
    <row r="43" spans="4:137" ht="7.5" customHeight="1" x14ac:dyDescent="0.25">
      <c r="D43" s="918"/>
      <c r="E43" s="918"/>
      <c r="F43" s="918"/>
      <c r="G43" s="918"/>
      <c r="H43" s="918"/>
      <c r="I43" s="918"/>
      <c r="J43" s="918"/>
      <c r="K43" s="918"/>
      <c r="L43" s="918"/>
      <c r="M43" s="918"/>
      <c r="N43" s="919"/>
      <c r="O43" s="929"/>
      <c r="P43" s="930"/>
      <c r="Q43" s="930"/>
      <c r="R43" s="931"/>
      <c r="S43" s="923"/>
      <c r="T43" s="924"/>
      <c r="U43" s="924"/>
      <c r="V43" s="925"/>
      <c r="W43" s="923"/>
      <c r="X43" s="924"/>
      <c r="Y43" s="924"/>
      <c r="Z43" s="925"/>
      <c r="AA43" s="923"/>
      <c r="AB43" s="924"/>
      <c r="AC43" s="924"/>
      <c r="AD43" s="925"/>
      <c r="AE43" s="923"/>
      <c r="AF43" s="924"/>
      <c r="AG43" s="924"/>
      <c r="AH43" s="925"/>
      <c r="AI43" s="1282"/>
      <c r="AP43" s="1283" t="s">
        <v>366</v>
      </c>
      <c r="AQ43" s="1283"/>
      <c r="AR43" s="1283"/>
      <c r="AS43" s="1283"/>
      <c r="AT43" s="1283"/>
      <c r="AU43" s="1283"/>
      <c r="AV43" s="1283"/>
      <c r="AW43" s="1283"/>
      <c r="AX43" s="1283"/>
      <c r="AY43" s="1283"/>
      <c r="BG43" s="17"/>
      <c r="BH43" s="17"/>
      <c r="BN43" s="17"/>
      <c r="BP43" s="1325" t="s">
        <v>85</v>
      </c>
      <c r="BQ43" s="1326"/>
      <c r="BR43" s="1326"/>
      <c r="BS43" s="1326"/>
      <c r="BT43" s="1326"/>
      <c r="BU43" s="1326"/>
      <c r="BV43" s="1326"/>
      <c r="BW43" s="1326"/>
      <c r="BX43" s="1326"/>
      <c r="BY43" s="1326"/>
      <c r="BZ43" s="1326"/>
      <c r="CA43" s="1326"/>
      <c r="CB43" s="1326"/>
      <c r="CC43" s="1326"/>
      <c r="CD43" s="1327"/>
      <c r="CE43" s="1328" t="s">
        <v>89</v>
      </c>
      <c r="CF43" s="1329"/>
      <c r="CG43" s="1329"/>
      <c r="CH43" s="1329"/>
      <c r="CI43" s="1329"/>
      <c r="CJ43" s="1329"/>
      <c r="CK43" s="1329"/>
      <c r="CL43" s="1330"/>
      <c r="CM43" s="325" t="s">
        <v>88</v>
      </c>
      <c r="CN43" s="326"/>
      <c r="CO43" s="326"/>
      <c r="CP43" s="326"/>
      <c r="CQ43" s="326"/>
      <c r="CR43" s="326"/>
      <c r="CS43" s="326"/>
      <c r="CT43" s="327"/>
      <c r="CU43" s="337" t="s">
        <v>528</v>
      </c>
      <c r="CV43" s="337"/>
      <c r="CW43" s="17"/>
      <c r="CX43" s="17"/>
      <c r="CY43" s="17"/>
      <c r="CZ43" s="17"/>
      <c r="DA43" s="17"/>
      <c r="DB43" s="17"/>
      <c r="DC43" s="17"/>
      <c r="DD43" s="17"/>
      <c r="DE43" s="17"/>
      <c r="DF43" s="17"/>
      <c r="DG43" s="17"/>
      <c r="DH43" s="17"/>
      <c r="DI43" s="17"/>
      <c r="DJ43" s="17"/>
      <c r="DK43" s="17"/>
      <c r="DL43" s="17"/>
      <c r="DM43" s="17"/>
      <c r="DN43" s="17"/>
      <c r="DO43" s="17"/>
      <c r="DP43" s="17"/>
      <c r="DQ43" s="17"/>
      <c r="DW43" s="17"/>
      <c r="DX43" s="17"/>
      <c r="DY43" s="17"/>
      <c r="DZ43" s="17"/>
      <c r="EA43" s="17"/>
      <c r="EB43" s="17"/>
      <c r="EC43" s="17"/>
      <c r="ED43" s="17"/>
      <c r="EE43" s="17"/>
      <c r="EF43" s="17"/>
      <c r="EG43" s="17"/>
    </row>
    <row r="44" spans="4:137" ht="7.5" customHeight="1" x14ac:dyDescent="0.25">
      <c r="D44" s="334"/>
      <c r="E44" s="334"/>
      <c r="F44" s="334"/>
      <c r="G44" s="334"/>
      <c r="H44" s="334"/>
      <c r="I44" s="334"/>
      <c r="J44" s="334"/>
      <c r="K44" s="334"/>
      <c r="L44" s="334"/>
      <c r="AI44" s="336"/>
      <c r="AP44" s="1283"/>
      <c r="AQ44" s="1283"/>
      <c r="AR44" s="1283"/>
      <c r="AS44" s="1283"/>
      <c r="AT44" s="1283"/>
      <c r="AU44" s="1283"/>
      <c r="AV44" s="1283"/>
      <c r="AW44" s="1283"/>
      <c r="AX44" s="1283"/>
      <c r="AY44" s="1283"/>
      <c r="BG44" s="17"/>
      <c r="BH44" s="17"/>
      <c r="BI44" s="17"/>
      <c r="BJ44" s="17"/>
      <c r="BK44" s="17"/>
      <c r="BL44" s="17"/>
      <c r="BM44" s="17"/>
      <c r="BN44" s="17"/>
      <c r="BP44" s="1269"/>
      <c r="BQ44" s="1270"/>
      <c r="BR44" s="1270"/>
      <c r="BS44" s="1270"/>
      <c r="BT44" s="1270"/>
      <c r="BU44" s="1270"/>
      <c r="BV44" s="1270"/>
      <c r="BW44" s="1270"/>
      <c r="BX44" s="1270"/>
      <c r="BY44" s="1270"/>
      <c r="BZ44" s="1270"/>
      <c r="CA44" s="1270"/>
      <c r="CB44" s="1270"/>
      <c r="CC44" s="1270"/>
      <c r="CD44" s="1271"/>
      <c r="CE44" s="1275"/>
      <c r="CF44" s="1276"/>
      <c r="CG44" s="1276"/>
      <c r="CH44" s="1276"/>
      <c r="CI44" s="1276"/>
      <c r="CJ44" s="1276"/>
      <c r="CK44" s="1276"/>
      <c r="CL44" s="1277"/>
      <c r="CM44" s="1243"/>
      <c r="CN44" s="1244"/>
      <c r="CO44" s="1244"/>
      <c r="CP44" s="1244"/>
      <c r="CQ44" s="1244"/>
      <c r="CR44" s="1244"/>
      <c r="CS44" s="1244"/>
      <c r="CT44" s="1245"/>
      <c r="CU44" s="338"/>
      <c r="CV44" s="338"/>
      <c r="CW44" s="17"/>
      <c r="CX44" s="17"/>
      <c r="CY44" s="17"/>
      <c r="CZ44" s="17"/>
      <c r="DA44" s="17"/>
      <c r="DB44" s="17"/>
      <c r="DC44" s="17"/>
      <c r="DD44" s="17"/>
      <c r="DE44" s="17"/>
      <c r="DF44" s="17"/>
      <c r="DG44" s="17"/>
      <c r="DH44" s="17"/>
      <c r="DI44" s="17"/>
      <c r="DJ44" s="17"/>
      <c r="DK44" s="17"/>
      <c r="DL44" s="17"/>
      <c r="DM44" s="17"/>
      <c r="DN44" s="17"/>
      <c r="DO44" s="17"/>
      <c r="DP44" s="17"/>
      <c r="DQ44" s="17"/>
      <c r="DW44" s="17"/>
      <c r="DX44" s="17"/>
      <c r="DY44" s="17"/>
      <c r="DZ44" s="17"/>
      <c r="EA44" s="17"/>
      <c r="EB44" s="17"/>
      <c r="EC44" s="17"/>
      <c r="ED44" s="17"/>
      <c r="EE44" s="17"/>
      <c r="EF44" s="17"/>
      <c r="EG44" s="17"/>
    </row>
    <row r="45" spans="4:137" ht="7.5" customHeight="1" x14ac:dyDescent="0.25">
      <c r="D45" s="918" t="s">
        <v>537</v>
      </c>
      <c r="E45" s="918"/>
      <c r="F45" s="918"/>
      <c r="G45" s="918"/>
      <c r="H45" s="918"/>
      <c r="I45" s="918"/>
      <c r="J45" s="918"/>
      <c r="K45" s="918"/>
      <c r="L45" s="918"/>
      <c r="M45" s="918"/>
      <c r="N45" s="919"/>
      <c r="O45" s="926"/>
      <c r="P45" s="927"/>
      <c r="Q45" s="927"/>
      <c r="R45" s="928"/>
      <c r="S45" s="920"/>
      <c r="T45" s="921"/>
      <c r="U45" s="921"/>
      <c r="V45" s="922"/>
      <c r="W45" s="920"/>
      <c r="X45" s="921"/>
      <c r="Y45" s="921"/>
      <c r="Z45" s="922"/>
      <c r="AA45" s="920"/>
      <c r="AB45" s="921"/>
      <c r="AC45" s="921"/>
      <c r="AD45" s="922"/>
      <c r="AE45" s="920"/>
      <c r="AF45" s="921"/>
      <c r="AG45" s="921"/>
      <c r="AH45" s="922"/>
      <c r="AI45" s="1282"/>
      <c r="BG45" s="17"/>
      <c r="BH45" s="17"/>
      <c r="BI45" s="17"/>
      <c r="BJ45" s="17"/>
      <c r="BK45" s="17"/>
      <c r="BL45" s="17"/>
      <c r="BM45" s="17"/>
      <c r="BN45" s="17"/>
      <c r="BP45" s="1272"/>
      <c r="BQ45" s="1273"/>
      <c r="BR45" s="1273"/>
      <c r="BS45" s="1273"/>
      <c r="BT45" s="1273"/>
      <c r="BU45" s="1273"/>
      <c r="BV45" s="1273"/>
      <c r="BW45" s="1273"/>
      <c r="BX45" s="1273"/>
      <c r="BY45" s="1273"/>
      <c r="BZ45" s="1273"/>
      <c r="CA45" s="1273"/>
      <c r="CB45" s="1273"/>
      <c r="CC45" s="1273"/>
      <c r="CD45" s="1274"/>
      <c r="CE45" s="1278"/>
      <c r="CF45" s="1279"/>
      <c r="CG45" s="1279"/>
      <c r="CH45" s="1279"/>
      <c r="CI45" s="1279"/>
      <c r="CJ45" s="1279"/>
      <c r="CK45" s="1279"/>
      <c r="CL45" s="1280"/>
      <c r="CM45" s="1246"/>
      <c r="CN45" s="1247"/>
      <c r="CO45" s="1247"/>
      <c r="CP45" s="1247"/>
      <c r="CQ45" s="1247"/>
      <c r="CR45" s="1247"/>
      <c r="CS45" s="1247"/>
      <c r="CT45" s="1248"/>
      <c r="CU45" s="330"/>
      <c r="CV45" s="333"/>
      <c r="CW45" s="17"/>
      <c r="CX45" s="17"/>
      <c r="CY45" s="17"/>
      <c r="CZ45" s="17"/>
      <c r="DA45" s="17"/>
      <c r="DB45" s="17"/>
      <c r="DC45" s="17"/>
      <c r="DD45" s="17"/>
      <c r="DE45" s="17"/>
      <c r="DF45" s="17"/>
      <c r="DG45" s="17"/>
      <c r="DH45" s="17"/>
      <c r="DI45" s="17"/>
      <c r="DJ45" s="17"/>
      <c r="DK45" s="17"/>
      <c r="DL45" s="17"/>
      <c r="DM45" s="17"/>
      <c r="DN45" s="17"/>
      <c r="DO45" s="17"/>
      <c r="DP45" s="17"/>
      <c r="DQ45" s="17"/>
      <c r="DW45" s="17"/>
      <c r="DX45" s="17"/>
      <c r="DY45" s="17"/>
      <c r="DZ45" s="17"/>
      <c r="EA45" s="17"/>
      <c r="EB45" s="17"/>
      <c r="EC45" s="17"/>
      <c r="ED45" s="17"/>
      <c r="EE45" s="17"/>
      <c r="EF45" s="17"/>
      <c r="EG45" s="17"/>
    </row>
    <row r="46" spans="4:137" ht="7.5" customHeight="1" x14ac:dyDescent="0.25">
      <c r="D46" s="918"/>
      <c r="E46" s="918"/>
      <c r="F46" s="918"/>
      <c r="G46" s="918"/>
      <c r="H46" s="918"/>
      <c r="I46" s="918"/>
      <c r="J46" s="918"/>
      <c r="K46" s="918"/>
      <c r="L46" s="918"/>
      <c r="M46" s="918"/>
      <c r="N46" s="919"/>
      <c r="O46" s="929"/>
      <c r="P46" s="930"/>
      <c r="Q46" s="930"/>
      <c r="R46" s="931"/>
      <c r="S46" s="923"/>
      <c r="T46" s="924"/>
      <c r="U46" s="924"/>
      <c r="V46" s="925"/>
      <c r="W46" s="923"/>
      <c r="X46" s="924"/>
      <c r="Y46" s="924"/>
      <c r="Z46" s="925"/>
      <c r="AA46" s="923"/>
      <c r="AB46" s="924"/>
      <c r="AC46" s="924"/>
      <c r="AD46" s="925"/>
      <c r="AE46" s="923"/>
      <c r="AF46" s="924"/>
      <c r="AG46" s="924"/>
      <c r="AH46" s="925"/>
      <c r="AI46" s="1282"/>
      <c r="BG46" s="17"/>
      <c r="BH46" s="17"/>
      <c r="BK46" s="199"/>
      <c r="BN46" s="17"/>
      <c r="BP46" s="1250" t="s">
        <v>86</v>
      </c>
      <c r="BQ46" s="1251"/>
      <c r="BR46" s="1251"/>
      <c r="BS46" s="1251"/>
      <c r="BT46" s="1251"/>
      <c r="BU46" s="1251"/>
      <c r="BV46" s="1251"/>
      <c r="BW46" s="1251"/>
      <c r="BX46" s="1251"/>
      <c r="BY46" s="1251"/>
      <c r="BZ46" s="1251"/>
      <c r="CA46" s="1251"/>
      <c r="CB46" s="1251"/>
      <c r="CC46" s="1251"/>
      <c r="CD46" s="1251"/>
      <c r="CE46" s="1251"/>
      <c r="CF46" s="1251"/>
      <c r="CG46" s="1251"/>
      <c r="CH46" s="1251"/>
      <c r="CI46" s="1251"/>
      <c r="CJ46" s="1251"/>
      <c r="CK46" s="1251"/>
      <c r="CL46" s="1251"/>
      <c r="CM46" s="1222" t="s">
        <v>91</v>
      </c>
      <c r="CN46" s="1222"/>
      <c r="CO46" s="1222"/>
      <c r="CP46" s="1222"/>
      <c r="CQ46" s="328"/>
      <c r="CR46" s="328"/>
      <c r="CS46" s="328"/>
      <c r="CT46" s="329"/>
      <c r="CU46" s="1213" t="s">
        <v>531</v>
      </c>
      <c r="CV46" s="1213"/>
      <c r="CW46" s="17"/>
      <c r="CX46" s="17"/>
      <c r="CY46" s="17"/>
      <c r="CZ46" s="17"/>
      <c r="DA46" s="17"/>
      <c r="DB46" s="17"/>
      <c r="DC46" s="17"/>
      <c r="DD46" s="17"/>
      <c r="DE46" s="17"/>
      <c r="DF46" s="17"/>
      <c r="DG46" s="17"/>
      <c r="DH46" s="17"/>
      <c r="DI46" s="17"/>
      <c r="DJ46" s="17"/>
      <c r="DK46" s="17"/>
      <c r="DL46" s="17"/>
      <c r="DM46" s="17"/>
      <c r="DN46" s="17"/>
      <c r="DO46" s="17"/>
      <c r="DP46" s="17"/>
      <c r="DQ46" s="17"/>
      <c r="DW46" s="17"/>
      <c r="DX46" s="17"/>
      <c r="DY46" s="17"/>
      <c r="DZ46" s="17"/>
      <c r="EA46" s="17"/>
      <c r="EB46" s="17"/>
      <c r="EC46" s="17"/>
      <c r="ED46" s="17"/>
      <c r="EE46" s="17"/>
      <c r="EF46" s="17"/>
      <c r="EG46" s="17"/>
    </row>
    <row r="47" spans="4:137" ht="7.5" customHeight="1" x14ac:dyDescent="0.25">
      <c r="D47" s="334"/>
      <c r="E47" s="334"/>
      <c r="F47" s="334"/>
      <c r="G47" s="334"/>
      <c r="H47" s="334"/>
      <c r="I47" s="334"/>
      <c r="J47" s="334"/>
      <c r="K47" s="334"/>
      <c r="L47" s="334"/>
      <c r="O47" s="335"/>
      <c r="P47" s="335"/>
      <c r="AI47" s="336"/>
      <c r="BK47" s="199"/>
      <c r="BN47" s="17"/>
      <c r="BP47" s="1293"/>
      <c r="BQ47" s="1294"/>
      <c r="BR47" s="1294"/>
      <c r="BS47" s="1294"/>
      <c r="BT47" s="1294"/>
      <c r="BU47" s="1294"/>
      <c r="BV47" s="1294"/>
      <c r="BW47" s="1294"/>
      <c r="BX47" s="1294"/>
      <c r="BY47" s="1294"/>
      <c r="BZ47" s="1294"/>
      <c r="CA47" s="1294"/>
      <c r="CB47" s="1294"/>
      <c r="CC47" s="1294"/>
      <c r="CD47" s="1294"/>
      <c r="CE47" s="1294"/>
      <c r="CF47" s="1294"/>
      <c r="CG47" s="1294"/>
      <c r="CH47" s="1294"/>
      <c r="CI47" s="1294"/>
      <c r="CJ47" s="1294"/>
      <c r="CK47" s="1294"/>
      <c r="CL47" s="1294"/>
      <c r="CM47" s="1225"/>
      <c r="CN47" s="1226"/>
      <c r="CO47" s="1226"/>
      <c r="CP47" s="1226"/>
      <c r="CQ47" s="1226"/>
      <c r="CR47" s="1226"/>
      <c r="CS47" s="1226"/>
      <c r="CT47" s="1227"/>
      <c r="CU47" s="1213"/>
      <c r="CV47" s="1213"/>
      <c r="DW47" s="17"/>
      <c r="DX47" s="17"/>
      <c r="DY47" s="17"/>
      <c r="DZ47" s="17"/>
      <c r="EA47" s="17"/>
      <c r="EB47" s="17"/>
      <c r="EC47" s="17"/>
      <c r="ED47" s="17"/>
      <c r="EE47" s="17"/>
      <c r="EF47" s="17"/>
      <c r="EG47" s="17"/>
    </row>
    <row r="48" spans="4:137" ht="7.5" customHeight="1" x14ac:dyDescent="0.25">
      <c r="D48" s="918" t="s">
        <v>540</v>
      </c>
      <c r="E48" s="918"/>
      <c r="F48" s="918"/>
      <c r="G48" s="918"/>
      <c r="H48" s="918"/>
      <c r="I48" s="918"/>
      <c r="J48" s="918"/>
      <c r="K48" s="918"/>
      <c r="L48" s="918"/>
      <c r="M48" s="918"/>
      <c r="N48" s="919"/>
      <c r="O48" s="926"/>
      <c r="P48" s="927"/>
      <c r="Q48" s="927"/>
      <c r="R48" s="928"/>
      <c r="S48" s="920"/>
      <c r="T48" s="921"/>
      <c r="U48" s="921"/>
      <c r="V48" s="922"/>
      <c r="W48" s="920"/>
      <c r="X48" s="921"/>
      <c r="Y48" s="921"/>
      <c r="Z48" s="922"/>
      <c r="AA48" s="920"/>
      <c r="AB48" s="921"/>
      <c r="AC48" s="921"/>
      <c r="AD48" s="922"/>
      <c r="AE48" s="920"/>
      <c r="AF48" s="921"/>
      <c r="AG48" s="921"/>
      <c r="AH48" s="922"/>
      <c r="AI48" s="1282"/>
      <c r="BM48" s="17"/>
      <c r="BN48" s="17"/>
      <c r="BP48" s="1293"/>
      <c r="BQ48" s="1294"/>
      <c r="BR48" s="1294"/>
      <c r="BS48" s="1294"/>
      <c r="BT48" s="1294"/>
      <c r="BU48" s="1294"/>
      <c r="BV48" s="1294"/>
      <c r="BW48" s="1294"/>
      <c r="BX48" s="1294"/>
      <c r="BY48" s="1294"/>
      <c r="BZ48" s="1294"/>
      <c r="CA48" s="1294"/>
      <c r="CB48" s="1294"/>
      <c r="CC48" s="1294"/>
      <c r="CD48" s="1294"/>
      <c r="CE48" s="1294"/>
      <c r="CF48" s="1294"/>
      <c r="CG48" s="1294"/>
      <c r="CH48" s="1294"/>
      <c r="CI48" s="1294"/>
      <c r="CJ48" s="1294"/>
      <c r="CK48" s="1294"/>
      <c r="CL48" s="1294"/>
      <c r="CM48" s="1228"/>
      <c r="CN48" s="1229"/>
      <c r="CO48" s="1229"/>
      <c r="CP48" s="1229"/>
      <c r="CQ48" s="1229"/>
      <c r="CR48" s="1229"/>
      <c r="CS48" s="1229"/>
      <c r="CT48" s="1230"/>
      <c r="CU48" s="330"/>
      <c r="CV48" s="333"/>
      <c r="DW48" s="17"/>
      <c r="DX48" s="17"/>
      <c r="DY48" s="17"/>
      <c r="DZ48" s="17"/>
      <c r="EA48" s="17"/>
      <c r="EB48" s="17"/>
      <c r="EC48" s="17"/>
      <c r="ED48" s="17"/>
      <c r="EE48" s="17"/>
      <c r="EF48" s="17"/>
    </row>
    <row r="49" spans="4:150" ht="7.5" customHeight="1" x14ac:dyDescent="0.25">
      <c r="D49" s="918"/>
      <c r="E49" s="918"/>
      <c r="F49" s="918"/>
      <c r="G49" s="918"/>
      <c r="H49" s="918"/>
      <c r="I49" s="918"/>
      <c r="J49" s="918"/>
      <c r="K49" s="918"/>
      <c r="L49" s="918"/>
      <c r="M49" s="918"/>
      <c r="N49" s="919"/>
      <c r="O49" s="929"/>
      <c r="P49" s="930"/>
      <c r="Q49" s="930"/>
      <c r="R49" s="931"/>
      <c r="S49" s="923"/>
      <c r="T49" s="924"/>
      <c r="U49" s="924"/>
      <c r="V49" s="925"/>
      <c r="W49" s="923"/>
      <c r="X49" s="924"/>
      <c r="Y49" s="924"/>
      <c r="Z49" s="925"/>
      <c r="AA49" s="923"/>
      <c r="AB49" s="924"/>
      <c r="AC49" s="924"/>
      <c r="AD49" s="925"/>
      <c r="AE49" s="923"/>
      <c r="AF49" s="924"/>
      <c r="AG49" s="924"/>
      <c r="AH49" s="925"/>
      <c r="AI49" s="1282"/>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P49" s="1293"/>
      <c r="BQ49" s="1294"/>
      <c r="BR49" s="1294"/>
      <c r="BS49" s="1294"/>
      <c r="BT49" s="1294"/>
      <c r="BU49" s="1294"/>
      <c r="BV49" s="1294"/>
      <c r="BW49" s="1294"/>
      <c r="BX49" s="1294"/>
      <c r="BY49" s="1294"/>
      <c r="BZ49" s="1294"/>
      <c r="CA49" s="1294"/>
      <c r="CB49" s="1294"/>
      <c r="CC49" s="1294"/>
      <c r="CD49" s="1294"/>
      <c r="CE49" s="1294"/>
      <c r="CF49" s="1294"/>
      <c r="CG49" s="1294"/>
      <c r="CH49" s="1294"/>
      <c r="CI49" s="1294"/>
      <c r="CJ49" s="1294"/>
      <c r="CK49" s="1294"/>
      <c r="CL49" s="1294"/>
      <c r="CM49" s="1231"/>
      <c r="CN49" s="1232"/>
      <c r="CO49" s="1232"/>
      <c r="CP49" s="1232"/>
      <c r="CQ49" s="1232"/>
      <c r="CR49" s="1232"/>
      <c r="CS49" s="1232"/>
      <c r="CT49" s="1233"/>
      <c r="CU49" s="1213" t="s">
        <v>532</v>
      </c>
      <c r="CV49" s="1213"/>
      <c r="DW49" s="17"/>
      <c r="DX49" s="17"/>
      <c r="DY49" s="17"/>
      <c r="DZ49" s="17"/>
      <c r="EA49" s="17"/>
      <c r="EB49" s="17"/>
      <c r="EC49" s="17"/>
      <c r="ED49" s="17"/>
      <c r="EE49" s="17"/>
      <c r="EF49" s="17"/>
    </row>
    <row r="50" spans="4:150" ht="7.5" customHeight="1" x14ac:dyDescent="0.25">
      <c r="D50" s="334"/>
      <c r="E50" s="334"/>
      <c r="F50" s="334"/>
      <c r="G50" s="334"/>
      <c r="H50" s="334"/>
      <c r="I50" s="334"/>
      <c r="J50" s="334"/>
      <c r="K50" s="334"/>
      <c r="L50" s="334"/>
      <c r="O50" s="335"/>
      <c r="P50" s="335"/>
      <c r="AI50" s="336"/>
      <c r="AJ50" s="1331" t="s">
        <v>446</v>
      </c>
      <c r="AK50" s="1332"/>
      <c r="AL50" s="1332"/>
      <c r="AM50" s="1332"/>
      <c r="AN50" s="1332"/>
      <c r="AO50" s="1332"/>
      <c r="AP50" s="1332"/>
      <c r="AQ50" s="1332"/>
      <c r="AR50" s="1332"/>
      <c r="AS50" s="1332"/>
      <c r="AT50" s="1332"/>
      <c r="AU50" s="1332"/>
      <c r="AV50" s="1332"/>
      <c r="AW50" s="1333"/>
      <c r="AY50" s="1211"/>
      <c r="AZ50" s="1211"/>
      <c r="BA50" s="1211"/>
      <c r="BB50" s="1211"/>
      <c r="BC50" s="1211"/>
      <c r="BD50" s="1212"/>
      <c r="BE50" s="1223"/>
      <c r="BF50" s="1224"/>
      <c r="BG50" s="1223"/>
      <c r="BH50" s="1224"/>
      <c r="BI50" s="1223"/>
      <c r="BJ50" s="1224"/>
      <c r="BK50" s="1223"/>
      <c r="BL50" s="1224"/>
      <c r="BM50" s="1223"/>
      <c r="BN50" s="1224"/>
      <c r="BP50" s="1293"/>
      <c r="BQ50" s="1294"/>
      <c r="BR50" s="1294"/>
      <c r="BS50" s="1294"/>
      <c r="BT50" s="1294"/>
      <c r="BU50" s="1294"/>
      <c r="BV50" s="1294"/>
      <c r="BW50" s="1294"/>
      <c r="BX50" s="1294"/>
      <c r="BY50" s="1294"/>
      <c r="BZ50" s="1294"/>
      <c r="CA50" s="1294"/>
      <c r="CB50" s="1294"/>
      <c r="CC50" s="1294"/>
      <c r="CD50" s="1294"/>
      <c r="CE50" s="1294"/>
      <c r="CF50" s="1294"/>
      <c r="CG50" s="1294"/>
      <c r="CH50" s="1294"/>
      <c r="CI50" s="1294"/>
      <c r="CJ50" s="1294"/>
      <c r="CK50" s="1294"/>
      <c r="CL50" s="1294"/>
      <c r="CM50" s="1222" t="s">
        <v>525</v>
      </c>
      <c r="CN50" s="1222"/>
      <c r="CO50" s="1222"/>
      <c r="CP50" s="1222"/>
      <c r="CQ50" s="199"/>
      <c r="CR50" s="199"/>
      <c r="CS50" s="199"/>
      <c r="CT50" s="329"/>
      <c r="CU50" s="1213"/>
      <c r="CV50" s="1213"/>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c r="EH50" s="17"/>
      <c r="EI50" s="17"/>
      <c r="EJ50" s="17"/>
      <c r="EK50" s="17"/>
      <c r="EL50" s="17"/>
      <c r="EM50" s="17"/>
      <c r="EN50" s="17"/>
      <c r="EO50" s="17"/>
      <c r="EP50" s="17"/>
      <c r="EQ50" s="17"/>
      <c r="ER50" s="17"/>
      <c r="ES50" s="17"/>
      <c r="ET50" s="17"/>
    </row>
    <row r="51" spans="4:150" ht="7.5" customHeight="1" x14ac:dyDescent="0.25">
      <c r="D51" s="918" t="s">
        <v>541</v>
      </c>
      <c r="E51" s="918"/>
      <c r="F51" s="918"/>
      <c r="G51" s="918"/>
      <c r="H51" s="918"/>
      <c r="I51" s="918"/>
      <c r="J51" s="918"/>
      <c r="K51" s="918"/>
      <c r="L51" s="918"/>
      <c r="M51" s="918"/>
      <c r="N51" s="919"/>
      <c r="O51" s="926"/>
      <c r="P51" s="927"/>
      <c r="Q51" s="927"/>
      <c r="R51" s="928"/>
      <c r="S51" s="920"/>
      <c r="T51" s="921"/>
      <c r="U51" s="921"/>
      <c r="V51" s="922"/>
      <c r="W51" s="920"/>
      <c r="X51" s="921"/>
      <c r="Y51" s="921"/>
      <c r="Z51" s="922"/>
      <c r="AA51" s="920"/>
      <c r="AB51" s="921"/>
      <c r="AC51" s="921"/>
      <c r="AD51" s="922"/>
      <c r="AE51" s="920"/>
      <c r="AF51" s="921"/>
      <c r="AG51" s="921"/>
      <c r="AH51" s="922"/>
      <c r="AI51" s="1282"/>
      <c r="AJ51" s="1544"/>
      <c r="AK51" s="1545"/>
      <c r="AL51" s="1545"/>
      <c r="AM51" s="1545"/>
      <c r="AN51" s="1545"/>
      <c r="AO51" s="1545"/>
      <c r="AP51" s="1545"/>
      <c r="AQ51" s="1545"/>
      <c r="AR51" s="1545"/>
      <c r="AS51" s="1545"/>
      <c r="AT51" s="1545"/>
      <c r="AU51" s="1545"/>
      <c r="AV51" s="1545"/>
      <c r="AW51" s="1546"/>
      <c r="AY51" s="439"/>
      <c r="AZ51" s="439"/>
      <c r="BA51" s="439"/>
      <c r="BB51" s="439"/>
      <c r="BC51" s="439"/>
      <c r="BD51" s="439"/>
      <c r="BE51" s="339"/>
      <c r="BF51" s="339"/>
      <c r="BG51" s="339"/>
      <c r="BH51" s="339"/>
      <c r="BI51" s="339"/>
      <c r="BJ51" s="339"/>
      <c r="BK51" s="339"/>
      <c r="BL51" s="339"/>
      <c r="BM51" s="339"/>
      <c r="BN51" s="339"/>
      <c r="BP51" s="1293"/>
      <c r="BQ51" s="1294"/>
      <c r="BR51" s="1294"/>
      <c r="BS51" s="1294"/>
      <c r="BT51" s="1294"/>
      <c r="BU51" s="1294"/>
      <c r="BV51" s="1294"/>
      <c r="BW51" s="1294"/>
      <c r="BX51" s="1294"/>
      <c r="BY51" s="1294"/>
      <c r="BZ51" s="1294"/>
      <c r="CA51" s="1294"/>
      <c r="CB51" s="1294"/>
      <c r="CC51" s="1294"/>
      <c r="CD51" s="1294"/>
      <c r="CE51" s="1294"/>
      <c r="CF51" s="1294"/>
      <c r="CG51" s="1294"/>
      <c r="CH51" s="1294"/>
      <c r="CI51" s="1294"/>
      <c r="CJ51" s="1294"/>
      <c r="CK51" s="1294"/>
      <c r="CL51" s="1294"/>
      <c r="CM51" s="1240"/>
      <c r="CN51" s="1241"/>
      <c r="CO51" s="1241"/>
      <c r="CP51" s="1241"/>
      <c r="CQ51" s="1241"/>
      <c r="CR51" s="1241"/>
      <c r="CS51" s="1241"/>
      <c r="CT51" s="1242"/>
      <c r="CU51" s="330"/>
      <c r="CV51" s="333"/>
      <c r="DC51" s="17"/>
      <c r="DD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c r="EH51" s="17"/>
      <c r="EI51" s="17"/>
      <c r="EJ51" s="17"/>
      <c r="EK51" s="17"/>
      <c r="EL51" s="17"/>
      <c r="EM51" s="17"/>
      <c r="EN51" s="17"/>
      <c r="EO51" s="17"/>
      <c r="EP51" s="17"/>
      <c r="EQ51" s="17"/>
      <c r="ER51" s="17"/>
      <c r="ES51" s="17"/>
      <c r="ET51" s="17"/>
    </row>
    <row r="52" spans="4:150" ht="7.5" customHeight="1" x14ac:dyDescent="0.25">
      <c r="D52" s="918"/>
      <c r="E52" s="918"/>
      <c r="F52" s="918"/>
      <c r="G52" s="918"/>
      <c r="H52" s="918"/>
      <c r="I52" s="918"/>
      <c r="J52" s="918"/>
      <c r="K52" s="918"/>
      <c r="L52" s="918"/>
      <c r="M52" s="918"/>
      <c r="N52" s="919"/>
      <c r="O52" s="929"/>
      <c r="P52" s="930"/>
      <c r="Q52" s="930"/>
      <c r="R52" s="931"/>
      <c r="S52" s="923"/>
      <c r="T52" s="924"/>
      <c r="U52" s="924"/>
      <c r="V52" s="925"/>
      <c r="W52" s="923"/>
      <c r="X52" s="924"/>
      <c r="Y52" s="924"/>
      <c r="Z52" s="925"/>
      <c r="AA52" s="923"/>
      <c r="AB52" s="924"/>
      <c r="AC52" s="924"/>
      <c r="AD52" s="925"/>
      <c r="AE52" s="923"/>
      <c r="AF52" s="924"/>
      <c r="AG52" s="924"/>
      <c r="AH52" s="925"/>
      <c r="AI52" s="1282"/>
      <c r="AJ52" s="316"/>
      <c r="AK52" s="199"/>
      <c r="AL52" s="199"/>
      <c r="AM52" s="199"/>
      <c r="AN52" s="199"/>
      <c r="AO52" s="199"/>
      <c r="AP52" s="199"/>
      <c r="AQ52" s="199"/>
      <c r="AR52" s="199"/>
      <c r="AS52" s="199"/>
      <c r="AT52" s="199"/>
      <c r="AU52" s="199"/>
      <c r="AV52" s="199"/>
      <c r="AW52" s="447"/>
      <c r="AY52" s="1211"/>
      <c r="AZ52" s="1211"/>
      <c r="BA52" s="1211"/>
      <c r="BB52" s="1211"/>
      <c r="BC52" s="1211"/>
      <c r="BD52" s="1212"/>
      <c r="BE52" s="1223"/>
      <c r="BF52" s="1224"/>
      <c r="BG52" s="1223"/>
      <c r="BH52" s="1224"/>
      <c r="BI52" s="1223"/>
      <c r="BJ52" s="1224"/>
      <c r="BK52" s="1223"/>
      <c r="BL52" s="1224"/>
      <c r="BM52" s="1223"/>
      <c r="BN52" s="1224"/>
      <c r="BP52" s="1293"/>
      <c r="BQ52" s="1294"/>
      <c r="BR52" s="1294"/>
      <c r="BS52" s="1294"/>
      <c r="BT52" s="1294"/>
      <c r="BU52" s="1294"/>
      <c r="BV52" s="1294"/>
      <c r="BW52" s="1294"/>
      <c r="BX52" s="1294"/>
      <c r="BY52" s="1294"/>
      <c r="BZ52" s="1294"/>
      <c r="CA52" s="1294"/>
      <c r="CB52" s="1294"/>
      <c r="CC52" s="1294"/>
      <c r="CD52" s="1294"/>
      <c r="CE52" s="1294"/>
      <c r="CF52" s="1294"/>
      <c r="CG52" s="1294"/>
      <c r="CH52" s="1294"/>
      <c r="CI52" s="1294"/>
      <c r="CJ52" s="1294"/>
      <c r="CK52" s="1294"/>
      <c r="CL52" s="1294"/>
      <c r="CM52" s="1243"/>
      <c r="CN52" s="1244"/>
      <c r="CO52" s="1244"/>
      <c r="CP52" s="1244"/>
      <c r="CQ52" s="1244"/>
      <c r="CR52" s="1244"/>
      <c r="CS52" s="1244"/>
      <c r="CT52" s="1245"/>
      <c r="CU52" s="1213" t="s">
        <v>528</v>
      </c>
      <c r="CV52" s="1213"/>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c r="EH52" s="17"/>
      <c r="EI52" s="17"/>
      <c r="EJ52" s="17"/>
      <c r="EK52" s="17"/>
      <c r="EL52" s="17"/>
      <c r="EM52" s="17"/>
      <c r="EN52" s="17"/>
      <c r="EO52" s="17"/>
      <c r="EP52" s="17"/>
      <c r="EQ52" s="17"/>
      <c r="ER52" s="17"/>
      <c r="ES52" s="17"/>
      <c r="ET52" s="17"/>
    </row>
    <row r="53" spans="4:150" ht="7.5" customHeight="1" x14ac:dyDescent="0.25">
      <c r="D53" s="334"/>
      <c r="E53" s="334"/>
      <c r="F53" s="334"/>
      <c r="G53" s="334"/>
      <c r="H53" s="334"/>
      <c r="I53" s="334"/>
      <c r="J53" s="334"/>
      <c r="K53" s="334"/>
      <c r="L53" s="334"/>
      <c r="O53" s="335"/>
      <c r="P53" s="335"/>
      <c r="AI53" s="336"/>
      <c r="AJ53" s="316"/>
      <c r="AK53" s="199"/>
      <c r="AL53" s="199"/>
      <c r="AM53" s="199"/>
      <c r="AN53" s="199"/>
      <c r="AO53" s="199"/>
      <c r="AP53" s="199"/>
      <c r="AQ53" s="199"/>
      <c r="AR53" s="199"/>
      <c r="AS53" s="199"/>
      <c r="AT53" s="199"/>
      <c r="AU53" s="199"/>
      <c r="AV53" s="199"/>
      <c r="AW53" s="447"/>
      <c r="AY53" s="439"/>
      <c r="AZ53" s="439"/>
      <c r="BA53" s="439"/>
      <c r="BB53" s="439"/>
      <c r="BC53" s="439"/>
      <c r="BD53" s="439"/>
      <c r="BE53" s="339"/>
      <c r="BF53" s="339"/>
      <c r="BG53" s="339"/>
      <c r="BH53" s="339"/>
      <c r="BI53" s="339"/>
      <c r="BJ53" s="339"/>
      <c r="BK53" s="339"/>
      <c r="BL53" s="339"/>
      <c r="BM53" s="339"/>
      <c r="BN53" s="339"/>
      <c r="BP53" s="1293"/>
      <c r="BQ53" s="1294"/>
      <c r="BR53" s="1294"/>
      <c r="BS53" s="1294"/>
      <c r="BT53" s="1294"/>
      <c r="BU53" s="1294"/>
      <c r="BV53" s="1294"/>
      <c r="BW53" s="1294"/>
      <c r="BX53" s="1294"/>
      <c r="BY53" s="1294"/>
      <c r="BZ53" s="1294"/>
      <c r="CA53" s="1294"/>
      <c r="CB53" s="1294"/>
      <c r="CC53" s="1294"/>
      <c r="CD53" s="1294"/>
      <c r="CE53" s="1294"/>
      <c r="CF53" s="1294"/>
      <c r="CG53" s="1294"/>
      <c r="CH53" s="1294"/>
      <c r="CI53" s="1294"/>
      <c r="CJ53" s="1294"/>
      <c r="CK53" s="1294"/>
      <c r="CL53" s="1294"/>
      <c r="CM53" s="1246"/>
      <c r="CN53" s="1247"/>
      <c r="CO53" s="1247"/>
      <c r="CP53" s="1247"/>
      <c r="CQ53" s="1247"/>
      <c r="CR53" s="1247"/>
      <c r="CS53" s="1247"/>
      <c r="CT53" s="1248"/>
      <c r="CU53" s="1213"/>
      <c r="CV53" s="1213"/>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c r="EH53" s="17"/>
      <c r="EI53" s="17"/>
      <c r="EJ53" s="17"/>
      <c r="EK53" s="17"/>
      <c r="EL53" s="17"/>
      <c r="EM53" s="17"/>
      <c r="EN53" s="17"/>
      <c r="EO53" s="17"/>
      <c r="EP53" s="17"/>
      <c r="EQ53" s="17"/>
      <c r="ER53" s="17"/>
      <c r="ES53" s="17"/>
      <c r="ET53" s="17"/>
    </row>
    <row r="54" spans="4:150" ht="7.5" customHeight="1" x14ac:dyDescent="0.25">
      <c r="D54" s="918" t="s">
        <v>534</v>
      </c>
      <c r="E54" s="918"/>
      <c r="F54" s="918"/>
      <c r="G54" s="918"/>
      <c r="H54" s="918"/>
      <c r="I54" s="918"/>
      <c r="J54" s="918"/>
      <c r="K54" s="918"/>
      <c r="L54" s="918"/>
      <c r="M54" s="918"/>
      <c r="N54" s="919"/>
      <c r="O54" s="926"/>
      <c r="P54" s="927"/>
      <c r="Q54" s="927"/>
      <c r="R54" s="928"/>
      <c r="S54" s="920"/>
      <c r="T54" s="921"/>
      <c r="U54" s="921"/>
      <c r="V54" s="922"/>
      <c r="W54" s="920"/>
      <c r="X54" s="921"/>
      <c r="Y54" s="921"/>
      <c r="Z54" s="922"/>
      <c r="AA54" s="920"/>
      <c r="AB54" s="921"/>
      <c r="AC54" s="921"/>
      <c r="AD54" s="922"/>
      <c r="AE54" s="920"/>
      <c r="AF54" s="921"/>
      <c r="AG54" s="921"/>
      <c r="AH54" s="922"/>
      <c r="AI54" s="1282"/>
      <c r="AJ54" s="316"/>
      <c r="AK54" s="199"/>
      <c r="AL54" s="199"/>
      <c r="AM54" s="199"/>
      <c r="AN54" s="199"/>
      <c r="AO54" s="199"/>
      <c r="AP54" s="199"/>
      <c r="AQ54" s="199"/>
      <c r="AR54" s="199"/>
      <c r="AS54" s="199"/>
      <c r="AT54" s="199"/>
      <c r="AU54" s="199"/>
      <c r="AV54" s="199"/>
      <c r="AW54" s="447"/>
      <c r="AY54" s="1211"/>
      <c r="AZ54" s="1211"/>
      <c r="BA54" s="1211"/>
      <c r="BB54" s="1211"/>
      <c r="BC54" s="1211"/>
      <c r="BD54" s="1212"/>
      <c r="BE54" s="1223"/>
      <c r="BF54" s="1224"/>
      <c r="BG54" s="1223"/>
      <c r="BH54" s="1224"/>
      <c r="BI54" s="1223"/>
      <c r="BJ54" s="1224"/>
      <c r="BK54" s="1223"/>
      <c r="BL54" s="1224"/>
      <c r="BM54" s="1223"/>
      <c r="BN54" s="1224"/>
      <c r="BP54" s="1295"/>
      <c r="BQ54" s="1296"/>
      <c r="BR54" s="1296"/>
      <c r="BS54" s="1296"/>
      <c r="BT54" s="1296"/>
      <c r="BU54" s="1296"/>
      <c r="BV54" s="1296"/>
      <c r="BW54" s="1296"/>
      <c r="BX54" s="1296"/>
      <c r="BY54" s="1296"/>
      <c r="BZ54" s="1296"/>
      <c r="CA54" s="1296"/>
      <c r="CB54" s="1296"/>
      <c r="CC54" s="1296"/>
      <c r="CD54" s="1296"/>
      <c r="CE54" s="1296"/>
      <c r="CF54" s="1296"/>
      <c r="CG54" s="1296"/>
      <c r="CH54" s="1296"/>
      <c r="CI54" s="1296"/>
      <c r="CJ54" s="1296"/>
      <c r="CK54" s="1296"/>
      <c r="CL54" s="1296"/>
      <c r="CM54" s="331"/>
      <c r="CN54" s="331"/>
      <c r="CO54" s="331"/>
      <c r="CP54" s="331"/>
      <c r="CQ54" s="331"/>
      <c r="CR54" s="331"/>
      <c r="CS54" s="331"/>
      <c r="CT54" s="332"/>
      <c r="CU54" s="330"/>
      <c r="CV54" s="333"/>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c r="EH54" s="17"/>
      <c r="EI54" s="17"/>
      <c r="EJ54" s="17"/>
      <c r="EK54" s="17"/>
      <c r="EL54" s="17"/>
      <c r="EM54" s="17"/>
      <c r="EN54" s="17"/>
      <c r="EO54" s="17"/>
      <c r="EP54" s="17"/>
      <c r="EQ54" s="17"/>
      <c r="ER54" s="17"/>
      <c r="ES54" s="17"/>
      <c r="ET54" s="17"/>
    </row>
    <row r="55" spans="4:150" ht="7.5" customHeight="1" x14ac:dyDescent="0.25">
      <c r="D55" s="918"/>
      <c r="E55" s="918"/>
      <c r="F55" s="918"/>
      <c r="G55" s="918"/>
      <c r="H55" s="918"/>
      <c r="I55" s="918"/>
      <c r="J55" s="918"/>
      <c r="K55" s="918"/>
      <c r="L55" s="918"/>
      <c r="M55" s="918"/>
      <c r="N55" s="919"/>
      <c r="O55" s="929"/>
      <c r="P55" s="930"/>
      <c r="Q55" s="930"/>
      <c r="R55" s="931"/>
      <c r="S55" s="923"/>
      <c r="T55" s="924"/>
      <c r="U55" s="924"/>
      <c r="V55" s="925"/>
      <c r="W55" s="923"/>
      <c r="X55" s="924"/>
      <c r="Y55" s="924"/>
      <c r="Z55" s="925"/>
      <c r="AA55" s="923"/>
      <c r="AB55" s="924"/>
      <c r="AC55" s="924"/>
      <c r="AD55" s="925"/>
      <c r="AE55" s="923"/>
      <c r="AF55" s="924"/>
      <c r="AG55" s="924"/>
      <c r="AH55" s="925"/>
      <c r="AI55" s="1282"/>
      <c r="AJ55" s="316"/>
      <c r="AK55" s="199"/>
      <c r="AL55" s="199"/>
      <c r="AM55" s="199"/>
      <c r="AN55" s="199"/>
      <c r="AO55" s="199"/>
      <c r="AP55" s="199"/>
      <c r="AQ55" s="199"/>
      <c r="AR55" s="199"/>
      <c r="AS55" s="199"/>
      <c r="AT55" s="199"/>
      <c r="AU55" s="199"/>
      <c r="AV55" s="199"/>
      <c r="AW55" s="447"/>
      <c r="AY55" s="439"/>
      <c r="AZ55" s="439"/>
      <c r="BA55" s="439"/>
      <c r="BB55" s="439"/>
      <c r="BC55" s="439"/>
      <c r="BD55" s="439"/>
      <c r="BP55" s="1325" t="s">
        <v>85</v>
      </c>
      <c r="BQ55" s="1326"/>
      <c r="BR55" s="1326"/>
      <c r="BS55" s="1326"/>
      <c r="BT55" s="1326"/>
      <c r="BU55" s="1326"/>
      <c r="BV55" s="1326"/>
      <c r="BW55" s="1326"/>
      <c r="BX55" s="1326"/>
      <c r="BY55" s="1326"/>
      <c r="BZ55" s="1326"/>
      <c r="CA55" s="1326"/>
      <c r="CB55" s="1326"/>
      <c r="CC55" s="1326"/>
      <c r="CD55" s="1327"/>
      <c r="CE55" s="1328" t="s">
        <v>89</v>
      </c>
      <c r="CF55" s="1329"/>
      <c r="CG55" s="1329"/>
      <c r="CH55" s="1329"/>
      <c r="CI55" s="1329"/>
      <c r="CJ55" s="1329"/>
      <c r="CK55" s="1329"/>
      <c r="CL55" s="1330"/>
      <c r="CM55" s="325" t="s">
        <v>88</v>
      </c>
      <c r="CN55" s="326"/>
      <c r="CO55" s="326"/>
      <c r="CP55" s="326"/>
      <c r="CQ55" s="326"/>
      <c r="CR55" s="326"/>
      <c r="CS55" s="326"/>
      <c r="CT55" s="327"/>
      <c r="CU55" s="1213" t="s">
        <v>532</v>
      </c>
      <c r="CV55" s="1213"/>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c r="EH55" s="17"/>
      <c r="EI55" s="17"/>
      <c r="EJ55" s="17"/>
      <c r="EK55" s="17"/>
      <c r="EL55" s="17"/>
      <c r="EM55" s="17"/>
      <c r="EN55" s="17"/>
      <c r="EO55" s="17"/>
      <c r="EP55" s="17"/>
      <c r="EQ55" s="17"/>
      <c r="ER55" s="17"/>
      <c r="ES55" s="17"/>
      <c r="ET55" s="17"/>
    </row>
    <row r="56" spans="4:150" ht="7.5" customHeight="1" x14ac:dyDescent="0.25">
      <c r="D56" s="334"/>
      <c r="E56" s="334"/>
      <c r="F56" s="334"/>
      <c r="G56" s="334"/>
      <c r="H56" s="334"/>
      <c r="I56" s="334"/>
      <c r="J56" s="334"/>
      <c r="K56" s="334"/>
      <c r="L56" s="334"/>
      <c r="AI56" s="336"/>
      <c r="AJ56" s="1319"/>
      <c r="AK56" s="1320"/>
      <c r="AL56" s="1320"/>
      <c r="AM56" s="1320"/>
      <c r="AN56" s="1320"/>
      <c r="AO56" s="1320"/>
      <c r="AP56" s="1320"/>
      <c r="AQ56" s="1320"/>
      <c r="AR56" s="1320"/>
      <c r="AS56" s="1320"/>
      <c r="AT56" s="1320"/>
      <c r="AU56" s="1320"/>
      <c r="AV56" s="1320"/>
      <c r="AW56" s="1321"/>
      <c r="AX56" s="436"/>
      <c r="AY56" s="1211"/>
      <c r="AZ56" s="1211"/>
      <c r="BA56" s="1211"/>
      <c r="BB56" s="1211"/>
      <c r="BC56" s="1211"/>
      <c r="BD56" s="1212"/>
      <c r="BE56" s="1223"/>
      <c r="BF56" s="1224"/>
      <c r="BG56" s="1223"/>
      <c r="BH56" s="1224"/>
      <c r="BI56" s="1223"/>
      <c r="BJ56" s="1224"/>
      <c r="BK56" s="1223"/>
      <c r="BL56" s="1224"/>
      <c r="BM56" s="1223"/>
      <c r="BN56" s="1224"/>
      <c r="BP56" s="1269"/>
      <c r="BQ56" s="1270"/>
      <c r="BR56" s="1270"/>
      <c r="BS56" s="1270"/>
      <c r="BT56" s="1270"/>
      <c r="BU56" s="1270"/>
      <c r="BV56" s="1270"/>
      <c r="BW56" s="1270"/>
      <c r="BX56" s="1270"/>
      <c r="BY56" s="1270"/>
      <c r="BZ56" s="1270"/>
      <c r="CA56" s="1270"/>
      <c r="CB56" s="1270"/>
      <c r="CC56" s="1270"/>
      <c r="CD56" s="1271"/>
      <c r="CE56" s="1275"/>
      <c r="CF56" s="1276"/>
      <c r="CG56" s="1276"/>
      <c r="CH56" s="1276"/>
      <c r="CI56" s="1276"/>
      <c r="CJ56" s="1276"/>
      <c r="CK56" s="1276"/>
      <c r="CL56" s="1277"/>
      <c r="CM56" s="1243"/>
      <c r="CN56" s="1244"/>
      <c r="CO56" s="1244"/>
      <c r="CP56" s="1244"/>
      <c r="CQ56" s="1244"/>
      <c r="CR56" s="1244"/>
      <c r="CS56" s="1244"/>
      <c r="CT56" s="1245"/>
      <c r="CU56" s="1213"/>
      <c r="CV56" s="1213"/>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c r="EH56" s="17"/>
      <c r="EI56" s="17"/>
      <c r="EJ56" s="17"/>
      <c r="EK56" s="17"/>
      <c r="EL56" s="17"/>
      <c r="EM56" s="17"/>
      <c r="EN56" s="17"/>
      <c r="EO56" s="17"/>
      <c r="EP56" s="17"/>
      <c r="EQ56" s="17"/>
      <c r="ER56" s="17"/>
      <c r="ES56" s="17"/>
      <c r="ET56" s="17"/>
    </row>
    <row r="57" spans="4:150" ht="7.5" customHeight="1" x14ac:dyDescent="0.25">
      <c r="D57" s="918" t="s">
        <v>542</v>
      </c>
      <c r="E57" s="918"/>
      <c r="F57" s="918"/>
      <c r="G57" s="918"/>
      <c r="H57" s="918"/>
      <c r="I57" s="918"/>
      <c r="J57" s="918"/>
      <c r="K57" s="918"/>
      <c r="L57" s="918"/>
      <c r="M57" s="918"/>
      <c r="N57" s="919"/>
      <c r="O57" s="926"/>
      <c r="P57" s="927"/>
      <c r="Q57" s="927"/>
      <c r="R57" s="928"/>
      <c r="S57" s="920"/>
      <c r="T57" s="921"/>
      <c r="U57" s="921"/>
      <c r="V57" s="922"/>
      <c r="W57" s="920"/>
      <c r="X57" s="921"/>
      <c r="Y57" s="921"/>
      <c r="Z57" s="922"/>
      <c r="AA57" s="920"/>
      <c r="AB57" s="921"/>
      <c r="AC57" s="921"/>
      <c r="AD57" s="922"/>
      <c r="AE57" s="920"/>
      <c r="AF57" s="921"/>
      <c r="AG57" s="921"/>
      <c r="AH57" s="922"/>
      <c r="AI57" s="1282"/>
      <c r="AJ57" s="1319"/>
      <c r="AK57" s="1320"/>
      <c r="AL57" s="1320"/>
      <c r="AM57" s="1320"/>
      <c r="AN57" s="1320"/>
      <c r="AO57" s="1320"/>
      <c r="AP57" s="1320"/>
      <c r="AQ57" s="1320"/>
      <c r="AR57" s="1320"/>
      <c r="AS57" s="1320"/>
      <c r="AT57" s="1320"/>
      <c r="AU57" s="1320"/>
      <c r="AV57" s="1320"/>
      <c r="AW57" s="1321"/>
      <c r="AX57" s="436"/>
      <c r="AY57" s="439"/>
      <c r="AZ57" s="439"/>
      <c r="BA57" s="439"/>
      <c r="BB57" s="439"/>
      <c r="BC57" s="439"/>
      <c r="BD57" s="439"/>
      <c r="BP57" s="1272"/>
      <c r="BQ57" s="1273"/>
      <c r="BR57" s="1273"/>
      <c r="BS57" s="1273"/>
      <c r="BT57" s="1273"/>
      <c r="BU57" s="1273"/>
      <c r="BV57" s="1273"/>
      <c r="BW57" s="1273"/>
      <c r="BX57" s="1273"/>
      <c r="BY57" s="1273"/>
      <c r="BZ57" s="1273"/>
      <c r="CA57" s="1273"/>
      <c r="CB57" s="1273"/>
      <c r="CC57" s="1273"/>
      <c r="CD57" s="1274"/>
      <c r="CE57" s="1278"/>
      <c r="CF57" s="1279"/>
      <c r="CG57" s="1279"/>
      <c r="CH57" s="1279"/>
      <c r="CI57" s="1279"/>
      <c r="CJ57" s="1279"/>
      <c r="CK57" s="1279"/>
      <c r="CL57" s="1280"/>
      <c r="CM57" s="1246"/>
      <c r="CN57" s="1247"/>
      <c r="CO57" s="1247"/>
      <c r="CP57" s="1247"/>
      <c r="CQ57" s="1247"/>
      <c r="CR57" s="1247"/>
      <c r="CS57" s="1247"/>
      <c r="CT57" s="1248"/>
      <c r="CU57" s="330"/>
      <c r="CV57" s="333"/>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c r="EH57" s="17"/>
      <c r="EI57" s="17"/>
      <c r="EJ57" s="17"/>
      <c r="EK57" s="17"/>
      <c r="EL57" s="17"/>
      <c r="EM57" s="17"/>
      <c r="EN57" s="17"/>
      <c r="EO57" s="17"/>
      <c r="EP57" s="17"/>
      <c r="EQ57" s="17"/>
      <c r="ER57" s="17"/>
      <c r="ES57" s="17"/>
      <c r="ET57" s="17"/>
    </row>
    <row r="58" spans="4:150" ht="7.5" customHeight="1" x14ac:dyDescent="0.25">
      <c r="D58" s="918"/>
      <c r="E58" s="918"/>
      <c r="F58" s="918"/>
      <c r="G58" s="918"/>
      <c r="H58" s="918"/>
      <c r="I58" s="918"/>
      <c r="J58" s="918"/>
      <c r="K58" s="918"/>
      <c r="L58" s="918"/>
      <c r="M58" s="918"/>
      <c r="N58" s="919"/>
      <c r="O58" s="929"/>
      <c r="P58" s="930"/>
      <c r="Q58" s="930"/>
      <c r="R58" s="931"/>
      <c r="S58" s="923"/>
      <c r="T58" s="924"/>
      <c r="U58" s="924"/>
      <c r="V58" s="925"/>
      <c r="W58" s="923"/>
      <c r="X58" s="924"/>
      <c r="Y58" s="924"/>
      <c r="Z58" s="925"/>
      <c r="AA58" s="923"/>
      <c r="AB58" s="924"/>
      <c r="AC58" s="924"/>
      <c r="AD58" s="925"/>
      <c r="AE58" s="923"/>
      <c r="AF58" s="924"/>
      <c r="AG58" s="924"/>
      <c r="AH58" s="925"/>
      <c r="AI58" s="1282"/>
      <c r="AJ58" s="1319"/>
      <c r="AK58" s="1320"/>
      <c r="AL58" s="1320"/>
      <c r="AM58" s="1320"/>
      <c r="AN58" s="1320"/>
      <c r="AO58" s="1320"/>
      <c r="AP58" s="1320"/>
      <c r="AQ58" s="1320"/>
      <c r="AR58" s="1320"/>
      <c r="AS58" s="1320"/>
      <c r="AT58" s="1320"/>
      <c r="AU58" s="1320"/>
      <c r="AV58" s="1320"/>
      <c r="AW58" s="1321"/>
      <c r="AX58" s="436"/>
      <c r="AY58" s="1211"/>
      <c r="AZ58" s="1211"/>
      <c r="BA58" s="1211"/>
      <c r="BB58" s="1211"/>
      <c r="BC58" s="1211"/>
      <c r="BD58" s="1212"/>
      <c r="BE58" s="1223"/>
      <c r="BF58" s="1224"/>
      <c r="BG58" s="1223"/>
      <c r="BH58" s="1224"/>
      <c r="BI58" s="1223"/>
      <c r="BJ58" s="1224"/>
      <c r="BK58" s="1223"/>
      <c r="BL58" s="1224"/>
      <c r="BM58" s="1223"/>
      <c r="BN58" s="1224"/>
      <c r="BP58" s="1250" t="s">
        <v>86</v>
      </c>
      <c r="BQ58" s="1251"/>
      <c r="BR58" s="1251"/>
      <c r="BS58" s="1251"/>
      <c r="BT58" s="1251"/>
      <c r="BU58" s="1251"/>
      <c r="BV58" s="1251"/>
      <c r="BW58" s="1251"/>
      <c r="BX58" s="1251"/>
      <c r="BY58" s="1251"/>
      <c r="BZ58" s="1251"/>
      <c r="CA58" s="1251"/>
      <c r="CB58" s="1251"/>
      <c r="CC58" s="1251"/>
      <c r="CD58" s="1251"/>
      <c r="CE58" s="1251"/>
      <c r="CF58" s="1251"/>
      <c r="CG58" s="1251"/>
      <c r="CH58" s="1251"/>
      <c r="CI58" s="1251"/>
      <c r="CJ58" s="1251"/>
      <c r="CK58" s="1251"/>
      <c r="CL58" s="1251"/>
      <c r="CM58" s="1222" t="s">
        <v>91</v>
      </c>
      <c r="CN58" s="1222"/>
      <c r="CO58" s="1222"/>
      <c r="CP58" s="1222"/>
      <c r="CQ58" s="328"/>
      <c r="CR58" s="328"/>
      <c r="CS58" s="328"/>
      <c r="CT58" s="329"/>
      <c r="CU58" s="1213" t="s">
        <v>531</v>
      </c>
      <c r="CV58" s="1213"/>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c r="EH58" s="17"/>
      <c r="EI58" s="17"/>
      <c r="EJ58" s="17"/>
      <c r="EK58" s="17"/>
      <c r="EL58" s="17"/>
      <c r="EM58" s="17"/>
      <c r="EN58" s="17"/>
      <c r="EO58" s="17"/>
      <c r="EP58" s="17"/>
      <c r="EQ58" s="17"/>
      <c r="ER58" s="17"/>
      <c r="ES58" s="17"/>
      <c r="ET58" s="17"/>
    </row>
    <row r="59" spans="4:150" ht="7.5" customHeight="1" x14ac:dyDescent="0.25">
      <c r="AI59" s="336"/>
      <c r="AJ59" s="1319"/>
      <c r="AK59" s="1320"/>
      <c r="AL59" s="1320"/>
      <c r="AM59" s="1320"/>
      <c r="AN59" s="1320"/>
      <c r="AO59" s="1320"/>
      <c r="AP59" s="1320"/>
      <c r="AQ59" s="1320"/>
      <c r="AR59" s="1320"/>
      <c r="AS59" s="1320"/>
      <c r="AT59" s="1320"/>
      <c r="AU59" s="1320"/>
      <c r="AV59" s="1320"/>
      <c r="AW59" s="1321"/>
      <c r="AX59" s="436"/>
      <c r="AY59" s="439"/>
      <c r="AZ59" s="439"/>
      <c r="BA59" s="439"/>
      <c r="BB59" s="439"/>
      <c r="BC59" s="439"/>
      <c r="BD59" s="439"/>
      <c r="BP59" s="1293"/>
      <c r="BQ59" s="1294"/>
      <c r="BR59" s="1294"/>
      <c r="BS59" s="1294"/>
      <c r="BT59" s="1294"/>
      <c r="BU59" s="1294"/>
      <c r="BV59" s="1294"/>
      <c r="BW59" s="1294"/>
      <c r="BX59" s="1294"/>
      <c r="BY59" s="1294"/>
      <c r="BZ59" s="1294"/>
      <c r="CA59" s="1294"/>
      <c r="CB59" s="1294"/>
      <c r="CC59" s="1294"/>
      <c r="CD59" s="1294"/>
      <c r="CE59" s="1294"/>
      <c r="CF59" s="1294"/>
      <c r="CG59" s="1294"/>
      <c r="CH59" s="1294"/>
      <c r="CI59" s="1294"/>
      <c r="CJ59" s="1294"/>
      <c r="CK59" s="1294"/>
      <c r="CL59" s="1294"/>
      <c r="CM59" s="1225"/>
      <c r="CN59" s="1226"/>
      <c r="CO59" s="1226"/>
      <c r="CP59" s="1226"/>
      <c r="CQ59" s="1226"/>
      <c r="CR59" s="1226"/>
      <c r="CS59" s="1226"/>
      <c r="CT59" s="1227"/>
      <c r="CU59" s="1213"/>
      <c r="CV59" s="1213"/>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c r="EC59" s="17"/>
      <c r="ED59" s="17"/>
      <c r="EE59" s="17"/>
      <c r="EF59" s="17"/>
      <c r="EG59" s="17"/>
      <c r="EH59" s="17"/>
      <c r="EI59" s="17"/>
      <c r="EJ59" s="17"/>
      <c r="EK59" s="17"/>
      <c r="EL59" s="17"/>
      <c r="EM59" s="17"/>
      <c r="EN59" s="17"/>
      <c r="EO59" s="17"/>
      <c r="EP59" s="17"/>
      <c r="EQ59" s="17"/>
      <c r="ER59" s="17"/>
      <c r="ES59" s="17"/>
      <c r="ET59" s="17"/>
    </row>
    <row r="60" spans="4:150" ht="7.5" customHeight="1" x14ac:dyDescent="0.25">
      <c r="D60" s="1254" t="s">
        <v>535</v>
      </c>
      <c r="E60" s="1255"/>
      <c r="F60" s="1255"/>
      <c r="G60" s="1255"/>
      <c r="H60" s="1255"/>
      <c r="I60" s="1255"/>
      <c r="J60" s="1255"/>
      <c r="K60" s="1255"/>
      <c r="L60" s="1255"/>
      <c r="M60" s="1255"/>
      <c r="N60" s="1255"/>
      <c r="O60" s="1255"/>
      <c r="P60" s="1255"/>
      <c r="Q60" s="1255"/>
      <c r="R60" s="1255"/>
      <c r="S60" s="1255"/>
      <c r="T60" s="1255"/>
      <c r="U60" s="1255"/>
      <c r="V60" s="1255"/>
      <c r="W60" s="1255"/>
      <c r="X60" s="1255"/>
      <c r="Y60" s="1255"/>
      <c r="Z60" s="1255"/>
      <c r="AA60" s="1255"/>
      <c r="AB60" s="1255"/>
      <c r="AC60" s="1255"/>
      <c r="AD60" s="1255"/>
      <c r="AE60" s="1255"/>
      <c r="AF60" s="1255"/>
      <c r="AG60" s="1255"/>
      <c r="AH60" s="1256"/>
      <c r="AI60" s="336"/>
      <c r="AJ60" s="1319"/>
      <c r="AK60" s="1320"/>
      <c r="AL60" s="1320"/>
      <c r="AM60" s="1320"/>
      <c r="AN60" s="1320"/>
      <c r="AO60" s="1320"/>
      <c r="AP60" s="1320"/>
      <c r="AQ60" s="1320"/>
      <c r="AR60" s="1320"/>
      <c r="AS60" s="1320"/>
      <c r="AT60" s="1320"/>
      <c r="AU60" s="1320"/>
      <c r="AV60" s="1320"/>
      <c r="AW60" s="1321"/>
      <c r="AX60" s="436"/>
      <c r="AY60" s="1211"/>
      <c r="AZ60" s="1211"/>
      <c r="BA60" s="1211"/>
      <c r="BB60" s="1211"/>
      <c r="BC60" s="1211"/>
      <c r="BD60" s="1212"/>
      <c r="BE60" s="1223"/>
      <c r="BF60" s="1224"/>
      <c r="BG60" s="1223"/>
      <c r="BH60" s="1224"/>
      <c r="BI60" s="1223"/>
      <c r="BJ60" s="1224"/>
      <c r="BK60" s="1223"/>
      <c r="BL60" s="1224"/>
      <c r="BM60" s="1223"/>
      <c r="BN60" s="1224"/>
      <c r="BP60" s="1293"/>
      <c r="BQ60" s="1294"/>
      <c r="BR60" s="1294"/>
      <c r="BS60" s="1294"/>
      <c r="BT60" s="1294"/>
      <c r="BU60" s="1294"/>
      <c r="BV60" s="1294"/>
      <c r="BW60" s="1294"/>
      <c r="BX60" s="1294"/>
      <c r="BY60" s="1294"/>
      <c r="BZ60" s="1294"/>
      <c r="CA60" s="1294"/>
      <c r="CB60" s="1294"/>
      <c r="CC60" s="1294"/>
      <c r="CD60" s="1294"/>
      <c r="CE60" s="1294"/>
      <c r="CF60" s="1294"/>
      <c r="CG60" s="1294"/>
      <c r="CH60" s="1294"/>
      <c r="CI60" s="1294"/>
      <c r="CJ60" s="1294"/>
      <c r="CK60" s="1294"/>
      <c r="CL60" s="1294"/>
      <c r="CM60" s="1228"/>
      <c r="CN60" s="1229"/>
      <c r="CO60" s="1229"/>
      <c r="CP60" s="1229"/>
      <c r="CQ60" s="1229"/>
      <c r="CR60" s="1229"/>
      <c r="CS60" s="1229"/>
      <c r="CT60" s="1230"/>
      <c r="CU60" s="330"/>
      <c r="CV60" s="333"/>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c r="ED60" s="17"/>
      <c r="EE60" s="17"/>
      <c r="EF60" s="17"/>
      <c r="EG60" s="17"/>
      <c r="EH60" s="17"/>
      <c r="EI60" s="17"/>
      <c r="EJ60" s="17"/>
      <c r="EK60" s="17"/>
      <c r="EL60" s="17"/>
      <c r="EM60" s="17"/>
      <c r="EN60" s="17"/>
      <c r="EO60" s="17"/>
      <c r="EP60" s="17"/>
      <c r="EQ60" s="17"/>
      <c r="ER60" s="17"/>
      <c r="ES60" s="17"/>
      <c r="ET60" s="17"/>
    </row>
    <row r="61" spans="4:150" ht="7.5" customHeight="1" x14ac:dyDescent="0.25">
      <c r="D61" s="1257"/>
      <c r="E61" s="1258"/>
      <c r="F61" s="1258"/>
      <c r="G61" s="1258"/>
      <c r="H61" s="1258"/>
      <c r="I61" s="1258"/>
      <c r="J61" s="1258"/>
      <c r="K61" s="1258"/>
      <c r="L61" s="1258"/>
      <c r="M61" s="1258"/>
      <c r="N61" s="1258"/>
      <c r="O61" s="1258"/>
      <c r="P61" s="1258"/>
      <c r="Q61" s="1258"/>
      <c r="R61" s="1258"/>
      <c r="S61" s="1258"/>
      <c r="T61" s="1258"/>
      <c r="U61" s="1258"/>
      <c r="V61" s="1258"/>
      <c r="W61" s="1258"/>
      <c r="X61" s="1258"/>
      <c r="Y61" s="1258"/>
      <c r="Z61" s="1258"/>
      <c r="AA61" s="1258"/>
      <c r="AB61" s="1258"/>
      <c r="AC61" s="1258"/>
      <c r="AD61" s="1258"/>
      <c r="AE61" s="1258"/>
      <c r="AF61" s="1258"/>
      <c r="AG61" s="1258"/>
      <c r="AH61" s="1259"/>
      <c r="AI61" s="336"/>
      <c r="AJ61" s="1319"/>
      <c r="AK61" s="1320"/>
      <c r="AL61" s="1320"/>
      <c r="AM61" s="1320"/>
      <c r="AN61" s="1320"/>
      <c r="AO61" s="1320"/>
      <c r="AP61" s="1320"/>
      <c r="AQ61" s="1320"/>
      <c r="AR61" s="1320"/>
      <c r="AS61" s="1320"/>
      <c r="AT61" s="1320"/>
      <c r="AU61" s="1320"/>
      <c r="AV61" s="1320"/>
      <c r="AW61" s="1321"/>
      <c r="AX61" s="436"/>
      <c r="AY61" s="439"/>
      <c r="AZ61" s="439"/>
      <c r="BA61" s="439"/>
      <c r="BB61" s="439"/>
      <c r="BC61" s="439"/>
      <c r="BD61" s="439"/>
      <c r="BP61" s="1293"/>
      <c r="BQ61" s="1294"/>
      <c r="BR61" s="1294"/>
      <c r="BS61" s="1294"/>
      <c r="BT61" s="1294"/>
      <c r="BU61" s="1294"/>
      <c r="BV61" s="1294"/>
      <c r="BW61" s="1294"/>
      <c r="BX61" s="1294"/>
      <c r="BY61" s="1294"/>
      <c r="BZ61" s="1294"/>
      <c r="CA61" s="1294"/>
      <c r="CB61" s="1294"/>
      <c r="CC61" s="1294"/>
      <c r="CD61" s="1294"/>
      <c r="CE61" s="1294"/>
      <c r="CF61" s="1294"/>
      <c r="CG61" s="1294"/>
      <c r="CH61" s="1294"/>
      <c r="CI61" s="1294"/>
      <c r="CJ61" s="1294"/>
      <c r="CK61" s="1294"/>
      <c r="CL61" s="1294"/>
      <c r="CM61" s="1231"/>
      <c r="CN61" s="1232"/>
      <c r="CO61" s="1232"/>
      <c r="CP61" s="1232"/>
      <c r="CQ61" s="1232"/>
      <c r="CR61" s="1232"/>
      <c r="CS61" s="1232"/>
      <c r="CT61" s="1233"/>
      <c r="CU61" s="1213" t="s">
        <v>528</v>
      </c>
      <c r="CV61" s="1213"/>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c r="EH61" s="17"/>
      <c r="EI61" s="17"/>
      <c r="EJ61" s="17"/>
      <c r="EK61" s="17"/>
      <c r="EL61" s="17"/>
      <c r="EM61" s="17"/>
      <c r="EN61" s="17"/>
      <c r="EO61" s="17"/>
      <c r="EP61" s="17"/>
      <c r="EQ61" s="17"/>
      <c r="ER61" s="17"/>
      <c r="ES61" s="17"/>
      <c r="ET61" s="17"/>
    </row>
    <row r="62" spans="4:150" ht="7.5" customHeight="1" x14ac:dyDescent="0.25">
      <c r="D62" s="1260"/>
      <c r="E62" s="1261"/>
      <c r="F62" s="1261"/>
      <c r="G62" s="1261"/>
      <c r="H62" s="1261"/>
      <c r="I62" s="1261"/>
      <c r="J62" s="1261"/>
      <c r="K62" s="1261"/>
      <c r="L62" s="1261"/>
      <c r="M62" s="1261"/>
      <c r="N62" s="1261"/>
      <c r="O62" s="1261"/>
      <c r="P62" s="1261"/>
      <c r="Q62" s="1261"/>
      <c r="R62" s="1261"/>
      <c r="S62" s="1261"/>
      <c r="T62" s="1261"/>
      <c r="U62" s="1261"/>
      <c r="V62" s="1261"/>
      <c r="W62" s="1261"/>
      <c r="X62" s="1261"/>
      <c r="Y62" s="1261"/>
      <c r="Z62" s="1261"/>
      <c r="AA62" s="1261"/>
      <c r="AB62" s="1261"/>
      <c r="AC62" s="1261"/>
      <c r="AD62" s="1261"/>
      <c r="AE62" s="1261"/>
      <c r="AF62" s="1261"/>
      <c r="AG62" s="1261"/>
      <c r="AH62" s="1262"/>
      <c r="AI62" s="17"/>
      <c r="AJ62" s="1319"/>
      <c r="AK62" s="1320"/>
      <c r="AL62" s="1320"/>
      <c r="AM62" s="1320"/>
      <c r="AN62" s="1320"/>
      <c r="AO62" s="1320"/>
      <c r="AP62" s="1320"/>
      <c r="AQ62" s="1320"/>
      <c r="AR62" s="1320"/>
      <c r="AS62" s="1320"/>
      <c r="AT62" s="1320"/>
      <c r="AU62" s="1320"/>
      <c r="AV62" s="1320"/>
      <c r="AW62" s="1321"/>
      <c r="AX62" s="436"/>
      <c r="AY62" s="1211"/>
      <c r="AZ62" s="1211"/>
      <c r="BA62" s="1211"/>
      <c r="BB62" s="1211"/>
      <c r="BC62" s="1211"/>
      <c r="BD62" s="1212"/>
      <c r="BE62" s="1223"/>
      <c r="BF62" s="1224"/>
      <c r="BG62" s="1223"/>
      <c r="BH62" s="1224"/>
      <c r="BI62" s="1223"/>
      <c r="BJ62" s="1224"/>
      <c r="BK62" s="1223"/>
      <c r="BL62" s="1224"/>
      <c r="BM62" s="1223"/>
      <c r="BN62" s="1224"/>
      <c r="BP62" s="1293"/>
      <c r="BQ62" s="1294"/>
      <c r="BR62" s="1294"/>
      <c r="BS62" s="1294"/>
      <c r="BT62" s="1294"/>
      <c r="BU62" s="1294"/>
      <c r="BV62" s="1294"/>
      <c r="BW62" s="1294"/>
      <c r="BX62" s="1294"/>
      <c r="BY62" s="1294"/>
      <c r="BZ62" s="1294"/>
      <c r="CA62" s="1294"/>
      <c r="CB62" s="1294"/>
      <c r="CC62" s="1294"/>
      <c r="CD62" s="1294"/>
      <c r="CE62" s="1294"/>
      <c r="CF62" s="1294"/>
      <c r="CG62" s="1294"/>
      <c r="CH62" s="1294"/>
      <c r="CI62" s="1294"/>
      <c r="CJ62" s="1294"/>
      <c r="CK62" s="1294"/>
      <c r="CL62" s="1294"/>
      <c r="CM62" s="1222" t="s">
        <v>525</v>
      </c>
      <c r="CN62" s="1222"/>
      <c r="CO62" s="1222"/>
      <c r="CP62" s="1222"/>
      <c r="CQ62" s="199"/>
      <c r="CR62" s="199"/>
      <c r="CS62" s="199"/>
      <c r="CT62" s="329"/>
      <c r="CU62" s="1213"/>
      <c r="CV62" s="1213"/>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c r="EH62" s="17"/>
      <c r="EI62" s="17"/>
      <c r="EJ62" s="17"/>
      <c r="EK62" s="17"/>
      <c r="EL62" s="17"/>
      <c r="EM62" s="17"/>
      <c r="EN62" s="17"/>
      <c r="EO62" s="17"/>
      <c r="EP62" s="17"/>
      <c r="EQ62" s="17"/>
      <c r="ER62" s="17"/>
      <c r="ES62" s="17"/>
      <c r="ET62" s="17"/>
    </row>
    <row r="63" spans="4:150" ht="7.5" customHeight="1" x14ac:dyDescent="0.25">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319"/>
      <c r="AK63" s="1320"/>
      <c r="AL63" s="1320"/>
      <c r="AM63" s="1320"/>
      <c r="AN63" s="1320"/>
      <c r="AO63" s="1320"/>
      <c r="AP63" s="1320"/>
      <c r="AQ63" s="1320"/>
      <c r="AR63" s="1320"/>
      <c r="AS63" s="1320"/>
      <c r="AT63" s="1320"/>
      <c r="AU63" s="1320"/>
      <c r="AV63" s="1320"/>
      <c r="AW63" s="1321"/>
      <c r="AX63" s="436"/>
      <c r="AY63" s="439"/>
      <c r="AZ63" s="439"/>
      <c r="BA63" s="439"/>
      <c r="BB63" s="439"/>
      <c r="BC63" s="439"/>
      <c r="BD63" s="439"/>
      <c r="BE63" s="339"/>
      <c r="BF63" s="339"/>
      <c r="BG63" s="339"/>
      <c r="BH63" s="339"/>
      <c r="BI63" s="339"/>
      <c r="BJ63" s="339"/>
      <c r="BK63" s="339"/>
      <c r="BL63" s="339"/>
      <c r="BM63" s="339"/>
      <c r="BN63" s="339"/>
      <c r="BP63" s="1293"/>
      <c r="BQ63" s="1294"/>
      <c r="BR63" s="1294"/>
      <c r="BS63" s="1294"/>
      <c r="BT63" s="1294"/>
      <c r="BU63" s="1294"/>
      <c r="BV63" s="1294"/>
      <c r="BW63" s="1294"/>
      <c r="BX63" s="1294"/>
      <c r="BY63" s="1294"/>
      <c r="BZ63" s="1294"/>
      <c r="CA63" s="1294"/>
      <c r="CB63" s="1294"/>
      <c r="CC63" s="1294"/>
      <c r="CD63" s="1294"/>
      <c r="CE63" s="1294"/>
      <c r="CF63" s="1294"/>
      <c r="CG63" s="1294"/>
      <c r="CH63" s="1294"/>
      <c r="CI63" s="1294"/>
      <c r="CJ63" s="1294"/>
      <c r="CK63" s="1294"/>
      <c r="CL63" s="1294"/>
      <c r="CM63" s="1240"/>
      <c r="CN63" s="1241"/>
      <c r="CO63" s="1241"/>
      <c r="CP63" s="1241"/>
      <c r="CQ63" s="1241"/>
      <c r="CR63" s="1241"/>
      <c r="CS63" s="1241"/>
      <c r="CT63" s="1242"/>
      <c r="CU63" s="330"/>
      <c r="CV63" s="333"/>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c r="EH63" s="17"/>
      <c r="EI63" s="17"/>
      <c r="EJ63" s="17"/>
      <c r="EK63" s="17"/>
      <c r="EL63" s="17"/>
      <c r="EM63" s="17"/>
      <c r="EN63" s="17"/>
      <c r="EO63" s="17"/>
      <c r="EP63" s="17"/>
      <c r="EQ63" s="17"/>
      <c r="ER63" s="17"/>
      <c r="ES63" s="17"/>
      <c r="ET63" s="17"/>
    </row>
    <row r="64" spans="4:150" ht="7.5" customHeight="1" x14ac:dyDescent="0.25">
      <c r="D64" s="918"/>
      <c r="E64" s="918"/>
      <c r="F64" s="918"/>
      <c r="G64" s="918"/>
      <c r="H64" s="918"/>
      <c r="I64" s="918"/>
      <c r="J64" s="918"/>
      <c r="K64" s="918"/>
      <c r="L64" s="918"/>
      <c r="M64" s="918"/>
      <c r="N64" s="919"/>
      <c r="O64" s="926"/>
      <c r="P64" s="927"/>
      <c r="Q64" s="927"/>
      <c r="R64" s="928"/>
      <c r="S64" s="920"/>
      <c r="T64" s="921"/>
      <c r="U64" s="921"/>
      <c r="V64" s="922"/>
      <c r="W64" s="920"/>
      <c r="X64" s="921"/>
      <c r="Y64" s="921"/>
      <c r="Z64" s="922"/>
      <c r="AA64" s="920"/>
      <c r="AB64" s="921"/>
      <c r="AC64" s="921"/>
      <c r="AD64" s="922"/>
      <c r="AE64" s="920"/>
      <c r="AF64" s="921"/>
      <c r="AG64" s="921"/>
      <c r="AH64" s="1315"/>
      <c r="AI64" s="304"/>
      <c r="AJ64" s="1319"/>
      <c r="AK64" s="1320"/>
      <c r="AL64" s="1320"/>
      <c r="AM64" s="1320"/>
      <c r="AN64" s="1320"/>
      <c r="AO64" s="1320"/>
      <c r="AP64" s="1320"/>
      <c r="AQ64" s="1320"/>
      <c r="AR64" s="1320"/>
      <c r="AS64" s="1320"/>
      <c r="AT64" s="1320"/>
      <c r="AU64" s="1320"/>
      <c r="AV64" s="1320"/>
      <c r="AW64" s="1321"/>
      <c r="AX64" s="436"/>
      <c r="AY64" s="1249"/>
      <c r="AZ64" s="1249"/>
      <c r="BA64" s="1249"/>
      <c r="BB64" s="1249"/>
      <c r="BC64" s="1249"/>
      <c r="BD64" s="1212"/>
      <c r="BE64" s="1223"/>
      <c r="BF64" s="1224"/>
      <c r="BG64" s="1223"/>
      <c r="BH64" s="1224"/>
      <c r="BI64" s="1223"/>
      <c r="BJ64" s="1224"/>
      <c r="BK64" s="1223"/>
      <c r="BL64" s="1224"/>
      <c r="BM64" s="1223"/>
      <c r="BN64" s="1224"/>
      <c r="BP64" s="1293"/>
      <c r="BQ64" s="1294"/>
      <c r="BR64" s="1294"/>
      <c r="BS64" s="1294"/>
      <c r="BT64" s="1294"/>
      <c r="BU64" s="1294"/>
      <c r="BV64" s="1294"/>
      <c r="BW64" s="1294"/>
      <c r="BX64" s="1294"/>
      <c r="BY64" s="1294"/>
      <c r="BZ64" s="1294"/>
      <c r="CA64" s="1294"/>
      <c r="CB64" s="1294"/>
      <c r="CC64" s="1294"/>
      <c r="CD64" s="1294"/>
      <c r="CE64" s="1294"/>
      <c r="CF64" s="1294"/>
      <c r="CG64" s="1294"/>
      <c r="CH64" s="1294"/>
      <c r="CI64" s="1294"/>
      <c r="CJ64" s="1294"/>
      <c r="CK64" s="1294"/>
      <c r="CL64" s="1294"/>
      <c r="CM64" s="1243"/>
      <c r="CN64" s="1244"/>
      <c r="CO64" s="1244"/>
      <c r="CP64" s="1244"/>
      <c r="CQ64" s="1244"/>
      <c r="CR64" s="1244"/>
      <c r="CS64" s="1244"/>
      <c r="CT64" s="1245"/>
      <c r="CU64" s="1213" t="s">
        <v>528</v>
      </c>
      <c r="CV64" s="1213"/>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c r="ED64" s="17"/>
      <c r="EE64" s="17"/>
      <c r="EF64" s="17"/>
      <c r="EG64" s="17"/>
      <c r="EH64" s="17"/>
      <c r="EI64" s="17"/>
      <c r="EJ64" s="17"/>
      <c r="EK64" s="17"/>
      <c r="EL64" s="17"/>
      <c r="EM64" s="17"/>
      <c r="EN64" s="17"/>
      <c r="EO64" s="17"/>
      <c r="EP64" s="17"/>
      <c r="EQ64" s="17"/>
      <c r="ER64" s="17"/>
      <c r="ES64" s="17"/>
      <c r="ET64" s="17"/>
    </row>
    <row r="65" spans="4:150" ht="7.5" customHeight="1" x14ac:dyDescent="0.25">
      <c r="D65" s="918"/>
      <c r="E65" s="918"/>
      <c r="F65" s="918"/>
      <c r="G65" s="918"/>
      <c r="H65" s="918"/>
      <c r="I65" s="918"/>
      <c r="J65" s="918"/>
      <c r="K65" s="918"/>
      <c r="L65" s="918"/>
      <c r="M65" s="918"/>
      <c r="N65" s="919"/>
      <c r="O65" s="929"/>
      <c r="P65" s="930"/>
      <c r="Q65" s="930"/>
      <c r="R65" s="931"/>
      <c r="S65" s="923"/>
      <c r="T65" s="924"/>
      <c r="U65" s="924"/>
      <c r="V65" s="925"/>
      <c r="W65" s="923"/>
      <c r="X65" s="924"/>
      <c r="Y65" s="924"/>
      <c r="Z65" s="925"/>
      <c r="AA65" s="923"/>
      <c r="AB65" s="924"/>
      <c r="AC65" s="924"/>
      <c r="AD65" s="925"/>
      <c r="AE65" s="923"/>
      <c r="AF65" s="924"/>
      <c r="AG65" s="924"/>
      <c r="AH65" s="1316"/>
      <c r="AI65" s="304"/>
      <c r="AJ65" s="1319"/>
      <c r="AK65" s="1320"/>
      <c r="AL65" s="1320"/>
      <c r="AM65" s="1320"/>
      <c r="AN65" s="1320"/>
      <c r="AO65" s="1320"/>
      <c r="AP65" s="1320"/>
      <c r="AQ65" s="1320"/>
      <c r="AR65" s="1320"/>
      <c r="AS65" s="1320"/>
      <c r="AT65" s="1320"/>
      <c r="AU65" s="1320"/>
      <c r="AV65" s="1320"/>
      <c r="AW65" s="1321"/>
      <c r="AX65" s="436"/>
      <c r="AY65" s="439"/>
      <c r="AZ65" s="439"/>
      <c r="BA65" s="439"/>
      <c r="BB65" s="439"/>
      <c r="BC65" s="439"/>
      <c r="BD65" s="439"/>
      <c r="BE65" s="339"/>
      <c r="BF65" s="339"/>
      <c r="BG65" s="339"/>
      <c r="BH65" s="339"/>
      <c r="BI65" s="339"/>
      <c r="BJ65" s="339"/>
      <c r="BK65" s="339"/>
      <c r="BL65" s="339"/>
      <c r="BM65" s="339"/>
      <c r="BN65" s="339"/>
      <c r="BP65" s="1293"/>
      <c r="BQ65" s="1294"/>
      <c r="BR65" s="1294"/>
      <c r="BS65" s="1294"/>
      <c r="BT65" s="1294"/>
      <c r="BU65" s="1294"/>
      <c r="BV65" s="1294"/>
      <c r="BW65" s="1294"/>
      <c r="BX65" s="1294"/>
      <c r="BY65" s="1294"/>
      <c r="BZ65" s="1294"/>
      <c r="CA65" s="1294"/>
      <c r="CB65" s="1294"/>
      <c r="CC65" s="1294"/>
      <c r="CD65" s="1294"/>
      <c r="CE65" s="1294"/>
      <c r="CF65" s="1294"/>
      <c r="CG65" s="1294"/>
      <c r="CH65" s="1294"/>
      <c r="CI65" s="1294"/>
      <c r="CJ65" s="1294"/>
      <c r="CK65" s="1294"/>
      <c r="CL65" s="1294"/>
      <c r="CM65" s="1246"/>
      <c r="CN65" s="1247"/>
      <c r="CO65" s="1247"/>
      <c r="CP65" s="1247"/>
      <c r="CQ65" s="1247"/>
      <c r="CR65" s="1247"/>
      <c r="CS65" s="1247"/>
      <c r="CT65" s="1248"/>
      <c r="CU65" s="1213"/>
      <c r="CV65" s="1213"/>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c r="EH65" s="17"/>
      <c r="EI65" s="17"/>
      <c r="EJ65" s="17"/>
      <c r="EK65" s="17"/>
      <c r="EL65" s="17"/>
      <c r="EM65" s="17"/>
      <c r="EN65" s="17"/>
      <c r="EO65" s="17"/>
      <c r="EP65" s="17"/>
      <c r="EQ65" s="17"/>
      <c r="ER65" s="17"/>
      <c r="ES65" s="17"/>
      <c r="ET65" s="17"/>
    </row>
    <row r="66" spans="4:150" ht="7.5" customHeight="1" x14ac:dyDescent="0.25">
      <c r="AJ66" s="1322"/>
      <c r="AK66" s="1323"/>
      <c r="AL66" s="1323"/>
      <c r="AM66" s="1323"/>
      <c r="AN66" s="1323"/>
      <c r="AO66" s="1323"/>
      <c r="AP66" s="1323"/>
      <c r="AQ66" s="1323"/>
      <c r="AR66" s="1323"/>
      <c r="AS66" s="1323"/>
      <c r="AT66" s="1323"/>
      <c r="AU66" s="1323"/>
      <c r="AV66" s="1323"/>
      <c r="AW66" s="1324"/>
      <c r="AX66" s="436"/>
      <c r="AY66" s="1249"/>
      <c r="AZ66" s="1249"/>
      <c r="BA66" s="1249"/>
      <c r="BB66" s="1249"/>
      <c r="BC66" s="1249"/>
      <c r="BD66" s="1212"/>
      <c r="BE66" s="1223"/>
      <c r="BF66" s="1224"/>
      <c r="BG66" s="1223"/>
      <c r="BH66" s="1224"/>
      <c r="BI66" s="1223"/>
      <c r="BJ66" s="1224"/>
      <c r="BK66" s="1223"/>
      <c r="BL66" s="1224"/>
      <c r="BM66" s="1223"/>
      <c r="BN66" s="1224"/>
      <c r="BP66" s="1295"/>
      <c r="BQ66" s="1296"/>
      <c r="BR66" s="1296"/>
      <c r="BS66" s="1296"/>
      <c r="BT66" s="1296"/>
      <c r="BU66" s="1296"/>
      <c r="BV66" s="1296"/>
      <c r="BW66" s="1296"/>
      <c r="BX66" s="1296"/>
      <c r="BY66" s="1296"/>
      <c r="BZ66" s="1296"/>
      <c r="CA66" s="1296"/>
      <c r="CB66" s="1296"/>
      <c r="CC66" s="1296"/>
      <c r="CD66" s="1296"/>
      <c r="CE66" s="1296"/>
      <c r="CF66" s="1296"/>
      <c r="CG66" s="1296"/>
      <c r="CH66" s="1296"/>
      <c r="CI66" s="1296"/>
      <c r="CJ66" s="1296"/>
      <c r="CK66" s="1296"/>
      <c r="CL66" s="1296"/>
      <c r="CM66" s="331"/>
      <c r="CN66" s="331"/>
      <c r="CO66" s="331"/>
      <c r="CP66" s="331"/>
      <c r="CQ66" s="331"/>
      <c r="CR66" s="331"/>
      <c r="CS66" s="331"/>
      <c r="CT66" s="332"/>
      <c r="CU66" s="330"/>
      <c r="CV66" s="333"/>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c r="EH66" s="17"/>
      <c r="EI66" s="17"/>
      <c r="EJ66" s="17"/>
      <c r="EK66" s="17"/>
      <c r="EL66" s="17"/>
      <c r="EM66" s="17"/>
      <c r="EN66" s="17"/>
      <c r="EO66" s="17"/>
      <c r="EP66" s="17"/>
      <c r="EQ66" s="17"/>
      <c r="ER66" s="17"/>
      <c r="ES66" s="17"/>
      <c r="ET66" s="17"/>
    </row>
    <row r="67" spans="4:150" ht="7.5" customHeight="1" x14ac:dyDescent="0.25">
      <c r="D67" s="918"/>
      <c r="E67" s="918"/>
      <c r="F67" s="918"/>
      <c r="G67" s="918"/>
      <c r="H67" s="918"/>
      <c r="I67" s="918"/>
      <c r="J67" s="918"/>
      <c r="K67" s="918"/>
      <c r="L67" s="918"/>
      <c r="M67" s="918"/>
      <c r="N67" s="919"/>
      <c r="O67" s="926"/>
      <c r="P67" s="927"/>
      <c r="Q67" s="927"/>
      <c r="R67" s="928"/>
      <c r="S67" s="920"/>
      <c r="T67" s="921"/>
      <c r="U67" s="921"/>
      <c r="V67" s="922"/>
      <c r="W67" s="920"/>
      <c r="X67" s="921"/>
      <c r="Y67" s="921"/>
      <c r="Z67" s="922"/>
      <c r="AA67" s="920"/>
      <c r="AB67" s="921"/>
      <c r="AC67" s="921"/>
      <c r="AD67" s="922"/>
      <c r="AE67" s="920"/>
      <c r="AF67" s="921"/>
      <c r="AG67" s="921"/>
      <c r="AH67" s="1315"/>
      <c r="BE67" s="339"/>
      <c r="BF67" s="339"/>
      <c r="BG67" s="339"/>
      <c r="BH67" s="339"/>
      <c r="BI67" s="339"/>
      <c r="BJ67" s="339"/>
      <c r="BK67" s="339"/>
      <c r="BL67" s="339"/>
      <c r="BM67" s="339"/>
      <c r="BN67" s="339"/>
      <c r="CU67" s="1213" t="s">
        <v>527</v>
      </c>
      <c r="CV67" s="1213"/>
      <c r="DC67" s="17"/>
      <c r="DD67" s="17"/>
      <c r="DE67" s="17"/>
      <c r="DF67" s="17"/>
      <c r="DG67" s="17"/>
      <c r="DH67" s="17"/>
      <c r="DI67" s="17"/>
      <c r="DJ67" s="17"/>
      <c r="DK67" s="17"/>
      <c r="DL67" s="17"/>
      <c r="DM67" s="17"/>
      <c r="DN67" s="17"/>
      <c r="DO67" s="17"/>
      <c r="DP67" s="17"/>
      <c r="DQ67" s="17"/>
      <c r="DR67" s="17"/>
      <c r="DS67" s="17"/>
      <c r="DT67" s="17"/>
      <c r="DU67" s="17"/>
      <c r="DV67" s="17"/>
      <c r="DW67" s="17"/>
      <c r="DX67" s="17"/>
      <c r="DY67" s="17"/>
      <c r="DZ67" s="17"/>
      <c r="EA67" s="17"/>
      <c r="EB67" s="17"/>
      <c r="EC67" s="17"/>
      <c r="ED67" s="17"/>
      <c r="EE67" s="17"/>
      <c r="EF67" s="17"/>
      <c r="EG67" s="17"/>
      <c r="EH67" s="17"/>
      <c r="EI67" s="17"/>
      <c r="EJ67" s="17"/>
      <c r="EK67" s="17"/>
      <c r="EL67" s="17"/>
      <c r="EM67" s="17"/>
      <c r="EN67" s="17"/>
      <c r="EO67" s="17"/>
      <c r="EP67" s="17"/>
      <c r="EQ67" s="17"/>
      <c r="ER67" s="17"/>
      <c r="ES67" s="17"/>
      <c r="ET67" s="17"/>
    </row>
    <row r="68" spans="4:150" ht="7.5" customHeight="1" x14ac:dyDescent="0.25">
      <c r="D68" s="918"/>
      <c r="E68" s="918"/>
      <c r="F68" s="918"/>
      <c r="G68" s="918"/>
      <c r="H68" s="918"/>
      <c r="I68" s="918"/>
      <c r="J68" s="918"/>
      <c r="K68" s="918"/>
      <c r="L68" s="918"/>
      <c r="M68" s="918"/>
      <c r="N68" s="919"/>
      <c r="O68" s="929"/>
      <c r="P68" s="930"/>
      <c r="Q68" s="930"/>
      <c r="R68" s="931"/>
      <c r="S68" s="923"/>
      <c r="T68" s="924"/>
      <c r="U68" s="924"/>
      <c r="V68" s="925"/>
      <c r="W68" s="923"/>
      <c r="X68" s="924"/>
      <c r="Y68" s="924"/>
      <c r="Z68" s="925"/>
      <c r="AA68" s="923"/>
      <c r="AB68" s="924"/>
      <c r="AC68" s="924"/>
      <c r="AD68" s="925"/>
      <c r="AE68" s="923"/>
      <c r="AF68" s="924"/>
      <c r="AG68" s="924"/>
      <c r="AH68" s="1316"/>
      <c r="AJ68" s="1234" t="s">
        <v>536</v>
      </c>
      <c r="AK68" s="1235"/>
      <c r="AL68" s="1235"/>
      <c r="AM68" s="1235"/>
      <c r="AN68" s="1235"/>
      <c r="AO68" s="1235"/>
      <c r="AP68" s="1235"/>
      <c r="AQ68" s="1235"/>
      <c r="AR68" s="1235"/>
      <c r="AS68" s="1235"/>
      <c r="AT68" s="1235"/>
      <c r="AU68" s="1235"/>
      <c r="AV68" s="1235"/>
      <c r="AW68" s="1235"/>
      <c r="AX68" s="1235"/>
      <c r="AY68" s="1235"/>
      <c r="AZ68" s="1235"/>
      <c r="BA68" s="1235"/>
      <c r="BB68" s="1235"/>
      <c r="BC68" s="1235"/>
      <c r="BD68" s="1235"/>
      <c r="BE68" s="1235"/>
      <c r="BF68" s="1235"/>
      <c r="BG68" s="1235"/>
      <c r="BH68" s="1235"/>
      <c r="BI68" s="1235"/>
      <c r="BJ68" s="1235"/>
      <c r="BK68" s="1235"/>
      <c r="BL68" s="1235"/>
      <c r="BM68" s="1235"/>
      <c r="BN68" s="1235"/>
      <c r="BO68" s="1235"/>
      <c r="BP68" s="1235"/>
      <c r="BQ68" s="1235"/>
      <c r="BR68" s="1235"/>
      <c r="BS68" s="1235"/>
      <c r="BT68" s="1235"/>
      <c r="BU68" s="1235"/>
      <c r="BV68" s="1235"/>
      <c r="BW68" s="1235"/>
      <c r="BX68" s="1235"/>
      <c r="BY68" s="1235"/>
      <c r="BZ68" s="1235"/>
      <c r="CA68" s="1235"/>
      <c r="CB68" s="1235"/>
      <c r="CC68" s="1235"/>
      <c r="CD68" s="1235"/>
      <c r="CE68" s="1235"/>
      <c r="CF68" s="1235"/>
      <c r="CG68" s="1235"/>
      <c r="CH68" s="1235"/>
      <c r="CI68" s="1235"/>
      <c r="CJ68" s="1235"/>
      <c r="CK68" s="1235"/>
      <c r="CL68" s="1235"/>
      <c r="CM68" s="1235"/>
      <c r="CN68" s="1235"/>
      <c r="CO68" s="1235"/>
      <c r="CP68" s="1235"/>
      <c r="CQ68" s="1235"/>
      <c r="CR68" s="1235"/>
      <c r="CS68" s="1235"/>
      <c r="CT68" s="1236"/>
      <c r="CU68" s="1213"/>
      <c r="CV68" s="1213"/>
      <c r="DC68" s="17"/>
      <c r="DD68" s="17"/>
      <c r="DE68" s="17"/>
      <c r="DF68" s="17"/>
      <c r="DG68" s="17"/>
      <c r="DH68" s="17"/>
      <c r="DI68" s="17"/>
      <c r="DJ68" s="17"/>
      <c r="DK68" s="17"/>
      <c r="DL68" s="17"/>
      <c r="DM68" s="17"/>
      <c r="DN68" s="17"/>
      <c r="DO68" s="17"/>
      <c r="DP68" s="17"/>
      <c r="DQ68" s="17"/>
      <c r="DR68" s="17"/>
      <c r="DS68" s="17"/>
      <c r="DT68" s="17"/>
      <c r="DU68" s="17"/>
      <c r="DV68" s="17"/>
      <c r="DW68" s="17"/>
      <c r="DX68" s="17"/>
      <c r="DY68" s="17"/>
      <c r="DZ68" s="17"/>
      <c r="EA68" s="17"/>
      <c r="EB68" s="17"/>
      <c r="EC68" s="17"/>
      <c r="ED68" s="17"/>
      <c r="EE68" s="17"/>
      <c r="EF68" s="17"/>
      <c r="EG68" s="17"/>
      <c r="EH68" s="17"/>
      <c r="EI68" s="17"/>
      <c r="EJ68" s="17"/>
      <c r="EK68" s="17"/>
      <c r="EL68" s="17"/>
      <c r="EM68" s="17"/>
      <c r="EN68" s="17"/>
      <c r="EO68" s="17"/>
      <c r="EP68" s="17"/>
      <c r="EQ68" s="17"/>
      <c r="ER68" s="17"/>
      <c r="ES68" s="17"/>
      <c r="ET68" s="17"/>
    </row>
    <row r="69" spans="4:150" ht="7.5" customHeight="1" x14ac:dyDescent="0.25">
      <c r="AJ69" s="1237"/>
      <c r="AK69" s="1238"/>
      <c r="AL69" s="1238"/>
      <c r="AM69" s="1238"/>
      <c r="AN69" s="1238"/>
      <c r="AO69" s="1238"/>
      <c r="AP69" s="1238"/>
      <c r="AQ69" s="1238"/>
      <c r="AR69" s="1238"/>
      <c r="AS69" s="1238"/>
      <c r="AT69" s="1238"/>
      <c r="AU69" s="1238"/>
      <c r="AV69" s="1238"/>
      <c r="AW69" s="1238"/>
      <c r="AX69" s="1238"/>
      <c r="AY69" s="1238"/>
      <c r="AZ69" s="1238"/>
      <c r="BA69" s="1238"/>
      <c r="BB69" s="1238"/>
      <c r="BC69" s="1238"/>
      <c r="BD69" s="1238"/>
      <c r="BE69" s="1238"/>
      <c r="BF69" s="1238"/>
      <c r="BG69" s="1238"/>
      <c r="BH69" s="1238"/>
      <c r="BI69" s="1238"/>
      <c r="BJ69" s="1238"/>
      <c r="BK69" s="1238"/>
      <c r="BL69" s="1238"/>
      <c r="BM69" s="1238"/>
      <c r="BN69" s="1238"/>
      <c r="BO69" s="1238"/>
      <c r="BP69" s="1238"/>
      <c r="BQ69" s="1238"/>
      <c r="BR69" s="1238"/>
      <c r="BS69" s="1238"/>
      <c r="BT69" s="1238"/>
      <c r="BU69" s="1238"/>
      <c r="BV69" s="1238"/>
      <c r="BW69" s="1238"/>
      <c r="BX69" s="1238"/>
      <c r="BY69" s="1238"/>
      <c r="BZ69" s="1238"/>
      <c r="CA69" s="1238"/>
      <c r="CB69" s="1238"/>
      <c r="CC69" s="1238"/>
      <c r="CD69" s="1238"/>
      <c r="CE69" s="1238"/>
      <c r="CF69" s="1238"/>
      <c r="CG69" s="1238"/>
      <c r="CH69" s="1238"/>
      <c r="CI69" s="1238"/>
      <c r="CJ69" s="1238"/>
      <c r="CK69" s="1238"/>
      <c r="CL69" s="1238"/>
      <c r="CM69" s="1238"/>
      <c r="CN69" s="1238"/>
      <c r="CO69" s="1238"/>
      <c r="CP69" s="1238"/>
      <c r="CQ69" s="1238"/>
      <c r="CR69" s="1238"/>
      <c r="CS69" s="1238"/>
      <c r="CT69" s="1239"/>
      <c r="CU69" s="330"/>
      <c r="CV69" s="333"/>
      <c r="DC69" s="17"/>
      <c r="DD69" s="17"/>
      <c r="DE69" s="17"/>
      <c r="DF69" s="17"/>
      <c r="DG69" s="17"/>
      <c r="DH69" s="17"/>
      <c r="DI69" s="17"/>
      <c r="DJ69" s="17"/>
      <c r="DK69" s="17"/>
      <c r="DL69" s="17"/>
      <c r="DM69" s="17"/>
      <c r="DN69" s="17"/>
      <c r="DO69" s="17"/>
      <c r="DP69" s="17"/>
      <c r="DQ69" s="17"/>
      <c r="DR69" s="17"/>
      <c r="DS69" s="17"/>
      <c r="DT69" s="17"/>
      <c r="DU69" s="17"/>
      <c r="DV69" s="17"/>
      <c r="DW69" s="17"/>
      <c r="DX69" s="17"/>
      <c r="DY69" s="17"/>
      <c r="DZ69" s="17"/>
      <c r="EA69" s="17"/>
      <c r="EB69" s="17"/>
      <c r="EC69" s="17"/>
      <c r="ED69" s="17"/>
      <c r="EE69" s="17"/>
      <c r="EF69" s="17"/>
      <c r="EG69" s="17"/>
      <c r="EH69" s="17"/>
      <c r="EI69" s="17"/>
      <c r="EJ69" s="17"/>
      <c r="EK69" s="17"/>
      <c r="EL69" s="17"/>
      <c r="EM69" s="17"/>
      <c r="EN69" s="17"/>
      <c r="EO69" s="17"/>
      <c r="EP69" s="17"/>
      <c r="EQ69" s="17"/>
      <c r="ER69" s="17"/>
      <c r="ES69" s="17"/>
      <c r="ET69" s="17"/>
    </row>
    <row r="70" spans="4:150" ht="7.5" customHeight="1" x14ac:dyDescent="0.25">
      <c r="D70" s="918"/>
      <c r="E70" s="918"/>
      <c r="F70" s="918"/>
      <c r="G70" s="918"/>
      <c r="H70" s="918"/>
      <c r="I70" s="918"/>
      <c r="J70" s="918"/>
      <c r="K70" s="918"/>
      <c r="L70" s="918"/>
      <c r="M70" s="918"/>
      <c r="N70" s="919"/>
      <c r="O70" s="926"/>
      <c r="P70" s="927"/>
      <c r="Q70" s="927"/>
      <c r="R70" s="928"/>
      <c r="S70" s="920"/>
      <c r="T70" s="921"/>
      <c r="U70" s="921"/>
      <c r="V70" s="922"/>
      <c r="W70" s="920"/>
      <c r="X70" s="921"/>
      <c r="Y70" s="921"/>
      <c r="Z70" s="922"/>
      <c r="AA70" s="920"/>
      <c r="AB70" s="921"/>
      <c r="AC70" s="921"/>
      <c r="AD70" s="922"/>
      <c r="AE70" s="920"/>
      <c r="AF70" s="921"/>
      <c r="AG70" s="921"/>
      <c r="AH70" s="1315"/>
      <c r="AJ70" s="1214"/>
      <c r="AK70" s="1214"/>
      <c r="AL70" s="1214"/>
      <c r="AM70" s="1214"/>
      <c r="AN70" s="1214"/>
      <c r="AO70" s="1214"/>
      <c r="AP70" s="1214"/>
      <c r="AQ70" s="1214"/>
      <c r="AR70" s="1214"/>
      <c r="AS70" s="1214"/>
      <c r="AT70" s="1214"/>
      <c r="AU70" s="1214"/>
      <c r="AV70" s="1214"/>
      <c r="AW70" s="1214"/>
      <c r="AX70" s="1214"/>
      <c r="AY70" s="1214"/>
      <c r="AZ70" s="1214"/>
      <c r="BA70" s="1214"/>
      <c r="BB70" s="1214"/>
      <c r="BC70" s="1214"/>
      <c r="BD70" s="1214"/>
      <c r="BE70" s="1214"/>
      <c r="BF70" s="1214"/>
      <c r="BG70" s="1214"/>
      <c r="BH70" s="1214"/>
      <c r="BI70" s="1214"/>
      <c r="BJ70" s="1214"/>
      <c r="BK70" s="1214"/>
      <c r="BL70" s="1214"/>
      <c r="BM70" s="1214"/>
      <c r="BN70" s="1214"/>
      <c r="BO70" s="1214"/>
      <c r="BP70" s="1214"/>
      <c r="BQ70" s="1214"/>
      <c r="BR70" s="1214"/>
      <c r="BS70" s="1214"/>
      <c r="BT70" s="1214"/>
      <c r="BU70" s="1214"/>
      <c r="BV70" s="1214"/>
      <c r="BW70" s="1214"/>
      <c r="BX70" s="1214"/>
      <c r="BY70" s="1214"/>
      <c r="BZ70" s="1214"/>
      <c r="CA70" s="1214"/>
      <c r="CB70" s="1214"/>
      <c r="CC70" s="1214"/>
      <c r="CD70" s="1214"/>
      <c r="CE70" s="1214"/>
      <c r="CF70" s="1214"/>
      <c r="CG70" s="1214"/>
      <c r="CH70" s="1214"/>
      <c r="CI70" s="1214"/>
      <c r="CJ70" s="1214"/>
      <c r="CK70" s="1214"/>
      <c r="CL70" s="1214"/>
      <c r="CM70" s="1214"/>
      <c r="CN70" s="1214"/>
      <c r="CO70" s="1214"/>
      <c r="CP70" s="1214"/>
      <c r="CQ70" s="1214"/>
      <c r="CR70" s="1214"/>
      <c r="CS70" s="1214"/>
      <c r="CT70" s="1214"/>
      <c r="CU70" s="1213" t="s">
        <v>528</v>
      </c>
      <c r="CV70" s="1213"/>
      <c r="DC70" s="17"/>
      <c r="DD70" s="17"/>
      <c r="DE70" s="17"/>
      <c r="DF70" s="17"/>
      <c r="DG70" s="17"/>
      <c r="DH70" s="17"/>
      <c r="DI70" s="17"/>
      <c r="DJ70" s="17"/>
      <c r="DK70" s="17"/>
      <c r="DL70" s="17"/>
      <c r="DM70" s="17"/>
      <c r="DN70" s="17"/>
      <c r="DO70" s="17"/>
      <c r="DP70" s="17"/>
      <c r="DQ70" s="17"/>
      <c r="DR70" s="17"/>
      <c r="DS70" s="17"/>
      <c r="DT70" s="17"/>
      <c r="DU70" s="17"/>
      <c r="DV70" s="17"/>
      <c r="DW70" s="17"/>
      <c r="DX70" s="17"/>
      <c r="DY70" s="17"/>
      <c r="DZ70" s="17"/>
      <c r="EA70" s="17"/>
      <c r="EB70" s="17"/>
      <c r="EC70" s="17"/>
      <c r="ED70" s="17"/>
      <c r="EE70" s="17"/>
      <c r="EF70" s="17"/>
      <c r="EG70" s="17"/>
      <c r="EH70" s="17"/>
      <c r="EI70" s="17"/>
      <c r="EJ70" s="17"/>
      <c r="EK70" s="17"/>
      <c r="EL70" s="17"/>
      <c r="EM70" s="17"/>
      <c r="EN70" s="17"/>
      <c r="EO70" s="17"/>
      <c r="EP70" s="17"/>
      <c r="EQ70" s="17"/>
      <c r="ER70" s="17"/>
      <c r="ES70" s="17"/>
      <c r="ET70" s="17"/>
    </row>
    <row r="71" spans="4:150" ht="7.5" customHeight="1" x14ac:dyDescent="0.25">
      <c r="D71" s="918"/>
      <c r="E71" s="918"/>
      <c r="F71" s="918"/>
      <c r="G71" s="918"/>
      <c r="H71" s="918"/>
      <c r="I71" s="918"/>
      <c r="J71" s="918"/>
      <c r="K71" s="918"/>
      <c r="L71" s="918"/>
      <c r="M71" s="918"/>
      <c r="N71" s="919"/>
      <c r="O71" s="929"/>
      <c r="P71" s="930"/>
      <c r="Q71" s="930"/>
      <c r="R71" s="931"/>
      <c r="S71" s="923"/>
      <c r="T71" s="924"/>
      <c r="U71" s="924"/>
      <c r="V71" s="925"/>
      <c r="W71" s="923"/>
      <c r="X71" s="924"/>
      <c r="Y71" s="924"/>
      <c r="Z71" s="925"/>
      <c r="AA71" s="923"/>
      <c r="AB71" s="924"/>
      <c r="AC71" s="924"/>
      <c r="AD71" s="925"/>
      <c r="AE71" s="923"/>
      <c r="AF71" s="924"/>
      <c r="AG71" s="924"/>
      <c r="AH71" s="1316"/>
      <c r="AJ71" s="741"/>
      <c r="AK71" s="741"/>
      <c r="AL71" s="741"/>
      <c r="AM71" s="741"/>
      <c r="AN71" s="741"/>
      <c r="AO71" s="741"/>
      <c r="AP71" s="741"/>
      <c r="AQ71" s="741"/>
      <c r="AR71" s="741"/>
      <c r="AS71" s="741"/>
      <c r="AT71" s="741"/>
      <c r="AU71" s="741"/>
      <c r="AV71" s="741"/>
      <c r="AW71" s="741"/>
      <c r="AX71" s="741"/>
      <c r="AY71" s="741"/>
      <c r="AZ71" s="741"/>
      <c r="BA71" s="741"/>
      <c r="BB71" s="741"/>
      <c r="BC71" s="741"/>
      <c r="BD71" s="741"/>
      <c r="BE71" s="741"/>
      <c r="BF71" s="741"/>
      <c r="BG71" s="741"/>
      <c r="BH71" s="741"/>
      <c r="BI71" s="741"/>
      <c r="BJ71" s="741"/>
      <c r="BK71" s="741"/>
      <c r="BL71" s="741"/>
      <c r="BM71" s="741"/>
      <c r="BN71" s="741"/>
      <c r="BO71" s="741"/>
      <c r="BP71" s="741"/>
      <c r="BQ71" s="741"/>
      <c r="BR71" s="741"/>
      <c r="BS71" s="741"/>
      <c r="BT71" s="741"/>
      <c r="BU71" s="741"/>
      <c r="BV71" s="741"/>
      <c r="BW71" s="741"/>
      <c r="BX71" s="741"/>
      <c r="BY71" s="741"/>
      <c r="BZ71" s="741"/>
      <c r="CA71" s="741"/>
      <c r="CB71" s="741"/>
      <c r="CC71" s="741"/>
      <c r="CD71" s="741"/>
      <c r="CE71" s="741"/>
      <c r="CF71" s="741"/>
      <c r="CG71" s="741"/>
      <c r="CH71" s="741"/>
      <c r="CI71" s="741"/>
      <c r="CJ71" s="741"/>
      <c r="CK71" s="741"/>
      <c r="CL71" s="741"/>
      <c r="CM71" s="741"/>
      <c r="CN71" s="741"/>
      <c r="CO71" s="741"/>
      <c r="CP71" s="741"/>
      <c r="CQ71" s="741"/>
      <c r="CR71" s="741"/>
      <c r="CS71" s="741"/>
      <c r="CT71" s="741"/>
      <c r="CU71" s="1213"/>
      <c r="CV71" s="1213"/>
      <c r="DC71" s="17"/>
      <c r="DD71" s="17"/>
      <c r="DE71" s="17"/>
      <c r="DF71" s="17"/>
      <c r="DG71" s="17"/>
      <c r="DH71" s="17"/>
      <c r="DI71" s="17"/>
      <c r="DJ71" s="17"/>
      <c r="DK71" s="17"/>
      <c r="DL71" s="17"/>
      <c r="DM71" s="17"/>
      <c r="DN71" s="17"/>
      <c r="DO71" s="17"/>
      <c r="DP71" s="17"/>
      <c r="DQ71" s="17"/>
      <c r="DR71" s="17"/>
      <c r="DS71" s="17"/>
      <c r="DT71" s="17"/>
      <c r="DU71" s="17"/>
      <c r="DV71" s="17"/>
      <c r="DW71" s="17"/>
      <c r="DX71" s="17"/>
      <c r="DY71" s="17"/>
      <c r="DZ71" s="17"/>
      <c r="EA71" s="17"/>
      <c r="EB71" s="17"/>
      <c r="EC71" s="17"/>
      <c r="ED71" s="17"/>
      <c r="EE71" s="17"/>
      <c r="EF71" s="17"/>
      <c r="EG71" s="17"/>
      <c r="EH71" s="17"/>
      <c r="EI71" s="17"/>
      <c r="EJ71" s="17"/>
      <c r="EK71" s="17"/>
      <c r="EL71" s="17"/>
      <c r="EM71" s="17"/>
      <c r="EN71" s="17"/>
      <c r="EO71" s="17"/>
      <c r="EP71" s="17"/>
      <c r="EQ71" s="17"/>
      <c r="ER71" s="17"/>
      <c r="ES71" s="17"/>
      <c r="ET71" s="17"/>
    </row>
    <row r="72" spans="4:150" ht="7.5" customHeight="1" x14ac:dyDescent="0.25">
      <c r="D72" s="334"/>
      <c r="E72" s="334"/>
      <c r="F72" s="334"/>
      <c r="G72" s="334"/>
      <c r="H72" s="334"/>
      <c r="I72" s="334"/>
      <c r="J72" s="334"/>
      <c r="K72" s="334"/>
      <c r="L72" s="334"/>
      <c r="O72" s="335"/>
      <c r="P72" s="335"/>
      <c r="AJ72" s="1215"/>
      <c r="AK72" s="1215"/>
      <c r="AL72" s="1215"/>
      <c r="AM72" s="1215"/>
      <c r="AN72" s="1215"/>
      <c r="AO72" s="1215"/>
      <c r="AP72" s="1215"/>
      <c r="AQ72" s="1215"/>
      <c r="AR72" s="1215"/>
      <c r="AS72" s="1215"/>
      <c r="AT72" s="1215"/>
      <c r="AU72" s="1215"/>
      <c r="AV72" s="1215"/>
      <c r="AW72" s="1215"/>
      <c r="AX72" s="1215"/>
      <c r="AY72" s="1215"/>
      <c r="AZ72" s="1215"/>
      <c r="BA72" s="1215"/>
      <c r="BB72" s="1215"/>
      <c r="BC72" s="1215"/>
      <c r="BD72" s="1215"/>
      <c r="BE72" s="1215"/>
      <c r="BF72" s="1215"/>
      <c r="BG72" s="1215"/>
      <c r="BH72" s="1215"/>
      <c r="BI72" s="1215"/>
      <c r="BJ72" s="1215"/>
      <c r="BK72" s="1215"/>
      <c r="BL72" s="1215"/>
      <c r="BM72" s="1215"/>
      <c r="BN72" s="1215"/>
      <c r="BO72" s="1215"/>
      <c r="BP72" s="1215"/>
      <c r="BQ72" s="1215"/>
      <c r="BR72" s="1215"/>
      <c r="BS72" s="1215"/>
      <c r="BT72" s="1215"/>
      <c r="BU72" s="1215"/>
      <c r="BV72" s="1215"/>
      <c r="BW72" s="1215"/>
      <c r="BX72" s="1215"/>
      <c r="BY72" s="1215"/>
      <c r="BZ72" s="1215"/>
      <c r="CA72" s="1215"/>
      <c r="CB72" s="1215"/>
      <c r="CC72" s="1215"/>
      <c r="CD72" s="1215"/>
      <c r="CE72" s="1215"/>
      <c r="CF72" s="1215"/>
      <c r="CG72" s="1215"/>
      <c r="CH72" s="1215"/>
      <c r="CI72" s="1215"/>
      <c r="CJ72" s="1215"/>
      <c r="CK72" s="1215"/>
      <c r="CL72" s="1215"/>
      <c r="CM72" s="1215"/>
      <c r="CN72" s="1215"/>
      <c r="CO72" s="1215"/>
      <c r="CP72" s="1215"/>
      <c r="CQ72" s="1215"/>
      <c r="CR72" s="1215"/>
      <c r="CS72" s="1215"/>
      <c r="CT72" s="1215"/>
      <c r="CU72" s="330"/>
      <c r="CV72" s="333"/>
      <c r="DC72" s="17"/>
      <c r="DD72" s="17"/>
      <c r="DE72" s="17"/>
      <c r="DF72" s="17"/>
      <c r="DG72" s="17"/>
      <c r="DH72" s="17"/>
      <c r="DI72" s="17"/>
      <c r="DJ72" s="17"/>
      <c r="DK72" s="17"/>
      <c r="DL72" s="17"/>
      <c r="DM72" s="17"/>
      <c r="DN72" s="17"/>
      <c r="DO72" s="17"/>
      <c r="DP72" s="17"/>
      <c r="DQ72" s="17"/>
      <c r="DR72" s="17"/>
      <c r="DS72" s="17"/>
      <c r="DT72" s="17"/>
      <c r="DU72" s="17"/>
      <c r="DV72" s="17"/>
      <c r="DW72" s="17"/>
      <c r="DX72" s="17"/>
      <c r="DY72" s="17"/>
      <c r="DZ72" s="17"/>
      <c r="EA72" s="17"/>
      <c r="EB72" s="17"/>
      <c r="EC72" s="17"/>
      <c r="ED72" s="17"/>
      <c r="EE72" s="17"/>
      <c r="EF72" s="17"/>
      <c r="EG72" s="17"/>
      <c r="EH72" s="17"/>
      <c r="EI72" s="17"/>
      <c r="EJ72" s="17"/>
      <c r="EK72" s="17"/>
      <c r="EL72" s="17"/>
      <c r="EM72" s="17"/>
      <c r="EN72" s="17"/>
      <c r="EO72" s="17"/>
      <c r="EP72" s="17"/>
      <c r="EQ72" s="17"/>
      <c r="ER72" s="17"/>
      <c r="ES72" s="17"/>
      <c r="ET72" s="17"/>
    </row>
    <row r="73" spans="4:150" ht="7.5" customHeight="1" x14ac:dyDescent="0.25">
      <c r="D73" s="918"/>
      <c r="E73" s="918"/>
      <c r="F73" s="918"/>
      <c r="G73" s="918"/>
      <c r="H73" s="918"/>
      <c r="I73" s="918"/>
      <c r="J73" s="918"/>
      <c r="K73" s="918"/>
      <c r="L73" s="918"/>
      <c r="M73" s="918"/>
      <c r="N73" s="919"/>
      <c r="O73" s="926"/>
      <c r="P73" s="927"/>
      <c r="Q73" s="927"/>
      <c r="R73" s="928"/>
      <c r="S73" s="920"/>
      <c r="T73" s="921"/>
      <c r="U73" s="921"/>
      <c r="V73" s="922"/>
      <c r="W73" s="920"/>
      <c r="X73" s="921"/>
      <c r="Y73" s="921"/>
      <c r="Z73" s="922"/>
      <c r="AA73" s="920"/>
      <c r="AB73" s="921"/>
      <c r="AC73" s="921"/>
      <c r="AD73" s="922"/>
      <c r="AE73" s="920"/>
      <c r="AF73" s="921"/>
      <c r="AG73" s="921"/>
      <c r="AH73" s="1315"/>
      <c r="AJ73" s="1214"/>
      <c r="AK73" s="1214"/>
      <c r="AL73" s="1214"/>
      <c r="AM73" s="1214"/>
      <c r="AN73" s="1214"/>
      <c r="AO73" s="1214"/>
      <c r="AP73" s="1214"/>
      <c r="AQ73" s="1214"/>
      <c r="AR73" s="1214"/>
      <c r="AS73" s="1214"/>
      <c r="AT73" s="1214"/>
      <c r="AU73" s="1214"/>
      <c r="AV73" s="1214"/>
      <c r="AW73" s="1214"/>
      <c r="AX73" s="1214"/>
      <c r="AY73" s="1214"/>
      <c r="AZ73" s="1214"/>
      <c r="BA73" s="1214"/>
      <c r="BB73" s="1214"/>
      <c r="BC73" s="1214"/>
      <c r="BD73" s="1214"/>
      <c r="BE73" s="1214"/>
      <c r="BF73" s="1214"/>
      <c r="BG73" s="1214"/>
      <c r="BH73" s="1214"/>
      <c r="BI73" s="1214"/>
      <c r="BJ73" s="1214"/>
      <c r="BK73" s="1214"/>
      <c r="BL73" s="1214"/>
      <c r="BM73" s="1214"/>
      <c r="BN73" s="1214"/>
      <c r="BO73" s="1214"/>
      <c r="BP73" s="1214"/>
      <c r="BQ73" s="1214"/>
      <c r="BR73" s="1214"/>
      <c r="BS73" s="1214"/>
      <c r="BT73" s="1214"/>
      <c r="BU73" s="1214"/>
      <c r="BV73" s="1214"/>
      <c r="BW73" s="1214"/>
      <c r="BX73" s="1214"/>
      <c r="BY73" s="1214"/>
      <c r="BZ73" s="1214"/>
      <c r="CA73" s="1214"/>
      <c r="CB73" s="1214"/>
      <c r="CC73" s="1214"/>
      <c r="CD73" s="1214"/>
      <c r="CE73" s="1214"/>
      <c r="CF73" s="1214"/>
      <c r="CG73" s="1214"/>
      <c r="CH73" s="1214"/>
      <c r="CI73" s="1214"/>
      <c r="CJ73" s="1214"/>
      <c r="CK73" s="1214"/>
      <c r="CL73" s="1214"/>
      <c r="CM73" s="1214"/>
      <c r="CN73" s="1214"/>
      <c r="CO73" s="1214"/>
      <c r="CP73" s="1214"/>
      <c r="CQ73" s="1214"/>
      <c r="CR73" s="1214"/>
      <c r="CS73" s="1214"/>
      <c r="CT73" s="1214"/>
      <c r="CU73" s="1213" t="s">
        <v>528</v>
      </c>
      <c r="CV73" s="1213"/>
      <c r="DC73" s="17"/>
      <c r="DD73" s="17"/>
      <c r="DE73" s="17"/>
      <c r="DF73" s="17"/>
      <c r="DG73" s="17"/>
      <c r="DH73" s="17"/>
      <c r="DI73" s="17"/>
      <c r="DJ73" s="17"/>
      <c r="DK73" s="17"/>
      <c r="DL73" s="17"/>
      <c r="DM73" s="17"/>
      <c r="DN73" s="17"/>
      <c r="DO73" s="17"/>
      <c r="DP73" s="17"/>
      <c r="DQ73" s="17"/>
      <c r="DR73" s="17"/>
      <c r="DS73" s="17"/>
      <c r="DT73" s="17"/>
      <c r="DU73" s="17"/>
      <c r="DV73" s="17"/>
      <c r="DW73" s="17"/>
      <c r="DX73" s="17"/>
      <c r="DY73" s="17"/>
      <c r="DZ73" s="17"/>
      <c r="EA73" s="17"/>
      <c r="EB73" s="17"/>
      <c r="EC73" s="17"/>
      <c r="ED73" s="17"/>
      <c r="EE73" s="17"/>
      <c r="EF73" s="17"/>
      <c r="EG73" s="17"/>
      <c r="EH73" s="17"/>
      <c r="EI73" s="17"/>
      <c r="EJ73" s="17"/>
      <c r="EK73" s="17"/>
      <c r="EL73" s="17"/>
      <c r="EM73" s="17"/>
      <c r="EN73" s="17"/>
      <c r="EO73" s="17"/>
      <c r="EP73" s="17"/>
      <c r="EQ73" s="17"/>
      <c r="ER73" s="17"/>
      <c r="ES73" s="17"/>
      <c r="ET73" s="17"/>
    </row>
    <row r="74" spans="4:150" ht="7.5" customHeight="1" x14ac:dyDescent="0.25">
      <c r="D74" s="918"/>
      <c r="E74" s="918"/>
      <c r="F74" s="918"/>
      <c r="G74" s="918"/>
      <c r="H74" s="918"/>
      <c r="I74" s="918"/>
      <c r="J74" s="918"/>
      <c r="K74" s="918"/>
      <c r="L74" s="918"/>
      <c r="M74" s="918"/>
      <c r="N74" s="919"/>
      <c r="O74" s="929"/>
      <c r="P74" s="930"/>
      <c r="Q74" s="930"/>
      <c r="R74" s="931"/>
      <c r="S74" s="923"/>
      <c r="T74" s="924"/>
      <c r="U74" s="924"/>
      <c r="V74" s="925"/>
      <c r="W74" s="923"/>
      <c r="X74" s="924"/>
      <c r="Y74" s="924"/>
      <c r="Z74" s="925"/>
      <c r="AA74" s="923"/>
      <c r="AB74" s="924"/>
      <c r="AC74" s="924"/>
      <c r="AD74" s="925"/>
      <c r="AE74" s="923"/>
      <c r="AF74" s="924"/>
      <c r="AG74" s="924"/>
      <c r="AH74" s="1316"/>
      <c r="AJ74" s="741"/>
      <c r="AK74" s="741"/>
      <c r="AL74" s="741"/>
      <c r="AM74" s="741"/>
      <c r="AN74" s="741"/>
      <c r="AO74" s="741"/>
      <c r="AP74" s="741"/>
      <c r="AQ74" s="741"/>
      <c r="AR74" s="741"/>
      <c r="AS74" s="741"/>
      <c r="AT74" s="741"/>
      <c r="AU74" s="741"/>
      <c r="AV74" s="741"/>
      <c r="AW74" s="741"/>
      <c r="AX74" s="741"/>
      <c r="AY74" s="741"/>
      <c r="AZ74" s="741"/>
      <c r="BA74" s="741"/>
      <c r="BB74" s="741"/>
      <c r="BC74" s="741"/>
      <c r="BD74" s="741"/>
      <c r="BE74" s="741"/>
      <c r="BF74" s="741"/>
      <c r="BG74" s="741"/>
      <c r="BH74" s="741"/>
      <c r="BI74" s="741"/>
      <c r="BJ74" s="741"/>
      <c r="BK74" s="741"/>
      <c r="BL74" s="741"/>
      <c r="BM74" s="741"/>
      <c r="BN74" s="741"/>
      <c r="BO74" s="741"/>
      <c r="BP74" s="741"/>
      <c r="BQ74" s="741"/>
      <c r="BR74" s="741"/>
      <c r="BS74" s="741"/>
      <c r="BT74" s="741"/>
      <c r="BU74" s="741"/>
      <c r="BV74" s="741"/>
      <c r="BW74" s="741"/>
      <c r="BX74" s="741"/>
      <c r="BY74" s="741"/>
      <c r="BZ74" s="741"/>
      <c r="CA74" s="741"/>
      <c r="CB74" s="741"/>
      <c r="CC74" s="741"/>
      <c r="CD74" s="741"/>
      <c r="CE74" s="741"/>
      <c r="CF74" s="741"/>
      <c r="CG74" s="741"/>
      <c r="CH74" s="741"/>
      <c r="CI74" s="741"/>
      <c r="CJ74" s="741"/>
      <c r="CK74" s="741"/>
      <c r="CL74" s="741"/>
      <c r="CM74" s="741"/>
      <c r="CN74" s="741"/>
      <c r="CO74" s="741"/>
      <c r="CP74" s="741"/>
      <c r="CQ74" s="741"/>
      <c r="CR74" s="741"/>
      <c r="CS74" s="741"/>
      <c r="CT74" s="741"/>
      <c r="CU74" s="1213"/>
      <c r="CV74" s="1213"/>
      <c r="DC74" s="17"/>
      <c r="DD74" s="17"/>
      <c r="DE74" s="17"/>
      <c r="DF74" s="17"/>
      <c r="DG74" s="17"/>
      <c r="DH74" s="17"/>
      <c r="DI74" s="17"/>
      <c r="DJ74" s="17"/>
      <c r="DK74" s="17"/>
      <c r="DL74" s="17"/>
      <c r="DM74" s="17"/>
      <c r="DN74" s="17"/>
      <c r="DO74" s="17"/>
      <c r="DP74" s="17"/>
      <c r="DQ74" s="17"/>
      <c r="DR74" s="17"/>
      <c r="DS74" s="17"/>
      <c r="DT74" s="17"/>
      <c r="DU74" s="17"/>
      <c r="DV74" s="17"/>
      <c r="DW74" s="17"/>
      <c r="DX74" s="17"/>
      <c r="DY74" s="17"/>
      <c r="DZ74" s="17"/>
      <c r="EA74" s="17"/>
      <c r="EB74" s="17"/>
      <c r="EC74" s="17"/>
      <c r="ED74" s="17"/>
      <c r="EE74" s="17"/>
      <c r="EF74" s="17"/>
      <c r="EG74" s="17"/>
      <c r="EH74" s="17"/>
      <c r="EI74" s="17"/>
      <c r="EJ74" s="17"/>
      <c r="EK74" s="17"/>
      <c r="EL74" s="17"/>
      <c r="EM74" s="17"/>
      <c r="EN74" s="17"/>
      <c r="EO74" s="17"/>
      <c r="EP74" s="17"/>
      <c r="EQ74" s="17"/>
      <c r="ER74" s="17"/>
      <c r="ES74" s="17"/>
      <c r="ET74" s="17"/>
    </row>
    <row r="75" spans="4:150" ht="7.5" customHeight="1" x14ac:dyDescent="0.25">
      <c r="D75" s="334"/>
      <c r="E75" s="334"/>
      <c r="F75" s="334"/>
      <c r="G75" s="334"/>
      <c r="H75" s="334"/>
      <c r="I75" s="334"/>
      <c r="J75" s="334"/>
      <c r="K75" s="334"/>
      <c r="L75" s="334"/>
      <c r="O75" s="335"/>
      <c r="P75" s="335"/>
      <c r="AJ75" s="1215"/>
      <c r="AK75" s="1215"/>
      <c r="AL75" s="1215"/>
      <c r="AM75" s="1215"/>
      <c r="AN75" s="1215"/>
      <c r="AO75" s="1215"/>
      <c r="AP75" s="1215"/>
      <c r="AQ75" s="1215"/>
      <c r="AR75" s="1215"/>
      <c r="AS75" s="1215"/>
      <c r="AT75" s="1215"/>
      <c r="AU75" s="1215"/>
      <c r="AV75" s="1215"/>
      <c r="AW75" s="1215"/>
      <c r="AX75" s="1215"/>
      <c r="AY75" s="1215"/>
      <c r="AZ75" s="1215"/>
      <c r="BA75" s="1215"/>
      <c r="BB75" s="1215"/>
      <c r="BC75" s="1215"/>
      <c r="BD75" s="1215"/>
      <c r="BE75" s="1215"/>
      <c r="BF75" s="1215"/>
      <c r="BG75" s="1215"/>
      <c r="BH75" s="1215"/>
      <c r="BI75" s="1215"/>
      <c r="BJ75" s="1215"/>
      <c r="BK75" s="1215"/>
      <c r="BL75" s="1215"/>
      <c r="BM75" s="1215"/>
      <c r="BN75" s="1215"/>
      <c r="BO75" s="1215"/>
      <c r="BP75" s="1215"/>
      <c r="BQ75" s="1215"/>
      <c r="BR75" s="1215"/>
      <c r="BS75" s="1215"/>
      <c r="BT75" s="1215"/>
      <c r="BU75" s="1215"/>
      <c r="BV75" s="1215"/>
      <c r="BW75" s="1215"/>
      <c r="BX75" s="1215"/>
      <c r="BY75" s="1215"/>
      <c r="BZ75" s="1215"/>
      <c r="CA75" s="1215"/>
      <c r="CB75" s="1215"/>
      <c r="CC75" s="1215"/>
      <c r="CD75" s="1215"/>
      <c r="CE75" s="1215"/>
      <c r="CF75" s="1215"/>
      <c r="CG75" s="1215"/>
      <c r="CH75" s="1215"/>
      <c r="CI75" s="1215"/>
      <c r="CJ75" s="1215"/>
      <c r="CK75" s="1215"/>
      <c r="CL75" s="1215"/>
      <c r="CM75" s="1215"/>
      <c r="CN75" s="1215"/>
      <c r="CO75" s="1215"/>
      <c r="CP75" s="1215"/>
      <c r="CQ75" s="1215"/>
      <c r="CR75" s="1215"/>
      <c r="CS75" s="1215"/>
      <c r="CT75" s="1215"/>
      <c r="CU75" s="330"/>
      <c r="CV75" s="333"/>
      <c r="DC75" s="17"/>
      <c r="DD75" s="17"/>
      <c r="DE75" s="17"/>
      <c r="DF75" s="17"/>
      <c r="DG75" s="17"/>
      <c r="DH75" s="17"/>
      <c r="DI75" s="17"/>
      <c r="DJ75" s="17"/>
      <c r="DK75" s="17"/>
      <c r="DL75" s="17"/>
      <c r="DM75" s="17"/>
      <c r="DN75" s="17"/>
      <c r="DO75" s="17"/>
      <c r="DP75" s="17"/>
      <c r="DQ75" s="17"/>
      <c r="DR75" s="17"/>
      <c r="DS75" s="17"/>
      <c r="DT75" s="17"/>
      <c r="DU75" s="17"/>
      <c r="DV75" s="17"/>
      <c r="DW75" s="17"/>
      <c r="DX75" s="17"/>
      <c r="DY75" s="17"/>
      <c r="DZ75" s="17"/>
      <c r="EA75" s="17"/>
      <c r="EB75" s="17"/>
      <c r="EC75" s="17"/>
      <c r="ED75" s="17"/>
      <c r="EE75" s="17"/>
      <c r="EF75" s="17"/>
      <c r="EG75" s="17"/>
      <c r="EH75" s="17"/>
      <c r="EI75" s="17"/>
      <c r="EJ75" s="17"/>
      <c r="EK75" s="17"/>
      <c r="EL75" s="17"/>
      <c r="EM75" s="17"/>
      <c r="EN75" s="17"/>
      <c r="EO75" s="17"/>
      <c r="EP75" s="17"/>
      <c r="EQ75" s="17"/>
      <c r="ER75" s="17"/>
      <c r="ES75" s="17"/>
      <c r="ET75" s="17"/>
    </row>
    <row r="76" spans="4:150" ht="7.5" customHeight="1" x14ac:dyDescent="0.25">
      <c r="D76" s="918"/>
      <c r="E76" s="918"/>
      <c r="F76" s="918"/>
      <c r="G76" s="918"/>
      <c r="H76" s="918"/>
      <c r="I76" s="918"/>
      <c r="J76" s="918"/>
      <c r="K76" s="918"/>
      <c r="L76" s="918"/>
      <c r="M76" s="918"/>
      <c r="N76" s="919"/>
      <c r="O76" s="926"/>
      <c r="P76" s="927"/>
      <c r="Q76" s="927"/>
      <c r="R76" s="928"/>
      <c r="S76" s="920"/>
      <c r="T76" s="921"/>
      <c r="U76" s="921"/>
      <c r="V76" s="922"/>
      <c r="W76" s="920"/>
      <c r="X76" s="921"/>
      <c r="Y76" s="921"/>
      <c r="Z76" s="922"/>
      <c r="AA76" s="920"/>
      <c r="AB76" s="921"/>
      <c r="AC76" s="921"/>
      <c r="AD76" s="922"/>
      <c r="AE76" s="920"/>
      <c r="AF76" s="921"/>
      <c r="AG76" s="921"/>
      <c r="AH76" s="1315"/>
      <c r="AJ76" s="1214"/>
      <c r="AK76" s="1214"/>
      <c r="AL76" s="1214"/>
      <c r="AM76" s="1214"/>
      <c r="AN76" s="1214"/>
      <c r="AO76" s="1214"/>
      <c r="AP76" s="1214"/>
      <c r="AQ76" s="1214"/>
      <c r="AR76" s="1214"/>
      <c r="AS76" s="1214"/>
      <c r="AT76" s="1214"/>
      <c r="AU76" s="1214"/>
      <c r="AV76" s="1214"/>
      <c r="AW76" s="1214"/>
      <c r="AX76" s="1214"/>
      <c r="AY76" s="1214"/>
      <c r="AZ76" s="1214"/>
      <c r="BA76" s="1214"/>
      <c r="BB76" s="1214"/>
      <c r="BC76" s="1214"/>
      <c r="BD76" s="1214"/>
      <c r="BE76" s="1214"/>
      <c r="BF76" s="1214"/>
      <c r="BG76" s="1214"/>
      <c r="BH76" s="1214"/>
      <c r="BI76" s="1214"/>
      <c r="BJ76" s="1214"/>
      <c r="BK76" s="1214"/>
      <c r="BL76" s="1214"/>
      <c r="BM76" s="1214"/>
      <c r="BN76" s="1214"/>
      <c r="BO76" s="1214"/>
      <c r="BP76" s="1214"/>
      <c r="BQ76" s="1214"/>
      <c r="BR76" s="1214"/>
      <c r="BS76" s="1214"/>
      <c r="BT76" s="1214"/>
      <c r="BU76" s="1214"/>
      <c r="BV76" s="1214"/>
      <c r="BW76" s="1214"/>
      <c r="BX76" s="1214"/>
      <c r="BY76" s="1214"/>
      <c r="BZ76" s="1214"/>
      <c r="CA76" s="1214"/>
      <c r="CB76" s="1214"/>
      <c r="CC76" s="1214"/>
      <c r="CD76" s="1214"/>
      <c r="CE76" s="1214"/>
      <c r="CF76" s="1214"/>
      <c r="CG76" s="1214"/>
      <c r="CH76" s="1214"/>
      <c r="CI76" s="1214"/>
      <c r="CJ76" s="1214"/>
      <c r="CK76" s="1214"/>
      <c r="CL76" s="1214"/>
      <c r="CM76" s="1214"/>
      <c r="CN76" s="1214"/>
      <c r="CO76" s="1214"/>
      <c r="CP76" s="1214"/>
      <c r="CQ76" s="1214"/>
      <c r="CR76" s="1214"/>
      <c r="CS76" s="1214"/>
      <c r="CT76" s="1214"/>
      <c r="CU76" s="17"/>
      <c r="CV76" s="17"/>
      <c r="DC76" s="17"/>
      <c r="DD76" s="17"/>
      <c r="DE76" s="17"/>
      <c r="DF76" s="17"/>
      <c r="DG76" s="17"/>
      <c r="DH76" s="17"/>
      <c r="DI76" s="17"/>
      <c r="DJ76" s="17"/>
      <c r="DK76" s="17"/>
      <c r="DL76" s="17"/>
      <c r="DM76" s="17"/>
      <c r="DN76" s="17"/>
      <c r="DO76" s="17"/>
      <c r="DP76" s="17"/>
      <c r="DQ76" s="17"/>
      <c r="DR76" s="17"/>
      <c r="DS76" s="17"/>
      <c r="DT76" s="17"/>
      <c r="DU76" s="17"/>
      <c r="DV76" s="17"/>
      <c r="DW76" s="17"/>
      <c r="DX76" s="17"/>
      <c r="DY76" s="17"/>
      <c r="DZ76" s="17"/>
      <c r="EA76" s="17"/>
      <c r="EB76" s="17"/>
      <c r="EC76" s="17"/>
      <c r="ED76" s="17"/>
      <c r="EE76" s="17"/>
      <c r="EF76" s="17"/>
      <c r="EG76" s="17"/>
      <c r="EH76" s="17"/>
      <c r="EI76" s="17"/>
      <c r="EJ76" s="17"/>
      <c r="EK76" s="17"/>
      <c r="EL76" s="17"/>
      <c r="EM76" s="17"/>
      <c r="EN76" s="17"/>
      <c r="EO76" s="17"/>
      <c r="EP76" s="17"/>
      <c r="EQ76" s="17"/>
      <c r="ER76" s="17"/>
      <c r="ES76" s="17"/>
      <c r="ET76" s="17"/>
    </row>
    <row r="77" spans="4:150" ht="7.5" customHeight="1" x14ac:dyDescent="0.25">
      <c r="D77" s="918"/>
      <c r="E77" s="918"/>
      <c r="F77" s="918"/>
      <c r="G77" s="918"/>
      <c r="H77" s="918"/>
      <c r="I77" s="918"/>
      <c r="J77" s="918"/>
      <c r="K77" s="918"/>
      <c r="L77" s="918"/>
      <c r="M77" s="918"/>
      <c r="N77" s="919"/>
      <c r="O77" s="929"/>
      <c r="P77" s="930"/>
      <c r="Q77" s="930"/>
      <c r="R77" s="931"/>
      <c r="S77" s="923"/>
      <c r="T77" s="924"/>
      <c r="U77" s="924"/>
      <c r="V77" s="925"/>
      <c r="W77" s="923"/>
      <c r="X77" s="924"/>
      <c r="Y77" s="924"/>
      <c r="Z77" s="925"/>
      <c r="AA77" s="923"/>
      <c r="AB77" s="924"/>
      <c r="AC77" s="924"/>
      <c r="AD77" s="925"/>
      <c r="AE77" s="923"/>
      <c r="AF77" s="924"/>
      <c r="AG77" s="924"/>
      <c r="AH77" s="1316"/>
      <c r="AJ77" s="741"/>
      <c r="AK77" s="741"/>
      <c r="AL77" s="741"/>
      <c r="AM77" s="741"/>
      <c r="AN77" s="741"/>
      <c r="AO77" s="741"/>
      <c r="AP77" s="741"/>
      <c r="AQ77" s="741"/>
      <c r="AR77" s="741"/>
      <c r="AS77" s="741"/>
      <c r="AT77" s="741"/>
      <c r="AU77" s="741"/>
      <c r="AV77" s="741"/>
      <c r="AW77" s="741"/>
      <c r="AX77" s="741"/>
      <c r="AY77" s="741"/>
      <c r="AZ77" s="741"/>
      <c r="BA77" s="741"/>
      <c r="BB77" s="741"/>
      <c r="BC77" s="741"/>
      <c r="BD77" s="741"/>
      <c r="BE77" s="741"/>
      <c r="BF77" s="741"/>
      <c r="BG77" s="741"/>
      <c r="BH77" s="741"/>
      <c r="BI77" s="741"/>
      <c r="BJ77" s="741"/>
      <c r="BK77" s="741"/>
      <c r="BL77" s="741"/>
      <c r="BM77" s="741"/>
      <c r="BN77" s="741"/>
      <c r="BO77" s="741"/>
      <c r="BP77" s="741"/>
      <c r="BQ77" s="741"/>
      <c r="BR77" s="741"/>
      <c r="BS77" s="741"/>
      <c r="BT77" s="741"/>
      <c r="BU77" s="741"/>
      <c r="BV77" s="741"/>
      <c r="BW77" s="741"/>
      <c r="BX77" s="741"/>
      <c r="BY77" s="741"/>
      <c r="BZ77" s="741"/>
      <c r="CA77" s="741"/>
      <c r="CB77" s="741"/>
      <c r="CC77" s="741"/>
      <c r="CD77" s="741"/>
      <c r="CE77" s="741"/>
      <c r="CF77" s="741"/>
      <c r="CG77" s="741"/>
      <c r="CH77" s="741"/>
      <c r="CI77" s="741"/>
      <c r="CJ77" s="741"/>
      <c r="CK77" s="741"/>
      <c r="CL77" s="741"/>
      <c r="CM77" s="741"/>
      <c r="CN77" s="741"/>
      <c r="CO77" s="741"/>
      <c r="CP77" s="741"/>
      <c r="CQ77" s="741"/>
      <c r="CR77" s="741"/>
      <c r="CS77" s="741"/>
      <c r="CT77" s="741"/>
      <c r="CU77" s="17"/>
      <c r="CV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c r="EE77" s="17"/>
      <c r="EF77" s="17"/>
      <c r="EG77" s="17"/>
      <c r="EH77" s="17"/>
      <c r="EI77" s="17"/>
      <c r="EJ77" s="17"/>
      <c r="EK77" s="17"/>
      <c r="EL77" s="17"/>
      <c r="EM77" s="17"/>
      <c r="EN77" s="17"/>
      <c r="EO77" s="17"/>
      <c r="EP77" s="17"/>
      <c r="EQ77" s="17"/>
      <c r="ER77" s="17"/>
      <c r="ES77" s="17"/>
      <c r="ET77" s="17"/>
    </row>
    <row r="78" spans="4:150" ht="7.5" customHeight="1" x14ac:dyDescent="0.25">
      <c r="D78" s="334"/>
      <c r="E78" s="334"/>
      <c r="F78" s="334"/>
      <c r="G78" s="334"/>
      <c r="H78" s="334"/>
      <c r="I78" s="334"/>
      <c r="J78" s="334"/>
      <c r="K78" s="334"/>
      <c r="L78" s="334"/>
      <c r="O78" s="335"/>
      <c r="P78" s="335"/>
      <c r="AJ78" s="1215"/>
      <c r="AK78" s="1215"/>
      <c r="AL78" s="1215"/>
      <c r="AM78" s="1215"/>
      <c r="AN78" s="1215"/>
      <c r="AO78" s="1215"/>
      <c r="AP78" s="1215"/>
      <c r="AQ78" s="1215"/>
      <c r="AR78" s="1215"/>
      <c r="AS78" s="1215"/>
      <c r="AT78" s="1215"/>
      <c r="AU78" s="1215"/>
      <c r="AV78" s="1215"/>
      <c r="AW78" s="1215"/>
      <c r="AX78" s="1215"/>
      <c r="AY78" s="1215"/>
      <c r="AZ78" s="1215"/>
      <c r="BA78" s="1215"/>
      <c r="BB78" s="1215"/>
      <c r="BC78" s="1215"/>
      <c r="BD78" s="1215"/>
      <c r="BE78" s="1215"/>
      <c r="BF78" s="1215"/>
      <c r="BG78" s="1215"/>
      <c r="BH78" s="1215"/>
      <c r="BI78" s="1215"/>
      <c r="BJ78" s="1215"/>
      <c r="BK78" s="1215"/>
      <c r="BL78" s="1215"/>
      <c r="BM78" s="1215"/>
      <c r="BN78" s="1215"/>
      <c r="BO78" s="1215"/>
      <c r="BP78" s="1215"/>
      <c r="BQ78" s="1215"/>
      <c r="BR78" s="1215"/>
      <c r="BS78" s="1215"/>
      <c r="BT78" s="1215"/>
      <c r="BU78" s="1215"/>
      <c r="BV78" s="1215"/>
      <c r="BW78" s="1215"/>
      <c r="BX78" s="1215"/>
      <c r="BY78" s="1215"/>
      <c r="BZ78" s="1215"/>
      <c r="CA78" s="1215"/>
      <c r="CB78" s="1215"/>
      <c r="CC78" s="1215"/>
      <c r="CD78" s="1215"/>
      <c r="CE78" s="1215"/>
      <c r="CF78" s="1215"/>
      <c r="CG78" s="1215"/>
      <c r="CH78" s="1215"/>
      <c r="CI78" s="1215"/>
      <c r="CJ78" s="1215"/>
      <c r="CK78" s="1215"/>
      <c r="CL78" s="1215"/>
      <c r="CM78" s="1215"/>
      <c r="CN78" s="1215"/>
      <c r="CO78" s="1215"/>
      <c r="CP78" s="1215"/>
      <c r="CQ78" s="1215"/>
      <c r="CR78" s="1215"/>
      <c r="CS78" s="1215"/>
      <c r="CT78" s="1215"/>
      <c r="CU78" s="17"/>
      <c r="CV78" s="17"/>
      <c r="DC78" s="17"/>
      <c r="DD78" s="17"/>
      <c r="DE78" s="17"/>
      <c r="DF78" s="17"/>
      <c r="DG78" s="17"/>
      <c r="DH78" s="17"/>
      <c r="DI78" s="17"/>
      <c r="DJ78" s="17"/>
      <c r="DK78" s="17"/>
      <c r="DL78" s="17"/>
      <c r="DM78" s="17"/>
      <c r="DN78" s="17"/>
      <c r="DO78" s="17"/>
      <c r="DP78" s="17"/>
      <c r="DQ78" s="17"/>
      <c r="DR78" s="17"/>
      <c r="DS78" s="17"/>
      <c r="DT78" s="17"/>
      <c r="DU78" s="17"/>
      <c r="DV78" s="17"/>
      <c r="DW78" s="17"/>
      <c r="DX78" s="17"/>
      <c r="DY78" s="17"/>
      <c r="DZ78" s="17"/>
      <c r="EA78" s="17"/>
      <c r="EB78" s="17"/>
      <c r="EC78" s="17"/>
      <c r="ED78" s="17"/>
      <c r="EE78" s="17"/>
      <c r="EF78" s="17"/>
      <c r="EG78" s="17"/>
      <c r="EH78" s="17"/>
      <c r="EI78" s="17"/>
      <c r="EJ78" s="17"/>
      <c r="EK78" s="17"/>
      <c r="EL78" s="17"/>
      <c r="EM78" s="17"/>
      <c r="EN78" s="17"/>
      <c r="EO78" s="17"/>
      <c r="EP78" s="17"/>
      <c r="EQ78" s="17"/>
      <c r="ER78" s="17"/>
      <c r="ES78" s="17"/>
      <c r="ET78" s="17"/>
    </row>
    <row r="79" spans="4:150" ht="7.5" customHeight="1" x14ac:dyDescent="0.25">
      <c r="D79" s="918"/>
      <c r="E79" s="918"/>
      <c r="F79" s="918"/>
      <c r="G79" s="918"/>
      <c r="H79" s="918"/>
      <c r="I79" s="918"/>
      <c r="J79" s="918"/>
      <c r="K79" s="918"/>
      <c r="L79" s="918"/>
      <c r="M79" s="918"/>
      <c r="N79" s="919"/>
      <c r="O79" s="926"/>
      <c r="P79" s="927"/>
      <c r="Q79" s="927"/>
      <c r="R79" s="928"/>
      <c r="S79" s="920"/>
      <c r="T79" s="921"/>
      <c r="U79" s="921"/>
      <c r="V79" s="922"/>
      <c r="W79" s="920"/>
      <c r="X79" s="921"/>
      <c r="Y79" s="921"/>
      <c r="Z79" s="922"/>
      <c r="AA79" s="920"/>
      <c r="AB79" s="921"/>
      <c r="AC79" s="921"/>
      <c r="AD79" s="922"/>
      <c r="AE79" s="920"/>
      <c r="AF79" s="921"/>
      <c r="AG79" s="921"/>
      <c r="AH79" s="1315"/>
      <c r="AJ79" s="1214"/>
      <c r="AK79" s="1214"/>
      <c r="AL79" s="1214"/>
      <c r="AM79" s="1214"/>
      <c r="AN79" s="1214"/>
      <c r="AO79" s="1214"/>
      <c r="AP79" s="1214"/>
      <c r="AQ79" s="1214"/>
      <c r="AR79" s="1214"/>
      <c r="AS79" s="1214"/>
      <c r="AT79" s="1214"/>
      <c r="AU79" s="1214"/>
      <c r="AV79" s="1214"/>
      <c r="AW79" s="1214"/>
      <c r="AX79" s="1214"/>
      <c r="AY79" s="1214"/>
      <c r="AZ79" s="1214"/>
      <c r="BA79" s="1214"/>
      <c r="BB79" s="1214"/>
      <c r="BC79" s="1214"/>
      <c r="BD79" s="1214"/>
      <c r="BE79" s="1214"/>
      <c r="BF79" s="1214"/>
      <c r="BG79" s="1214"/>
      <c r="BH79" s="1214"/>
      <c r="BI79" s="1214"/>
      <c r="BJ79" s="1214"/>
      <c r="BK79" s="1214"/>
      <c r="BL79" s="1214"/>
      <c r="BM79" s="1214"/>
      <c r="BN79" s="1214"/>
      <c r="BO79" s="1214"/>
      <c r="BP79" s="1214"/>
      <c r="BQ79" s="1214"/>
      <c r="BR79" s="1214"/>
      <c r="BS79" s="1214"/>
      <c r="BT79" s="1214"/>
      <c r="BU79" s="1214"/>
      <c r="BV79" s="1214"/>
      <c r="BW79" s="1214"/>
      <c r="BX79" s="1214"/>
      <c r="BY79" s="1214"/>
      <c r="BZ79" s="1214"/>
      <c r="CA79" s="1214"/>
      <c r="CB79" s="1214"/>
      <c r="CC79" s="1214"/>
      <c r="CD79" s="1214"/>
      <c r="CE79" s="1214"/>
      <c r="CF79" s="1214"/>
      <c r="CG79" s="1214"/>
      <c r="CH79" s="1214"/>
      <c r="CI79" s="1214"/>
      <c r="CJ79" s="1214"/>
      <c r="CK79" s="1214"/>
      <c r="CL79" s="1214"/>
      <c r="CM79" s="1214"/>
      <c r="CN79" s="1214"/>
      <c r="CO79" s="1214"/>
      <c r="CP79" s="1214"/>
      <c r="CQ79" s="1214"/>
      <c r="CR79" s="1214"/>
      <c r="CS79" s="1214"/>
      <c r="CT79" s="1214"/>
      <c r="CU79" s="17"/>
      <c r="CV79" s="17"/>
      <c r="DC79" s="17"/>
      <c r="DD79" s="17"/>
      <c r="DE79" s="17"/>
      <c r="DF79" s="17"/>
      <c r="DG79" s="17"/>
      <c r="DH79" s="17"/>
      <c r="DI79" s="17"/>
      <c r="DJ79" s="17"/>
      <c r="DK79" s="17"/>
      <c r="DL79" s="17"/>
      <c r="DM79" s="17"/>
      <c r="DN79" s="17"/>
      <c r="DO79" s="17"/>
      <c r="DP79" s="17"/>
      <c r="DQ79" s="17"/>
      <c r="DR79" s="17"/>
      <c r="DS79" s="17"/>
      <c r="DT79" s="17"/>
      <c r="DU79" s="17"/>
      <c r="DV79" s="17"/>
      <c r="DW79" s="17"/>
      <c r="DX79" s="17"/>
      <c r="DY79" s="17"/>
      <c r="DZ79" s="17"/>
      <c r="EA79" s="17"/>
      <c r="EB79" s="17"/>
      <c r="EC79" s="17"/>
      <c r="ED79" s="17"/>
      <c r="EE79" s="17"/>
      <c r="EF79" s="17"/>
      <c r="EG79" s="17"/>
      <c r="EH79" s="17"/>
      <c r="EI79" s="17"/>
      <c r="EJ79" s="17"/>
      <c r="EK79" s="17"/>
      <c r="EL79" s="17"/>
      <c r="EM79" s="17"/>
      <c r="EN79" s="17"/>
      <c r="EO79" s="17"/>
      <c r="EP79" s="17"/>
      <c r="EQ79" s="17"/>
      <c r="ER79" s="17"/>
      <c r="ES79" s="17"/>
      <c r="ET79" s="17"/>
    </row>
    <row r="80" spans="4:150" ht="7.5" customHeight="1" x14ac:dyDescent="0.25">
      <c r="D80" s="918"/>
      <c r="E80" s="918"/>
      <c r="F80" s="918"/>
      <c r="G80" s="918"/>
      <c r="H80" s="918"/>
      <c r="I80" s="918"/>
      <c r="J80" s="918"/>
      <c r="K80" s="918"/>
      <c r="L80" s="918"/>
      <c r="M80" s="918"/>
      <c r="N80" s="919"/>
      <c r="O80" s="929"/>
      <c r="P80" s="930"/>
      <c r="Q80" s="930"/>
      <c r="R80" s="931"/>
      <c r="S80" s="923"/>
      <c r="T80" s="924"/>
      <c r="U80" s="924"/>
      <c r="V80" s="925"/>
      <c r="W80" s="923"/>
      <c r="X80" s="924"/>
      <c r="Y80" s="924"/>
      <c r="Z80" s="925"/>
      <c r="AA80" s="923"/>
      <c r="AB80" s="924"/>
      <c r="AC80" s="924"/>
      <c r="AD80" s="925"/>
      <c r="AE80" s="923"/>
      <c r="AF80" s="924"/>
      <c r="AG80" s="924"/>
      <c r="AH80" s="1316"/>
      <c r="AJ80" s="741"/>
      <c r="AK80" s="741"/>
      <c r="AL80" s="741"/>
      <c r="AM80" s="741"/>
      <c r="AN80" s="741"/>
      <c r="AO80" s="741"/>
      <c r="AP80" s="741"/>
      <c r="AQ80" s="741"/>
      <c r="AR80" s="741"/>
      <c r="AS80" s="741"/>
      <c r="AT80" s="741"/>
      <c r="AU80" s="741"/>
      <c r="AV80" s="741"/>
      <c r="AW80" s="741"/>
      <c r="AX80" s="741"/>
      <c r="AY80" s="741"/>
      <c r="AZ80" s="741"/>
      <c r="BA80" s="741"/>
      <c r="BB80" s="741"/>
      <c r="BC80" s="741"/>
      <c r="BD80" s="741"/>
      <c r="BE80" s="741"/>
      <c r="BF80" s="741"/>
      <c r="BG80" s="741"/>
      <c r="BH80" s="741"/>
      <c r="BI80" s="741"/>
      <c r="BJ80" s="741"/>
      <c r="BK80" s="741"/>
      <c r="BL80" s="741"/>
      <c r="BM80" s="741"/>
      <c r="BN80" s="741"/>
      <c r="BO80" s="741"/>
      <c r="BP80" s="741"/>
      <c r="BQ80" s="741"/>
      <c r="BR80" s="741"/>
      <c r="BS80" s="741"/>
      <c r="BT80" s="741"/>
      <c r="BU80" s="741"/>
      <c r="BV80" s="741"/>
      <c r="BW80" s="741"/>
      <c r="BX80" s="741"/>
      <c r="BY80" s="741"/>
      <c r="BZ80" s="741"/>
      <c r="CA80" s="741"/>
      <c r="CB80" s="741"/>
      <c r="CC80" s="741"/>
      <c r="CD80" s="741"/>
      <c r="CE80" s="741"/>
      <c r="CF80" s="741"/>
      <c r="CG80" s="741"/>
      <c r="CH80" s="741"/>
      <c r="CI80" s="741"/>
      <c r="CJ80" s="741"/>
      <c r="CK80" s="741"/>
      <c r="CL80" s="741"/>
      <c r="CM80" s="741"/>
      <c r="CN80" s="741"/>
      <c r="CO80" s="741"/>
      <c r="CP80" s="741"/>
      <c r="CQ80" s="741"/>
      <c r="CR80" s="741"/>
      <c r="CS80" s="741"/>
      <c r="CT80" s="741"/>
      <c r="DC80" s="17"/>
      <c r="DD80" s="17"/>
      <c r="DE80" s="17"/>
      <c r="DF80" s="17"/>
      <c r="DG80" s="17"/>
      <c r="DH80" s="17"/>
      <c r="DI80" s="17"/>
      <c r="DJ80" s="17"/>
      <c r="DK80" s="17"/>
      <c r="DL80" s="17"/>
      <c r="DM80" s="17"/>
      <c r="DN80" s="17"/>
      <c r="DO80" s="17"/>
      <c r="DP80" s="17"/>
      <c r="DQ80" s="17"/>
      <c r="DR80" s="17"/>
      <c r="DS80" s="17"/>
      <c r="DT80" s="17"/>
      <c r="DU80" s="17"/>
      <c r="DV80" s="17"/>
      <c r="DW80" s="17"/>
      <c r="DX80" s="17"/>
      <c r="DY80" s="17"/>
      <c r="DZ80" s="17"/>
      <c r="EA80" s="17"/>
      <c r="EB80" s="17"/>
      <c r="EC80" s="17"/>
      <c r="ED80" s="17"/>
      <c r="EE80" s="17"/>
      <c r="EF80" s="17"/>
      <c r="EG80" s="17"/>
      <c r="EH80" s="17"/>
      <c r="EI80" s="17"/>
      <c r="EJ80" s="17"/>
      <c r="EK80" s="17"/>
      <c r="EL80" s="17"/>
      <c r="EM80" s="17"/>
      <c r="EN80" s="17"/>
      <c r="EO80" s="17"/>
      <c r="EP80" s="17"/>
      <c r="EQ80" s="17"/>
      <c r="ER80" s="17"/>
      <c r="ES80" s="17"/>
      <c r="ET80" s="17"/>
    </row>
    <row r="81" spans="2:150" ht="7.5" customHeight="1" x14ac:dyDescent="0.25">
      <c r="D81" s="334"/>
      <c r="E81" s="334"/>
      <c r="F81" s="334"/>
      <c r="G81" s="334"/>
      <c r="H81" s="334"/>
      <c r="I81" s="334"/>
      <c r="J81" s="334"/>
      <c r="K81" s="334"/>
      <c r="L81" s="334"/>
      <c r="O81" s="335"/>
      <c r="P81" s="335"/>
      <c r="AJ81" s="1215"/>
      <c r="AK81" s="1215"/>
      <c r="AL81" s="1215"/>
      <c r="AM81" s="1215"/>
      <c r="AN81" s="1215"/>
      <c r="AO81" s="1215"/>
      <c r="AP81" s="1215"/>
      <c r="AQ81" s="1215"/>
      <c r="AR81" s="1215"/>
      <c r="AS81" s="1215"/>
      <c r="AT81" s="1215"/>
      <c r="AU81" s="1215"/>
      <c r="AV81" s="1215"/>
      <c r="AW81" s="1215"/>
      <c r="AX81" s="1215"/>
      <c r="AY81" s="1215"/>
      <c r="AZ81" s="1215"/>
      <c r="BA81" s="1215"/>
      <c r="BB81" s="1215"/>
      <c r="BC81" s="1215"/>
      <c r="BD81" s="1215"/>
      <c r="BE81" s="1215"/>
      <c r="BF81" s="1215"/>
      <c r="BG81" s="1215"/>
      <c r="BH81" s="1215"/>
      <c r="BI81" s="1215"/>
      <c r="BJ81" s="1215"/>
      <c r="BK81" s="1215"/>
      <c r="BL81" s="1215"/>
      <c r="BM81" s="1215"/>
      <c r="BN81" s="1215"/>
      <c r="BO81" s="1215"/>
      <c r="BP81" s="1215"/>
      <c r="BQ81" s="1215"/>
      <c r="BR81" s="1215"/>
      <c r="BS81" s="1215"/>
      <c r="BT81" s="1215"/>
      <c r="BU81" s="1215"/>
      <c r="BV81" s="1215"/>
      <c r="BW81" s="1215"/>
      <c r="BX81" s="1215"/>
      <c r="BY81" s="1215"/>
      <c r="BZ81" s="1215"/>
      <c r="CA81" s="1215"/>
      <c r="CB81" s="1215"/>
      <c r="CC81" s="1215"/>
      <c r="CD81" s="1215"/>
      <c r="CE81" s="1215"/>
      <c r="CF81" s="1215"/>
      <c r="CG81" s="1215"/>
      <c r="CH81" s="1215"/>
      <c r="CI81" s="1215"/>
      <c r="CJ81" s="1215"/>
      <c r="CK81" s="1215"/>
      <c r="CL81" s="1215"/>
      <c r="CM81" s="1215"/>
      <c r="CN81" s="1215"/>
      <c r="CO81" s="1215"/>
      <c r="CP81" s="1215"/>
      <c r="CQ81" s="1215"/>
      <c r="CR81" s="1215"/>
      <c r="CS81" s="1215"/>
      <c r="CT81" s="1215"/>
      <c r="DC81" s="17"/>
      <c r="DD81" s="17"/>
      <c r="DE81" s="17"/>
      <c r="DF81" s="17"/>
      <c r="DG81" s="17"/>
      <c r="DH81" s="17"/>
      <c r="DI81" s="17"/>
      <c r="DJ81" s="17"/>
      <c r="DK81" s="17"/>
      <c r="DL81" s="17"/>
      <c r="DM81" s="17"/>
      <c r="DN81" s="17"/>
      <c r="DO81" s="17"/>
      <c r="DP81" s="17"/>
      <c r="DQ81" s="17"/>
      <c r="DR81" s="17"/>
      <c r="DS81" s="17"/>
      <c r="DT81" s="17"/>
      <c r="DU81" s="17"/>
      <c r="DV81" s="17"/>
      <c r="DW81" s="17"/>
      <c r="DX81" s="17"/>
      <c r="DY81" s="17"/>
      <c r="DZ81" s="17"/>
      <c r="EA81" s="17"/>
      <c r="EB81" s="17"/>
      <c r="EC81" s="17"/>
      <c r="ED81" s="17"/>
      <c r="EE81" s="17"/>
      <c r="EF81" s="17"/>
      <c r="EG81" s="17"/>
      <c r="EH81" s="17"/>
      <c r="EI81" s="17"/>
      <c r="EJ81" s="17"/>
      <c r="EK81" s="17"/>
      <c r="EL81" s="17"/>
      <c r="EM81" s="17"/>
      <c r="EN81" s="17"/>
      <c r="EO81" s="17"/>
      <c r="EP81" s="17"/>
      <c r="EQ81" s="17"/>
      <c r="ER81" s="17"/>
      <c r="ES81" s="17"/>
      <c r="ET81" s="17"/>
    </row>
    <row r="82" spans="2:150" ht="7.5" customHeight="1" x14ac:dyDescent="0.25">
      <c r="B82" s="328"/>
      <c r="C82" s="340"/>
      <c r="D82" s="17"/>
      <c r="E82" s="17"/>
      <c r="F82" s="17"/>
      <c r="G82" s="17"/>
      <c r="H82" s="17"/>
      <c r="I82" s="17"/>
      <c r="J82" s="17"/>
      <c r="AJ82" s="17"/>
      <c r="AK82" s="17"/>
      <c r="AL82" s="17"/>
      <c r="AM82" s="17"/>
      <c r="AN82" s="17"/>
      <c r="AO82" s="17"/>
      <c r="AP82" s="17"/>
      <c r="AQ82" s="17"/>
      <c r="AR82" s="17"/>
      <c r="AS82" s="17"/>
      <c r="AT82" s="17"/>
      <c r="AU82" s="17"/>
      <c r="AV82" s="17"/>
      <c r="AW82" s="17"/>
      <c r="AX82" s="17"/>
      <c r="CD82" s="17"/>
      <c r="CE82" s="17"/>
      <c r="CF82" s="17"/>
      <c r="CG82" s="17"/>
      <c r="CH82" s="17"/>
      <c r="CI82" s="17"/>
      <c r="CJ82" s="17"/>
      <c r="CK82" s="17"/>
      <c r="CL82" s="17"/>
      <c r="CM82" s="17"/>
      <c r="CN82" s="17"/>
      <c r="CO82" s="17"/>
      <c r="CP82" s="17"/>
      <c r="CQ82" s="17"/>
      <c r="CS82" s="17"/>
      <c r="CT82" s="17"/>
      <c r="CU82" s="341"/>
      <c r="CV82" s="328"/>
      <c r="DC82" s="17"/>
      <c r="DD82" s="17"/>
      <c r="DE82" s="17"/>
      <c r="DF82" s="17"/>
      <c r="DG82" s="17"/>
      <c r="DH82" s="17"/>
      <c r="DI82" s="17"/>
      <c r="DJ82" s="17"/>
      <c r="DK82" s="17"/>
      <c r="DL82" s="17"/>
      <c r="DM82" s="17"/>
      <c r="DN82" s="17"/>
      <c r="DO82" s="17"/>
      <c r="DP82" s="17"/>
      <c r="DQ82" s="17"/>
      <c r="DR82" s="17"/>
      <c r="DS82" s="17"/>
      <c r="DT82" s="17"/>
      <c r="DU82" s="17"/>
      <c r="DV82" s="17"/>
      <c r="DW82" s="17"/>
      <c r="DX82" s="17"/>
      <c r="DY82" s="17"/>
      <c r="DZ82" s="17"/>
      <c r="EA82" s="17"/>
      <c r="EB82" s="17"/>
      <c r="EC82" s="17"/>
      <c r="ED82" s="17"/>
      <c r="EE82" s="17"/>
      <c r="EF82" s="17"/>
      <c r="EG82" s="17"/>
      <c r="EH82" s="17"/>
      <c r="EI82" s="17"/>
      <c r="EJ82" s="17"/>
      <c r="EK82" s="17"/>
      <c r="EL82" s="17"/>
      <c r="EM82" s="17"/>
      <c r="EN82" s="17"/>
      <c r="EO82" s="17"/>
      <c r="EP82" s="17"/>
      <c r="EQ82" s="17"/>
      <c r="ER82" s="17"/>
      <c r="ES82" s="17"/>
      <c r="ET82" s="17"/>
    </row>
    <row r="83" spans="2:150" ht="7.5" customHeight="1" x14ac:dyDescent="0.25">
      <c r="B83" s="199"/>
      <c r="C83" s="315"/>
      <c r="D83" s="17"/>
      <c r="E83" s="17"/>
      <c r="F83" s="17"/>
      <c r="G83" s="17"/>
      <c r="H83" s="17"/>
      <c r="I83" s="17"/>
      <c r="J83" s="17"/>
      <c r="AI83" s="17"/>
      <c r="AJ83" s="17"/>
      <c r="AK83" s="17"/>
      <c r="AL83" s="17"/>
      <c r="CD83" s="17"/>
      <c r="CE83" s="17"/>
      <c r="CF83" s="17"/>
      <c r="CG83" s="17"/>
      <c r="CH83" s="17"/>
      <c r="CI83" s="17"/>
      <c r="CJ83" s="17"/>
      <c r="CK83" s="17"/>
      <c r="CL83" s="17"/>
      <c r="CM83" s="17"/>
      <c r="CN83" s="17"/>
      <c r="CO83" s="17"/>
      <c r="CP83" s="17"/>
      <c r="CQ83" s="17"/>
      <c r="CS83" s="17"/>
      <c r="CT83" s="315"/>
      <c r="CU83" s="316"/>
      <c r="CV83" s="199"/>
      <c r="DC83" s="17"/>
      <c r="DD83" s="17"/>
      <c r="DE83" s="17"/>
      <c r="DF83" s="17"/>
      <c r="DG83" s="17"/>
      <c r="DH83" s="17"/>
      <c r="DI83" s="17"/>
      <c r="DJ83" s="17"/>
      <c r="DK83" s="17"/>
      <c r="DL83" s="17"/>
      <c r="DM83" s="17"/>
      <c r="DN83" s="17"/>
      <c r="DO83" s="17"/>
      <c r="DP83" s="17"/>
      <c r="DQ83" s="17"/>
      <c r="DR83" s="17"/>
      <c r="DS83" s="17"/>
      <c r="DT83" s="17"/>
      <c r="DU83" s="17"/>
      <c r="DV83" s="17"/>
      <c r="DW83" s="17"/>
      <c r="DX83" s="17"/>
      <c r="DY83" s="17"/>
      <c r="DZ83" s="17"/>
      <c r="EA83" s="17"/>
      <c r="EB83" s="17"/>
      <c r="EC83" s="17"/>
      <c r="ED83" s="17"/>
      <c r="EE83" s="17"/>
      <c r="EF83" s="17"/>
      <c r="EG83" s="17"/>
      <c r="EH83" s="17"/>
      <c r="EI83" s="17"/>
      <c r="EJ83" s="17"/>
      <c r="EK83" s="17"/>
      <c r="EL83" s="17"/>
      <c r="EM83" s="17"/>
      <c r="EN83" s="17"/>
      <c r="EO83" s="17"/>
      <c r="EP83" s="17"/>
      <c r="EQ83" s="17"/>
      <c r="ER83" s="17"/>
      <c r="ES83" s="17"/>
      <c r="ET83" s="17"/>
    </row>
    <row r="84" spans="2:150" ht="7.5" customHeight="1" x14ac:dyDescent="0.25">
      <c r="B84" s="199"/>
      <c r="C84" s="199"/>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CV84" s="39"/>
    </row>
    <row r="85" spans="2:150" ht="7.5" customHeight="1" x14ac:dyDescent="0.25">
      <c r="B85" s="199"/>
      <c r="C85" s="199"/>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CV85" s="39"/>
    </row>
    <row r="86" spans="2:150" ht="7.5" customHeight="1" x14ac:dyDescent="0.25">
      <c r="B86" s="199"/>
      <c r="C86" s="199"/>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CV86" s="39"/>
    </row>
    <row r="87" spans="2:150" ht="7.5" customHeight="1" x14ac:dyDescent="0.25">
      <c r="B87" s="199"/>
      <c r="C87" s="199"/>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CV87" s="39"/>
    </row>
    <row r="88" spans="2:150" ht="7.5" customHeight="1" x14ac:dyDescent="0.25">
      <c r="B88" s="199"/>
      <c r="C88" s="199"/>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CV88" s="39"/>
    </row>
    <row r="89" spans="2:150" ht="7.5" customHeight="1" x14ac:dyDescent="0.25">
      <c r="B89" s="199"/>
      <c r="C89" s="199"/>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CV89" s="39"/>
    </row>
    <row r="90" spans="2:150" ht="7.5" customHeight="1" x14ac:dyDescent="0.25">
      <c r="B90" s="199"/>
      <c r="C90" s="199"/>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CV90" s="39"/>
    </row>
    <row r="91" spans="2:150" ht="7.5" customHeight="1" x14ac:dyDescent="0.25">
      <c r="B91" s="199"/>
      <c r="C91" s="199"/>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CV91" s="39"/>
    </row>
    <row r="92" spans="2:150" ht="7.5" customHeight="1" x14ac:dyDescent="0.25">
      <c r="B92" s="199"/>
      <c r="C92" s="199"/>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CV92" s="39"/>
    </row>
    <row r="93" spans="2:150" ht="7.5" customHeight="1" x14ac:dyDescent="0.25">
      <c r="B93" s="199"/>
      <c r="C93" s="199"/>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CV93" s="39"/>
    </row>
    <row r="94" spans="2:150" ht="7.5" customHeight="1" x14ac:dyDescent="0.25">
      <c r="B94" s="199"/>
      <c r="C94" s="199"/>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CV94" s="39"/>
    </row>
    <row r="95" spans="2:150" ht="7.5" customHeight="1" x14ac:dyDescent="0.25">
      <c r="B95" s="199"/>
      <c r="C95" s="199"/>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CV95" s="39"/>
    </row>
    <row r="96" spans="2:150" ht="7.5" customHeight="1" x14ac:dyDescent="0.25">
      <c r="B96" s="199"/>
      <c r="C96" s="199"/>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CV96" s="39"/>
    </row>
    <row r="97" spans="2:100" ht="7.5" customHeight="1" x14ac:dyDescent="0.25">
      <c r="B97" s="199"/>
      <c r="C97" s="199"/>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CV97" s="39"/>
    </row>
    <row r="98" spans="2:100" ht="7.5" customHeight="1" x14ac:dyDescent="0.25">
      <c r="B98" s="199"/>
      <c r="C98" s="199"/>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CV98" s="39"/>
    </row>
    <row r="99" spans="2:100" ht="7.5" customHeight="1" x14ac:dyDescent="0.25">
      <c r="B99" s="199"/>
      <c r="C99" s="199"/>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CV99" s="39"/>
    </row>
    <row r="100" spans="2:100" ht="7.5" customHeight="1" x14ac:dyDescent="0.25">
      <c r="B100" s="199"/>
      <c r="C100" s="199"/>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CV100" s="39"/>
    </row>
    <row r="101" spans="2:100" ht="7.5" customHeight="1" x14ac:dyDescent="0.25">
      <c r="B101" s="199"/>
      <c r="C101" s="199"/>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CV101" s="39"/>
    </row>
    <row r="102" spans="2:100" ht="7.5" customHeight="1" x14ac:dyDescent="0.25">
      <c r="B102" s="199"/>
      <c r="C102" s="199"/>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CV102" s="39"/>
    </row>
    <row r="103" spans="2:100" ht="7.5" customHeight="1" x14ac:dyDescent="0.25">
      <c r="B103" s="199"/>
      <c r="C103" s="199"/>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CV103" s="39"/>
    </row>
    <row r="104" spans="2:100" ht="7.5" customHeight="1" x14ac:dyDescent="0.25">
      <c r="B104" s="199"/>
      <c r="C104" s="199"/>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CV104" s="39"/>
    </row>
    <row r="105" spans="2:100" ht="7.5" customHeight="1" x14ac:dyDescent="0.25">
      <c r="B105" s="199"/>
      <c r="C105" s="199"/>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CV105" s="39"/>
    </row>
    <row r="106" spans="2:100" ht="7.5" customHeight="1" x14ac:dyDescent="0.25">
      <c r="B106" s="199"/>
      <c r="C106" s="199"/>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CV106" s="39"/>
    </row>
    <row r="107" spans="2:100" ht="7.5" customHeight="1" x14ac:dyDescent="0.25">
      <c r="B107" s="199"/>
      <c r="C107" s="199"/>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CV107" s="39"/>
    </row>
    <row r="108" spans="2:100" ht="7.5" customHeight="1" x14ac:dyDescent="0.25">
      <c r="B108" s="199"/>
      <c r="C108" s="199"/>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CV108" s="39"/>
    </row>
    <row r="109" spans="2:100" ht="7.5" customHeight="1" x14ac:dyDescent="0.25">
      <c r="B109" s="199"/>
      <c r="C109" s="199"/>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CV109" s="39"/>
    </row>
    <row r="110" spans="2:100" ht="7.5" customHeight="1" x14ac:dyDescent="0.25">
      <c r="B110" s="199"/>
      <c r="C110" s="199"/>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CV110" s="39"/>
    </row>
    <row r="111" spans="2:100" ht="7.5" customHeight="1" x14ac:dyDescent="0.25">
      <c r="B111" s="199"/>
      <c r="C111" s="199"/>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CV111" s="39"/>
    </row>
    <row r="112" spans="2:100" ht="7.5" customHeight="1" x14ac:dyDescent="0.25">
      <c r="B112" s="199"/>
      <c r="C112" s="199"/>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CV112" s="39"/>
    </row>
    <row r="113" spans="2:100" ht="7.5" customHeight="1" x14ac:dyDescent="0.25">
      <c r="B113" s="199"/>
      <c r="C113" s="199"/>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CV113" s="39"/>
    </row>
    <row r="114" spans="2:100" ht="7.5" customHeight="1" x14ac:dyDescent="0.25">
      <c r="B114" s="199"/>
      <c r="C114" s="199"/>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CV114" s="39"/>
    </row>
    <row r="115" spans="2:100" ht="7.5" customHeight="1" x14ac:dyDescent="0.25">
      <c r="B115" s="199"/>
      <c r="C115" s="199"/>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CV115" s="39"/>
    </row>
    <row r="116" spans="2:100" ht="7.5" customHeight="1" x14ac:dyDescent="0.25">
      <c r="B116" s="199"/>
      <c r="C116" s="199"/>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CV116" s="39"/>
    </row>
    <row r="117" spans="2:100" ht="7.5" customHeight="1" x14ac:dyDescent="0.25">
      <c r="B117" s="199"/>
      <c r="C117" s="199"/>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CV117" s="39"/>
    </row>
    <row r="118" spans="2:100" ht="7.5" customHeight="1" x14ac:dyDescent="0.25">
      <c r="B118" s="199"/>
      <c r="C118" s="199"/>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CV118" s="39"/>
    </row>
    <row r="119" spans="2:100" ht="7.5" customHeight="1" x14ac:dyDescent="0.25">
      <c r="B119" s="199"/>
      <c r="C119" s="199"/>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CV119" s="39"/>
    </row>
    <row r="120" spans="2:100" ht="7.5" customHeight="1" x14ac:dyDescent="0.25">
      <c r="B120" s="199"/>
      <c r="C120" s="199"/>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CV120" s="39"/>
    </row>
    <row r="121" spans="2:100" ht="7.5" customHeight="1" x14ac:dyDescent="0.25">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CV121" s="39"/>
    </row>
    <row r="122" spans="2:100" ht="7.5" customHeight="1" x14ac:dyDescent="0.25">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CV122" s="39"/>
    </row>
    <row r="123" spans="2:100" ht="7.5" customHeight="1" x14ac:dyDescent="0.25">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CV123" s="39"/>
    </row>
    <row r="124" spans="2:100" ht="7.5" customHeight="1" x14ac:dyDescent="0.25">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CV124" s="39"/>
    </row>
    <row r="125" spans="2:100" ht="7.5" customHeight="1" x14ac:dyDescent="0.25">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CV125" s="39"/>
    </row>
    <row r="126" spans="2:100" ht="7.5" customHeight="1" x14ac:dyDescent="0.25">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CV126" s="39"/>
    </row>
    <row r="127" spans="2:100" ht="7.5" customHeight="1" x14ac:dyDescent="0.25">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CV127" s="39"/>
    </row>
    <row r="128" spans="2:100" ht="7.5" customHeight="1" x14ac:dyDescent="0.25">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CV128" s="39"/>
    </row>
    <row r="129" spans="13:100" ht="7.5" customHeight="1" x14ac:dyDescent="0.25">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CV129" s="39"/>
    </row>
    <row r="130" spans="13:100" ht="7.5" customHeight="1" x14ac:dyDescent="0.25">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CV130" s="39"/>
    </row>
    <row r="131" spans="13:100" ht="7.5" customHeight="1" x14ac:dyDescent="0.25">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CV131" s="39"/>
    </row>
    <row r="132" spans="13:100" ht="7.5" customHeight="1" x14ac:dyDescent="0.25">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CV132" s="39"/>
    </row>
    <row r="133" spans="13:100" ht="7.5" customHeight="1" x14ac:dyDescent="0.25">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CV133" s="39"/>
    </row>
    <row r="134" spans="13:100" ht="7.5" customHeight="1" x14ac:dyDescent="0.25">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CV134" s="39"/>
    </row>
    <row r="135" spans="13:100" ht="7.5" customHeight="1" x14ac:dyDescent="0.25">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CV135" s="39"/>
    </row>
    <row r="136" spans="13:100" ht="7.5" customHeight="1" x14ac:dyDescent="0.25">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CV136" s="39"/>
    </row>
    <row r="137" spans="13:100" ht="7.5" customHeight="1" x14ac:dyDescent="0.25">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CV137" s="39"/>
    </row>
    <row r="138" spans="13:100" ht="7.5" customHeight="1" x14ac:dyDescent="0.25">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CV138" s="39"/>
    </row>
    <row r="139" spans="13:100" ht="7.5" customHeight="1" x14ac:dyDescent="0.25">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CV139" s="39"/>
    </row>
    <row r="140" spans="13:100" ht="7.5" customHeight="1" x14ac:dyDescent="0.25">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CV140" s="39"/>
    </row>
    <row r="141" spans="13:100" ht="7.5" customHeight="1" x14ac:dyDescent="0.25">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CV141" s="39"/>
    </row>
    <row r="142" spans="13:100" ht="7.5" customHeight="1" x14ac:dyDescent="0.25">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CV142" s="39"/>
    </row>
    <row r="143" spans="13:100" ht="7.5" customHeight="1" x14ac:dyDescent="0.25">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CV143" s="39"/>
    </row>
    <row r="144" spans="13:100" ht="7.5" customHeight="1" x14ac:dyDescent="0.25">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CV144" s="39"/>
    </row>
    <row r="145" spans="4:100" ht="7.5" customHeight="1" x14ac:dyDescent="0.25">
      <c r="D145" s="17"/>
      <c r="E145" s="17"/>
      <c r="F145" s="17"/>
      <c r="G145" s="17"/>
      <c r="H145" s="17"/>
      <c r="I145" s="17"/>
      <c r="J145" s="17"/>
      <c r="K145" s="17"/>
      <c r="L145" s="17"/>
      <c r="M145" s="17"/>
      <c r="N145" s="17"/>
      <c r="AA145" s="17"/>
      <c r="CV145" s="39"/>
    </row>
    <row r="146" spans="4:100" ht="7.5" customHeight="1" x14ac:dyDescent="0.25">
      <c r="D146" s="17"/>
      <c r="E146" s="17"/>
      <c r="F146" s="17"/>
      <c r="G146" s="17"/>
      <c r="H146" s="17"/>
      <c r="I146" s="17"/>
      <c r="J146" s="17"/>
      <c r="K146" s="17"/>
      <c r="L146" s="17"/>
      <c r="M146" s="17"/>
      <c r="N146" s="17"/>
      <c r="AA146" s="17"/>
      <c r="CV146" s="39"/>
    </row>
    <row r="147" spans="4:100" ht="7.5" customHeight="1" x14ac:dyDescent="0.25">
      <c r="D147" s="17"/>
      <c r="E147" s="17"/>
      <c r="F147" s="17"/>
      <c r="G147" s="17"/>
      <c r="H147" s="17"/>
      <c r="I147" s="17"/>
      <c r="J147" s="17"/>
      <c r="K147" s="17"/>
      <c r="L147" s="17"/>
      <c r="M147" s="17"/>
      <c r="N147" s="17"/>
      <c r="AA147" s="17"/>
      <c r="CV147" s="39"/>
    </row>
    <row r="148" spans="4:100" ht="7.5" customHeight="1" x14ac:dyDescent="0.25">
      <c r="D148" s="17"/>
      <c r="E148" s="17"/>
      <c r="F148" s="17"/>
      <c r="G148" s="17"/>
      <c r="H148" s="17"/>
      <c r="I148" s="17"/>
      <c r="J148" s="17"/>
      <c r="K148" s="17"/>
      <c r="L148" s="17"/>
      <c r="M148" s="17"/>
      <c r="N148" s="17"/>
      <c r="AA148" s="17"/>
      <c r="CV148" s="39"/>
    </row>
    <row r="149" spans="4:100" ht="7.5" customHeight="1" x14ac:dyDescent="0.25">
      <c r="AA149" s="17"/>
      <c r="CV149" s="39"/>
    </row>
    <row r="150" spans="4:100" ht="7.5" customHeight="1" x14ac:dyDescent="0.25">
      <c r="AA150" s="17"/>
      <c r="CV150" s="39"/>
    </row>
    <row r="151" spans="4:100" ht="7.5" customHeight="1" x14ac:dyDescent="0.25">
      <c r="AA151" s="17"/>
      <c r="CV151" s="39"/>
    </row>
    <row r="152" spans="4:100" ht="7.5" customHeight="1" x14ac:dyDescent="0.25">
      <c r="AA152" s="17"/>
      <c r="CV152" s="39"/>
    </row>
    <row r="153" spans="4:100" ht="7.5" customHeight="1" x14ac:dyDescent="0.25">
      <c r="AA153" s="17"/>
      <c r="CV153" s="39"/>
    </row>
    <row r="154" spans="4:100" ht="7.5" customHeight="1" x14ac:dyDescent="0.25">
      <c r="CV154" s="39"/>
    </row>
    <row r="155" spans="4:100" ht="7.5" customHeight="1" x14ac:dyDescent="0.25">
      <c r="CV155" s="39"/>
    </row>
    <row r="156" spans="4:100" ht="7.5" customHeight="1" x14ac:dyDescent="0.25">
      <c r="CV156" s="39"/>
    </row>
    <row r="157" spans="4:100" ht="7.5" customHeight="1" x14ac:dyDescent="0.25">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CV157" s="39"/>
    </row>
    <row r="158" spans="4:100" ht="7.5" customHeight="1" x14ac:dyDescent="0.25">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CV158" s="39"/>
    </row>
    <row r="159" spans="4:100" ht="7.5" customHeight="1" x14ac:dyDescent="0.25">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CV159" s="39"/>
    </row>
    <row r="160" spans="4:100" ht="7.5" customHeight="1" x14ac:dyDescent="0.25">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CV160" s="39"/>
    </row>
    <row r="161" spans="4:100" ht="7.5" customHeight="1" x14ac:dyDescent="0.25">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CV161" s="39"/>
    </row>
    <row r="162" spans="4:100" ht="7.5" customHeight="1" x14ac:dyDescent="0.25">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CV162" s="39"/>
    </row>
    <row r="163" spans="4:100" ht="7.5" customHeight="1" x14ac:dyDescent="0.25">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CV163" s="39"/>
    </row>
    <row r="164" spans="4:100" ht="7.5" customHeight="1" x14ac:dyDescent="0.25">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CV164" s="39"/>
    </row>
    <row r="165" spans="4:100" ht="7.5" customHeight="1" x14ac:dyDescent="0.25">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CV165" s="39"/>
    </row>
    <row r="166" spans="4:100" ht="7.5" customHeight="1" x14ac:dyDescent="0.25">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CV166" s="39"/>
    </row>
    <row r="167" spans="4:100" ht="7.5" customHeight="1" x14ac:dyDescent="0.25">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CV167" s="39"/>
    </row>
    <row r="168" spans="4:100" ht="7.5" customHeight="1" x14ac:dyDescent="0.25">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CV168" s="39"/>
    </row>
    <row r="169" spans="4:100" ht="7.5" customHeight="1" x14ac:dyDescent="0.25">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CV169" s="39"/>
    </row>
    <row r="170" spans="4:100" ht="7.5" customHeight="1" x14ac:dyDescent="0.25">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CV170" s="39"/>
    </row>
    <row r="171" spans="4:100" ht="7.5" customHeight="1" x14ac:dyDescent="0.25">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CV171" s="39"/>
    </row>
    <row r="172" spans="4:100" ht="7.5" customHeight="1" x14ac:dyDescent="0.25">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CV172" s="39"/>
    </row>
    <row r="173" spans="4:100" ht="7.5" customHeight="1" x14ac:dyDescent="0.25">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CV173" s="39"/>
    </row>
    <row r="174" spans="4:100" ht="7.5" customHeight="1" x14ac:dyDescent="0.25">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CV174" s="39"/>
    </row>
    <row r="175" spans="4:100" ht="7.5" customHeight="1" x14ac:dyDescent="0.25">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CV175" s="39"/>
    </row>
    <row r="176" spans="4:100" ht="7.5" customHeight="1" x14ac:dyDescent="0.25">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CV176" s="39"/>
    </row>
    <row r="177" spans="4:100" ht="7.5" customHeight="1" x14ac:dyDescent="0.25">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CV177" s="39"/>
    </row>
    <row r="178" spans="4:100" ht="7.5" customHeight="1" x14ac:dyDescent="0.25">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CV178" s="39"/>
    </row>
    <row r="179" spans="4:100" ht="7.5" customHeight="1" x14ac:dyDescent="0.25">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CV179" s="39"/>
    </row>
    <row r="180" spans="4:100" ht="7.5" customHeight="1" x14ac:dyDescent="0.25">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CV180" s="39"/>
    </row>
    <row r="181" spans="4:100" ht="7.5" customHeight="1" x14ac:dyDescent="0.25">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CV181" s="39"/>
    </row>
    <row r="182" spans="4:100" ht="7.5" customHeight="1" x14ac:dyDescent="0.25">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CV182" s="39"/>
    </row>
    <row r="183" spans="4:100" ht="7.5" customHeight="1" x14ac:dyDescent="0.25">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CV183" s="39"/>
    </row>
    <row r="184" spans="4:100" ht="7.5" customHeight="1" x14ac:dyDescent="0.25">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CV184" s="39"/>
    </row>
    <row r="185" spans="4:100" ht="7.5" customHeight="1" x14ac:dyDescent="0.25">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CV185" s="39"/>
    </row>
    <row r="186" spans="4:100" ht="7.5" customHeight="1" x14ac:dyDescent="0.25">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CV186" s="39"/>
    </row>
    <row r="187" spans="4:100" ht="7.5" customHeight="1" x14ac:dyDescent="0.25">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CV187" s="39"/>
    </row>
    <row r="188" spans="4:100" ht="7.5" customHeight="1" x14ac:dyDescent="0.25">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CV188" s="39"/>
    </row>
    <row r="189" spans="4:100" ht="7.5" customHeight="1" x14ac:dyDescent="0.25">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CV189" s="39"/>
    </row>
    <row r="190" spans="4:100" ht="7.5" customHeight="1" x14ac:dyDescent="0.25">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CV190" s="39"/>
    </row>
    <row r="191" spans="4:100" ht="7.5" customHeight="1" x14ac:dyDescent="0.25">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CV191" s="39"/>
    </row>
    <row r="192" spans="4:100" ht="7.5" customHeight="1" x14ac:dyDescent="0.25">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CV192" s="39"/>
    </row>
    <row r="193" spans="4:163" ht="7.5" customHeight="1" x14ac:dyDescent="0.25">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CV193" s="39"/>
    </row>
    <row r="194" spans="4:163" ht="7.5" customHeight="1" x14ac:dyDescent="0.25">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CV194" s="39"/>
    </row>
    <row r="195" spans="4:163" ht="7.5" customHeight="1" x14ac:dyDescent="0.25">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CV195" s="39"/>
    </row>
    <row r="196" spans="4:163" ht="7.5" customHeight="1" x14ac:dyDescent="0.25">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CV196" s="39"/>
    </row>
    <row r="197" spans="4:163" ht="7.5" customHeight="1" x14ac:dyDescent="0.25">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CV197" s="39"/>
    </row>
    <row r="198" spans="4:163" ht="7.5" customHeight="1" x14ac:dyDescent="0.25">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CV198" s="39"/>
    </row>
    <row r="199" spans="4:163" ht="7.5" customHeight="1" x14ac:dyDescent="0.25">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CV199" s="39"/>
    </row>
    <row r="200" spans="4:163" ht="7.5" customHeight="1" x14ac:dyDescent="0.25">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CV200" s="39"/>
    </row>
    <row r="201" spans="4:163" ht="7.5" customHeight="1" x14ac:dyDescent="0.25">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CV201" s="39"/>
    </row>
    <row r="202" spans="4:163" ht="7.5" customHeight="1" x14ac:dyDescent="0.25">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CV202" s="39"/>
    </row>
    <row r="203" spans="4:163" ht="7.5" customHeight="1" x14ac:dyDescent="0.25">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CV203" s="39"/>
    </row>
    <row r="204" spans="4:163" ht="7.5" customHeight="1" x14ac:dyDescent="0.25">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CV204" s="39"/>
    </row>
    <row r="205" spans="4:163" ht="7.5" customHeight="1" x14ac:dyDescent="0.25">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CV205" s="39"/>
    </row>
    <row r="206" spans="4:163" ht="7.5" customHeight="1" x14ac:dyDescent="0.25">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CV206" s="39"/>
    </row>
    <row r="207" spans="4:163" ht="7.5" customHeight="1" x14ac:dyDescent="0.25">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c r="CF207" s="17"/>
      <c r="CG207" s="17"/>
      <c r="CH207" s="17"/>
      <c r="CI207" s="17"/>
      <c r="CJ207" s="17"/>
      <c r="CK207" s="17"/>
      <c r="CL207" s="17"/>
      <c r="CM207" s="17"/>
      <c r="CN207" s="17"/>
      <c r="CO207" s="17"/>
      <c r="CP207" s="17"/>
      <c r="CQ207" s="17"/>
      <c r="CR207" s="17"/>
      <c r="CS207" s="17"/>
      <c r="CT207" s="17"/>
      <c r="CU207" s="17"/>
      <c r="CV207" s="17"/>
      <c r="DM207" s="17"/>
      <c r="DN207" s="17"/>
      <c r="DO207" s="17"/>
      <c r="DP207" s="17"/>
      <c r="DQ207" s="17"/>
      <c r="DR207" s="17"/>
      <c r="DS207" s="17"/>
      <c r="DT207" s="17"/>
      <c r="DU207" s="17"/>
      <c r="DV207" s="17"/>
      <c r="DW207" s="17"/>
      <c r="DX207" s="17"/>
      <c r="DY207" s="17"/>
      <c r="DZ207" s="17"/>
      <c r="EA207" s="17"/>
      <c r="EB207" s="17"/>
      <c r="EC207" s="17"/>
      <c r="ED207" s="17"/>
      <c r="EE207" s="17"/>
      <c r="EF207" s="17"/>
      <c r="EG207" s="17"/>
      <c r="EH207" s="17"/>
      <c r="EI207" s="17"/>
      <c r="EJ207" s="17"/>
      <c r="EK207" s="17"/>
      <c r="EL207" s="17"/>
      <c r="EM207" s="17"/>
      <c r="EN207" s="17"/>
      <c r="EO207" s="17"/>
      <c r="EP207" s="17"/>
      <c r="EQ207" s="17"/>
      <c r="ER207" s="17"/>
      <c r="ES207" s="17"/>
      <c r="ET207" s="17"/>
      <c r="EU207" s="17"/>
      <c r="EV207" s="17"/>
      <c r="EW207" s="17"/>
      <c r="EX207" s="17"/>
      <c r="EY207" s="17"/>
      <c r="EZ207" s="17"/>
      <c r="FA207" s="17"/>
      <c r="FB207" s="17"/>
      <c r="FC207" s="17"/>
      <c r="FD207" s="17"/>
      <c r="FE207" s="17"/>
      <c r="FF207" s="17"/>
      <c r="FG207" s="17"/>
    </row>
    <row r="208" spans="4:163" ht="7.5" customHeight="1" x14ac:dyDescent="0.25">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c r="CO208" s="17"/>
      <c r="CP208" s="17"/>
      <c r="CQ208" s="17"/>
      <c r="CR208" s="17"/>
      <c r="CS208" s="17"/>
      <c r="CT208" s="17"/>
      <c r="CU208" s="17"/>
      <c r="CV208" s="17"/>
      <c r="DB208" s="17"/>
      <c r="DC208" s="17"/>
      <c r="DD208" s="17"/>
      <c r="DE208" s="17"/>
      <c r="DF208" s="17"/>
      <c r="DG208" s="17"/>
      <c r="DH208" s="17"/>
      <c r="DI208" s="17"/>
      <c r="DJ208" s="17"/>
      <c r="DM208" s="17"/>
      <c r="DN208" s="17"/>
      <c r="DO208" s="17"/>
      <c r="DP208" s="17"/>
      <c r="DQ208" s="17"/>
      <c r="DR208" s="17"/>
      <c r="DS208" s="17"/>
      <c r="DT208" s="17"/>
      <c r="DU208" s="17"/>
      <c r="DV208" s="17"/>
      <c r="DW208" s="17"/>
      <c r="DX208" s="17"/>
      <c r="DY208" s="17"/>
      <c r="DZ208" s="17"/>
      <c r="EA208" s="17"/>
      <c r="EB208" s="17"/>
      <c r="EC208" s="17"/>
      <c r="ED208" s="17"/>
      <c r="EE208" s="17"/>
      <c r="EF208" s="17"/>
      <c r="EG208" s="17"/>
      <c r="EH208" s="17"/>
      <c r="EI208" s="17"/>
      <c r="EJ208" s="17"/>
      <c r="EK208" s="17"/>
      <c r="EL208" s="17"/>
      <c r="EM208" s="17"/>
      <c r="EN208" s="17"/>
      <c r="EO208" s="17"/>
      <c r="EP208" s="17"/>
      <c r="EQ208" s="17"/>
      <c r="ER208" s="17"/>
      <c r="ES208" s="17"/>
      <c r="ET208" s="17"/>
      <c r="EU208" s="17"/>
      <c r="EV208" s="17"/>
      <c r="EW208" s="17"/>
      <c r="EX208" s="17"/>
      <c r="EY208" s="17"/>
      <c r="EZ208" s="17"/>
      <c r="FA208" s="17"/>
      <c r="FB208" s="17"/>
      <c r="FC208" s="17"/>
      <c r="FD208" s="17"/>
      <c r="FE208" s="17"/>
      <c r="FF208" s="17"/>
      <c r="FG208" s="17"/>
    </row>
    <row r="209" spans="31:163" ht="7.5" customHeight="1" x14ac:dyDescent="0.25">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c r="CO209" s="17"/>
      <c r="CP209" s="17"/>
      <c r="CQ209" s="17"/>
      <c r="CR209" s="17"/>
      <c r="CS209" s="17"/>
      <c r="CT209" s="17"/>
      <c r="CU209" s="17"/>
      <c r="CV209" s="17"/>
      <c r="DB209" s="17"/>
      <c r="DC209" s="17"/>
      <c r="DD209" s="17"/>
      <c r="DE209" s="17"/>
      <c r="DF209" s="17"/>
      <c r="DG209" s="17"/>
      <c r="DH209" s="17"/>
      <c r="DI209" s="17"/>
      <c r="DJ209" s="17"/>
      <c r="DM209" s="17"/>
      <c r="DN209" s="17"/>
      <c r="DO209" s="17"/>
      <c r="DP209" s="17"/>
      <c r="DQ209" s="17"/>
      <c r="DR209" s="17"/>
      <c r="DS209" s="17"/>
      <c r="DT209" s="17"/>
      <c r="DU209" s="17"/>
      <c r="DV209" s="17"/>
      <c r="DW209" s="17"/>
      <c r="DX209" s="17"/>
      <c r="DY209" s="17"/>
      <c r="DZ209" s="17"/>
      <c r="EA209" s="17"/>
      <c r="EB209" s="17"/>
      <c r="EC209" s="17"/>
      <c r="ED209" s="17"/>
      <c r="EE209" s="17"/>
      <c r="EF209" s="17"/>
      <c r="EG209" s="17"/>
      <c r="EH209" s="17"/>
      <c r="EI209" s="17"/>
      <c r="EJ209" s="17"/>
      <c r="EK209" s="17"/>
      <c r="EL209" s="17"/>
      <c r="EM209" s="17"/>
      <c r="EN209" s="17"/>
      <c r="EO209" s="17"/>
      <c r="EP209" s="17"/>
      <c r="EQ209" s="17"/>
      <c r="ER209" s="17"/>
      <c r="ES209" s="17"/>
      <c r="ET209" s="17"/>
      <c r="EU209" s="17"/>
      <c r="EV209" s="17"/>
      <c r="EW209" s="17"/>
      <c r="EX209" s="17"/>
      <c r="EY209" s="17"/>
      <c r="EZ209" s="17"/>
      <c r="FA209" s="17"/>
      <c r="FB209" s="17"/>
      <c r="FC209" s="17"/>
      <c r="FD209" s="17"/>
      <c r="FE209" s="17"/>
      <c r="FF209" s="17"/>
      <c r="FG209" s="17"/>
    </row>
    <row r="210" spans="31:163" ht="7.5" customHeight="1" x14ac:dyDescent="0.25">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c r="CO210" s="17"/>
      <c r="CP210" s="17"/>
      <c r="CQ210" s="17"/>
      <c r="CR210" s="17"/>
      <c r="CS210" s="17"/>
      <c r="CT210" s="17"/>
      <c r="CU210" s="17"/>
      <c r="CV210" s="17"/>
      <c r="CW210" s="17"/>
      <c r="CX210" s="17"/>
      <c r="CY210" s="17"/>
      <c r="CZ210" s="17"/>
      <c r="DA210" s="17"/>
      <c r="DB210" s="17"/>
      <c r="DC210" s="17"/>
      <c r="DD210" s="17"/>
      <c r="DE210" s="17"/>
      <c r="DF210" s="17"/>
      <c r="DG210" s="17"/>
      <c r="DH210" s="17"/>
      <c r="DI210" s="17"/>
      <c r="DJ210" s="17"/>
      <c r="DM210" s="17"/>
      <c r="DN210" s="17"/>
      <c r="DO210" s="17"/>
      <c r="DP210" s="17"/>
      <c r="DQ210" s="17"/>
      <c r="DR210" s="17"/>
      <c r="DS210" s="17"/>
      <c r="DT210" s="17"/>
      <c r="DU210" s="17"/>
      <c r="DV210" s="17"/>
      <c r="DW210" s="17"/>
      <c r="DX210" s="17"/>
      <c r="DY210" s="17"/>
      <c r="DZ210" s="17"/>
      <c r="EA210" s="17"/>
      <c r="EB210" s="17"/>
      <c r="EC210" s="17"/>
      <c r="ED210" s="17"/>
      <c r="EE210" s="17"/>
      <c r="EF210" s="17"/>
      <c r="EG210" s="17"/>
      <c r="EH210" s="17"/>
      <c r="EI210" s="17"/>
      <c r="EJ210" s="17"/>
      <c r="EK210" s="17"/>
      <c r="EL210" s="17"/>
      <c r="EM210" s="17"/>
      <c r="EN210" s="17"/>
      <c r="EO210" s="17"/>
      <c r="EP210" s="17"/>
      <c r="EQ210" s="17"/>
      <c r="ER210" s="17"/>
      <c r="ES210" s="17"/>
      <c r="ET210" s="17"/>
      <c r="EU210" s="17"/>
      <c r="EV210" s="17"/>
      <c r="EW210" s="17"/>
      <c r="EX210" s="17"/>
      <c r="EY210" s="17"/>
      <c r="EZ210" s="17"/>
      <c r="FA210" s="17"/>
      <c r="FB210" s="17"/>
      <c r="FC210" s="17"/>
      <c r="FD210" s="17"/>
      <c r="FE210" s="17"/>
      <c r="FF210" s="17"/>
      <c r="FG210" s="17"/>
    </row>
    <row r="211" spans="31:163" ht="7.5" customHeight="1" x14ac:dyDescent="0.25">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c r="CO211" s="17"/>
      <c r="CP211" s="17"/>
      <c r="CQ211" s="17"/>
      <c r="CR211" s="17"/>
      <c r="CS211" s="17"/>
      <c r="CT211" s="17"/>
      <c r="CU211" s="17"/>
      <c r="CV211" s="17"/>
      <c r="CW211" s="17"/>
      <c r="CX211" s="17"/>
      <c r="CY211" s="17"/>
      <c r="CZ211" s="17"/>
      <c r="DA211" s="17"/>
      <c r="DB211" s="17"/>
      <c r="DC211" s="17"/>
      <c r="DD211" s="17"/>
      <c r="DE211" s="17"/>
      <c r="DF211" s="17"/>
      <c r="DG211" s="17"/>
      <c r="DH211" s="17"/>
      <c r="DI211" s="17"/>
      <c r="DJ211" s="17"/>
      <c r="DM211" s="17"/>
      <c r="DN211" s="17"/>
      <c r="DO211" s="17"/>
      <c r="DP211" s="17"/>
      <c r="DQ211" s="17"/>
      <c r="DR211" s="17"/>
      <c r="DS211" s="17"/>
      <c r="DT211" s="17"/>
      <c r="DU211" s="17"/>
      <c r="DV211" s="17"/>
      <c r="DW211" s="17"/>
      <c r="DX211" s="17"/>
      <c r="DY211" s="17"/>
      <c r="DZ211" s="17"/>
      <c r="EA211" s="17"/>
      <c r="EB211" s="17"/>
      <c r="EC211" s="17"/>
      <c r="ED211" s="17"/>
      <c r="EE211" s="17"/>
      <c r="EF211" s="17"/>
      <c r="EG211" s="17"/>
      <c r="EH211" s="17"/>
      <c r="EI211" s="17"/>
      <c r="EJ211" s="17"/>
      <c r="EK211" s="17"/>
      <c r="EL211" s="17"/>
      <c r="EM211" s="17"/>
      <c r="EN211" s="17"/>
      <c r="EO211" s="17"/>
      <c r="EP211" s="17"/>
      <c r="EQ211" s="17"/>
      <c r="ER211" s="17"/>
      <c r="ES211" s="17"/>
      <c r="ET211" s="17"/>
      <c r="EU211" s="17"/>
      <c r="EV211" s="17"/>
      <c r="EW211" s="17"/>
      <c r="EX211" s="17"/>
      <c r="EY211" s="17"/>
      <c r="EZ211" s="17"/>
      <c r="FA211" s="17"/>
      <c r="FB211" s="17"/>
      <c r="FC211" s="17"/>
      <c r="FD211" s="17"/>
      <c r="FE211" s="17"/>
      <c r="FF211" s="17"/>
      <c r="FG211" s="17"/>
    </row>
    <row r="212" spans="31:163" ht="7.5" customHeight="1" x14ac:dyDescent="0.25">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c r="CY212" s="17"/>
      <c r="CZ212" s="17"/>
      <c r="DA212" s="17"/>
      <c r="DB212" s="17"/>
      <c r="DC212" s="17"/>
      <c r="DD212" s="17"/>
      <c r="DE212" s="17"/>
      <c r="DF212" s="17"/>
      <c r="DG212" s="17"/>
      <c r="DH212" s="17"/>
      <c r="DI212" s="17"/>
      <c r="DJ212" s="17"/>
      <c r="DM212" s="17"/>
      <c r="DN212" s="17"/>
      <c r="DO212" s="17"/>
      <c r="DP212" s="17"/>
      <c r="DQ212" s="17"/>
      <c r="DR212" s="17"/>
      <c r="DS212" s="17"/>
      <c r="DT212" s="17"/>
      <c r="DU212" s="17"/>
      <c r="DV212" s="17"/>
      <c r="DW212" s="17"/>
      <c r="DX212" s="17"/>
      <c r="DY212" s="17"/>
      <c r="DZ212" s="17"/>
      <c r="EA212" s="17"/>
      <c r="EB212" s="17"/>
      <c r="EC212" s="17"/>
      <c r="ED212" s="17"/>
      <c r="EE212" s="17"/>
      <c r="EF212" s="17"/>
      <c r="EG212" s="17"/>
      <c r="EH212" s="17"/>
      <c r="EI212" s="17"/>
      <c r="EJ212" s="17"/>
      <c r="EK212" s="17"/>
      <c r="EL212" s="17"/>
      <c r="EM212" s="17"/>
      <c r="EN212" s="17"/>
      <c r="EO212" s="17"/>
      <c r="EP212" s="17"/>
      <c r="EQ212" s="17"/>
      <c r="ER212" s="17"/>
      <c r="ES212" s="17"/>
      <c r="ET212" s="17"/>
      <c r="EU212" s="17"/>
      <c r="EV212" s="17"/>
      <c r="EW212" s="17"/>
      <c r="EX212" s="17"/>
      <c r="EY212" s="17"/>
      <c r="EZ212" s="17"/>
      <c r="FA212" s="17"/>
      <c r="FB212" s="17"/>
      <c r="FC212" s="17"/>
      <c r="FD212" s="17"/>
      <c r="FE212" s="17"/>
      <c r="FF212" s="17"/>
      <c r="FG212" s="17"/>
    </row>
    <row r="213" spans="31:163" ht="7.5" customHeight="1" x14ac:dyDescent="0.25">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c r="CO213" s="17"/>
      <c r="CP213" s="17"/>
      <c r="CQ213" s="17"/>
      <c r="CR213" s="17"/>
      <c r="CS213" s="17"/>
      <c r="CT213" s="17"/>
      <c r="CU213" s="17"/>
      <c r="CV213" s="17"/>
      <c r="CW213" s="17"/>
      <c r="CX213" s="17"/>
      <c r="CY213" s="17"/>
      <c r="CZ213" s="17"/>
      <c r="DA213" s="17"/>
      <c r="DB213" s="17"/>
      <c r="DC213" s="17"/>
      <c r="DD213" s="17"/>
      <c r="DE213" s="17"/>
      <c r="DF213" s="17"/>
      <c r="DG213" s="17"/>
      <c r="DH213" s="17"/>
      <c r="DI213" s="17"/>
      <c r="DJ213" s="17"/>
      <c r="DK213" s="17"/>
      <c r="DL213" s="17"/>
      <c r="DM213" s="17"/>
      <c r="DN213" s="17"/>
      <c r="DO213" s="17"/>
      <c r="DP213" s="17"/>
      <c r="DQ213" s="17"/>
      <c r="DR213" s="17"/>
      <c r="DS213" s="17"/>
      <c r="DT213" s="17"/>
      <c r="DU213" s="17"/>
      <c r="DV213" s="17"/>
      <c r="DW213" s="17"/>
      <c r="DX213" s="17"/>
      <c r="DY213" s="17"/>
      <c r="DZ213" s="17"/>
      <c r="EA213" s="17"/>
      <c r="EB213" s="17"/>
      <c r="EC213" s="17"/>
      <c r="ED213" s="17"/>
      <c r="EE213" s="17"/>
      <c r="EF213" s="17"/>
      <c r="EG213" s="17"/>
      <c r="EH213" s="17"/>
      <c r="EI213" s="17"/>
      <c r="EJ213" s="17"/>
      <c r="EK213" s="17"/>
      <c r="EL213" s="17"/>
      <c r="EM213" s="17"/>
      <c r="EN213" s="17"/>
      <c r="EO213" s="17"/>
      <c r="EP213" s="17"/>
      <c r="EQ213" s="17"/>
      <c r="ER213" s="17"/>
      <c r="ES213" s="17"/>
      <c r="ET213" s="17"/>
      <c r="EU213" s="17"/>
      <c r="EV213" s="17"/>
      <c r="EW213" s="17"/>
      <c r="EX213" s="17"/>
      <c r="EY213" s="17"/>
      <c r="EZ213" s="17"/>
      <c r="FA213" s="17"/>
      <c r="FB213" s="17"/>
      <c r="FC213" s="17"/>
      <c r="FD213" s="17"/>
      <c r="FE213" s="17"/>
      <c r="FF213" s="17"/>
      <c r="FG213" s="17"/>
    </row>
    <row r="214" spans="31:163" ht="7.5" customHeight="1" x14ac:dyDescent="0.25">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c r="CO214" s="17"/>
      <c r="CP214" s="17"/>
      <c r="CQ214" s="17"/>
      <c r="CR214" s="17"/>
      <c r="CS214" s="17"/>
      <c r="CT214" s="17"/>
      <c r="CU214" s="17"/>
      <c r="CV214" s="17"/>
      <c r="CW214" s="17"/>
      <c r="CX214" s="17"/>
      <c r="CY214" s="17"/>
      <c r="CZ214" s="17"/>
      <c r="DA214" s="17"/>
      <c r="DB214" s="17"/>
      <c r="DC214" s="17"/>
      <c r="DD214" s="17"/>
      <c r="DE214" s="17"/>
      <c r="DF214" s="17"/>
      <c r="DG214" s="17"/>
      <c r="DH214" s="17"/>
      <c r="DI214" s="17"/>
      <c r="DJ214" s="17"/>
      <c r="DK214" s="17"/>
      <c r="DL214" s="17"/>
      <c r="DM214" s="17"/>
      <c r="DN214" s="17"/>
      <c r="DO214" s="17"/>
      <c r="DP214" s="17"/>
      <c r="DQ214" s="17"/>
      <c r="DR214" s="17"/>
      <c r="DS214" s="17"/>
      <c r="DT214" s="17"/>
      <c r="DU214" s="17"/>
      <c r="DV214" s="17"/>
      <c r="DW214" s="17"/>
      <c r="DX214" s="17"/>
      <c r="DY214" s="17"/>
      <c r="DZ214" s="17"/>
      <c r="EA214" s="17"/>
      <c r="EB214" s="17"/>
      <c r="EC214" s="17"/>
      <c r="ED214" s="17"/>
      <c r="EE214" s="17"/>
      <c r="EF214" s="17"/>
      <c r="EG214" s="17"/>
      <c r="EH214" s="17"/>
      <c r="EI214" s="17"/>
      <c r="EJ214" s="17"/>
      <c r="EK214" s="17"/>
      <c r="EL214" s="17"/>
      <c r="EM214" s="17"/>
      <c r="EN214" s="17"/>
      <c r="EO214" s="17"/>
      <c r="EP214" s="17"/>
      <c r="EQ214" s="17"/>
      <c r="ER214" s="17"/>
      <c r="ES214" s="17"/>
      <c r="ET214" s="17"/>
      <c r="EU214" s="17"/>
      <c r="EV214" s="17"/>
      <c r="EW214" s="17"/>
      <c r="EX214" s="17"/>
      <c r="EY214" s="17"/>
      <c r="EZ214" s="17"/>
      <c r="FA214" s="17"/>
      <c r="FB214" s="17"/>
      <c r="FC214" s="17"/>
      <c r="FD214" s="17"/>
      <c r="FE214" s="17"/>
      <c r="FF214" s="17"/>
      <c r="FG214" s="17"/>
    </row>
    <row r="215" spans="31:163" ht="7.5" customHeight="1" x14ac:dyDescent="0.25">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c r="CO215" s="17"/>
      <c r="CP215" s="17"/>
      <c r="CQ215" s="17"/>
      <c r="CR215" s="17"/>
      <c r="CS215" s="17"/>
      <c r="CT215" s="17"/>
      <c r="CU215" s="17"/>
      <c r="CV215" s="17"/>
      <c r="CW215" s="17"/>
      <c r="CX215" s="17"/>
      <c r="CY215" s="17"/>
      <c r="CZ215" s="17"/>
      <c r="DA215" s="17"/>
      <c r="DB215" s="17"/>
      <c r="DC215" s="17"/>
      <c r="DD215" s="17"/>
      <c r="DE215" s="17"/>
      <c r="DF215" s="17"/>
      <c r="DG215" s="17"/>
      <c r="DH215" s="17"/>
      <c r="DI215" s="17"/>
      <c r="DJ215" s="17"/>
      <c r="DK215" s="17"/>
      <c r="DL215" s="17"/>
      <c r="DM215" s="17"/>
      <c r="DN215" s="17"/>
      <c r="DO215" s="17"/>
      <c r="DP215" s="17"/>
      <c r="DQ215" s="17"/>
      <c r="DR215" s="17"/>
      <c r="DS215" s="17"/>
      <c r="DT215" s="17"/>
      <c r="DU215" s="17"/>
      <c r="DV215" s="17"/>
      <c r="DW215" s="17"/>
      <c r="DX215" s="17"/>
      <c r="DY215" s="17"/>
      <c r="DZ215" s="17"/>
      <c r="EA215" s="17"/>
      <c r="EB215" s="17"/>
      <c r="EC215" s="17"/>
      <c r="ED215" s="17"/>
      <c r="EE215" s="17"/>
      <c r="EF215" s="17"/>
      <c r="EG215" s="17"/>
      <c r="EH215" s="17"/>
      <c r="EI215" s="17"/>
      <c r="EJ215" s="17"/>
      <c r="EK215" s="17"/>
      <c r="EL215" s="17"/>
      <c r="EM215" s="17"/>
      <c r="EN215" s="17"/>
      <c r="EO215" s="17"/>
      <c r="EP215" s="17"/>
      <c r="EQ215" s="17"/>
      <c r="ER215" s="17"/>
      <c r="ES215" s="17"/>
      <c r="ET215" s="17"/>
      <c r="EU215" s="17"/>
      <c r="EV215" s="17"/>
      <c r="EW215" s="17"/>
      <c r="EX215" s="17"/>
      <c r="EY215" s="17"/>
      <c r="EZ215" s="17"/>
      <c r="FA215" s="17"/>
      <c r="FB215" s="17"/>
      <c r="FC215" s="17"/>
      <c r="FD215" s="17"/>
      <c r="FE215" s="17"/>
      <c r="FF215" s="17"/>
      <c r="FG215" s="17"/>
    </row>
    <row r="216" spans="31:163" ht="7.5" customHeight="1" x14ac:dyDescent="0.25">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c r="CO216" s="17"/>
      <c r="CP216" s="17"/>
      <c r="CQ216" s="17"/>
      <c r="CR216" s="17"/>
      <c r="CS216" s="17"/>
      <c r="CT216" s="17"/>
      <c r="CU216" s="17"/>
      <c r="CV216" s="17"/>
      <c r="CW216" s="17"/>
      <c r="CX216" s="17"/>
      <c r="CY216" s="17"/>
      <c r="CZ216" s="17"/>
      <c r="DA216" s="17"/>
      <c r="DB216" s="17"/>
      <c r="DC216" s="17"/>
      <c r="DD216" s="17"/>
      <c r="DE216" s="17"/>
      <c r="DF216" s="17"/>
      <c r="DG216" s="17"/>
      <c r="DH216" s="17"/>
      <c r="DI216" s="17"/>
      <c r="DJ216" s="17"/>
      <c r="DK216" s="17"/>
      <c r="DL216" s="17"/>
      <c r="DM216" s="17"/>
      <c r="DN216" s="17"/>
      <c r="DO216" s="17"/>
      <c r="DP216" s="17"/>
      <c r="DQ216" s="17"/>
      <c r="DR216" s="17"/>
      <c r="DS216" s="17"/>
      <c r="DT216" s="17"/>
      <c r="DU216" s="17"/>
      <c r="DV216" s="17"/>
      <c r="DW216" s="17"/>
      <c r="DX216" s="17"/>
      <c r="DY216" s="17"/>
      <c r="DZ216" s="17"/>
      <c r="EA216" s="17"/>
      <c r="EB216" s="17"/>
      <c r="EC216" s="17"/>
      <c r="ED216" s="17"/>
      <c r="EE216" s="17"/>
      <c r="EF216" s="17"/>
      <c r="EG216" s="17"/>
      <c r="EH216" s="17"/>
      <c r="EI216" s="17"/>
      <c r="EJ216" s="17"/>
      <c r="EK216" s="17"/>
      <c r="EL216" s="17"/>
      <c r="EM216" s="17"/>
      <c r="EN216" s="17"/>
      <c r="EO216" s="17"/>
      <c r="EP216" s="17"/>
      <c r="EQ216" s="17"/>
      <c r="ER216" s="17"/>
      <c r="ES216" s="17"/>
      <c r="ET216" s="17"/>
      <c r="EU216" s="17"/>
      <c r="EV216" s="17"/>
      <c r="EW216" s="17"/>
      <c r="EX216" s="17"/>
      <c r="EY216" s="17"/>
      <c r="EZ216" s="17"/>
      <c r="FA216" s="17"/>
      <c r="FB216" s="17"/>
      <c r="FC216" s="17"/>
      <c r="FD216" s="17"/>
      <c r="FE216" s="17"/>
      <c r="FF216" s="17"/>
      <c r="FG216" s="17"/>
    </row>
    <row r="217" spans="31:163" ht="7.5" customHeight="1" x14ac:dyDescent="0.25">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c r="CO217" s="17"/>
      <c r="CP217" s="17"/>
      <c r="CQ217" s="17"/>
      <c r="CR217" s="17"/>
      <c r="CS217" s="17"/>
      <c r="CT217" s="17"/>
      <c r="CU217" s="17"/>
      <c r="CV217" s="17"/>
      <c r="CW217" s="17"/>
      <c r="CX217" s="17"/>
      <c r="CY217" s="17"/>
      <c r="CZ217" s="17"/>
      <c r="DA217" s="17"/>
      <c r="DB217" s="17"/>
      <c r="DC217" s="17"/>
      <c r="DD217" s="17"/>
      <c r="DE217" s="17"/>
      <c r="DF217" s="17"/>
      <c r="DG217" s="17"/>
      <c r="DH217" s="17"/>
      <c r="DI217" s="17"/>
      <c r="DJ217" s="17"/>
      <c r="DK217" s="17"/>
      <c r="DL217" s="17"/>
      <c r="DM217" s="17"/>
      <c r="DN217" s="17"/>
      <c r="DO217" s="17"/>
      <c r="DP217" s="17"/>
      <c r="DQ217" s="17"/>
      <c r="DR217" s="17"/>
      <c r="DS217" s="17"/>
      <c r="DT217" s="17"/>
      <c r="DU217" s="17"/>
      <c r="DV217" s="17"/>
      <c r="DW217" s="17"/>
      <c r="DX217" s="17"/>
      <c r="DY217" s="17"/>
      <c r="DZ217" s="17"/>
      <c r="EA217" s="17"/>
      <c r="EB217" s="17"/>
      <c r="EC217" s="17"/>
      <c r="ED217" s="17"/>
      <c r="EE217" s="17"/>
      <c r="EF217" s="17"/>
      <c r="EG217" s="17"/>
      <c r="EH217" s="17"/>
      <c r="EI217" s="17"/>
      <c r="EJ217" s="17"/>
      <c r="EK217" s="17"/>
      <c r="EL217" s="17"/>
      <c r="EM217" s="17"/>
      <c r="EN217" s="17"/>
      <c r="EO217" s="17"/>
      <c r="EP217" s="17"/>
      <c r="EQ217" s="17"/>
      <c r="ER217" s="17"/>
      <c r="ES217" s="17"/>
      <c r="ET217" s="17"/>
      <c r="EU217" s="17"/>
      <c r="EV217" s="17"/>
      <c r="EW217" s="17"/>
      <c r="EX217" s="17"/>
      <c r="EY217" s="17"/>
      <c r="EZ217" s="17"/>
      <c r="FA217" s="17"/>
      <c r="FB217" s="17"/>
      <c r="FC217" s="17"/>
      <c r="FD217" s="17"/>
      <c r="FE217" s="17"/>
      <c r="FF217" s="17"/>
      <c r="FG217" s="17"/>
    </row>
    <row r="218" spans="31:163" ht="7.5" customHeight="1" x14ac:dyDescent="0.25">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c r="CT218" s="17"/>
      <c r="CU218" s="17"/>
      <c r="CV218" s="17"/>
      <c r="CW218" s="17"/>
      <c r="CX218" s="17"/>
      <c r="CY218" s="17"/>
      <c r="CZ218" s="17"/>
      <c r="DA218" s="17"/>
      <c r="DB218" s="17"/>
      <c r="DC218" s="17"/>
      <c r="DD218" s="17"/>
      <c r="DE218" s="17"/>
      <c r="DF218" s="17"/>
      <c r="DG218" s="17"/>
      <c r="DH218" s="17"/>
      <c r="DI218" s="17"/>
      <c r="DJ218" s="17"/>
      <c r="DK218" s="17"/>
      <c r="DL218" s="17"/>
      <c r="DM218" s="17"/>
      <c r="DN218" s="17"/>
      <c r="DO218" s="17"/>
      <c r="DP218" s="17"/>
      <c r="DQ218" s="17"/>
      <c r="DR218" s="17"/>
      <c r="DS218" s="17"/>
      <c r="DT218" s="17"/>
      <c r="DU218" s="17"/>
      <c r="DV218" s="17"/>
      <c r="DW218" s="17"/>
      <c r="DX218" s="17"/>
      <c r="DY218" s="17"/>
      <c r="DZ218" s="17"/>
      <c r="EA218" s="17"/>
      <c r="EB218" s="17"/>
      <c r="EC218" s="17"/>
      <c r="ED218" s="17"/>
      <c r="EE218" s="17"/>
      <c r="EF218" s="17"/>
      <c r="EG218" s="17"/>
      <c r="EH218" s="17"/>
      <c r="EI218" s="17"/>
      <c r="EJ218" s="17"/>
      <c r="EK218" s="17"/>
      <c r="EL218" s="17"/>
      <c r="EM218" s="17"/>
      <c r="EN218" s="17"/>
      <c r="EO218" s="17"/>
      <c r="EP218" s="17"/>
      <c r="EQ218" s="17"/>
      <c r="ER218" s="17"/>
      <c r="ES218" s="17"/>
      <c r="ET218" s="17"/>
      <c r="EU218" s="17"/>
      <c r="EV218" s="17"/>
      <c r="EW218" s="17"/>
      <c r="EX218" s="17"/>
      <c r="EY218" s="17"/>
      <c r="EZ218" s="17"/>
      <c r="FA218" s="17"/>
      <c r="FB218" s="17"/>
      <c r="FC218" s="17"/>
      <c r="FD218" s="17"/>
      <c r="FE218" s="17"/>
      <c r="FF218" s="17"/>
      <c r="FG218" s="17"/>
    </row>
    <row r="219" spans="31:163" ht="7.5" customHeight="1" x14ac:dyDescent="0.25">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c r="CO219" s="17"/>
      <c r="CP219" s="17"/>
      <c r="CQ219" s="17"/>
      <c r="CR219" s="17"/>
      <c r="CS219" s="17"/>
      <c r="CT219" s="17"/>
      <c r="CU219" s="17"/>
      <c r="CV219" s="17"/>
      <c r="CW219" s="17"/>
      <c r="CX219" s="17"/>
      <c r="CY219" s="17"/>
      <c r="CZ219" s="17"/>
      <c r="DA219" s="17"/>
      <c r="DB219" s="17"/>
      <c r="DC219" s="17"/>
      <c r="DD219" s="17"/>
      <c r="DE219" s="17"/>
      <c r="DF219" s="17"/>
      <c r="DG219" s="17"/>
      <c r="DH219" s="17"/>
      <c r="DI219" s="17"/>
      <c r="DJ219" s="17"/>
      <c r="DK219" s="17"/>
      <c r="DL219" s="17"/>
      <c r="DM219" s="17"/>
      <c r="DN219" s="17"/>
      <c r="DO219" s="17"/>
      <c r="DP219" s="17"/>
      <c r="DQ219" s="17"/>
      <c r="DR219" s="17"/>
      <c r="DS219" s="17"/>
      <c r="DT219" s="17"/>
      <c r="DU219" s="17"/>
      <c r="DV219" s="17"/>
      <c r="DW219" s="17"/>
      <c r="DX219" s="17"/>
      <c r="DY219" s="17"/>
      <c r="DZ219" s="17"/>
      <c r="EA219" s="17"/>
      <c r="EB219" s="17"/>
      <c r="EC219" s="17"/>
      <c r="ED219" s="17"/>
      <c r="EE219" s="17"/>
      <c r="EF219" s="17"/>
      <c r="EG219" s="17"/>
      <c r="EH219" s="17"/>
      <c r="EI219" s="17"/>
      <c r="EJ219" s="17"/>
      <c r="EK219" s="17"/>
      <c r="EL219" s="17"/>
      <c r="EM219" s="17"/>
      <c r="EN219" s="17"/>
      <c r="EO219" s="17"/>
      <c r="EP219" s="17"/>
      <c r="EQ219" s="17"/>
      <c r="ER219" s="17"/>
      <c r="ES219" s="17"/>
      <c r="ET219" s="17"/>
      <c r="EU219" s="17"/>
      <c r="EV219" s="17"/>
      <c r="EW219" s="17"/>
      <c r="EX219" s="17"/>
      <c r="EY219" s="17"/>
      <c r="EZ219" s="17"/>
      <c r="FA219" s="17"/>
      <c r="FB219" s="17"/>
      <c r="FC219" s="17"/>
      <c r="FD219" s="17"/>
      <c r="FE219" s="17"/>
      <c r="FF219" s="17"/>
      <c r="FG219" s="17"/>
    </row>
    <row r="220" spans="31:163" ht="7.5" customHeight="1" x14ac:dyDescent="0.25">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c r="CO220" s="17"/>
      <c r="CP220" s="17"/>
      <c r="CQ220" s="17"/>
      <c r="CR220" s="17"/>
      <c r="CS220" s="17"/>
      <c r="CT220" s="17"/>
      <c r="CU220" s="17"/>
      <c r="CV220" s="17"/>
      <c r="CW220" s="17"/>
      <c r="CX220" s="17"/>
      <c r="CY220" s="17"/>
      <c r="CZ220" s="17"/>
      <c r="DA220" s="17"/>
      <c r="DB220" s="17"/>
      <c r="DC220" s="17"/>
      <c r="DD220" s="17"/>
      <c r="DE220" s="17"/>
      <c r="DF220" s="17"/>
      <c r="DG220" s="17"/>
      <c r="DH220" s="17"/>
      <c r="DI220" s="17"/>
      <c r="DJ220" s="17"/>
      <c r="DK220" s="17"/>
      <c r="DL220" s="17"/>
      <c r="DM220" s="17"/>
      <c r="DN220" s="17"/>
      <c r="DO220" s="17"/>
      <c r="DP220" s="17"/>
      <c r="DQ220" s="17"/>
      <c r="DR220" s="17"/>
      <c r="DS220" s="17"/>
      <c r="DT220" s="17"/>
      <c r="DU220" s="17"/>
      <c r="DV220" s="17"/>
      <c r="DW220" s="17"/>
      <c r="DX220" s="17"/>
      <c r="DY220" s="17"/>
      <c r="DZ220" s="17"/>
      <c r="EA220" s="17"/>
      <c r="EB220" s="17"/>
      <c r="EC220" s="17"/>
      <c r="ED220" s="17"/>
      <c r="EE220" s="17"/>
      <c r="EF220" s="17"/>
      <c r="EG220" s="17"/>
      <c r="EH220" s="17"/>
      <c r="EI220" s="17"/>
      <c r="EJ220" s="17"/>
      <c r="EK220" s="17"/>
      <c r="EL220" s="17"/>
      <c r="EM220" s="17"/>
      <c r="EN220" s="17"/>
      <c r="EO220" s="17"/>
      <c r="EP220" s="17"/>
      <c r="EQ220" s="17"/>
      <c r="ER220" s="17"/>
      <c r="ES220" s="17"/>
      <c r="ET220" s="17"/>
      <c r="EU220" s="17"/>
      <c r="EV220" s="17"/>
      <c r="EW220" s="17"/>
      <c r="EX220" s="17"/>
      <c r="EY220" s="17"/>
      <c r="EZ220" s="17"/>
      <c r="FA220" s="17"/>
      <c r="FB220" s="17"/>
      <c r="FC220" s="17"/>
      <c r="FD220" s="17"/>
      <c r="FE220" s="17"/>
      <c r="FF220" s="17"/>
      <c r="FG220" s="17"/>
    </row>
    <row r="221" spans="31:163" ht="7.5" customHeight="1" x14ac:dyDescent="0.25">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c r="CO221" s="17"/>
      <c r="CP221" s="17"/>
      <c r="CQ221" s="17"/>
      <c r="CR221" s="17"/>
      <c r="CS221" s="17"/>
      <c r="CT221" s="17"/>
      <c r="CU221" s="17"/>
      <c r="CV221" s="17"/>
      <c r="CW221" s="17"/>
      <c r="CX221" s="17"/>
      <c r="CY221" s="17"/>
      <c r="CZ221" s="17"/>
      <c r="DA221" s="17"/>
      <c r="DB221" s="17"/>
      <c r="DC221" s="17"/>
      <c r="DD221" s="17"/>
      <c r="DE221" s="17"/>
      <c r="DF221" s="17"/>
      <c r="DG221" s="17"/>
      <c r="DH221" s="17"/>
      <c r="DI221" s="17"/>
      <c r="DJ221" s="17"/>
      <c r="DK221" s="17"/>
      <c r="DL221" s="17"/>
      <c r="DM221" s="17"/>
      <c r="DN221" s="17"/>
      <c r="DO221" s="17"/>
      <c r="DP221" s="17"/>
      <c r="DQ221" s="17"/>
      <c r="DR221" s="17"/>
      <c r="DS221" s="17"/>
      <c r="DT221" s="17"/>
      <c r="DU221" s="17"/>
      <c r="DV221" s="17"/>
      <c r="DW221" s="17"/>
      <c r="DX221" s="17"/>
      <c r="DY221" s="17"/>
      <c r="DZ221" s="17"/>
      <c r="EA221" s="17"/>
      <c r="EB221" s="17"/>
      <c r="EC221" s="17"/>
      <c r="ED221" s="17"/>
      <c r="EE221" s="17"/>
      <c r="EF221" s="17"/>
      <c r="EG221" s="17"/>
      <c r="EH221" s="17"/>
      <c r="EI221" s="17"/>
      <c r="EJ221" s="17"/>
      <c r="EK221" s="17"/>
      <c r="EL221" s="17"/>
      <c r="EM221" s="17"/>
      <c r="EN221" s="17"/>
      <c r="EO221" s="17"/>
      <c r="EP221" s="17"/>
      <c r="EQ221" s="17"/>
      <c r="ER221" s="17"/>
      <c r="ES221" s="17"/>
      <c r="ET221" s="17"/>
      <c r="EU221" s="17"/>
      <c r="EV221" s="17"/>
      <c r="EW221" s="17"/>
      <c r="EX221" s="17"/>
      <c r="EY221" s="17"/>
      <c r="EZ221" s="17"/>
      <c r="FA221" s="17"/>
      <c r="FB221" s="17"/>
      <c r="FC221" s="17"/>
      <c r="FD221" s="17"/>
      <c r="FE221" s="17"/>
      <c r="FF221" s="17"/>
      <c r="FG221" s="17"/>
    </row>
    <row r="222" spans="31:163" ht="7.5" customHeight="1" x14ac:dyDescent="0.25">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c r="CT222" s="17"/>
      <c r="CU222" s="17"/>
      <c r="CV222" s="17"/>
      <c r="CW222" s="17"/>
      <c r="CX222" s="17"/>
      <c r="CY222" s="17"/>
      <c r="CZ222" s="17"/>
      <c r="DA222" s="17"/>
      <c r="DB222" s="17"/>
      <c r="DC222" s="17"/>
      <c r="DD222" s="17"/>
      <c r="DE222" s="17"/>
      <c r="DF222" s="17"/>
      <c r="DG222" s="17"/>
      <c r="DH222" s="17"/>
      <c r="DI222" s="17"/>
      <c r="DJ222" s="17"/>
      <c r="DK222" s="17"/>
      <c r="DL222" s="17"/>
      <c r="DM222" s="17"/>
      <c r="DN222" s="17"/>
      <c r="DO222" s="17"/>
      <c r="DP222" s="17"/>
      <c r="DQ222" s="17"/>
      <c r="DR222" s="17"/>
      <c r="DS222" s="17"/>
      <c r="DT222" s="17"/>
      <c r="DU222" s="17"/>
      <c r="DV222" s="17"/>
      <c r="DW222" s="17"/>
      <c r="DX222" s="17"/>
      <c r="DY222" s="17"/>
      <c r="DZ222" s="17"/>
      <c r="EA222" s="17"/>
      <c r="EB222" s="17"/>
      <c r="EC222" s="17"/>
      <c r="ED222" s="17"/>
      <c r="EE222" s="17"/>
      <c r="EF222" s="17"/>
      <c r="EG222" s="17"/>
      <c r="EH222" s="17"/>
      <c r="EI222" s="17"/>
      <c r="EJ222" s="17"/>
      <c r="EK222" s="17"/>
      <c r="EL222" s="17"/>
      <c r="EM222" s="17"/>
      <c r="EN222" s="17"/>
      <c r="EO222" s="17"/>
      <c r="EP222" s="17"/>
      <c r="EQ222" s="17"/>
      <c r="ER222" s="17"/>
      <c r="ES222" s="17"/>
      <c r="ET222" s="17"/>
      <c r="EU222" s="17"/>
      <c r="EV222" s="17"/>
      <c r="EW222" s="17"/>
      <c r="EX222" s="17"/>
      <c r="EY222" s="17"/>
      <c r="EZ222" s="17"/>
      <c r="FA222" s="17"/>
      <c r="FB222" s="17"/>
      <c r="FC222" s="17"/>
      <c r="FD222" s="17"/>
      <c r="FE222" s="17"/>
      <c r="FF222" s="17"/>
      <c r="FG222" s="17"/>
    </row>
    <row r="223" spans="31:163" ht="7.5" customHeight="1" x14ac:dyDescent="0.25">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c r="CT223" s="17"/>
      <c r="CU223" s="17"/>
      <c r="CV223" s="17"/>
      <c r="CW223" s="17"/>
      <c r="CX223" s="17"/>
      <c r="CY223" s="17"/>
      <c r="CZ223" s="17"/>
      <c r="DA223" s="17"/>
      <c r="DB223" s="17"/>
      <c r="DC223" s="17"/>
      <c r="DD223" s="17"/>
      <c r="DE223" s="17"/>
      <c r="DF223" s="17"/>
      <c r="DG223" s="17"/>
      <c r="DH223" s="17"/>
      <c r="DI223" s="17"/>
      <c r="DJ223" s="17"/>
      <c r="DK223" s="17"/>
      <c r="DL223" s="17"/>
      <c r="DM223" s="17"/>
      <c r="DN223" s="17"/>
      <c r="DO223" s="17"/>
      <c r="DP223" s="17"/>
      <c r="DQ223" s="17"/>
      <c r="DR223" s="17"/>
      <c r="DS223" s="17"/>
      <c r="DT223" s="17"/>
      <c r="DU223" s="17"/>
      <c r="DV223" s="17"/>
      <c r="DW223" s="17"/>
      <c r="DX223" s="17"/>
      <c r="DY223" s="17"/>
      <c r="DZ223" s="17"/>
      <c r="EA223" s="17"/>
      <c r="EB223" s="17"/>
      <c r="EC223" s="17"/>
      <c r="ED223" s="17"/>
      <c r="EE223" s="17"/>
      <c r="EF223" s="17"/>
      <c r="EG223" s="17"/>
      <c r="EH223" s="17"/>
      <c r="EI223" s="17"/>
      <c r="EJ223" s="17"/>
      <c r="EK223" s="17"/>
      <c r="EL223" s="17"/>
      <c r="EM223" s="17"/>
      <c r="EN223" s="17"/>
      <c r="EO223" s="17"/>
      <c r="EP223" s="17"/>
      <c r="EQ223" s="17"/>
      <c r="ER223" s="17"/>
      <c r="ES223" s="17"/>
      <c r="ET223" s="17"/>
      <c r="EU223" s="17"/>
      <c r="EV223" s="17"/>
      <c r="EW223" s="17"/>
      <c r="EX223" s="17"/>
      <c r="EY223" s="17"/>
      <c r="EZ223" s="17"/>
      <c r="FA223" s="17"/>
      <c r="FB223" s="17"/>
      <c r="FC223" s="17"/>
      <c r="FD223" s="17"/>
      <c r="FE223" s="17"/>
      <c r="FF223" s="17"/>
      <c r="FG223" s="17"/>
    </row>
    <row r="224" spans="31:163" ht="7.5" customHeight="1" x14ac:dyDescent="0.25">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c r="CO224" s="17"/>
      <c r="CP224" s="17"/>
      <c r="CQ224" s="17"/>
      <c r="CR224" s="17"/>
      <c r="CS224" s="17"/>
      <c r="CT224" s="17"/>
      <c r="CU224" s="17"/>
      <c r="CV224" s="17"/>
      <c r="CW224" s="17"/>
      <c r="CX224" s="17"/>
      <c r="CY224" s="17"/>
      <c r="CZ224" s="17"/>
      <c r="DA224" s="17"/>
      <c r="DB224" s="17"/>
      <c r="DC224" s="17"/>
      <c r="DD224" s="17"/>
      <c r="DE224" s="17"/>
      <c r="DF224" s="17"/>
      <c r="DG224" s="17"/>
      <c r="DH224" s="17"/>
      <c r="DI224" s="17"/>
      <c r="DJ224" s="17"/>
      <c r="DK224" s="17"/>
      <c r="DL224" s="17"/>
      <c r="DM224" s="17"/>
      <c r="DN224" s="17"/>
      <c r="DO224" s="17"/>
      <c r="DP224" s="17"/>
      <c r="DQ224" s="17"/>
      <c r="DR224" s="17"/>
      <c r="DS224" s="17"/>
      <c r="DT224" s="17"/>
      <c r="DU224" s="17"/>
      <c r="DV224" s="17"/>
      <c r="DW224" s="17"/>
      <c r="DX224" s="17"/>
      <c r="DY224" s="17"/>
      <c r="DZ224" s="17"/>
      <c r="EA224" s="17"/>
      <c r="EB224" s="17"/>
      <c r="EC224" s="17"/>
      <c r="ED224" s="17"/>
      <c r="EE224" s="17"/>
      <c r="EF224" s="17"/>
      <c r="EG224" s="17"/>
      <c r="EH224" s="17"/>
      <c r="EI224" s="17"/>
      <c r="EJ224" s="17"/>
      <c r="EK224" s="17"/>
      <c r="EL224" s="17"/>
      <c r="EM224" s="17"/>
      <c r="EN224" s="17"/>
      <c r="EO224" s="17"/>
      <c r="EP224" s="17"/>
      <c r="EQ224" s="17"/>
      <c r="ER224" s="17"/>
      <c r="ES224" s="17"/>
      <c r="ET224" s="17"/>
      <c r="EU224" s="17"/>
      <c r="EV224" s="17"/>
      <c r="EW224" s="17"/>
      <c r="EX224" s="17"/>
      <c r="EY224" s="17"/>
      <c r="EZ224" s="17"/>
      <c r="FA224" s="17"/>
      <c r="FB224" s="17"/>
      <c r="FC224" s="17"/>
      <c r="FD224" s="17"/>
      <c r="FE224" s="17"/>
      <c r="FF224" s="17"/>
      <c r="FG224" s="17"/>
    </row>
    <row r="225" spans="31:163" ht="7.5" customHeight="1" x14ac:dyDescent="0.25">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c r="CO225" s="17"/>
      <c r="CP225" s="17"/>
      <c r="CQ225" s="17"/>
      <c r="CR225" s="17"/>
      <c r="CS225" s="17"/>
      <c r="CT225" s="17"/>
      <c r="CU225" s="17"/>
      <c r="CV225" s="17"/>
      <c r="CW225" s="17"/>
      <c r="CX225" s="17"/>
      <c r="CY225" s="17"/>
      <c r="CZ225" s="17"/>
      <c r="DA225" s="17"/>
      <c r="DB225" s="17"/>
      <c r="DC225" s="17"/>
      <c r="DD225" s="17"/>
      <c r="DE225" s="17"/>
      <c r="DF225" s="17"/>
      <c r="DG225" s="17"/>
      <c r="DH225" s="17"/>
      <c r="DI225" s="17"/>
      <c r="DJ225" s="17"/>
      <c r="DK225" s="17"/>
      <c r="DL225" s="17"/>
      <c r="DM225" s="17"/>
      <c r="DN225" s="17"/>
      <c r="DO225" s="17"/>
      <c r="DP225" s="17"/>
      <c r="DQ225" s="17"/>
      <c r="DR225" s="17"/>
      <c r="DS225" s="17"/>
      <c r="DT225" s="17"/>
      <c r="DU225" s="17"/>
      <c r="DV225" s="17"/>
      <c r="DW225" s="17"/>
      <c r="DX225" s="17"/>
      <c r="DY225" s="17"/>
      <c r="DZ225" s="17"/>
      <c r="EA225" s="17"/>
      <c r="EB225" s="17"/>
      <c r="EC225" s="17"/>
      <c r="ED225" s="17"/>
      <c r="EE225" s="17"/>
      <c r="EF225" s="17"/>
      <c r="EG225" s="17"/>
      <c r="EH225" s="17"/>
      <c r="EI225" s="17"/>
      <c r="EJ225" s="17"/>
      <c r="EK225" s="17"/>
      <c r="EL225" s="17"/>
      <c r="EM225" s="17"/>
      <c r="EN225" s="17"/>
      <c r="EO225" s="17"/>
      <c r="EP225" s="17"/>
      <c r="EQ225" s="17"/>
      <c r="ER225" s="17"/>
      <c r="ES225" s="17"/>
      <c r="ET225" s="17"/>
      <c r="EU225" s="17"/>
      <c r="EV225" s="17"/>
      <c r="EW225" s="17"/>
      <c r="EX225" s="17"/>
      <c r="EY225" s="17"/>
      <c r="EZ225" s="17"/>
      <c r="FA225" s="17"/>
      <c r="FB225" s="17"/>
      <c r="FC225" s="17"/>
      <c r="FD225" s="17"/>
      <c r="FE225" s="17"/>
      <c r="FF225" s="17"/>
      <c r="FG225" s="17"/>
    </row>
    <row r="226" spans="31:163" ht="7.5" customHeight="1" x14ac:dyDescent="0.25">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c r="CJ226" s="17"/>
      <c r="CK226" s="17"/>
      <c r="CL226" s="17"/>
      <c r="CM226" s="17"/>
      <c r="CN226" s="17"/>
      <c r="CO226" s="17"/>
      <c r="CP226" s="17"/>
      <c r="CQ226" s="17"/>
      <c r="CR226" s="17"/>
      <c r="CS226" s="17"/>
      <c r="CT226" s="17"/>
      <c r="CU226" s="17"/>
      <c r="CV226" s="17"/>
      <c r="CW226" s="17"/>
      <c r="CX226" s="17"/>
      <c r="CY226" s="17"/>
      <c r="CZ226" s="17"/>
      <c r="DA226" s="17"/>
      <c r="DB226" s="17"/>
      <c r="DC226" s="17"/>
      <c r="DD226" s="17"/>
      <c r="DE226" s="17"/>
      <c r="DF226" s="17"/>
      <c r="DG226" s="17"/>
      <c r="DH226" s="17"/>
      <c r="DI226" s="17"/>
      <c r="DJ226" s="17"/>
      <c r="DK226" s="17"/>
      <c r="DL226" s="17"/>
      <c r="DM226" s="17"/>
      <c r="DN226" s="17"/>
      <c r="DO226" s="17"/>
      <c r="DP226" s="17"/>
      <c r="DQ226" s="17"/>
      <c r="DR226" s="17"/>
      <c r="DS226" s="17"/>
      <c r="DT226" s="17"/>
      <c r="DU226" s="17"/>
      <c r="DV226" s="17"/>
      <c r="DW226" s="17"/>
      <c r="DX226" s="17"/>
      <c r="DY226" s="17"/>
      <c r="DZ226" s="17"/>
      <c r="EA226" s="17"/>
      <c r="EB226" s="17"/>
      <c r="EC226" s="17"/>
      <c r="ED226" s="17"/>
      <c r="EE226" s="17"/>
      <c r="EF226" s="17"/>
      <c r="EG226" s="17"/>
      <c r="EH226" s="17"/>
      <c r="EI226" s="17"/>
      <c r="EJ226" s="17"/>
      <c r="EK226" s="17"/>
      <c r="EL226" s="17"/>
      <c r="EM226" s="17"/>
      <c r="EN226" s="17"/>
      <c r="EO226" s="17"/>
      <c r="EP226" s="17"/>
      <c r="EQ226" s="17"/>
      <c r="ER226" s="17"/>
      <c r="ES226" s="17"/>
      <c r="ET226" s="17"/>
      <c r="EU226" s="17"/>
      <c r="EV226" s="17"/>
      <c r="EW226" s="17"/>
      <c r="EX226" s="17"/>
      <c r="EY226" s="17"/>
      <c r="EZ226" s="17"/>
      <c r="FA226" s="17"/>
      <c r="FB226" s="17"/>
      <c r="FC226" s="17"/>
      <c r="FD226" s="17"/>
      <c r="FE226" s="17"/>
      <c r="FF226" s="17"/>
      <c r="FG226" s="17"/>
    </row>
    <row r="227" spans="31:163" ht="7.5" customHeight="1" x14ac:dyDescent="0.25">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c r="CP227" s="17"/>
      <c r="CQ227" s="17"/>
      <c r="CR227" s="17"/>
      <c r="CS227" s="17"/>
      <c r="CT227" s="17"/>
      <c r="CU227" s="17"/>
      <c r="CV227" s="17"/>
      <c r="CW227" s="17"/>
      <c r="CX227" s="17"/>
      <c r="CY227" s="17"/>
      <c r="CZ227" s="17"/>
      <c r="DA227" s="17"/>
      <c r="DB227" s="17"/>
      <c r="DC227" s="17"/>
      <c r="DD227" s="17"/>
      <c r="DE227" s="17"/>
      <c r="DF227" s="17"/>
      <c r="DG227" s="17"/>
      <c r="DH227" s="17"/>
      <c r="DI227" s="17"/>
      <c r="DJ227" s="17"/>
      <c r="DK227" s="17"/>
      <c r="DL227" s="17"/>
      <c r="DM227" s="17"/>
      <c r="DN227" s="17"/>
      <c r="DO227" s="17"/>
      <c r="DP227" s="17"/>
      <c r="DQ227" s="17"/>
      <c r="DR227" s="17"/>
      <c r="DS227" s="17"/>
      <c r="DT227" s="17"/>
      <c r="DU227" s="17"/>
      <c r="DV227" s="17"/>
      <c r="DW227" s="17"/>
      <c r="DX227" s="17"/>
      <c r="DY227" s="17"/>
      <c r="DZ227" s="17"/>
      <c r="EA227" s="17"/>
      <c r="EB227" s="17"/>
      <c r="EC227" s="17"/>
      <c r="ED227" s="17"/>
      <c r="EE227" s="17"/>
      <c r="EF227" s="17"/>
      <c r="EG227" s="17"/>
      <c r="EH227" s="17"/>
      <c r="EI227" s="17"/>
      <c r="EJ227" s="17"/>
      <c r="EK227" s="17"/>
      <c r="EL227" s="17"/>
      <c r="EM227" s="17"/>
      <c r="EN227" s="17"/>
      <c r="EO227" s="17"/>
      <c r="EP227" s="17"/>
      <c r="EQ227" s="17"/>
      <c r="ER227" s="17"/>
      <c r="ES227" s="17"/>
      <c r="ET227" s="17"/>
      <c r="EU227" s="17"/>
      <c r="EV227" s="17"/>
      <c r="EW227" s="17"/>
      <c r="EX227" s="17"/>
      <c r="EY227" s="17"/>
      <c r="EZ227" s="17"/>
      <c r="FA227" s="17"/>
      <c r="FB227" s="17"/>
      <c r="FC227" s="17"/>
      <c r="FD227" s="17"/>
      <c r="FE227" s="17"/>
      <c r="FF227" s="17"/>
      <c r="FG227" s="17"/>
    </row>
    <row r="228" spans="31:163" ht="7.5" customHeight="1" x14ac:dyDescent="0.25">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c r="CO228" s="17"/>
      <c r="CP228" s="17"/>
      <c r="CQ228" s="17"/>
      <c r="CR228" s="17"/>
      <c r="CS228" s="17"/>
      <c r="CT228" s="17"/>
      <c r="CU228" s="17"/>
      <c r="CV228" s="17"/>
      <c r="CW228" s="17"/>
      <c r="CX228" s="17"/>
      <c r="CY228" s="17"/>
      <c r="CZ228" s="17"/>
      <c r="DA228" s="17"/>
      <c r="DB228" s="17"/>
      <c r="DC228" s="17"/>
      <c r="DD228" s="17"/>
      <c r="DE228" s="17"/>
      <c r="DF228" s="17"/>
      <c r="DG228" s="17"/>
      <c r="DH228" s="17"/>
      <c r="DI228" s="17"/>
      <c r="DJ228" s="17"/>
      <c r="DK228" s="17"/>
      <c r="DL228" s="17"/>
      <c r="DM228" s="17"/>
      <c r="DN228" s="17"/>
      <c r="DO228" s="17"/>
      <c r="DP228" s="17"/>
      <c r="DQ228" s="17"/>
      <c r="DR228" s="17"/>
      <c r="DS228" s="17"/>
      <c r="DT228" s="17"/>
      <c r="DU228" s="17"/>
      <c r="DV228" s="17"/>
      <c r="DW228" s="17"/>
      <c r="DX228" s="17"/>
      <c r="DY228" s="17"/>
      <c r="DZ228" s="17"/>
      <c r="EA228" s="17"/>
      <c r="EB228" s="17"/>
      <c r="EC228" s="17"/>
      <c r="ED228" s="17"/>
      <c r="EE228" s="17"/>
      <c r="EF228" s="17"/>
      <c r="EG228" s="17"/>
      <c r="EH228" s="17"/>
      <c r="EI228" s="17"/>
      <c r="EJ228" s="17"/>
      <c r="EK228" s="17"/>
      <c r="EL228" s="17"/>
      <c r="EM228" s="17"/>
      <c r="EN228" s="17"/>
      <c r="EO228" s="17"/>
      <c r="EP228" s="17"/>
      <c r="EQ228" s="17"/>
      <c r="ER228" s="17"/>
      <c r="ES228" s="17"/>
      <c r="ET228" s="17"/>
      <c r="EU228" s="17"/>
      <c r="EV228" s="17"/>
      <c r="EW228" s="17"/>
      <c r="EX228" s="17"/>
      <c r="EY228" s="17"/>
      <c r="EZ228" s="17"/>
      <c r="FA228" s="17"/>
      <c r="FB228" s="17"/>
      <c r="FC228" s="17"/>
      <c r="FD228" s="17"/>
      <c r="FE228" s="17"/>
      <c r="FF228" s="17"/>
      <c r="FG228" s="17"/>
    </row>
    <row r="229" spans="31:163" ht="7.5" customHeight="1" x14ac:dyDescent="0.25">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c r="CO229" s="17"/>
      <c r="CP229" s="17"/>
      <c r="CQ229" s="17"/>
      <c r="CR229" s="17"/>
      <c r="CS229" s="17"/>
      <c r="CT229" s="17"/>
      <c r="CU229" s="17"/>
      <c r="CV229" s="17"/>
      <c r="CW229" s="17"/>
      <c r="CX229" s="17"/>
      <c r="CY229" s="17"/>
      <c r="CZ229" s="17"/>
      <c r="DA229" s="17"/>
      <c r="DB229" s="17"/>
      <c r="DC229" s="17"/>
      <c r="DD229" s="17"/>
      <c r="DE229" s="17"/>
      <c r="DF229" s="17"/>
      <c r="DG229" s="17"/>
      <c r="DH229" s="17"/>
      <c r="DI229" s="17"/>
      <c r="DJ229" s="17"/>
      <c r="DK229" s="17"/>
      <c r="DL229" s="17"/>
      <c r="DM229" s="17"/>
      <c r="DN229" s="17"/>
      <c r="DO229" s="17"/>
      <c r="DP229" s="17"/>
      <c r="DQ229" s="17"/>
      <c r="DR229" s="17"/>
      <c r="DS229" s="17"/>
      <c r="DT229" s="17"/>
      <c r="DU229" s="17"/>
      <c r="DV229" s="17"/>
      <c r="DW229" s="17"/>
      <c r="DX229" s="17"/>
      <c r="DY229" s="17"/>
      <c r="DZ229" s="17"/>
      <c r="EA229" s="17"/>
      <c r="EB229" s="17"/>
      <c r="EC229" s="17"/>
      <c r="ED229" s="17"/>
      <c r="EE229" s="17"/>
      <c r="EF229" s="17"/>
      <c r="EG229" s="17"/>
      <c r="EH229" s="17"/>
      <c r="EI229" s="17"/>
      <c r="EJ229" s="17"/>
      <c r="EK229" s="17"/>
      <c r="EL229" s="17"/>
      <c r="EM229" s="17"/>
      <c r="EN229" s="17"/>
      <c r="EO229" s="17"/>
      <c r="EP229" s="17"/>
      <c r="EQ229" s="17"/>
      <c r="ER229" s="17"/>
      <c r="ES229" s="17"/>
      <c r="ET229" s="17"/>
      <c r="EU229" s="17"/>
      <c r="EV229" s="17"/>
      <c r="EW229" s="17"/>
      <c r="EX229" s="17"/>
      <c r="EY229" s="17"/>
      <c r="EZ229" s="17"/>
      <c r="FA229" s="17"/>
      <c r="FB229" s="17"/>
      <c r="FC229" s="17"/>
      <c r="FD229" s="17"/>
      <c r="FE229" s="17"/>
      <c r="FF229" s="17"/>
      <c r="FG229" s="17"/>
    </row>
    <row r="230" spans="31:163" ht="7.5" customHeight="1" x14ac:dyDescent="0.25">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c r="CT230" s="17"/>
      <c r="CU230" s="17"/>
      <c r="CV230" s="17"/>
      <c r="CW230" s="17"/>
      <c r="CX230" s="17"/>
      <c r="CY230" s="17"/>
      <c r="CZ230" s="17"/>
      <c r="DA230" s="17"/>
      <c r="DB230" s="17"/>
      <c r="DC230" s="17"/>
      <c r="DD230" s="17"/>
      <c r="DE230" s="17"/>
      <c r="DF230" s="17"/>
      <c r="DG230" s="17"/>
      <c r="DH230" s="17"/>
      <c r="DI230" s="17"/>
      <c r="DJ230" s="17"/>
      <c r="DK230" s="17"/>
      <c r="DL230" s="17"/>
      <c r="DM230" s="17"/>
      <c r="DN230" s="17"/>
      <c r="DO230" s="17"/>
      <c r="DP230" s="17"/>
      <c r="DQ230" s="17"/>
      <c r="DR230" s="17"/>
      <c r="DS230" s="17"/>
      <c r="DT230" s="17"/>
      <c r="DU230" s="17"/>
      <c r="DV230" s="17"/>
      <c r="DW230" s="17"/>
      <c r="DX230" s="17"/>
      <c r="DY230" s="17"/>
      <c r="DZ230" s="17"/>
      <c r="EA230" s="17"/>
      <c r="EB230" s="17"/>
      <c r="EC230" s="17"/>
      <c r="ED230" s="17"/>
      <c r="EE230" s="17"/>
      <c r="EF230" s="17"/>
      <c r="EG230" s="17"/>
      <c r="EH230" s="17"/>
      <c r="EI230" s="17"/>
      <c r="EJ230" s="17"/>
      <c r="EK230" s="17"/>
      <c r="EL230" s="17"/>
      <c r="EM230" s="17"/>
      <c r="EN230" s="17"/>
      <c r="EO230" s="17"/>
      <c r="EP230" s="17"/>
      <c r="EQ230" s="17"/>
      <c r="ER230" s="17"/>
      <c r="ES230" s="17"/>
      <c r="ET230" s="17"/>
      <c r="EU230" s="17"/>
      <c r="EV230" s="17"/>
      <c r="EW230" s="17"/>
      <c r="EX230" s="17"/>
      <c r="EY230" s="17"/>
      <c r="EZ230" s="17"/>
      <c r="FA230" s="17"/>
      <c r="FB230" s="17"/>
      <c r="FC230" s="17"/>
      <c r="FD230" s="17"/>
      <c r="FE230" s="17"/>
      <c r="FF230" s="17"/>
      <c r="FG230" s="17"/>
    </row>
    <row r="231" spans="31:163" ht="7.5" customHeight="1" x14ac:dyDescent="0.25">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17"/>
      <c r="CH231" s="17"/>
      <c r="CI231" s="17"/>
      <c r="CJ231" s="17"/>
      <c r="CK231" s="17"/>
      <c r="CL231" s="17"/>
      <c r="CM231" s="17"/>
      <c r="CN231" s="17"/>
      <c r="CO231" s="17"/>
      <c r="CP231" s="17"/>
      <c r="CQ231" s="17"/>
      <c r="CR231" s="17"/>
      <c r="CS231" s="17"/>
      <c r="CT231" s="17"/>
      <c r="CU231" s="17"/>
      <c r="CV231" s="17"/>
      <c r="CW231" s="17"/>
      <c r="CX231" s="17"/>
      <c r="CY231" s="17"/>
      <c r="CZ231" s="17"/>
      <c r="DA231" s="17"/>
      <c r="DB231" s="17"/>
      <c r="DC231" s="17"/>
      <c r="DD231" s="17"/>
      <c r="DE231" s="17"/>
      <c r="DF231" s="17"/>
      <c r="DG231" s="17"/>
      <c r="DH231" s="17"/>
      <c r="DI231" s="17"/>
      <c r="DJ231" s="17"/>
      <c r="DK231" s="17"/>
      <c r="DL231" s="17"/>
      <c r="DM231" s="17"/>
      <c r="DN231" s="17"/>
      <c r="DO231" s="17"/>
      <c r="DP231" s="17"/>
      <c r="DQ231" s="17"/>
      <c r="DR231" s="17"/>
      <c r="DS231" s="17"/>
      <c r="DT231" s="17"/>
      <c r="DU231" s="17"/>
      <c r="DV231" s="17"/>
      <c r="DW231" s="17"/>
      <c r="DX231" s="17"/>
      <c r="DY231" s="17"/>
      <c r="DZ231" s="17"/>
      <c r="EA231" s="17"/>
      <c r="EB231" s="17"/>
      <c r="EC231" s="17"/>
      <c r="ED231" s="17"/>
      <c r="EE231" s="17"/>
      <c r="EF231" s="17"/>
      <c r="EG231" s="17"/>
      <c r="EH231" s="17"/>
      <c r="EI231" s="17"/>
      <c r="EJ231" s="17"/>
      <c r="EK231" s="17"/>
      <c r="EL231" s="17"/>
      <c r="EM231" s="17"/>
      <c r="EN231" s="17"/>
      <c r="EO231" s="17"/>
      <c r="EP231" s="17"/>
      <c r="EQ231" s="17"/>
      <c r="ER231" s="17"/>
      <c r="ES231" s="17"/>
      <c r="ET231" s="17"/>
      <c r="EU231" s="17"/>
      <c r="EV231" s="17"/>
      <c r="EW231" s="17"/>
      <c r="EX231" s="17"/>
      <c r="EY231" s="17"/>
      <c r="EZ231" s="17"/>
      <c r="FA231" s="17"/>
      <c r="FB231" s="17"/>
      <c r="FC231" s="17"/>
      <c r="FD231" s="17"/>
      <c r="FE231" s="17"/>
      <c r="FF231" s="17"/>
      <c r="FG231" s="17"/>
    </row>
    <row r="232" spans="31:163" ht="7.5" customHeight="1" x14ac:dyDescent="0.25">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17"/>
      <c r="CH232" s="17"/>
      <c r="CI232" s="17"/>
      <c r="CJ232" s="17"/>
      <c r="CK232" s="17"/>
      <c r="CL232" s="17"/>
      <c r="CM232" s="17"/>
      <c r="CN232" s="17"/>
      <c r="CO232" s="17"/>
      <c r="CP232" s="17"/>
      <c r="CQ232" s="17"/>
      <c r="CR232" s="17"/>
      <c r="CS232" s="17"/>
      <c r="CT232" s="17"/>
      <c r="CU232" s="17"/>
      <c r="CV232" s="17"/>
      <c r="CW232" s="17"/>
      <c r="CX232" s="17"/>
      <c r="CY232" s="17"/>
      <c r="CZ232" s="17"/>
      <c r="DA232" s="17"/>
      <c r="DB232" s="17"/>
      <c r="DC232" s="17"/>
      <c r="DD232" s="17"/>
      <c r="DE232" s="17"/>
      <c r="DF232" s="17"/>
      <c r="DG232" s="17"/>
      <c r="DH232" s="17"/>
      <c r="DI232" s="17"/>
      <c r="DJ232" s="17"/>
      <c r="DK232" s="17"/>
      <c r="DL232" s="17"/>
      <c r="DM232" s="17"/>
      <c r="DN232" s="17"/>
      <c r="DO232" s="17"/>
      <c r="DP232" s="17"/>
      <c r="DQ232" s="17"/>
      <c r="DR232" s="17"/>
      <c r="DS232" s="17"/>
      <c r="DT232" s="17"/>
      <c r="DU232" s="17"/>
      <c r="DV232" s="17"/>
      <c r="DW232" s="17"/>
      <c r="DX232" s="17"/>
      <c r="DY232" s="17"/>
      <c r="DZ232" s="17"/>
      <c r="EA232" s="17"/>
      <c r="EB232" s="17"/>
      <c r="EC232" s="17"/>
      <c r="ED232" s="17"/>
      <c r="EE232" s="17"/>
      <c r="EF232" s="17"/>
      <c r="EG232" s="17"/>
      <c r="EH232" s="17"/>
      <c r="EI232" s="17"/>
      <c r="EJ232" s="17"/>
      <c r="EK232" s="17"/>
      <c r="EL232" s="17"/>
      <c r="EM232" s="17"/>
      <c r="EN232" s="17"/>
      <c r="EO232" s="17"/>
      <c r="EP232" s="17"/>
      <c r="EQ232" s="17"/>
      <c r="ER232" s="17"/>
      <c r="ES232" s="17"/>
      <c r="ET232" s="17"/>
      <c r="EU232" s="17"/>
      <c r="EV232" s="17"/>
      <c r="EW232" s="17"/>
      <c r="EX232" s="17"/>
      <c r="EY232" s="17"/>
      <c r="EZ232" s="17"/>
      <c r="FA232" s="17"/>
      <c r="FB232" s="17"/>
      <c r="FC232" s="17"/>
      <c r="FD232" s="17"/>
      <c r="FE232" s="17"/>
      <c r="FF232" s="17"/>
      <c r="FG232" s="17"/>
    </row>
    <row r="233" spans="31:163" ht="7.5" customHeight="1" x14ac:dyDescent="0.25">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7"/>
      <c r="CJ233" s="17"/>
      <c r="CK233" s="17"/>
      <c r="CL233" s="17"/>
      <c r="CM233" s="17"/>
      <c r="CN233" s="17"/>
      <c r="CO233" s="17"/>
      <c r="CP233" s="17"/>
      <c r="CQ233" s="17"/>
      <c r="CR233" s="17"/>
      <c r="CS233" s="17"/>
      <c r="CT233" s="17"/>
      <c r="CU233" s="17"/>
      <c r="CV233" s="17"/>
      <c r="CW233" s="17"/>
      <c r="CX233" s="17"/>
      <c r="CY233" s="17"/>
      <c r="CZ233" s="17"/>
      <c r="DA233" s="17"/>
      <c r="DB233" s="17"/>
      <c r="DC233" s="17"/>
      <c r="DD233" s="17"/>
      <c r="DE233" s="17"/>
      <c r="DF233" s="17"/>
      <c r="DG233" s="17"/>
      <c r="DH233" s="17"/>
      <c r="DI233" s="17"/>
      <c r="DJ233" s="17"/>
      <c r="DK233" s="17"/>
      <c r="DL233" s="17"/>
      <c r="DM233" s="17"/>
      <c r="DN233" s="17"/>
      <c r="DO233" s="17"/>
      <c r="DP233" s="17"/>
      <c r="DQ233" s="17"/>
      <c r="DR233" s="17"/>
      <c r="DS233" s="17"/>
      <c r="DT233" s="17"/>
      <c r="DU233" s="17"/>
      <c r="DV233" s="17"/>
      <c r="DW233" s="17"/>
      <c r="DX233" s="17"/>
      <c r="DY233" s="17"/>
      <c r="DZ233" s="17"/>
      <c r="EA233" s="17"/>
      <c r="EB233" s="17"/>
      <c r="EC233" s="17"/>
      <c r="ED233" s="17"/>
      <c r="EE233" s="17"/>
      <c r="EF233" s="17"/>
      <c r="EG233" s="17"/>
      <c r="EH233" s="17"/>
      <c r="EI233" s="17"/>
      <c r="EJ233" s="17"/>
      <c r="EK233" s="17"/>
      <c r="EL233" s="17"/>
      <c r="EM233" s="17"/>
      <c r="EN233" s="17"/>
      <c r="EO233" s="17"/>
      <c r="EP233" s="17"/>
      <c r="EQ233" s="17"/>
      <c r="ER233" s="17"/>
      <c r="ES233" s="17"/>
      <c r="ET233" s="17"/>
      <c r="EU233" s="17"/>
      <c r="EV233" s="17"/>
      <c r="EW233" s="17"/>
      <c r="EX233" s="17"/>
      <c r="EY233" s="17"/>
      <c r="EZ233" s="17"/>
      <c r="FA233" s="17"/>
      <c r="FB233" s="17"/>
      <c r="FC233" s="17"/>
      <c r="FD233" s="17"/>
      <c r="FE233" s="17"/>
      <c r="FF233" s="17"/>
      <c r="FG233" s="17"/>
    </row>
    <row r="234" spans="31:163" ht="7.5" customHeight="1" x14ac:dyDescent="0.25">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7"/>
      <c r="CJ234" s="17"/>
      <c r="CK234" s="17"/>
      <c r="CL234" s="17"/>
      <c r="CM234" s="17"/>
      <c r="CN234" s="17"/>
      <c r="CO234" s="17"/>
      <c r="CP234" s="17"/>
      <c r="CQ234" s="17"/>
      <c r="CR234" s="17"/>
      <c r="CS234" s="17"/>
      <c r="CT234" s="17"/>
      <c r="CU234" s="17"/>
      <c r="CV234" s="17"/>
      <c r="CW234" s="17"/>
      <c r="CX234" s="17"/>
      <c r="CY234" s="17"/>
      <c r="CZ234" s="17"/>
      <c r="DA234" s="17"/>
      <c r="DB234" s="17"/>
      <c r="DC234" s="17"/>
      <c r="DD234" s="17"/>
      <c r="DE234" s="17"/>
      <c r="DF234" s="17"/>
      <c r="DG234" s="17"/>
      <c r="DH234" s="17"/>
      <c r="DI234" s="17"/>
      <c r="DJ234" s="17"/>
      <c r="DK234" s="17"/>
      <c r="DL234" s="17"/>
      <c r="DM234" s="17"/>
      <c r="DN234" s="17"/>
      <c r="DO234" s="17"/>
      <c r="DP234" s="17"/>
      <c r="DQ234" s="17"/>
      <c r="DR234" s="17"/>
      <c r="DS234" s="17"/>
      <c r="DT234" s="17"/>
      <c r="DU234" s="17"/>
      <c r="DV234" s="17"/>
      <c r="DW234" s="17"/>
      <c r="DX234" s="17"/>
      <c r="DY234" s="17"/>
      <c r="DZ234" s="17"/>
      <c r="EA234" s="17"/>
      <c r="EB234" s="17"/>
      <c r="EC234" s="17"/>
      <c r="ED234" s="17"/>
      <c r="EE234" s="17"/>
      <c r="EF234" s="17"/>
      <c r="EG234" s="17"/>
      <c r="EH234" s="17"/>
      <c r="EI234" s="17"/>
      <c r="EJ234" s="17"/>
      <c r="EK234" s="17"/>
      <c r="EL234" s="17"/>
      <c r="EM234" s="17"/>
      <c r="EN234" s="17"/>
      <c r="EO234" s="17"/>
      <c r="EP234" s="17"/>
      <c r="EQ234" s="17"/>
      <c r="ER234" s="17"/>
      <c r="ES234" s="17"/>
      <c r="ET234" s="17"/>
      <c r="EU234" s="17"/>
      <c r="EV234" s="17"/>
      <c r="EW234" s="17"/>
      <c r="EX234" s="17"/>
      <c r="EY234" s="17"/>
      <c r="EZ234" s="17"/>
      <c r="FA234" s="17"/>
      <c r="FB234" s="17"/>
      <c r="FC234" s="17"/>
      <c r="FD234" s="17"/>
      <c r="FE234" s="17"/>
      <c r="FF234" s="17"/>
      <c r="FG234" s="17"/>
    </row>
    <row r="235" spans="31:163" ht="7.5" customHeight="1" x14ac:dyDescent="0.25">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c r="CO235" s="17"/>
      <c r="CP235" s="17"/>
      <c r="CQ235" s="17"/>
      <c r="CR235" s="17"/>
      <c r="CS235" s="17"/>
      <c r="CT235" s="17"/>
      <c r="CU235" s="17"/>
      <c r="CV235" s="17"/>
      <c r="CW235" s="17"/>
      <c r="CX235" s="17"/>
      <c r="CY235" s="17"/>
      <c r="CZ235" s="17"/>
      <c r="DA235" s="17"/>
      <c r="DB235" s="17"/>
      <c r="DC235" s="17"/>
      <c r="DD235" s="17"/>
      <c r="DE235" s="17"/>
      <c r="DF235" s="17"/>
      <c r="DG235" s="17"/>
      <c r="DH235" s="17"/>
      <c r="DI235" s="17"/>
      <c r="DJ235" s="17"/>
      <c r="DK235" s="17"/>
      <c r="DL235" s="17"/>
      <c r="DM235" s="17"/>
      <c r="DN235" s="17"/>
      <c r="DO235" s="17"/>
      <c r="DP235" s="17"/>
      <c r="DQ235" s="17"/>
      <c r="DR235" s="17"/>
      <c r="DS235" s="17"/>
      <c r="DT235" s="17"/>
      <c r="DU235" s="17"/>
      <c r="DV235" s="17"/>
      <c r="DW235" s="17"/>
      <c r="DX235" s="17"/>
      <c r="DY235" s="17"/>
      <c r="DZ235" s="17"/>
      <c r="EA235" s="17"/>
      <c r="EB235" s="17"/>
      <c r="EC235" s="17"/>
      <c r="ED235" s="17"/>
      <c r="EE235" s="17"/>
      <c r="EF235" s="17"/>
      <c r="EG235" s="17"/>
      <c r="EH235" s="17"/>
      <c r="EI235" s="17"/>
      <c r="EJ235" s="17"/>
      <c r="EK235" s="17"/>
      <c r="EL235" s="17"/>
      <c r="EM235" s="17"/>
      <c r="EN235" s="17"/>
      <c r="EO235" s="17"/>
      <c r="EP235" s="17"/>
      <c r="EQ235" s="17"/>
      <c r="ER235" s="17"/>
      <c r="ES235" s="17"/>
      <c r="ET235" s="17"/>
      <c r="EU235" s="17"/>
      <c r="EV235" s="17"/>
      <c r="EW235" s="17"/>
      <c r="EX235" s="17"/>
      <c r="EY235" s="17"/>
      <c r="EZ235" s="17"/>
      <c r="FA235" s="17"/>
      <c r="FB235" s="17"/>
      <c r="FC235" s="17"/>
      <c r="FD235" s="17"/>
      <c r="FE235" s="17"/>
      <c r="FF235" s="17"/>
      <c r="FG235" s="17"/>
    </row>
    <row r="236" spans="31:163" ht="7.5" customHeight="1" x14ac:dyDescent="0.25">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17"/>
      <c r="CH236" s="17"/>
      <c r="CI236" s="17"/>
      <c r="CJ236" s="17"/>
      <c r="CK236" s="17"/>
      <c r="CL236" s="17"/>
      <c r="CM236" s="17"/>
      <c r="CN236" s="17"/>
      <c r="CO236" s="17"/>
      <c r="CP236" s="17"/>
      <c r="CQ236" s="17"/>
      <c r="CR236" s="17"/>
      <c r="CS236" s="17"/>
      <c r="CT236" s="17"/>
      <c r="CU236" s="17"/>
      <c r="CV236" s="17"/>
      <c r="CW236" s="17"/>
      <c r="CX236" s="17"/>
      <c r="CY236" s="17"/>
      <c r="CZ236" s="17"/>
      <c r="DA236" s="17"/>
      <c r="DB236" s="17"/>
      <c r="DC236" s="17"/>
      <c r="DD236" s="17"/>
      <c r="DE236" s="17"/>
      <c r="DF236" s="17"/>
      <c r="DG236" s="17"/>
      <c r="DH236" s="17"/>
      <c r="DI236" s="17"/>
      <c r="DJ236" s="17"/>
      <c r="DK236" s="17"/>
      <c r="DL236" s="17"/>
      <c r="DM236" s="17"/>
      <c r="DN236" s="17"/>
      <c r="DO236" s="17"/>
      <c r="DP236" s="17"/>
      <c r="DQ236" s="17"/>
      <c r="DR236" s="17"/>
      <c r="DS236" s="17"/>
      <c r="DT236" s="17"/>
      <c r="DU236" s="17"/>
      <c r="DV236" s="17"/>
      <c r="DW236" s="17"/>
      <c r="DX236" s="17"/>
      <c r="DY236" s="17"/>
      <c r="DZ236" s="17"/>
      <c r="EA236" s="17"/>
      <c r="EB236" s="17"/>
      <c r="EC236" s="17"/>
      <c r="ED236" s="17"/>
      <c r="EE236" s="17"/>
      <c r="EF236" s="17"/>
      <c r="EG236" s="17"/>
      <c r="EH236" s="17"/>
      <c r="EI236" s="17"/>
      <c r="EJ236" s="17"/>
      <c r="EK236" s="17"/>
      <c r="EL236" s="17"/>
      <c r="EM236" s="17"/>
      <c r="EN236" s="17"/>
      <c r="EO236" s="17"/>
      <c r="EP236" s="17"/>
      <c r="EQ236" s="17"/>
      <c r="ER236" s="17"/>
      <c r="ES236" s="17"/>
      <c r="ET236" s="17"/>
      <c r="EU236" s="17"/>
      <c r="EV236" s="17"/>
      <c r="EW236" s="17"/>
      <c r="EX236" s="17"/>
      <c r="EY236" s="17"/>
      <c r="EZ236" s="17"/>
      <c r="FA236" s="17"/>
      <c r="FB236" s="17"/>
      <c r="FC236" s="17"/>
      <c r="FD236" s="17"/>
      <c r="FE236" s="17"/>
      <c r="FF236" s="17"/>
      <c r="FG236" s="17"/>
    </row>
    <row r="237" spans="31:163" ht="7.5" customHeight="1" x14ac:dyDescent="0.25">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7"/>
      <c r="CJ237" s="17"/>
      <c r="CK237" s="17"/>
      <c r="CL237" s="17"/>
      <c r="CM237" s="17"/>
      <c r="CN237" s="17"/>
      <c r="CO237" s="17"/>
      <c r="CP237" s="17"/>
      <c r="CQ237" s="17"/>
      <c r="CR237" s="17"/>
      <c r="CS237" s="17"/>
      <c r="CT237" s="17"/>
      <c r="CU237" s="17"/>
      <c r="CV237" s="17"/>
      <c r="CW237" s="17"/>
      <c r="CX237" s="17"/>
      <c r="CY237" s="17"/>
      <c r="CZ237" s="17"/>
      <c r="DA237" s="17"/>
      <c r="DB237" s="17"/>
      <c r="DC237" s="17"/>
      <c r="DD237" s="17"/>
      <c r="DE237" s="17"/>
      <c r="DF237" s="17"/>
      <c r="DG237" s="17"/>
      <c r="DH237" s="17"/>
      <c r="DI237" s="17"/>
      <c r="DJ237" s="17"/>
      <c r="DK237" s="17"/>
      <c r="DL237" s="17"/>
      <c r="DM237" s="17"/>
      <c r="DN237" s="17"/>
      <c r="DO237" s="17"/>
      <c r="DP237" s="17"/>
      <c r="DQ237" s="17"/>
      <c r="DR237" s="17"/>
      <c r="DS237" s="17"/>
      <c r="DT237" s="17"/>
      <c r="DU237" s="17"/>
      <c r="DV237" s="17"/>
      <c r="DW237" s="17"/>
      <c r="DX237" s="17"/>
      <c r="DY237" s="17"/>
      <c r="DZ237" s="17"/>
      <c r="EA237" s="17"/>
      <c r="EB237" s="17"/>
      <c r="EC237" s="17"/>
      <c r="ED237" s="17"/>
      <c r="EE237" s="17"/>
      <c r="EF237" s="17"/>
      <c r="EG237" s="17"/>
      <c r="EH237" s="17"/>
      <c r="EI237" s="17"/>
      <c r="EJ237" s="17"/>
      <c r="EK237" s="17"/>
      <c r="EL237" s="17"/>
      <c r="EM237" s="17"/>
      <c r="EN237" s="17"/>
      <c r="EO237" s="17"/>
      <c r="EP237" s="17"/>
      <c r="EQ237" s="17"/>
      <c r="ER237" s="17"/>
      <c r="ES237" s="17"/>
      <c r="ET237" s="17"/>
      <c r="EU237" s="17"/>
      <c r="EV237" s="17"/>
      <c r="EW237" s="17"/>
      <c r="EX237" s="17"/>
      <c r="EY237" s="17"/>
      <c r="EZ237" s="17"/>
      <c r="FA237" s="17"/>
      <c r="FB237" s="17"/>
      <c r="FC237" s="17"/>
      <c r="FD237" s="17"/>
      <c r="FE237" s="17"/>
      <c r="FF237" s="17"/>
      <c r="FG237" s="17"/>
    </row>
    <row r="238" spans="31:163" ht="7.5" customHeight="1" x14ac:dyDescent="0.25">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c r="CO238" s="17"/>
      <c r="CP238" s="17"/>
      <c r="CQ238" s="17"/>
      <c r="CR238" s="17"/>
      <c r="CS238" s="17"/>
      <c r="CT238" s="17"/>
      <c r="CU238" s="17"/>
      <c r="CV238" s="17"/>
      <c r="CW238" s="17"/>
      <c r="CX238" s="17"/>
      <c r="CY238" s="17"/>
      <c r="CZ238" s="17"/>
      <c r="DA238" s="17"/>
      <c r="DB238" s="17"/>
      <c r="DC238" s="17"/>
      <c r="DD238" s="17"/>
      <c r="DE238" s="17"/>
      <c r="DF238" s="17"/>
      <c r="DG238" s="17"/>
      <c r="DH238" s="17"/>
      <c r="DI238" s="17"/>
      <c r="DJ238" s="17"/>
      <c r="DK238" s="17"/>
      <c r="DL238" s="17"/>
      <c r="DM238" s="17"/>
      <c r="DN238" s="17"/>
      <c r="DO238" s="17"/>
      <c r="DP238" s="17"/>
      <c r="DQ238" s="17"/>
      <c r="DR238" s="17"/>
      <c r="DS238" s="17"/>
      <c r="DT238" s="17"/>
      <c r="DU238" s="17"/>
      <c r="DV238" s="17"/>
      <c r="DW238" s="17"/>
      <c r="DX238" s="17"/>
      <c r="DY238" s="17"/>
      <c r="DZ238" s="17"/>
      <c r="EA238" s="17"/>
      <c r="EB238" s="17"/>
      <c r="EC238" s="17"/>
      <c r="ED238" s="17"/>
      <c r="EE238" s="17"/>
      <c r="EF238" s="17"/>
      <c r="EG238" s="17"/>
      <c r="EH238" s="17"/>
      <c r="EI238" s="17"/>
      <c r="EJ238" s="17"/>
      <c r="EK238" s="17"/>
      <c r="EL238" s="17"/>
      <c r="EM238" s="17"/>
      <c r="EN238" s="17"/>
      <c r="EO238" s="17"/>
      <c r="EP238" s="17"/>
      <c r="EQ238" s="17"/>
      <c r="ER238" s="17"/>
      <c r="ES238" s="17"/>
      <c r="ET238" s="17"/>
      <c r="EU238" s="17"/>
      <c r="EV238" s="17"/>
      <c r="EW238" s="17"/>
      <c r="EX238" s="17"/>
      <c r="EY238" s="17"/>
      <c r="EZ238" s="17"/>
      <c r="FA238" s="17"/>
      <c r="FB238" s="17"/>
      <c r="FC238" s="17"/>
      <c r="FD238" s="17"/>
      <c r="FE238" s="17"/>
      <c r="FF238" s="17"/>
      <c r="FG238" s="17"/>
    </row>
    <row r="239" spans="31:163" ht="7.5" customHeight="1" x14ac:dyDescent="0.25">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7"/>
      <c r="CJ239" s="17"/>
      <c r="CK239" s="17"/>
      <c r="CL239" s="17"/>
      <c r="CM239" s="17"/>
      <c r="CN239" s="17"/>
      <c r="CO239" s="17"/>
      <c r="CP239" s="17"/>
      <c r="CQ239" s="17"/>
      <c r="CR239" s="17"/>
      <c r="CS239" s="17"/>
      <c r="CT239" s="17"/>
      <c r="CU239" s="17"/>
      <c r="CV239" s="17"/>
      <c r="CW239" s="17"/>
      <c r="CX239" s="17"/>
      <c r="CY239" s="17"/>
      <c r="CZ239" s="17"/>
      <c r="DA239" s="17"/>
      <c r="DB239" s="17"/>
      <c r="DC239" s="17"/>
      <c r="DD239" s="17"/>
      <c r="DE239" s="17"/>
      <c r="DF239" s="17"/>
      <c r="DG239" s="17"/>
      <c r="DH239" s="17"/>
      <c r="DI239" s="17"/>
      <c r="DJ239" s="17"/>
      <c r="DK239" s="17"/>
      <c r="DL239" s="17"/>
      <c r="DM239" s="17"/>
      <c r="DN239" s="17"/>
      <c r="DO239" s="17"/>
      <c r="DP239" s="17"/>
      <c r="DQ239" s="17"/>
      <c r="DR239" s="17"/>
      <c r="DS239" s="17"/>
      <c r="DT239" s="17"/>
      <c r="DU239" s="17"/>
      <c r="DV239" s="17"/>
      <c r="DW239" s="17"/>
      <c r="DX239" s="17"/>
      <c r="DY239" s="17"/>
      <c r="DZ239" s="17"/>
      <c r="EA239" s="17"/>
      <c r="EB239" s="17"/>
      <c r="EC239" s="17"/>
      <c r="ED239" s="17"/>
      <c r="EE239" s="17"/>
      <c r="EF239" s="17"/>
      <c r="EG239" s="17"/>
      <c r="EH239" s="17"/>
      <c r="EI239" s="17"/>
      <c r="EJ239" s="17"/>
      <c r="EK239" s="17"/>
      <c r="EL239" s="17"/>
      <c r="EM239" s="17"/>
      <c r="EN239" s="17"/>
      <c r="EO239" s="17"/>
      <c r="EP239" s="17"/>
      <c r="EQ239" s="17"/>
      <c r="ER239" s="17"/>
      <c r="ES239" s="17"/>
      <c r="ET239" s="17"/>
      <c r="EU239" s="17"/>
      <c r="EV239" s="17"/>
      <c r="EW239" s="17"/>
      <c r="EX239" s="17"/>
      <c r="EY239" s="17"/>
      <c r="EZ239" s="17"/>
      <c r="FA239" s="17"/>
      <c r="FB239" s="17"/>
      <c r="FC239" s="17"/>
      <c r="FD239" s="17"/>
      <c r="FE239" s="17"/>
      <c r="FF239" s="17"/>
      <c r="FG239" s="17"/>
    </row>
    <row r="240" spans="31:163" ht="7.5" customHeight="1" x14ac:dyDescent="0.25">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c r="CJ240" s="17"/>
      <c r="CK240" s="17"/>
      <c r="CL240" s="17"/>
      <c r="CM240" s="17"/>
      <c r="CN240" s="17"/>
      <c r="CO240" s="17"/>
      <c r="CP240" s="17"/>
      <c r="CQ240" s="17"/>
      <c r="CR240" s="17"/>
      <c r="CS240" s="17"/>
      <c r="CT240" s="17"/>
      <c r="CU240" s="17"/>
      <c r="CV240" s="17"/>
      <c r="CW240" s="17"/>
      <c r="CX240" s="17"/>
      <c r="CY240" s="17"/>
      <c r="CZ240" s="17"/>
      <c r="DA240" s="17"/>
      <c r="DB240" s="17"/>
      <c r="DC240" s="17"/>
      <c r="DD240" s="17"/>
      <c r="DE240" s="17"/>
      <c r="DF240" s="17"/>
      <c r="DG240" s="17"/>
      <c r="DH240" s="17"/>
      <c r="DI240" s="17"/>
      <c r="DJ240" s="17"/>
      <c r="DK240" s="17"/>
      <c r="DL240" s="17"/>
      <c r="DM240" s="17"/>
      <c r="DN240" s="17"/>
      <c r="DO240" s="17"/>
      <c r="DP240" s="17"/>
      <c r="DQ240" s="17"/>
      <c r="DR240" s="17"/>
      <c r="DS240" s="17"/>
      <c r="DT240" s="17"/>
      <c r="DU240" s="17"/>
      <c r="DV240" s="17"/>
      <c r="DW240" s="17"/>
      <c r="DX240" s="17"/>
      <c r="DY240" s="17"/>
      <c r="DZ240" s="17"/>
      <c r="EA240" s="17"/>
      <c r="EB240" s="17"/>
      <c r="EC240" s="17"/>
      <c r="ED240" s="17"/>
      <c r="EE240" s="17"/>
      <c r="EF240" s="17"/>
      <c r="EG240" s="17"/>
      <c r="EH240" s="17"/>
      <c r="EI240" s="17"/>
      <c r="EJ240" s="17"/>
      <c r="EK240" s="17"/>
      <c r="EL240" s="17"/>
      <c r="EM240" s="17"/>
      <c r="EN240" s="17"/>
      <c r="EO240" s="17"/>
      <c r="EP240" s="17"/>
      <c r="EQ240" s="17"/>
      <c r="ER240" s="17"/>
      <c r="ES240" s="17"/>
      <c r="ET240" s="17"/>
      <c r="EU240" s="17"/>
      <c r="EV240" s="17"/>
      <c r="EW240" s="17"/>
      <c r="EX240" s="17"/>
      <c r="EY240" s="17"/>
      <c r="EZ240" s="17"/>
      <c r="FA240" s="17"/>
      <c r="FB240" s="17"/>
      <c r="FC240" s="17"/>
      <c r="FD240" s="17"/>
      <c r="FE240" s="17"/>
      <c r="FF240" s="17"/>
      <c r="FG240" s="17"/>
    </row>
    <row r="241" spans="34:163" ht="7.5" customHeight="1" x14ac:dyDescent="0.25">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c r="CF241" s="17"/>
      <c r="CG241" s="17"/>
      <c r="CH241" s="17"/>
      <c r="CI241" s="17"/>
      <c r="CJ241" s="17"/>
      <c r="CK241" s="17"/>
      <c r="CL241" s="17"/>
      <c r="CM241" s="17"/>
      <c r="CN241" s="17"/>
      <c r="CO241" s="17"/>
      <c r="CP241" s="17"/>
      <c r="CQ241" s="17"/>
      <c r="CR241" s="17"/>
      <c r="CS241" s="17"/>
      <c r="CT241" s="17"/>
      <c r="CU241" s="17"/>
      <c r="CV241" s="17"/>
      <c r="CW241" s="17"/>
      <c r="CX241" s="17"/>
      <c r="CY241" s="17"/>
      <c r="CZ241" s="17"/>
      <c r="DA241" s="17"/>
      <c r="DB241" s="17"/>
      <c r="DC241" s="17"/>
      <c r="DD241" s="17"/>
      <c r="DE241" s="17"/>
      <c r="DF241" s="17"/>
      <c r="DG241" s="17"/>
      <c r="DH241" s="17"/>
      <c r="DI241" s="17"/>
      <c r="DJ241" s="17"/>
      <c r="DK241" s="17"/>
      <c r="DL241" s="17"/>
      <c r="DM241" s="17"/>
      <c r="DN241" s="17"/>
      <c r="DO241" s="17"/>
      <c r="DP241" s="17"/>
      <c r="DQ241" s="17"/>
      <c r="DR241" s="17"/>
      <c r="DS241" s="17"/>
      <c r="DT241" s="17"/>
      <c r="DU241" s="17"/>
      <c r="DV241" s="17"/>
      <c r="DW241" s="17"/>
      <c r="DX241" s="17"/>
      <c r="DY241" s="17"/>
      <c r="DZ241" s="17"/>
      <c r="EA241" s="17"/>
      <c r="EB241" s="17"/>
      <c r="EC241" s="17"/>
      <c r="ED241" s="17"/>
      <c r="EE241" s="17"/>
      <c r="EF241" s="17"/>
      <c r="EG241" s="17"/>
      <c r="EH241" s="17"/>
      <c r="EI241" s="17"/>
      <c r="EJ241" s="17"/>
      <c r="EK241" s="17"/>
      <c r="EL241" s="17"/>
      <c r="EM241" s="17"/>
      <c r="EN241" s="17"/>
      <c r="EO241" s="17"/>
      <c r="EP241" s="17"/>
      <c r="EQ241" s="17"/>
      <c r="ER241" s="17"/>
      <c r="ES241" s="17"/>
      <c r="ET241" s="17"/>
      <c r="EU241" s="17"/>
      <c r="EV241" s="17"/>
      <c r="EW241" s="17"/>
      <c r="EX241" s="17"/>
      <c r="EY241" s="17"/>
      <c r="EZ241" s="17"/>
      <c r="FA241" s="17"/>
      <c r="FB241" s="17"/>
      <c r="FC241" s="17"/>
      <c r="FD241" s="17"/>
      <c r="FE241" s="17"/>
      <c r="FF241" s="17"/>
      <c r="FG241" s="17"/>
    </row>
    <row r="242" spans="34:163" ht="7.5" customHeight="1" x14ac:dyDescent="0.25">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c r="CO242" s="17"/>
      <c r="CP242" s="17"/>
      <c r="CQ242" s="17"/>
      <c r="CR242" s="17"/>
      <c r="CS242" s="17"/>
      <c r="CT242" s="17"/>
      <c r="CU242" s="17"/>
      <c r="CV242" s="17"/>
      <c r="CW242" s="17"/>
      <c r="CX242" s="17"/>
      <c r="CY242" s="17"/>
      <c r="CZ242" s="17"/>
      <c r="DA242" s="17"/>
      <c r="DB242" s="17"/>
      <c r="DC242" s="17"/>
      <c r="DD242" s="17"/>
      <c r="DE242" s="17"/>
      <c r="DF242" s="17"/>
      <c r="DG242" s="17"/>
      <c r="DH242" s="17"/>
      <c r="DI242" s="17"/>
      <c r="DJ242" s="17"/>
      <c r="DK242" s="17"/>
      <c r="DL242" s="17"/>
      <c r="DM242" s="17"/>
      <c r="DN242" s="17"/>
      <c r="DO242" s="17"/>
      <c r="DP242" s="17"/>
      <c r="DQ242" s="17"/>
      <c r="DR242" s="17"/>
      <c r="DS242" s="17"/>
      <c r="DT242" s="17"/>
      <c r="DU242" s="17"/>
      <c r="DV242" s="17"/>
      <c r="DW242" s="17"/>
      <c r="DX242" s="17"/>
      <c r="DY242" s="17"/>
      <c r="DZ242" s="17"/>
      <c r="EA242" s="17"/>
      <c r="EB242" s="17"/>
      <c r="EC242" s="17"/>
      <c r="ED242" s="17"/>
      <c r="EE242" s="17"/>
      <c r="EF242" s="17"/>
      <c r="EG242" s="17"/>
      <c r="EH242" s="17"/>
      <c r="EI242" s="17"/>
      <c r="EJ242" s="17"/>
      <c r="EK242" s="17"/>
      <c r="EL242" s="17"/>
      <c r="EM242" s="17"/>
      <c r="EN242" s="17"/>
      <c r="EO242" s="17"/>
      <c r="EP242" s="17"/>
      <c r="EQ242" s="17"/>
      <c r="ER242" s="17"/>
      <c r="ES242" s="17"/>
      <c r="ET242" s="17"/>
      <c r="EU242" s="17"/>
      <c r="EV242" s="17"/>
      <c r="EW242" s="17"/>
      <c r="EX242" s="17"/>
      <c r="EY242" s="17"/>
      <c r="EZ242" s="17"/>
      <c r="FA242" s="17"/>
      <c r="FB242" s="17"/>
      <c r="FC242" s="17"/>
      <c r="FD242" s="17"/>
      <c r="FE242" s="17"/>
      <c r="FF242" s="17"/>
      <c r="FG242" s="17"/>
    </row>
    <row r="243" spans="34:163" ht="7.5" customHeight="1" x14ac:dyDescent="0.25">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c r="CJ243" s="17"/>
      <c r="CK243" s="17"/>
      <c r="CL243" s="17"/>
      <c r="CM243" s="17"/>
      <c r="CN243" s="17"/>
      <c r="CO243" s="17"/>
      <c r="CP243" s="17"/>
      <c r="CQ243" s="17"/>
      <c r="CR243" s="17"/>
      <c r="CS243" s="17"/>
      <c r="CT243" s="17"/>
      <c r="CU243" s="17"/>
      <c r="CV243" s="17"/>
      <c r="CW243" s="17"/>
      <c r="CX243" s="17"/>
      <c r="CY243" s="17"/>
      <c r="CZ243" s="17"/>
      <c r="DA243" s="17"/>
      <c r="DB243" s="17"/>
      <c r="DC243" s="17"/>
      <c r="DD243" s="17"/>
      <c r="DE243" s="17"/>
      <c r="DF243" s="17"/>
      <c r="DG243" s="17"/>
      <c r="DH243" s="17"/>
      <c r="DI243" s="17"/>
      <c r="DJ243" s="17"/>
      <c r="DK243" s="17"/>
      <c r="DL243" s="17"/>
      <c r="DM243" s="17"/>
      <c r="DN243" s="17"/>
      <c r="DO243" s="17"/>
      <c r="DP243" s="17"/>
      <c r="DQ243" s="17"/>
      <c r="DR243" s="17"/>
      <c r="DS243" s="17"/>
      <c r="DT243" s="17"/>
      <c r="DU243" s="17"/>
      <c r="DV243" s="17"/>
      <c r="DW243" s="17"/>
      <c r="DX243" s="17"/>
      <c r="DY243" s="17"/>
      <c r="DZ243" s="17"/>
      <c r="EA243" s="17"/>
      <c r="EB243" s="17"/>
      <c r="EC243" s="17"/>
      <c r="ED243" s="17"/>
      <c r="EE243" s="17"/>
      <c r="EF243" s="17"/>
      <c r="EG243" s="17"/>
      <c r="EH243" s="17"/>
      <c r="EI243" s="17"/>
      <c r="EJ243" s="17"/>
      <c r="EK243" s="17"/>
      <c r="EL243" s="17"/>
      <c r="EM243" s="17"/>
      <c r="EN243" s="17"/>
      <c r="EO243" s="17"/>
      <c r="EP243" s="17"/>
      <c r="EQ243" s="17"/>
      <c r="ER243" s="17"/>
      <c r="ES243" s="17"/>
      <c r="ET243" s="17"/>
      <c r="EU243" s="17"/>
      <c r="EV243" s="17"/>
      <c r="EW243" s="17"/>
      <c r="EX243" s="17"/>
      <c r="EY243" s="17"/>
      <c r="EZ243" s="17"/>
      <c r="FA243" s="17"/>
      <c r="FB243" s="17"/>
      <c r="FC243" s="17"/>
      <c r="FD243" s="17"/>
      <c r="FE243" s="17"/>
      <c r="FF243" s="17"/>
      <c r="FG243" s="17"/>
    </row>
    <row r="244" spans="34:163" ht="7.5" customHeight="1" x14ac:dyDescent="0.25">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17"/>
      <c r="CH244" s="17"/>
      <c r="CI244" s="17"/>
      <c r="CJ244" s="17"/>
      <c r="CK244" s="17"/>
      <c r="CL244" s="17"/>
      <c r="CM244" s="17"/>
      <c r="CN244" s="17"/>
      <c r="CO244" s="17"/>
      <c r="CP244" s="17"/>
      <c r="CQ244" s="17"/>
      <c r="CR244" s="17"/>
      <c r="CS244" s="17"/>
      <c r="CT244" s="17"/>
      <c r="CU244" s="17"/>
      <c r="CV244" s="17"/>
      <c r="CW244" s="17"/>
      <c r="CX244" s="17"/>
      <c r="CY244" s="17"/>
      <c r="CZ244" s="17"/>
      <c r="DA244" s="17"/>
      <c r="DB244" s="17"/>
      <c r="DC244" s="17"/>
      <c r="DD244" s="17"/>
      <c r="DE244" s="17"/>
      <c r="DF244" s="17"/>
      <c r="DG244" s="17"/>
      <c r="DH244" s="17"/>
      <c r="DI244" s="17"/>
      <c r="DJ244" s="17"/>
      <c r="DK244" s="17"/>
      <c r="DL244" s="17"/>
      <c r="DM244" s="17"/>
      <c r="DN244" s="17"/>
      <c r="DO244" s="17"/>
      <c r="DP244" s="17"/>
      <c r="DQ244" s="17"/>
      <c r="DR244" s="17"/>
      <c r="DS244" s="17"/>
      <c r="DT244" s="17"/>
      <c r="DU244" s="17"/>
      <c r="DV244" s="17"/>
      <c r="DW244" s="17"/>
      <c r="DX244" s="17"/>
      <c r="DY244" s="17"/>
      <c r="DZ244" s="17"/>
      <c r="EA244" s="17"/>
      <c r="EB244" s="17"/>
      <c r="EC244" s="17"/>
      <c r="ED244" s="17"/>
      <c r="EE244" s="17"/>
      <c r="EF244" s="17"/>
      <c r="EG244" s="17"/>
      <c r="EH244" s="17"/>
      <c r="EI244" s="17"/>
      <c r="EJ244" s="17"/>
      <c r="EK244" s="17"/>
      <c r="EL244" s="17"/>
      <c r="EM244" s="17"/>
      <c r="EN244" s="17"/>
      <c r="EO244" s="17"/>
      <c r="EP244" s="17"/>
      <c r="EQ244" s="17"/>
      <c r="ER244" s="17"/>
      <c r="ES244" s="17"/>
      <c r="ET244" s="17"/>
      <c r="EU244" s="17"/>
      <c r="EV244" s="17"/>
      <c r="EW244" s="17"/>
      <c r="EX244" s="17"/>
      <c r="EY244" s="17"/>
      <c r="EZ244" s="17"/>
      <c r="FA244" s="17"/>
      <c r="FB244" s="17"/>
      <c r="FC244" s="17"/>
      <c r="FD244" s="17"/>
      <c r="FE244" s="17"/>
      <c r="FF244" s="17"/>
      <c r="FG244" s="17"/>
    </row>
    <row r="245" spans="34:163" ht="7.5" customHeight="1" x14ac:dyDescent="0.25">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c r="CJ245" s="17"/>
      <c r="CK245" s="17"/>
      <c r="CL245" s="17"/>
      <c r="CM245" s="17"/>
      <c r="CN245" s="17"/>
      <c r="CO245" s="17"/>
      <c r="CP245" s="17"/>
      <c r="CQ245" s="17"/>
      <c r="CR245" s="17"/>
      <c r="CS245" s="17"/>
      <c r="CT245" s="17"/>
      <c r="CU245" s="17"/>
      <c r="CV245" s="17"/>
      <c r="CW245" s="17"/>
      <c r="CX245" s="17"/>
      <c r="CY245" s="17"/>
      <c r="CZ245" s="17"/>
      <c r="DA245" s="17"/>
      <c r="DB245" s="17"/>
      <c r="DC245" s="17"/>
      <c r="DD245" s="17"/>
      <c r="DE245" s="17"/>
      <c r="DF245" s="17"/>
      <c r="DG245" s="17"/>
      <c r="DH245" s="17"/>
      <c r="DI245" s="17"/>
      <c r="DJ245" s="17"/>
      <c r="DK245" s="17"/>
      <c r="DL245" s="17"/>
      <c r="DM245" s="17"/>
      <c r="DN245" s="17"/>
      <c r="DO245" s="17"/>
      <c r="DP245" s="17"/>
      <c r="DQ245" s="17"/>
      <c r="DR245" s="17"/>
      <c r="DS245" s="17"/>
      <c r="DT245" s="17"/>
      <c r="DU245" s="17"/>
      <c r="DV245" s="17"/>
      <c r="DW245" s="17"/>
      <c r="DX245" s="17"/>
      <c r="DY245" s="17"/>
      <c r="DZ245" s="17"/>
      <c r="EA245" s="17"/>
      <c r="EB245" s="17"/>
      <c r="EC245" s="17"/>
      <c r="ED245" s="17"/>
      <c r="EE245" s="17"/>
      <c r="EF245" s="17"/>
      <c r="EG245" s="17"/>
      <c r="EH245" s="17"/>
      <c r="EI245" s="17"/>
      <c r="EJ245" s="17"/>
      <c r="EK245" s="17"/>
      <c r="EL245" s="17"/>
      <c r="EM245" s="17"/>
      <c r="EN245" s="17"/>
      <c r="EO245" s="17"/>
      <c r="EP245" s="17"/>
      <c r="EQ245" s="17"/>
      <c r="ER245" s="17"/>
      <c r="ES245" s="17"/>
      <c r="ET245" s="17"/>
      <c r="EU245" s="17"/>
      <c r="EV245" s="17"/>
      <c r="EW245" s="17"/>
      <c r="EX245" s="17"/>
      <c r="EY245" s="17"/>
      <c r="EZ245" s="17"/>
      <c r="FA245" s="17"/>
      <c r="FB245" s="17"/>
      <c r="FC245" s="17"/>
      <c r="FD245" s="17"/>
      <c r="FE245" s="17"/>
      <c r="FF245" s="17"/>
      <c r="FG245" s="17"/>
    </row>
    <row r="246" spans="34:163" ht="7.5" customHeight="1" x14ac:dyDescent="0.25">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17"/>
      <c r="CH246" s="17"/>
      <c r="CI246" s="17"/>
      <c r="CJ246" s="17"/>
      <c r="CK246" s="17"/>
      <c r="CL246" s="17"/>
      <c r="CM246" s="17"/>
      <c r="CN246" s="17"/>
      <c r="CO246" s="17"/>
      <c r="CP246" s="17"/>
      <c r="CQ246" s="17"/>
      <c r="CR246" s="17"/>
      <c r="CS246" s="17"/>
      <c r="CT246" s="17"/>
      <c r="CU246" s="17"/>
      <c r="CV246" s="17"/>
      <c r="CW246" s="17"/>
      <c r="CX246" s="17"/>
      <c r="CY246" s="17"/>
      <c r="CZ246" s="17"/>
      <c r="DA246" s="17"/>
      <c r="DB246" s="17"/>
      <c r="DC246" s="17"/>
      <c r="DD246" s="17"/>
      <c r="DE246" s="17"/>
      <c r="DF246" s="17"/>
      <c r="DG246" s="17"/>
      <c r="DH246" s="17"/>
      <c r="DI246" s="17"/>
      <c r="DJ246" s="17"/>
      <c r="DK246" s="17"/>
      <c r="DL246" s="17"/>
      <c r="DM246" s="17"/>
      <c r="DN246" s="17"/>
      <c r="DO246" s="17"/>
      <c r="DP246" s="17"/>
      <c r="DQ246" s="17"/>
      <c r="DR246" s="17"/>
      <c r="DS246" s="17"/>
      <c r="DT246" s="17"/>
      <c r="DU246" s="17"/>
      <c r="DV246" s="17"/>
      <c r="DW246" s="17"/>
      <c r="DX246" s="17"/>
      <c r="DY246" s="17"/>
      <c r="DZ246" s="17"/>
      <c r="EA246" s="17"/>
      <c r="EB246" s="17"/>
      <c r="EC246" s="17"/>
      <c r="ED246" s="17"/>
      <c r="EE246" s="17"/>
      <c r="EF246" s="17"/>
      <c r="EG246" s="17"/>
      <c r="EH246" s="17"/>
      <c r="EI246" s="17"/>
      <c r="EJ246" s="17"/>
      <c r="EK246" s="17"/>
      <c r="EL246" s="17"/>
      <c r="EM246" s="17"/>
      <c r="EN246" s="17"/>
      <c r="EO246" s="17"/>
      <c r="EP246" s="17"/>
      <c r="EQ246" s="17"/>
      <c r="ER246" s="17"/>
      <c r="ES246" s="17"/>
      <c r="ET246" s="17"/>
      <c r="EU246" s="17"/>
      <c r="EV246" s="17"/>
      <c r="EW246" s="17"/>
      <c r="EX246" s="17"/>
      <c r="EY246" s="17"/>
      <c r="EZ246" s="17"/>
      <c r="FA246" s="17"/>
      <c r="FB246" s="17"/>
      <c r="FC246" s="17"/>
      <c r="FD246" s="17"/>
      <c r="FE246" s="17"/>
      <c r="FF246" s="17"/>
      <c r="FG246" s="17"/>
    </row>
    <row r="247" spans="34:163" ht="7.5" customHeight="1" x14ac:dyDescent="0.25">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c r="CF247" s="17"/>
      <c r="CG247" s="17"/>
      <c r="CH247" s="17"/>
      <c r="CI247" s="17"/>
      <c r="CJ247" s="17"/>
      <c r="CK247" s="17"/>
      <c r="CL247" s="17"/>
      <c r="CM247" s="17"/>
      <c r="CN247" s="17"/>
      <c r="CO247" s="17"/>
      <c r="CP247" s="17"/>
      <c r="CQ247" s="17"/>
      <c r="CR247" s="17"/>
      <c r="CS247" s="17"/>
      <c r="CT247" s="17"/>
      <c r="CU247" s="17"/>
      <c r="CV247" s="17"/>
      <c r="CW247" s="17"/>
      <c r="CX247" s="17"/>
      <c r="CY247" s="17"/>
      <c r="CZ247" s="17"/>
      <c r="DA247" s="17"/>
      <c r="DB247" s="17"/>
      <c r="DC247" s="17"/>
      <c r="DD247" s="17"/>
      <c r="DE247" s="17"/>
      <c r="DF247" s="17"/>
      <c r="DG247" s="17"/>
      <c r="DH247" s="17"/>
      <c r="DI247" s="17"/>
      <c r="DJ247" s="17"/>
      <c r="DK247" s="17"/>
      <c r="DL247" s="17"/>
      <c r="DM247" s="17"/>
      <c r="DN247" s="17"/>
      <c r="DO247" s="17"/>
      <c r="DP247" s="17"/>
      <c r="DQ247" s="17"/>
      <c r="DR247" s="17"/>
      <c r="DS247" s="17"/>
      <c r="DT247" s="17"/>
      <c r="DU247" s="17"/>
      <c r="DV247" s="17"/>
      <c r="DW247" s="17"/>
      <c r="DX247" s="17"/>
      <c r="DY247" s="17"/>
      <c r="DZ247" s="17"/>
      <c r="EA247" s="17"/>
      <c r="EB247" s="17"/>
      <c r="EC247" s="17"/>
      <c r="ED247" s="17"/>
      <c r="EE247" s="17"/>
      <c r="EF247" s="17"/>
      <c r="EG247" s="17"/>
      <c r="EH247" s="17"/>
      <c r="EI247" s="17"/>
      <c r="EJ247" s="17"/>
      <c r="EK247" s="17"/>
      <c r="EL247" s="17"/>
      <c r="EM247" s="17"/>
      <c r="EN247" s="17"/>
      <c r="EO247" s="17"/>
      <c r="EP247" s="17"/>
      <c r="EQ247" s="17"/>
      <c r="ER247" s="17"/>
      <c r="ES247" s="17"/>
      <c r="ET247" s="17"/>
      <c r="EU247" s="17"/>
      <c r="EV247" s="17"/>
      <c r="EW247" s="17"/>
      <c r="EX247" s="17"/>
      <c r="EY247" s="17"/>
      <c r="EZ247" s="17"/>
      <c r="FA247" s="17"/>
      <c r="FB247" s="17"/>
      <c r="FC247" s="17"/>
      <c r="FD247" s="17"/>
      <c r="FE247" s="17"/>
      <c r="FF247" s="17"/>
      <c r="FG247" s="17"/>
    </row>
    <row r="248" spans="34:163" ht="7.5" customHeight="1" x14ac:dyDescent="0.25">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17"/>
      <c r="CH248" s="17"/>
      <c r="CI248" s="17"/>
      <c r="CJ248" s="17"/>
      <c r="CK248" s="17"/>
      <c r="CL248" s="17"/>
      <c r="CM248" s="17"/>
      <c r="CN248" s="17"/>
      <c r="CO248" s="17"/>
      <c r="CP248" s="17"/>
      <c r="CQ248" s="17"/>
      <c r="CR248" s="17"/>
      <c r="CS248" s="17"/>
      <c r="CT248" s="17"/>
      <c r="CU248" s="17"/>
      <c r="CV248" s="17"/>
      <c r="CW248" s="17"/>
      <c r="CX248" s="17"/>
      <c r="CY248" s="17"/>
      <c r="CZ248" s="17"/>
      <c r="DA248" s="17"/>
      <c r="DB248" s="17"/>
      <c r="DC248" s="17"/>
      <c r="DD248" s="17"/>
      <c r="DE248" s="17"/>
      <c r="DF248" s="17"/>
      <c r="DG248" s="17"/>
      <c r="DH248" s="17"/>
      <c r="DI248" s="17"/>
      <c r="DJ248" s="17"/>
      <c r="DK248" s="17"/>
      <c r="DL248" s="17"/>
      <c r="DM248" s="17"/>
      <c r="DN248" s="17"/>
      <c r="DO248" s="17"/>
      <c r="DP248" s="17"/>
      <c r="DQ248" s="17"/>
      <c r="DR248" s="17"/>
      <c r="DS248" s="17"/>
      <c r="DT248" s="17"/>
      <c r="DU248" s="17"/>
      <c r="DV248" s="17"/>
      <c r="DW248" s="17"/>
      <c r="DX248" s="17"/>
      <c r="DY248" s="17"/>
      <c r="DZ248" s="17"/>
      <c r="EA248" s="17"/>
      <c r="EB248" s="17"/>
      <c r="EC248" s="17"/>
      <c r="ED248" s="17"/>
      <c r="EE248" s="17"/>
      <c r="EF248" s="17"/>
      <c r="EG248" s="17"/>
      <c r="EH248" s="17"/>
      <c r="EI248" s="17"/>
      <c r="EJ248" s="17"/>
      <c r="EK248" s="17"/>
      <c r="EL248" s="17"/>
      <c r="EM248" s="17"/>
      <c r="EN248" s="17"/>
      <c r="EO248" s="17"/>
      <c r="EP248" s="17"/>
      <c r="EQ248" s="17"/>
      <c r="ER248" s="17"/>
      <c r="ES248" s="17"/>
      <c r="ET248" s="17"/>
      <c r="EU248" s="17"/>
      <c r="EV248" s="17"/>
      <c r="EW248" s="17"/>
      <c r="EX248" s="17"/>
      <c r="EY248" s="17"/>
      <c r="EZ248" s="17"/>
      <c r="FA248" s="17"/>
      <c r="FB248" s="17"/>
      <c r="FC248" s="17"/>
      <c r="FD248" s="17"/>
      <c r="FE248" s="17"/>
      <c r="FF248" s="17"/>
      <c r="FG248" s="17"/>
    </row>
    <row r="249" spans="34:163" ht="7.5" customHeight="1" x14ac:dyDescent="0.25">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c r="CO249" s="17"/>
      <c r="CP249" s="17"/>
      <c r="CQ249" s="17"/>
      <c r="CR249" s="17"/>
      <c r="CS249" s="17"/>
      <c r="CT249" s="17"/>
      <c r="CU249" s="17"/>
      <c r="CV249" s="17"/>
      <c r="CW249" s="17"/>
      <c r="CX249" s="17"/>
      <c r="CY249" s="17"/>
      <c r="CZ249" s="17"/>
      <c r="DA249" s="17"/>
      <c r="DB249" s="17"/>
      <c r="DC249" s="17"/>
      <c r="DD249" s="17"/>
      <c r="DE249" s="17"/>
      <c r="DF249" s="17"/>
      <c r="DG249" s="17"/>
      <c r="DH249" s="17"/>
      <c r="DI249" s="17"/>
      <c r="DJ249" s="17"/>
      <c r="DK249" s="17"/>
      <c r="DL249" s="17"/>
      <c r="DM249" s="17"/>
      <c r="DN249" s="17"/>
      <c r="DO249" s="17"/>
      <c r="DP249" s="17"/>
      <c r="DQ249" s="17"/>
      <c r="DR249" s="17"/>
    </row>
    <row r="250" spans="34:163" ht="7.5" customHeight="1" x14ac:dyDescent="0.25">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17"/>
      <c r="CH250" s="17"/>
      <c r="CI250" s="17"/>
      <c r="CJ250" s="17"/>
      <c r="CK250" s="17"/>
      <c r="CL250" s="17"/>
      <c r="CM250" s="17"/>
      <c r="CN250" s="17"/>
      <c r="CO250" s="17"/>
      <c r="CP250" s="17"/>
      <c r="CQ250" s="17"/>
      <c r="CR250" s="17"/>
      <c r="CS250" s="17"/>
      <c r="CT250" s="17"/>
      <c r="CU250" s="17"/>
      <c r="CV250" s="17"/>
      <c r="CW250" s="17"/>
      <c r="CX250" s="17"/>
      <c r="CY250" s="17"/>
      <c r="CZ250" s="17"/>
      <c r="DA250" s="17"/>
      <c r="DB250" s="17"/>
      <c r="DC250" s="17"/>
      <c r="DD250" s="17"/>
      <c r="DE250" s="17"/>
      <c r="DF250" s="17"/>
      <c r="DG250" s="17"/>
      <c r="DH250" s="17"/>
      <c r="DI250" s="17"/>
      <c r="DJ250" s="17"/>
      <c r="DK250" s="17"/>
      <c r="DL250" s="17"/>
      <c r="DM250" s="17"/>
      <c r="DN250" s="17"/>
      <c r="DO250" s="17"/>
      <c r="DP250" s="17"/>
      <c r="DQ250" s="17"/>
      <c r="DR250" s="17"/>
    </row>
    <row r="251" spans="34:163" ht="7.5" customHeight="1" x14ac:dyDescent="0.25">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17"/>
      <c r="CH251" s="17"/>
      <c r="CI251" s="17"/>
      <c r="CJ251" s="17"/>
      <c r="CK251" s="17"/>
      <c r="CL251" s="17"/>
      <c r="CM251" s="17"/>
      <c r="CN251" s="17"/>
      <c r="CO251" s="17"/>
      <c r="CP251" s="17"/>
      <c r="CQ251" s="17"/>
      <c r="CR251" s="17"/>
      <c r="CS251" s="17"/>
      <c r="CT251" s="17"/>
      <c r="CU251" s="17"/>
      <c r="CV251" s="17"/>
      <c r="CW251" s="17"/>
      <c r="CX251" s="17"/>
      <c r="CY251" s="17"/>
      <c r="CZ251" s="17"/>
      <c r="DA251" s="17"/>
      <c r="DB251" s="17"/>
      <c r="DC251" s="17"/>
      <c r="DD251" s="17"/>
      <c r="DE251" s="17"/>
      <c r="DF251" s="17"/>
      <c r="DG251" s="17"/>
      <c r="DH251" s="17"/>
      <c r="DI251" s="17"/>
      <c r="DJ251" s="17"/>
      <c r="DK251" s="17"/>
      <c r="DL251" s="17"/>
      <c r="DM251" s="17"/>
      <c r="DN251" s="17"/>
      <c r="DO251" s="17"/>
      <c r="DP251" s="17"/>
      <c r="DQ251" s="17"/>
      <c r="DR251" s="17"/>
    </row>
    <row r="252" spans="34:163" ht="7.5" customHeight="1" x14ac:dyDescent="0.25">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c r="CO252" s="17"/>
      <c r="CP252" s="17"/>
      <c r="CQ252" s="17"/>
      <c r="CR252" s="17"/>
      <c r="CS252" s="17"/>
      <c r="CT252" s="17"/>
      <c r="CU252" s="17"/>
      <c r="CV252" s="17"/>
      <c r="CW252" s="17"/>
      <c r="CX252" s="17"/>
      <c r="CY252" s="17"/>
      <c r="CZ252" s="17"/>
      <c r="DA252" s="17"/>
      <c r="DB252" s="17"/>
      <c r="DC252" s="17"/>
      <c r="DD252" s="17"/>
      <c r="DE252" s="17"/>
      <c r="DF252" s="17"/>
      <c r="DG252" s="17"/>
      <c r="DH252" s="17"/>
      <c r="DI252" s="17"/>
      <c r="DJ252" s="17"/>
      <c r="DK252" s="17"/>
      <c r="DL252" s="17"/>
      <c r="DM252" s="17"/>
      <c r="DN252" s="17"/>
      <c r="DO252" s="17"/>
      <c r="DP252" s="17"/>
      <c r="DQ252" s="17"/>
      <c r="DR252" s="17"/>
    </row>
    <row r="253" spans="34:163" ht="7.5" customHeight="1" x14ac:dyDescent="0.25">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17"/>
      <c r="CH253" s="17"/>
      <c r="CI253" s="17"/>
      <c r="CJ253" s="17"/>
      <c r="CK253" s="17"/>
      <c r="CL253" s="17"/>
      <c r="CM253" s="17"/>
      <c r="CN253" s="17"/>
      <c r="CO253" s="17"/>
      <c r="CP253" s="17"/>
      <c r="CQ253" s="17"/>
      <c r="CR253" s="17"/>
      <c r="CS253" s="17"/>
      <c r="CT253" s="17"/>
      <c r="CU253" s="17"/>
      <c r="CV253" s="17"/>
      <c r="CW253" s="17"/>
      <c r="CX253" s="17"/>
      <c r="CY253" s="17"/>
      <c r="CZ253" s="17"/>
      <c r="DA253" s="17"/>
      <c r="DB253" s="17"/>
      <c r="DC253" s="17"/>
      <c r="DD253" s="17"/>
      <c r="DE253" s="17"/>
      <c r="DF253" s="17"/>
      <c r="DG253" s="17"/>
      <c r="DH253" s="17"/>
      <c r="DI253" s="17"/>
      <c r="DJ253" s="17"/>
      <c r="DK253" s="17"/>
      <c r="DL253" s="17"/>
      <c r="DM253" s="17"/>
      <c r="DN253" s="17"/>
      <c r="DO253" s="17"/>
      <c r="DP253" s="17"/>
      <c r="DQ253" s="17"/>
      <c r="DR253" s="17"/>
    </row>
    <row r="254" spans="34:163" ht="7.5" customHeight="1" x14ac:dyDescent="0.25">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c r="CT254" s="17"/>
      <c r="CU254" s="17"/>
      <c r="CV254" s="17"/>
      <c r="CW254" s="17"/>
      <c r="CX254" s="17"/>
      <c r="CY254" s="17"/>
      <c r="CZ254" s="17"/>
      <c r="DA254" s="17"/>
      <c r="DB254" s="17"/>
      <c r="DC254" s="17"/>
      <c r="DD254" s="17"/>
      <c r="DE254" s="17"/>
      <c r="DF254" s="17"/>
      <c r="DG254" s="17"/>
      <c r="DH254" s="17"/>
      <c r="DI254" s="17"/>
      <c r="DJ254" s="17"/>
      <c r="DK254" s="17"/>
      <c r="DL254" s="17"/>
      <c r="DM254" s="17"/>
      <c r="DN254" s="17"/>
      <c r="DO254" s="17"/>
      <c r="DP254" s="17"/>
      <c r="DQ254" s="17"/>
      <c r="DR254" s="17"/>
    </row>
    <row r="255" spans="34:163" ht="7.5" customHeight="1" x14ac:dyDescent="0.25">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c r="CR255" s="17"/>
      <c r="CS255" s="17"/>
      <c r="CT255" s="17"/>
      <c r="CU255" s="17"/>
      <c r="CV255" s="17"/>
      <c r="CW255" s="17"/>
      <c r="CX255" s="17"/>
      <c r="CY255" s="17"/>
      <c r="CZ255" s="17"/>
      <c r="DA255" s="17"/>
      <c r="DB255" s="17"/>
      <c r="DC255" s="17"/>
      <c r="DD255" s="17"/>
      <c r="DE255" s="17"/>
      <c r="DF255" s="17"/>
      <c r="DG255" s="17"/>
      <c r="DH255" s="17"/>
      <c r="DI255" s="17"/>
      <c r="DJ255" s="17"/>
      <c r="DK255" s="17"/>
      <c r="DL255" s="17"/>
      <c r="DM255" s="17"/>
      <c r="DN255" s="17"/>
      <c r="DO255" s="17"/>
      <c r="DP255" s="17"/>
      <c r="DQ255" s="17"/>
      <c r="DR255" s="17"/>
    </row>
    <row r="256" spans="34:163" ht="7.5" customHeight="1" x14ac:dyDescent="0.25">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c r="CF256" s="17"/>
      <c r="CG256" s="17"/>
      <c r="CH256" s="17"/>
      <c r="CI256" s="17"/>
      <c r="CJ256" s="17"/>
      <c r="CK256" s="17"/>
      <c r="CL256" s="17"/>
      <c r="CM256" s="17"/>
      <c r="CN256" s="17"/>
      <c r="CO256" s="17"/>
      <c r="CP256" s="17"/>
      <c r="CQ256" s="17"/>
      <c r="CR256" s="17"/>
      <c r="CS256" s="17"/>
      <c r="CT256" s="17"/>
      <c r="CU256" s="17"/>
      <c r="CV256" s="17"/>
      <c r="CW256" s="17"/>
      <c r="CX256" s="17"/>
      <c r="CY256" s="17"/>
      <c r="CZ256" s="17"/>
      <c r="DA256" s="17"/>
      <c r="DB256" s="17"/>
      <c r="DC256" s="17"/>
      <c r="DD256" s="17"/>
      <c r="DE256" s="17"/>
      <c r="DF256" s="17"/>
      <c r="DG256" s="17"/>
      <c r="DH256" s="17"/>
      <c r="DI256" s="17"/>
      <c r="DJ256" s="17"/>
      <c r="DK256" s="17"/>
      <c r="DL256" s="17"/>
      <c r="DM256" s="17"/>
      <c r="DN256" s="17"/>
      <c r="DO256" s="17"/>
      <c r="DP256" s="17"/>
      <c r="DQ256" s="17"/>
      <c r="DR256" s="17"/>
    </row>
    <row r="257" spans="34:122" ht="7.5" customHeight="1" x14ac:dyDescent="0.25">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17"/>
      <c r="CH257" s="17"/>
      <c r="CI257" s="17"/>
      <c r="CJ257" s="17"/>
      <c r="CK257" s="17"/>
      <c r="CL257" s="17"/>
      <c r="CM257" s="17"/>
      <c r="CN257" s="17"/>
      <c r="CO257" s="17"/>
      <c r="CP257" s="17"/>
      <c r="CQ257" s="17"/>
      <c r="CR257" s="17"/>
      <c r="CS257" s="17"/>
      <c r="CT257" s="17"/>
      <c r="CU257" s="17"/>
      <c r="CV257" s="17"/>
      <c r="CW257" s="17"/>
      <c r="CX257" s="17"/>
      <c r="CY257" s="17"/>
      <c r="CZ257" s="17"/>
      <c r="DA257" s="17"/>
      <c r="DB257" s="17"/>
      <c r="DC257" s="17"/>
      <c r="DD257" s="17"/>
      <c r="DE257" s="17"/>
      <c r="DF257" s="17"/>
      <c r="DG257" s="17"/>
      <c r="DH257" s="17"/>
      <c r="DI257" s="17"/>
      <c r="DJ257" s="17"/>
      <c r="DK257" s="17"/>
      <c r="DL257" s="17"/>
      <c r="DM257" s="17"/>
      <c r="DN257" s="17"/>
      <c r="DO257" s="17"/>
      <c r="DP257" s="17"/>
      <c r="DQ257" s="17"/>
      <c r="DR257" s="17"/>
    </row>
    <row r="258" spans="34:122" ht="7.5" customHeight="1" x14ac:dyDescent="0.25">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17"/>
      <c r="CH258" s="17"/>
      <c r="CI258" s="17"/>
      <c r="CJ258" s="17"/>
      <c r="CK258" s="17"/>
      <c r="CL258" s="17"/>
      <c r="CM258" s="17"/>
      <c r="CN258" s="17"/>
      <c r="CO258" s="17"/>
      <c r="CP258" s="17"/>
      <c r="CQ258" s="17"/>
      <c r="CR258" s="17"/>
      <c r="CS258" s="17"/>
      <c r="CT258" s="17"/>
      <c r="CU258" s="17"/>
      <c r="CV258" s="17"/>
      <c r="CW258" s="17"/>
      <c r="CX258" s="17"/>
      <c r="CY258" s="17"/>
      <c r="CZ258" s="17"/>
      <c r="DA258" s="17"/>
      <c r="DB258" s="17"/>
      <c r="DC258" s="17"/>
      <c r="DD258" s="17"/>
      <c r="DE258" s="17"/>
      <c r="DF258" s="17"/>
      <c r="DG258" s="17"/>
      <c r="DH258" s="17"/>
      <c r="DI258" s="17"/>
      <c r="DJ258" s="17"/>
      <c r="DK258" s="17"/>
      <c r="DL258" s="17"/>
      <c r="DM258" s="17"/>
      <c r="DN258" s="17"/>
      <c r="DO258" s="17"/>
      <c r="DP258" s="17"/>
      <c r="DQ258" s="17"/>
      <c r="DR258" s="17"/>
    </row>
    <row r="259" spans="34:122" ht="7.5" customHeight="1" x14ac:dyDescent="0.25">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c r="CO259" s="17"/>
      <c r="CP259" s="17"/>
      <c r="CQ259" s="17"/>
      <c r="CR259" s="17"/>
      <c r="CS259" s="17"/>
      <c r="CT259" s="17"/>
      <c r="CU259" s="17"/>
      <c r="CV259" s="17"/>
      <c r="CW259" s="17"/>
      <c r="CX259" s="17"/>
      <c r="CY259" s="17"/>
      <c r="CZ259" s="17"/>
      <c r="DA259" s="17"/>
      <c r="DB259" s="17"/>
      <c r="DC259" s="17"/>
      <c r="DD259" s="17"/>
      <c r="DE259" s="17"/>
      <c r="DF259" s="17"/>
      <c r="DG259" s="17"/>
      <c r="DH259" s="17"/>
      <c r="DI259" s="17"/>
      <c r="DJ259" s="17"/>
    </row>
    <row r="260" spans="34:122" ht="7.5" customHeight="1" x14ac:dyDescent="0.25">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17"/>
      <c r="CH260" s="17"/>
      <c r="CI260" s="17"/>
      <c r="CJ260" s="17"/>
      <c r="CK260" s="17"/>
      <c r="CL260" s="17"/>
      <c r="CM260" s="17"/>
      <c r="CN260" s="17"/>
      <c r="CO260" s="17"/>
      <c r="CP260" s="17"/>
      <c r="CQ260" s="17"/>
      <c r="CR260" s="17"/>
      <c r="CS260" s="17"/>
      <c r="CT260" s="17"/>
      <c r="CU260" s="17"/>
      <c r="CV260" s="17"/>
      <c r="CW260" s="17"/>
      <c r="CX260" s="17"/>
      <c r="CY260" s="17"/>
      <c r="CZ260" s="17"/>
      <c r="DA260" s="17"/>
      <c r="DB260" s="17"/>
      <c r="DC260" s="17"/>
      <c r="DD260" s="17"/>
      <c r="DE260" s="17"/>
      <c r="DF260" s="17"/>
      <c r="DG260" s="17"/>
      <c r="DH260" s="17"/>
      <c r="DI260" s="17"/>
      <c r="DJ260" s="17"/>
    </row>
    <row r="261" spans="34:122" ht="7.5" customHeight="1" x14ac:dyDescent="0.25">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c r="CQ261" s="17"/>
      <c r="CR261" s="17"/>
      <c r="CS261" s="17"/>
      <c r="CT261" s="17"/>
      <c r="CU261" s="17"/>
      <c r="CV261" s="17"/>
      <c r="CW261" s="17"/>
      <c r="CX261" s="17"/>
      <c r="CY261" s="17"/>
      <c r="CZ261" s="17"/>
      <c r="DA261" s="17"/>
      <c r="DB261" s="17"/>
      <c r="DC261" s="17"/>
      <c r="DD261" s="17"/>
      <c r="DE261" s="17"/>
      <c r="DF261" s="17"/>
      <c r="DG261" s="17"/>
      <c r="DH261" s="17"/>
      <c r="DI261" s="17"/>
      <c r="DJ261" s="17"/>
    </row>
    <row r="262" spans="34:122" ht="7.5" customHeight="1" x14ac:dyDescent="0.25">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17"/>
      <c r="CH262" s="17"/>
      <c r="CI262" s="17"/>
      <c r="CJ262" s="17"/>
      <c r="CK262" s="17"/>
      <c r="CL262" s="17"/>
      <c r="CM262" s="17"/>
      <c r="CN262" s="17"/>
      <c r="CO262" s="17"/>
      <c r="CP262" s="17"/>
      <c r="CQ262" s="17"/>
      <c r="CR262" s="17"/>
      <c r="CS262" s="17"/>
      <c r="CT262" s="17"/>
      <c r="CU262" s="17"/>
      <c r="CV262" s="17"/>
      <c r="CW262" s="17"/>
      <c r="CX262" s="17"/>
      <c r="CY262" s="17"/>
      <c r="CZ262" s="17"/>
      <c r="DA262" s="17"/>
      <c r="DB262" s="17"/>
      <c r="DC262" s="17"/>
      <c r="DD262" s="17"/>
      <c r="DE262" s="17"/>
      <c r="DF262" s="17"/>
      <c r="DG262" s="17"/>
      <c r="DH262" s="17"/>
      <c r="DI262" s="17"/>
      <c r="DJ262" s="17"/>
    </row>
    <row r="263" spans="34:122" ht="7.5" customHeight="1" x14ac:dyDescent="0.25">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7"/>
      <c r="CS263" s="17"/>
      <c r="CT263" s="17"/>
      <c r="CU263" s="17"/>
      <c r="CV263" s="17"/>
      <c r="CW263" s="17"/>
      <c r="CX263" s="17"/>
      <c r="CY263" s="17"/>
      <c r="CZ263" s="17"/>
      <c r="DA263" s="17"/>
      <c r="DB263" s="17"/>
      <c r="DC263" s="17"/>
      <c r="DD263" s="17"/>
      <c r="DE263" s="17"/>
      <c r="DF263" s="17"/>
      <c r="DG263" s="17"/>
      <c r="DH263" s="17"/>
      <c r="DI263" s="17"/>
      <c r="DJ263" s="17"/>
    </row>
    <row r="264" spans="34:122" ht="7.5" customHeight="1" x14ac:dyDescent="0.25">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17"/>
      <c r="CH264" s="17"/>
      <c r="CI264" s="17"/>
      <c r="CJ264" s="17"/>
      <c r="CK264" s="17"/>
      <c r="CL264" s="17"/>
      <c r="CM264" s="17"/>
      <c r="CN264" s="17"/>
      <c r="CO264" s="17"/>
      <c r="CP264" s="17"/>
      <c r="CQ264" s="17"/>
      <c r="CR264" s="17"/>
      <c r="CS264" s="17"/>
      <c r="CT264" s="17"/>
      <c r="CU264" s="17"/>
      <c r="CV264" s="17"/>
      <c r="CW264" s="17"/>
      <c r="CX264" s="17"/>
      <c r="CY264" s="17"/>
      <c r="CZ264" s="17"/>
      <c r="DA264" s="17"/>
      <c r="DB264" s="17"/>
      <c r="DC264" s="17"/>
      <c r="DD264" s="17"/>
      <c r="DE264" s="17"/>
      <c r="DF264" s="17"/>
      <c r="DG264" s="17"/>
      <c r="DH264" s="17"/>
      <c r="DI264" s="17"/>
      <c r="DJ264" s="17"/>
    </row>
    <row r="265" spans="34:122" ht="7.5" customHeight="1" x14ac:dyDescent="0.25">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17"/>
      <c r="CH265" s="17"/>
      <c r="CI265" s="17"/>
      <c r="CJ265" s="17"/>
      <c r="CK265" s="17"/>
      <c r="CL265" s="17"/>
      <c r="CM265" s="17"/>
      <c r="CN265" s="17"/>
      <c r="CO265" s="17"/>
      <c r="CP265" s="17"/>
      <c r="CQ265" s="17"/>
      <c r="CR265" s="17"/>
      <c r="CS265" s="17"/>
      <c r="CT265" s="17"/>
      <c r="CU265" s="17"/>
      <c r="CV265" s="17"/>
      <c r="CW265" s="17"/>
      <c r="CX265" s="17"/>
      <c r="CY265" s="17"/>
      <c r="CZ265" s="17"/>
      <c r="DA265" s="17"/>
      <c r="DB265" s="17"/>
      <c r="DC265" s="17"/>
      <c r="DD265" s="17"/>
      <c r="DE265" s="17"/>
      <c r="DF265" s="17"/>
      <c r="DG265" s="17"/>
      <c r="DH265" s="17"/>
      <c r="DI265" s="17"/>
      <c r="DJ265" s="17"/>
    </row>
    <row r="266" spans="34:122" ht="7.5" customHeight="1" x14ac:dyDescent="0.25">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c r="CO266" s="17"/>
      <c r="CP266" s="17"/>
      <c r="CQ266" s="17"/>
      <c r="CR266" s="17"/>
      <c r="CS266" s="17"/>
      <c r="CT266" s="17"/>
      <c r="CU266" s="17"/>
      <c r="CV266" s="17"/>
      <c r="CW266" s="17"/>
      <c r="CX266" s="17"/>
      <c r="CY266" s="17"/>
      <c r="CZ266" s="17"/>
      <c r="DA266" s="17"/>
      <c r="DB266" s="17"/>
      <c r="DC266" s="17"/>
      <c r="DD266" s="17"/>
      <c r="DE266" s="17"/>
      <c r="DF266" s="17"/>
      <c r="DG266" s="17"/>
      <c r="DH266" s="17"/>
      <c r="DI266" s="17"/>
      <c r="DJ266" s="17"/>
    </row>
    <row r="267" spans="34:122" ht="7.5" customHeight="1" x14ac:dyDescent="0.25">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c r="CO267" s="17"/>
      <c r="CP267" s="17"/>
      <c r="CQ267" s="17"/>
      <c r="CR267" s="17"/>
      <c r="CS267" s="17"/>
      <c r="CT267" s="17"/>
      <c r="CU267" s="17"/>
      <c r="CV267" s="17"/>
      <c r="CW267" s="17"/>
      <c r="CX267" s="17"/>
      <c r="CY267" s="17"/>
      <c r="CZ267" s="17"/>
      <c r="DA267" s="17"/>
      <c r="DB267" s="17"/>
      <c r="DC267" s="17"/>
      <c r="DD267" s="17"/>
      <c r="DE267" s="17"/>
      <c r="DF267" s="17"/>
      <c r="DG267" s="17"/>
      <c r="DH267" s="17"/>
      <c r="DI267" s="17"/>
      <c r="DJ267" s="17"/>
    </row>
    <row r="268" spans="34:122" ht="7.5" customHeight="1" x14ac:dyDescent="0.25">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c r="CY268" s="17"/>
      <c r="CZ268" s="17"/>
      <c r="DA268" s="17"/>
      <c r="DB268" s="17"/>
      <c r="DC268" s="17"/>
      <c r="DD268" s="17"/>
      <c r="DE268" s="17"/>
      <c r="DF268" s="17"/>
      <c r="DG268" s="17"/>
      <c r="DH268" s="17"/>
      <c r="DI268" s="17"/>
      <c r="DJ268" s="17"/>
    </row>
    <row r="269" spans="34:122" ht="7.5" customHeight="1" x14ac:dyDescent="0.25">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17"/>
      <c r="CS269" s="17"/>
      <c r="CT269" s="17"/>
      <c r="CU269" s="17"/>
      <c r="CV269" s="17"/>
      <c r="CW269" s="17"/>
      <c r="CX269" s="17"/>
      <c r="CY269" s="17"/>
      <c r="CZ269" s="17"/>
      <c r="DA269" s="17"/>
      <c r="DB269" s="17"/>
      <c r="DC269" s="17"/>
      <c r="DD269" s="17"/>
      <c r="DE269" s="17"/>
      <c r="DF269" s="17"/>
      <c r="DG269" s="17"/>
      <c r="DH269" s="17"/>
      <c r="DI269" s="17"/>
      <c r="DJ269" s="17"/>
    </row>
    <row r="270" spans="34:122" ht="7.5" customHeight="1" x14ac:dyDescent="0.25">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17"/>
      <c r="CH270" s="17"/>
      <c r="CI270" s="17"/>
      <c r="CJ270" s="17"/>
      <c r="CK270" s="17"/>
      <c r="CL270" s="17"/>
      <c r="CM270" s="17"/>
      <c r="CN270" s="17"/>
      <c r="CO270" s="17"/>
      <c r="CP270" s="17"/>
      <c r="CQ270" s="17"/>
      <c r="CR270" s="17"/>
      <c r="CS270" s="17"/>
      <c r="CT270" s="17"/>
      <c r="CU270" s="17"/>
      <c r="CV270" s="17"/>
      <c r="CW270" s="17"/>
      <c r="CX270" s="17"/>
      <c r="CY270" s="17"/>
      <c r="CZ270" s="17"/>
      <c r="DA270" s="17"/>
      <c r="DB270" s="17"/>
      <c r="DC270" s="17"/>
      <c r="DD270" s="17"/>
      <c r="DE270" s="17"/>
      <c r="DF270" s="17"/>
      <c r="DG270" s="17"/>
      <c r="DH270" s="17"/>
      <c r="DI270" s="17"/>
      <c r="DJ270" s="17"/>
    </row>
    <row r="271" spans="34:122" ht="7.5" customHeight="1" x14ac:dyDescent="0.25">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c r="CO271" s="17"/>
      <c r="CP271" s="17"/>
      <c r="CQ271" s="17"/>
      <c r="CR271" s="17"/>
      <c r="CS271" s="17"/>
      <c r="CT271" s="17"/>
      <c r="CU271" s="17"/>
      <c r="CV271" s="17"/>
      <c r="CW271" s="17"/>
      <c r="CX271" s="17"/>
      <c r="CY271" s="17"/>
      <c r="CZ271" s="17"/>
      <c r="DA271" s="17"/>
      <c r="DB271" s="17"/>
      <c r="DC271" s="17"/>
      <c r="DD271" s="17"/>
      <c r="DE271" s="17"/>
      <c r="DF271" s="17"/>
      <c r="DG271" s="17"/>
      <c r="DH271" s="17"/>
      <c r="DI271" s="17"/>
      <c r="DJ271" s="17"/>
    </row>
    <row r="272" spans="34:122" ht="7.5" customHeight="1" x14ac:dyDescent="0.25">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17"/>
      <c r="CH272" s="17"/>
      <c r="CI272" s="17"/>
      <c r="CJ272" s="17"/>
      <c r="CK272" s="17"/>
      <c r="CL272" s="17"/>
      <c r="CM272" s="17"/>
      <c r="CN272" s="17"/>
      <c r="CO272" s="17"/>
      <c r="CP272" s="17"/>
      <c r="CQ272" s="17"/>
      <c r="CR272" s="17"/>
      <c r="CS272" s="17"/>
      <c r="CT272" s="17"/>
      <c r="CU272" s="17"/>
      <c r="CV272" s="17"/>
      <c r="CW272" s="17"/>
      <c r="CX272" s="17"/>
      <c r="CY272" s="17"/>
      <c r="CZ272" s="17"/>
      <c r="DA272" s="17"/>
      <c r="DB272" s="17"/>
      <c r="DC272" s="17"/>
      <c r="DD272" s="17"/>
      <c r="DE272" s="17"/>
      <c r="DF272" s="17"/>
      <c r="DG272" s="17"/>
      <c r="DH272" s="17"/>
      <c r="DI272" s="17"/>
      <c r="DJ272" s="17"/>
    </row>
    <row r="273" spans="36:114" ht="7.5" customHeight="1" x14ac:dyDescent="0.25">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17"/>
      <c r="CH273" s="17"/>
      <c r="CI273" s="17"/>
      <c r="CJ273" s="17"/>
      <c r="CK273" s="17"/>
      <c r="CL273" s="17"/>
      <c r="CM273" s="17"/>
      <c r="CN273" s="17"/>
      <c r="CO273" s="17"/>
      <c r="CP273" s="17"/>
      <c r="CQ273" s="17"/>
      <c r="CR273" s="17"/>
      <c r="CS273" s="17"/>
      <c r="CT273" s="17"/>
      <c r="CU273" s="17"/>
      <c r="CV273" s="17"/>
      <c r="CW273" s="17"/>
      <c r="CX273" s="17"/>
      <c r="CY273" s="17"/>
      <c r="CZ273" s="17"/>
      <c r="DA273" s="17"/>
      <c r="DB273" s="17"/>
      <c r="DC273" s="17"/>
      <c r="DD273" s="17"/>
      <c r="DE273" s="17"/>
      <c r="DF273" s="17"/>
      <c r="DG273" s="17"/>
      <c r="DH273" s="17"/>
      <c r="DI273" s="17"/>
      <c r="DJ273" s="17"/>
    </row>
    <row r="274" spans="36:114" ht="7.5" customHeight="1" x14ac:dyDescent="0.25">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17"/>
      <c r="CH274" s="17"/>
      <c r="CI274" s="17"/>
      <c r="CJ274" s="17"/>
      <c r="CK274" s="17"/>
      <c r="CL274" s="17"/>
      <c r="CM274" s="17"/>
      <c r="CN274" s="17"/>
      <c r="CO274" s="17"/>
      <c r="CP274" s="17"/>
      <c r="CQ274" s="17"/>
      <c r="CR274" s="17"/>
      <c r="CS274" s="17"/>
      <c r="CT274" s="17"/>
      <c r="CU274" s="17"/>
      <c r="CV274" s="17"/>
      <c r="CW274" s="17"/>
      <c r="CX274" s="17"/>
      <c r="CY274" s="17"/>
      <c r="CZ274" s="17"/>
      <c r="DA274" s="17"/>
      <c r="DB274" s="17"/>
      <c r="DC274" s="17"/>
      <c r="DD274" s="17"/>
      <c r="DE274" s="17"/>
      <c r="DF274" s="17"/>
      <c r="DG274" s="17"/>
      <c r="DH274" s="17"/>
      <c r="DI274" s="17"/>
      <c r="DJ274" s="17"/>
    </row>
    <row r="275" spans="36:114" ht="7.5" customHeight="1" x14ac:dyDescent="0.25">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c r="CE275" s="17"/>
      <c r="CF275" s="17"/>
      <c r="CG275" s="17"/>
      <c r="CH275" s="17"/>
      <c r="CI275" s="17"/>
      <c r="CJ275" s="17"/>
      <c r="CK275" s="17"/>
      <c r="CL275" s="17"/>
      <c r="CM275" s="17"/>
      <c r="CN275" s="17"/>
      <c r="CO275" s="17"/>
      <c r="CP275" s="17"/>
      <c r="CQ275" s="17"/>
      <c r="CR275" s="17"/>
      <c r="CS275" s="17"/>
      <c r="CT275" s="17"/>
      <c r="CU275" s="17"/>
      <c r="CV275" s="17"/>
      <c r="CW275" s="17"/>
      <c r="CX275" s="17"/>
      <c r="CY275" s="17"/>
      <c r="CZ275" s="17"/>
      <c r="DA275" s="17"/>
      <c r="DB275" s="17"/>
      <c r="DC275" s="17"/>
      <c r="DD275" s="17"/>
      <c r="DE275" s="17"/>
      <c r="DF275" s="17"/>
      <c r="DG275" s="17"/>
      <c r="DH275" s="17"/>
      <c r="DI275" s="17"/>
      <c r="DJ275" s="17"/>
    </row>
    <row r="276" spans="36:114" ht="7.5" customHeight="1" x14ac:dyDescent="0.25">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c r="CO276" s="17"/>
      <c r="CP276" s="17"/>
      <c r="CQ276" s="17"/>
      <c r="CR276" s="17"/>
      <c r="CS276" s="17"/>
      <c r="CT276" s="17"/>
      <c r="CU276" s="17"/>
      <c r="CV276" s="17"/>
      <c r="CW276" s="17"/>
      <c r="CX276" s="17"/>
      <c r="CY276" s="17"/>
      <c r="CZ276" s="17"/>
      <c r="DA276" s="17"/>
      <c r="DB276" s="17"/>
      <c r="DC276" s="17"/>
      <c r="DD276" s="17"/>
      <c r="DE276" s="17"/>
      <c r="DF276" s="17"/>
      <c r="DG276" s="17"/>
      <c r="DH276" s="17"/>
      <c r="DI276" s="17"/>
      <c r="DJ276" s="17"/>
    </row>
    <row r="277" spans="36:114" ht="7.5" customHeight="1" x14ac:dyDescent="0.25">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17"/>
      <c r="CH277" s="17"/>
      <c r="CI277" s="17"/>
      <c r="CJ277" s="17"/>
      <c r="CK277" s="17"/>
      <c r="CL277" s="17"/>
      <c r="CM277" s="17"/>
      <c r="CN277" s="17"/>
      <c r="CO277" s="17"/>
      <c r="CP277" s="17"/>
      <c r="CQ277" s="17"/>
      <c r="CR277" s="17"/>
      <c r="CS277" s="17"/>
      <c r="CT277" s="17"/>
      <c r="CU277" s="17"/>
      <c r="CV277" s="17"/>
      <c r="CW277" s="17"/>
      <c r="CX277" s="17"/>
      <c r="CY277" s="17"/>
      <c r="CZ277" s="17"/>
      <c r="DA277" s="17"/>
      <c r="DB277" s="17"/>
      <c r="DC277" s="17"/>
      <c r="DD277" s="17"/>
      <c r="DE277" s="17"/>
      <c r="DF277" s="17"/>
      <c r="DG277" s="17"/>
      <c r="DH277" s="17"/>
      <c r="DI277" s="17"/>
      <c r="DJ277" s="17"/>
    </row>
    <row r="278" spans="36:114" ht="7.5" customHeight="1" x14ac:dyDescent="0.25">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c r="CO278" s="17"/>
      <c r="CP278" s="17"/>
      <c r="CQ278" s="17"/>
      <c r="CR278" s="17"/>
      <c r="CS278" s="17"/>
      <c r="CT278" s="17"/>
      <c r="CU278" s="17"/>
      <c r="CV278" s="17"/>
      <c r="CW278" s="17"/>
      <c r="CX278" s="17"/>
      <c r="CY278" s="17"/>
      <c r="CZ278" s="17"/>
      <c r="DA278" s="17"/>
      <c r="DB278" s="17"/>
      <c r="DC278" s="17"/>
      <c r="DD278" s="17"/>
      <c r="DE278" s="17"/>
      <c r="DF278" s="17"/>
      <c r="DG278" s="17"/>
      <c r="DH278" s="17"/>
      <c r="DI278" s="17"/>
      <c r="DJ278" s="17"/>
    </row>
    <row r="279" spans="36:114" ht="7.5" customHeight="1" x14ac:dyDescent="0.25">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17"/>
      <c r="CH279" s="17"/>
      <c r="CI279" s="17"/>
      <c r="CJ279" s="17"/>
      <c r="CK279" s="17"/>
      <c r="CL279" s="17"/>
      <c r="CM279" s="17"/>
      <c r="CN279" s="17"/>
      <c r="CO279" s="17"/>
      <c r="CP279" s="17"/>
      <c r="CQ279" s="17"/>
      <c r="CR279" s="17"/>
      <c r="CS279" s="17"/>
      <c r="CT279" s="17"/>
      <c r="CU279" s="17"/>
      <c r="CV279" s="17"/>
      <c r="CW279" s="17"/>
      <c r="CX279" s="17"/>
      <c r="CY279" s="17"/>
      <c r="CZ279" s="17"/>
      <c r="DA279" s="17"/>
      <c r="DB279" s="17"/>
      <c r="DC279" s="17"/>
      <c r="DD279" s="17"/>
      <c r="DE279" s="17"/>
      <c r="DF279" s="17"/>
      <c r="DG279" s="17"/>
      <c r="DH279" s="17"/>
      <c r="DI279" s="17"/>
      <c r="DJ279" s="17"/>
    </row>
    <row r="280" spans="36:114" ht="7.5" customHeight="1" x14ac:dyDescent="0.25">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c r="CO280" s="17"/>
      <c r="CP280" s="17"/>
      <c r="CQ280" s="17"/>
      <c r="CR280" s="17"/>
      <c r="CS280" s="17"/>
      <c r="CT280" s="17"/>
      <c r="CU280" s="17"/>
      <c r="CV280" s="17"/>
      <c r="CW280" s="17"/>
      <c r="CX280" s="17"/>
      <c r="CY280" s="17"/>
      <c r="CZ280" s="17"/>
      <c r="DA280" s="17"/>
      <c r="DB280" s="17"/>
      <c r="DC280" s="17"/>
      <c r="DD280" s="17"/>
      <c r="DE280" s="17"/>
      <c r="DF280" s="17"/>
      <c r="DG280" s="17"/>
      <c r="DH280" s="17"/>
      <c r="DI280" s="17"/>
      <c r="DJ280" s="17"/>
    </row>
    <row r="281" spans="36:114" ht="7.5" customHeight="1" x14ac:dyDescent="0.25">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17"/>
      <c r="CH281" s="17"/>
      <c r="CI281" s="17"/>
      <c r="CJ281" s="17"/>
      <c r="CK281" s="17"/>
      <c r="CL281" s="17"/>
      <c r="CM281" s="17"/>
      <c r="CN281" s="17"/>
      <c r="CO281" s="17"/>
      <c r="CP281" s="17"/>
      <c r="CQ281" s="17"/>
      <c r="CR281" s="17"/>
      <c r="CS281" s="17"/>
      <c r="CT281" s="17"/>
      <c r="CU281" s="17"/>
      <c r="CV281" s="17"/>
      <c r="CW281" s="17"/>
      <c r="CX281" s="17"/>
      <c r="CY281" s="17"/>
      <c r="CZ281" s="17"/>
      <c r="DA281" s="17"/>
      <c r="DB281" s="17"/>
      <c r="DC281" s="17"/>
      <c r="DD281" s="17"/>
      <c r="DE281" s="17"/>
      <c r="DF281" s="17"/>
      <c r="DG281" s="17"/>
      <c r="DH281" s="17"/>
      <c r="DI281" s="17"/>
      <c r="DJ281" s="17"/>
    </row>
    <row r="282" spans="36:114" ht="7.5" customHeight="1" x14ac:dyDescent="0.25">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c r="CI282" s="17"/>
      <c r="CJ282" s="17"/>
      <c r="CK282" s="17"/>
      <c r="CL282" s="17"/>
      <c r="CM282" s="17"/>
      <c r="CN282" s="17"/>
      <c r="CO282" s="17"/>
      <c r="CP282" s="17"/>
      <c r="CQ282" s="17"/>
      <c r="CR282" s="17"/>
      <c r="CS282" s="17"/>
      <c r="CT282" s="17"/>
      <c r="CU282" s="17"/>
      <c r="CV282" s="17"/>
      <c r="CW282" s="17"/>
      <c r="CX282" s="17"/>
      <c r="CY282" s="17"/>
      <c r="CZ282" s="17"/>
      <c r="DA282" s="17"/>
      <c r="DB282" s="17"/>
      <c r="DC282" s="17"/>
      <c r="DD282" s="17"/>
      <c r="DE282" s="17"/>
      <c r="DF282" s="17"/>
      <c r="DG282" s="17"/>
      <c r="DH282" s="17"/>
      <c r="DI282" s="17"/>
      <c r="DJ282" s="17"/>
    </row>
    <row r="283" spans="36:114" ht="7.5" customHeight="1" x14ac:dyDescent="0.25">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17"/>
      <c r="CH283" s="17"/>
      <c r="CI283" s="17"/>
      <c r="CJ283" s="17"/>
      <c r="CK283" s="17"/>
      <c r="CL283" s="17"/>
      <c r="CM283" s="17"/>
      <c r="CN283" s="17"/>
      <c r="CO283" s="17"/>
      <c r="CP283" s="17"/>
      <c r="CQ283" s="17"/>
      <c r="CR283" s="17"/>
      <c r="CS283" s="17"/>
      <c r="CT283" s="17"/>
      <c r="CU283" s="17"/>
      <c r="CV283" s="17"/>
      <c r="CW283" s="17"/>
      <c r="CX283" s="17"/>
      <c r="CY283" s="17"/>
      <c r="CZ283" s="17"/>
      <c r="DA283" s="17"/>
      <c r="DB283" s="17"/>
      <c r="DC283" s="17"/>
      <c r="DD283" s="17"/>
      <c r="DE283" s="17"/>
      <c r="DF283" s="17"/>
      <c r="DG283" s="17"/>
      <c r="DH283" s="17"/>
      <c r="DI283" s="17"/>
      <c r="DJ283" s="17"/>
    </row>
    <row r="284" spans="36:114" ht="7.5" customHeight="1" x14ac:dyDescent="0.25">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c r="CO284" s="17"/>
      <c r="CP284" s="17"/>
      <c r="CQ284" s="17"/>
      <c r="CR284" s="17"/>
      <c r="CS284" s="17"/>
      <c r="CT284" s="17"/>
      <c r="CU284" s="17"/>
      <c r="CV284" s="17"/>
      <c r="CW284" s="17"/>
      <c r="CX284" s="17"/>
      <c r="CY284" s="17"/>
      <c r="CZ284" s="17"/>
      <c r="DA284" s="17"/>
      <c r="DB284" s="17"/>
      <c r="DC284" s="17"/>
      <c r="DD284" s="17"/>
      <c r="DE284" s="17"/>
      <c r="DF284" s="17"/>
      <c r="DG284" s="17"/>
      <c r="DH284" s="17"/>
      <c r="DI284" s="17"/>
      <c r="DJ284" s="17"/>
    </row>
    <row r="285" spans="36:114" ht="7.5" customHeight="1" x14ac:dyDescent="0.25">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17"/>
      <c r="CH285" s="17"/>
      <c r="CI285" s="17"/>
      <c r="CJ285" s="17"/>
      <c r="CK285" s="17"/>
      <c r="CL285" s="17"/>
      <c r="CM285" s="17"/>
      <c r="CN285" s="17"/>
      <c r="CO285" s="17"/>
      <c r="CP285" s="17"/>
      <c r="CQ285" s="17"/>
      <c r="CR285" s="17"/>
      <c r="CS285" s="17"/>
      <c r="CT285" s="17"/>
      <c r="CU285" s="17"/>
      <c r="CV285" s="17"/>
      <c r="CW285" s="17"/>
      <c r="CX285" s="17"/>
      <c r="CY285" s="17"/>
      <c r="CZ285" s="17"/>
      <c r="DA285" s="17"/>
      <c r="DB285" s="17"/>
      <c r="DC285" s="17"/>
      <c r="DD285" s="17"/>
      <c r="DE285" s="17"/>
      <c r="DF285" s="17"/>
      <c r="DG285" s="17"/>
      <c r="DH285" s="17"/>
      <c r="DI285" s="17"/>
      <c r="DJ285" s="17"/>
    </row>
    <row r="286" spans="36:114" ht="7.5" customHeight="1" x14ac:dyDescent="0.25">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17"/>
      <c r="CH286" s="17"/>
      <c r="CI286" s="17"/>
      <c r="CJ286" s="17"/>
      <c r="CK286" s="17"/>
      <c r="CL286" s="17"/>
      <c r="CM286" s="17"/>
      <c r="CN286" s="17"/>
      <c r="CO286" s="17"/>
      <c r="CP286" s="17"/>
      <c r="CQ286" s="17"/>
      <c r="CR286" s="17"/>
      <c r="CS286" s="17"/>
      <c r="CT286" s="17"/>
      <c r="CU286" s="17"/>
      <c r="CV286" s="17"/>
      <c r="CW286" s="17"/>
      <c r="CX286" s="17"/>
      <c r="CY286" s="17"/>
      <c r="CZ286" s="17"/>
      <c r="DA286" s="17"/>
      <c r="DB286" s="17"/>
      <c r="DC286" s="17"/>
      <c r="DD286" s="17"/>
      <c r="DE286" s="17"/>
      <c r="DF286" s="17"/>
      <c r="DG286" s="17"/>
      <c r="DH286" s="17"/>
      <c r="DI286" s="17"/>
      <c r="DJ286" s="17"/>
    </row>
    <row r="287" spans="36:114" ht="7.5" customHeight="1" x14ac:dyDescent="0.25">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17"/>
      <c r="CH287" s="17"/>
      <c r="CI287" s="17"/>
      <c r="CJ287" s="17"/>
      <c r="CK287" s="17"/>
      <c r="CL287" s="17"/>
      <c r="CM287" s="17"/>
      <c r="CN287" s="17"/>
      <c r="CO287" s="17"/>
      <c r="CP287" s="17"/>
      <c r="CQ287" s="17"/>
      <c r="CR287" s="17"/>
      <c r="CS287" s="17"/>
      <c r="CT287" s="17"/>
      <c r="CU287" s="17"/>
      <c r="CV287" s="17"/>
      <c r="CW287" s="17"/>
      <c r="CX287" s="17"/>
      <c r="CY287" s="17"/>
      <c r="CZ287" s="17"/>
      <c r="DA287" s="17"/>
      <c r="DB287" s="17"/>
      <c r="DC287" s="17"/>
      <c r="DD287" s="17"/>
      <c r="DE287" s="17"/>
      <c r="DF287" s="17"/>
      <c r="DG287" s="17"/>
      <c r="DH287" s="17"/>
      <c r="DI287" s="17"/>
      <c r="DJ287" s="17"/>
    </row>
    <row r="288" spans="36:114" ht="7.5" customHeight="1" x14ac:dyDescent="0.25">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17"/>
      <c r="CH288" s="17"/>
      <c r="CI288" s="17"/>
      <c r="CJ288" s="17"/>
      <c r="CK288" s="17"/>
      <c r="CL288" s="17"/>
      <c r="CM288" s="17"/>
      <c r="CN288" s="17"/>
      <c r="CO288" s="17"/>
      <c r="CP288" s="17"/>
      <c r="CQ288" s="17"/>
      <c r="CR288" s="17"/>
      <c r="CS288" s="17"/>
      <c r="CT288" s="17"/>
      <c r="CU288" s="17"/>
      <c r="CV288" s="17"/>
      <c r="CW288" s="17"/>
      <c r="CX288" s="17"/>
      <c r="CY288" s="17"/>
      <c r="CZ288" s="17"/>
      <c r="DA288" s="17"/>
      <c r="DB288" s="17"/>
      <c r="DC288" s="17"/>
      <c r="DD288" s="17"/>
      <c r="DE288" s="17"/>
      <c r="DF288" s="17"/>
      <c r="DG288" s="17"/>
      <c r="DH288" s="17"/>
      <c r="DI288" s="17"/>
      <c r="DJ288" s="17"/>
    </row>
    <row r="289" spans="101:114" ht="7.5" customHeight="1" x14ac:dyDescent="0.25">
      <c r="CW289" s="17"/>
      <c r="CX289" s="17"/>
      <c r="CY289" s="17"/>
      <c r="CZ289" s="17"/>
      <c r="DA289" s="17"/>
      <c r="DB289" s="17"/>
      <c r="DC289" s="17"/>
      <c r="DD289" s="17"/>
      <c r="DE289" s="17"/>
      <c r="DF289" s="17"/>
      <c r="DG289" s="17"/>
      <c r="DH289" s="17"/>
      <c r="DI289" s="17"/>
      <c r="DJ289" s="17"/>
    </row>
    <row r="290" spans="101:114" ht="7.5" customHeight="1" x14ac:dyDescent="0.25">
      <c r="CW290" s="17"/>
      <c r="CX290" s="17"/>
      <c r="CY290" s="17"/>
      <c r="CZ290" s="17"/>
      <c r="DA290" s="17"/>
    </row>
    <row r="291" spans="101:114" ht="7.5" customHeight="1" x14ac:dyDescent="0.25">
      <c r="CW291" s="17"/>
      <c r="CX291" s="17"/>
      <c r="CY291" s="17"/>
      <c r="CZ291" s="17"/>
      <c r="DA291" s="17"/>
    </row>
  </sheetData>
  <mergeCells count="313">
    <mergeCell ref="D8:J9"/>
    <mergeCell ref="K8:N9"/>
    <mergeCell ref="O8:R9"/>
    <mergeCell ref="S8:V9"/>
    <mergeCell ref="W8:Z9"/>
    <mergeCell ref="AA8:AD9"/>
    <mergeCell ref="D4:AH6"/>
    <mergeCell ref="AJ4:CT6"/>
    <mergeCell ref="AE8:AH9"/>
    <mergeCell ref="AL11:AP13"/>
    <mergeCell ref="AR11:AZ13"/>
    <mergeCell ref="BB11:BJ13"/>
    <mergeCell ref="BL11:BT13"/>
    <mergeCell ref="AL7:BB9"/>
    <mergeCell ref="BD7:BN9"/>
    <mergeCell ref="BP7:BZ9"/>
    <mergeCell ref="CB7:CR9"/>
    <mergeCell ref="AL10:BB10"/>
    <mergeCell ref="BD10:BN10"/>
    <mergeCell ref="BP10:BZ10"/>
    <mergeCell ref="CB10:CR10"/>
    <mergeCell ref="BV11:CD13"/>
    <mergeCell ref="CF11:CR13"/>
    <mergeCell ref="D11:J12"/>
    <mergeCell ref="K11:N12"/>
    <mergeCell ref="O11:R12"/>
    <mergeCell ref="S11:V12"/>
    <mergeCell ref="W11:Z12"/>
    <mergeCell ref="AA11:AD12"/>
    <mergeCell ref="AE11:AH12"/>
    <mergeCell ref="S14:V15"/>
    <mergeCell ref="W14:Z15"/>
    <mergeCell ref="AA14:AD15"/>
    <mergeCell ref="AE14:AH15"/>
    <mergeCell ref="AL14:AP14"/>
    <mergeCell ref="AR14:AZ14"/>
    <mergeCell ref="BB14:BJ14"/>
    <mergeCell ref="BL14:BT14"/>
    <mergeCell ref="BV14:CD14"/>
    <mergeCell ref="CF14:CR14"/>
    <mergeCell ref="AJ16:BN18"/>
    <mergeCell ref="BP16:CT18"/>
    <mergeCell ref="D17:J18"/>
    <mergeCell ref="K17:N18"/>
    <mergeCell ref="O17:R18"/>
    <mergeCell ref="S17:V18"/>
    <mergeCell ref="W17:Z18"/>
    <mergeCell ref="AA17:AD18"/>
    <mergeCell ref="AE17:AH18"/>
    <mergeCell ref="D14:J15"/>
    <mergeCell ref="K14:N15"/>
    <mergeCell ref="O14:R15"/>
    <mergeCell ref="D20:J21"/>
    <mergeCell ref="K20:N21"/>
    <mergeCell ref="O20:R21"/>
    <mergeCell ref="S20:V21"/>
    <mergeCell ref="W20:Z21"/>
    <mergeCell ref="AA20:AD21"/>
    <mergeCell ref="AE20:AH21"/>
    <mergeCell ref="BP20:CD21"/>
    <mergeCell ref="CE20:CL21"/>
    <mergeCell ref="AJ19:AL20"/>
    <mergeCell ref="AM19:AV20"/>
    <mergeCell ref="AX19:AZ21"/>
    <mergeCell ref="BB19:BK20"/>
    <mergeCell ref="BL19:BN20"/>
    <mergeCell ref="BP19:CD19"/>
    <mergeCell ref="CM22:CP22"/>
    <mergeCell ref="CE19:CL19"/>
    <mergeCell ref="CM20:CT21"/>
    <mergeCell ref="AE23:AH24"/>
    <mergeCell ref="BP23:CL30"/>
    <mergeCell ref="CM23:CT25"/>
    <mergeCell ref="AJ24:AS25"/>
    <mergeCell ref="AT24:AV25"/>
    <mergeCell ref="BC24:BE26"/>
    <mergeCell ref="BG24:BI26"/>
    <mergeCell ref="BK24:BM26"/>
    <mergeCell ref="CM26:CP26"/>
    <mergeCell ref="BC27:BE27"/>
    <mergeCell ref="BG27:BI27"/>
    <mergeCell ref="BK27:BM27"/>
    <mergeCell ref="CM27:CT29"/>
    <mergeCell ref="AP29:AY30"/>
    <mergeCell ref="AI30:AI31"/>
    <mergeCell ref="BP31:CD31"/>
    <mergeCell ref="AJ26:AS27"/>
    <mergeCell ref="AT26:AV27"/>
    <mergeCell ref="AJ22:AS23"/>
    <mergeCell ref="AT22:AV23"/>
    <mergeCell ref="BB22:BN23"/>
    <mergeCell ref="D33:N34"/>
    <mergeCell ref="O33:R34"/>
    <mergeCell ref="S33:V34"/>
    <mergeCell ref="W33:Z34"/>
    <mergeCell ref="AA33:AD34"/>
    <mergeCell ref="AE33:AH34"/>
    <mergeCell ref="D23:J24"/>
    <mergeCell ref="K23:N24"/>
    <mergeCell ref="O23:R24"/>
    <mergeCell ref="S23:V24"/>
    <mergeCell ref="W23:Z24"/>
    <mergeCell ref="AA23:AD24"/>
    <mergeCell ref="D26:AH28"/>
    <mergeCell ref="AE30:AH31"/>
    <mergeCell ref="BP22:CL22"/>
    <mergeCell ref="D36:N37"/>
    <mergeCell ref="O36:R37"/>
    <mergeCell ref="S36:V37"/>
    <mergeCell ref="W36:Z37"/>
    <mergeCell ref="AA36:AD37"/>
    <mergeCell ref="AE36:AH37"/>
    <mergeCell ref="CE31:CL31"/>
    <mergeCell ref="CU31:CV32"/>
    <mergeCell ref="BP32:CD33"/>
    <mergeCell ref="CE32:CL33"/>
    <mergeCell ref="CM32:CT33"/>
    <mergeCell ref="AI33:AI34"/>
    <mergeCell ref="BP34:CL34"/>
    <mergeCell ref="CM34:CP34"/>
    <mergeCell ref="CU34:CV35"/>
    <mergeCell ref="BP35:CL42"/>
    <mergeCell ref="CM35:CT37"/>
    <mergeCell ref="AI36:AI37"/>
    <mergeCell ref="D30:N31"/>
    <mergeCell ref="O30:R31"/>
    <mergeCell ref="S30:V31"/>
    <mergeCell ref="W30:Z31"/>
    <mergeCell ref="AA30:AD31"/>
    <mergeCell ref="D42:N43"/>
    <mergeCell ref="O42:R43"/>
    <mergeCell ref="S42:V43"/>
    <mergeCell ref="W42:Z43"/>
    <mergeCell ref="AA42:AD43"/>
    <mergeCell ref="AE42:AH43"/>
    <mergeCell ref="AI42:AI43"/>
    <mergeCell ref="AP36:AY37"/>
    <mergeCell ref="CU37:CV38"/>
    <mergeCell ref="CM38:CP38"/>
    <mergeCell ref="AP43:AY44"/>
    <mergeCell ref="BP43:CD43"/>
    <mergeCell ref="CE43:CL43"/>
    <mergeCell ref="BP44:CD45"/>
    <mergeCell ref="CE44:CL45"/>
    <mergeCell ref="CM44:CT45"/>
    <mergeCell ref="AI39:AI40"/>
    <mergeCell ref="CM39:CT41"/>
    <mergeCell ref="D39:N40"/>
    <mergeCell ref="O39:R40"/>
    <mergeCell ref="S39:V40"/>
    <mergeCell ref="W39:Z40"/>
    <mergeCell ref="AA39:AD40"/>
    <mergeCell ref="AE39:AH40"/>
    <mergeCell ref="CU46:CV47"/>
    <mergeCell ref="BP47:CL54"/>
    <mergeCell ref="CM47:CT49"/>
    <mergeCell ref="AI48:AI49"/>
    <mergeCell ref="CU49:CV50"/>
    <mergeCell ref="AJ50:AW51"/>
    <mergeCell ref="AY50:BD50"/>
    <mergeCell ref="D45:N46"/>
    <mergeCell ref="O45:R46"/>
    <mergeCell ref="S45:V46"/>
    <mergeCell ref="W45:Z46"/>
    <mergeCell ref="AA45:AD46"/>
    <mergeCell ref="AE45:AH46"/>
    <mergeCell ref="D48:N49"/>
    <mergeCell ref="O48:R49"/>
    <mergeCell ref="S48:V49"/>
    <mergeCell ref="W48:Z49"/>
    <mergeCell ref="AA48:AD49"/>
    <mergeCell ref="AE48:AH49"/>
    <mergeCell ref="AI45:AI46"/>
    <mergeCell ref="BP46:CL46"/>
    <mergeCell ref="CM46:CP46"/>
    <mergeCell ref="D51:N52"/>
    <mergeCell ref="O51:R52"/>
    <mergeCell ref="S51:V52"/>
    <mergeCell ref="W51:Z52"/>
    <mergeCell ref="AA51:AD52"/>
    <mergeCell ref="AE51:AH52"/>
    <mergeCell ref="BE50:BF50"/>
    <mergeCell ref="BG50:BH50"/>
    <mergeCell ref="BI50:BJ50"/>
    <mergeCell ref="BK50:BL50"/>
    <mergeCell ref="BM50:BN50"/>
    <mergeCell ref="BM52:BN52"/>
    <mergeCell ref="CM50:CP50"/>
    <mergeCell ref="BG54:BH54"/>
    <mergeCell ref="BI54:BJ54"/>
    <mergeCell ref="BK54:BL54"/>
    <mergeCell ref="BM54:BN54"/>
    <mergeCell ref="BP55:CD55"/>
    <mergeCell ref="CE55:CL55"/>
    <mergeCell ref="CU52:CV53"/>
    <mergeCell ref="D54:N55"/>
    <mergeCell ref="O54:R55"/>
    <mergeCell ref="S54:V55"/>
    <mergeCell ref="W54:Z55"/>
    <mergeCell ref="AA54:AD55"/>
    <mergeCell ref="AE54:AH55"/>
    <mergeCell ref="AI54:AI55"/>
    <mergeCell ref="AY54:BD54"/>
    <mergeCell ref="BE54:BF54"/>
    <mergeCell ref="AI51:AI52"/>
    <mergeCell ref="CM51:CT53"/>
    <mergeCell ref="AY52:BD52"/>
    <mergeCell ref="BE52:BF52"/>
    <mergeCell ref="BG52:BH52"/>
    <mergeCell ref="BI52:BJ52"/>
    <mergeCell ref="BK52:BL52"/>
    <mergeCell ref="CM56:CT57"/>
    <mergeCell ref="D57:N58"/>
    <mergeCell ref="O57:R58"/>
    <mergeCell ref="S57:V58"/>
    <mergeCell ref="W57:Z58"/>
    <mergeCell ref="AA57:AD58"/>
    <mergeCell ref="AE57:AH58"/>
    <mergeCell ref="AI57:AI58"/>
    <mergeCell ref="CU55:CV56"/>
    <mergeCell ref="AJ56:AW66"/>
    <mergeCell ref="AY56:BD56"/>
    <mergeCell ref="BE56:BF56"/>
    <mergeCell ref="BG56:BH56"/>
    <mergeCell ref="BI56:BJ56"/>
    <mergeCell ref="BK56:BL56"/>
    <mergeCell ref="BM56:BN56"/>
    <mergeCell ref="BP56:CD57"/>
    <mergeCell ref="CE56:CL57"/>
    <mergeCell ref="BP58:CL58"/>
    <mergeCell ref="CM58:CP58"/>
    <mergeCell ref="CU58:CV59"/>
    <mergeCell ref="BP59:CL66"/>
    <mergeCell ref="CM59:CT61"/>
    <mergeCell ref="D60:AH62"/>
    <mergeCell ref="BM58:BN58"/>
    <mergeCell ref="BK60:BL60"/>
    <mergeCell ref="BM60:BN60"/>
    <mergeCell ref="CU61:CV62"/>
    <mergeCell ref="AY62:BD62"/>
    <mergeCell ref="BE62:BF62"/>
    <mergeCell ref="BG62:BH62"/>
    <mergeCell ref="BI62:BJ62"/>
    <mergeCell ref="BK62:BL62"/>
    <mergeCell ref="BM62:BN62"/>
    <mergeCell ref="CM62:CP62"/>
    <mergeCell ref="AY60:BD60"/>
    <mergeCell ref="BE60:BF60"/>
    <mergeCell ref="BG60:BH60"/>
    <mergeCell ref="BI60:BJ60"/>
    <mergeCell ref="AY58:BD58"/>
    <mergeCell ref="BE58:BF58"/>
    <mergeCell ref="BG58:BH58"/>
    <mergeCell ref="BI58:BJ58"/>
    <mergeCell ref="BK58:BL58"/>
    <mergeCell ref="D64:N65"/>
    <mergeCell ref="O64:R65"/>
    <mergeCell ref="S64:V65"/>
    <mergeCell ref="W64:Z65"/>
    <mergeCell ref="AA64:AD65"/>
    <mergeCell ref="AE64:AH65"/>
    <mergeCell ref="AY64:BD64"/>
    <mergeCell ref="BE64:BF64"/>
    <mergeCell ref="BG64:BH64"/>
    <mergeCell ref="BI64:BJ64"/>
    <mergeCell ref="BK64:BL64"/>
    <mergeCell ref="BM64:BN64"/>
    <mergeCell ref="CU64:CV65"/>
    <mergeCell ref="AY66:BD66"/>
    <mergeCell ref="BE66:BF66"/>
    <mergeCell ref="BG66:BH66"/>
    <mergeCell ref="BI66:BJ66"/>
    <mergeCell ref="BK66:BL66"/>
    <mergeCell ref="BM66:BN66"/>
    <mergeCell ref="CM63:CT65"/>
    <mergeCell ref="D67:N68"/>
    <mergeCell ref="O67:R68"/>
    <mergeCell ref="S67:V68"/>
    <mergeCell ref="W67:Z68"/>
    <mergeCell ref="AA67:AD68"/>
    <mergeCell ref="AE67:AH68"/>
    <mergeCell ref="CU67:CV68"/>
    <mergeCell ref="AJ68:CT69"/>
    <mergeCell ref="AJ70:CT72"/>
    <mergeCell ref="CU70:CV71"/>
    <mergeCell ref="D73:N74"/>
    <mergeCell ref="O73:R74"/>
    <mergeCell ref="S73:V74"/>
    <mergeCell ref="W73:Z74"/>
    <mergeCell ref="AA73:AD74"/>
    <mergeCell ref="AE73:AH74"/>
    <mergeCell ref="AJ73:CT75"/>
    <mergeCell ref="CU73:CV74"/>
    <mergeCell ref="D70:N71"/>
    <mergeCell ref="O70:R71"/>
    <mergeCell ref="S70:V71"/>
    <mergeCell ref="W70:Z71"/>
    <mergeCell ref="AA70:AD71"/>
    <mergeCell ref="AE70:AH71"/>
    <mergeCell ref="D76:N77"/>
    <mergeCell ref="O76:R77"/>
    <mergeCell ref="S76:V77"/>
    <mergeCell ref="W76:Z77"/>
    <mergeCell ref="AA76:AD77"/>
    <mergeCell ref="AE76:AH77"/>
    <mergeCell ref="AJ76:CT78"/>
    <mergeCell ref="D79:N80"/>
    <mergeCell ref="O79:R80"/>
    <mergeCell ref="S79:V80"/>
    <mergeCell ref="W79:Z80"/>
    <mergeCell ref="AA79:AD80"/>
    <mergeCell ref="AE79:AH80"/>
    <mergeCell ref="AJ79:CT81"/>
  </mergeCells>
  <dataValidations count="1">
    <dataValidation allowBlank="1" showInputMessage="1" showErrorMessage="1" errorTitle="Defining Title Cells" error="Changing the values of these cells will actually break the spreadsheet." sqref="AJ50 BB19 AM19 AP29 AJ22 AJ24 AJ26 AP36 AP43"/>
  </dataValidations>
  <printOptions horizontalCentered="1" verticalCentered="1"/>
  <pageMargins left="0" right="0" top="0" bottom="0" header="0" footer="0"/>
  <pageSetup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00B050"/>
    <pageSetUpPr fitToPage="1"/>
  </sheetPr>
  <dimension ref="A1:HI79"/>
  <sheetViews>
    <sheetView showGridLines="0" tabSelected="1" view="pageLayout" zoomScale="190" zoomScaleNormal="145" zoomScaleSheetLayoutView="70" zoomScalePageLayoutView="190" workbookViewId="0">
      <selection activeCell="AW2" sqref="AW2:AZ3"/>
    </sheetView>
  </sheetViews>
  <sheetFormatPr defaultColWidth="1.42578125" defaultRowHeight="7.5" customHeight="1" x14ac:dyDescent="0.25"/>
  <cols>
    <col min="1" max="16384" width="1.42578125" style="29"/>
  </cols>
  <sheetData>
    <row r="1" spans="3:217" ht="7.5" customHeight="1" x14ac:dyDescent="0.25">
      <c r="S1" s="1542" t="s">
        <v>29</v>
      </c>
      <c r="T1" s="1543"/>
      <c r="U1" s="1543"/>
      <c r="V1" s="1543"/>
      <c r="W1" s="1543"/>
      <c r="X1" s="1543"/>
      <c r="Y1" s="1543"/>
      <c r="Z1" s="1543"/>
      <c r="AA1" s="1543"/>
      <c r="AB1" s="1543"/>
      <c r="AC1" s="1543"/>
      <c r="AD1" s="1543"/>
      <c r="AE1" s="1361"/>
      <c r="AF1" s="1429"/>
      <c r="AG1" s="1391" t="s">
        <v>428</v>
      </c>
      <c r="AH1" s="1391"/>
      <c r="BA1" s="1486" t="e">
        <f>IF(Name&gt;0,"Inventory of "&amp;Name,"Inventory")</f>
        <v>#REF!</v>
      </c>
      <c r="BB1" s="1486"/>
      <c r="BC1" s="1486"/>
      <c r="BD1" s="1486"/>
      <c r="BE1" s="1486"/>
      <c r="BF1" s="1486"/>
      <c r="BG1" s="1486"/>
      <c r="BH1" s="1486"/>
      <c r="BI1" s="1486"/>
      <c r="BJ1" s="1486"/>
      <c r="BK1" s="1486"/>
      <c r="BL1" s="1486"/>
      <c r="BM1" s="1486"/>
      <c r="BN1" s="1486"/>
      <c r="BO1" s="1486"/>
      <c r="BP1" s="1486"/>
      <c r="BQ1" s="1486"/>
      <c r="BR1" s="1486"/>
      <c r="BS1" s="1486"/>
      <c r="BT1" s="1486"/>
      <c r="BU1" s="1486"/>
      <c r="BV1" s="1486"/>
      <c r="BW1" s="1486"/>
      <c r="BX1" s="1486"/>
      <c r="BY1" s="1486"/>
      <c r="BZ1" s="1486"/>
      <c r="CA1" s="1486"/>
      <c r="CB1" s="1486"/>
      <c r="CC1" s="1486"/>
      <c r="CD1" s="1486"/>
      <c r="CE1" s="1486"/>
      <c r="CF1" s="1486"/>
      <c r="CG1" s="1486"/>
      <c r="CH1" s="1486"/>
      <c r="CI1" s="1486"/>
      <c r="CJ1" s="1486"/>
      <c r="CK1" s="1486"/>
      <c r="CL1" s="1486"/>
      <c r="CM1" s="1486"/>
      <c r="CN1" s="1486"/>
      <c r="CO1" s="1486"/>
      <c r="CP1" s="1486"/>
      <c r="CQ1" s="1486"/>
      <c r="CR1"/>
      <c r="CS1"/>
      <c r="CT1"/>
      <c r="CU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row>
    <row r="2" spans="3:217" ht="7.5" customHeight="1" x14ac:dyDescent="0.25">
      <c r="S2" s="1535"/>
      <c r="T2" s="1536"/>
      <c r="U2" s="1536"/>
      <c r="V2" s="1536"/>
      <c r="W2" s="1536"/>
      <c r="X2" s="1536"/>
      <c r="Y2" s="1536"/>
      <c r="Z2" s="1536"/>
      <c r="AA2" s="1536"/>
      <c r="AB2" s="1536"/>
      <c r="AC2" s="1536"/>
      <c r="AD2" s="1536"/>
      <c r="AE2" s="1363"/>
      <c r="AF2" s="1430"/>
      <c r="AG2" s="1392"/>
      <c r="AH2" s="1392"/>
      <c r="AJ2" s="1537"/>
      <c r="AK2" s="1537"/>
      <c r="AL2" s="1537"/>
      <c r="AM2" s="1540" t="s">
        <v>438</v>
      </c>
      <c r="AN2" s="1511"/>
      <c r="AO2" s="1511"/>
      <c r="AP2" s="1511"/>
      <c r="AR2" s="1487"/>
      <c r="AS2" s="1487"/>
      <c r="AT2" s="1487"/>
      <c r="AU2" s="1487"/>
      <c r="AW2" s="1487"/>
      <c r="AX2" s="1487"/>
      <c r="AY2" s="1487"/>
      <c r="AZ2" s="1487"/>
      <c r="BA2" s="1486"/>
      <c r="BB2" s="1486"/>
      <c r="BC2" s="1486"/>
      <c r="BD2" s="1486"/>
      <c r="BE2" s="1486"/>
      <c r="BF2" s="1486"/>
      <c r="BG2" s="1486"/>
      <c r="BH2" s="1486"/>
      <c r="BI2" s="1486"/>
      <c r="BJ2" s="1486"/>
      <c r="BK2" s="1486"/>
      <c r="BL2" s="1486"/>
      <c r="BM2" s="1486"/>
      <c r="BN2" s="1486"/>
      <c r="BO2" s="1486"/>
      <c r="BP2" s="1486"/>
      <c r="BQ2" s="1486"/>
      <c r="BR2" s="1486"/>
      <c r="BS2" s="1486"/>
      <c r="BT2" s="1486"/>
      <c r="BU2" s="1486"/>
      <c r="BV2" s="1486"/>
      <c r="BW2" s="1486"/>
      <c r="BX2" s="1486"/>
      <c r="BY2" s="1486"/>
      <c r="BZ2" s="1486"/>
      <c r="CA2" s="1486"/>
      <c r="CB2" s="1486"/>
      <c r="CC2" s="1486"/>
      <c r="CD2" s="1486"/>
      <c r="CE2" s="1486"/>
      <c r="CF2" s="1486"/>
      <c r="CG2" s="1486"/>
      <c r="CH2" s="1486"/>
      <c r="CI2" s="1486"/>
      <c r="CJ2" s="1486"/>
      <c r="CK2" s="1486"/>
      <c r="CL2" s="1486"/>
      <c r="CM2" s="1486"/>
      <c r="CN2" s="1486"/>
      <c r="CO2" s="1486"/>
      <c r="CP2" s="1486"/>
      <c r="CQ2" s="1486"/>
      <c r="CR2"/>
      <c r="CS2"/>
      <c r="CT2"/>
      <c r="CU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row>
    <row r="3" spans="3:217" ht="7.5" customHeight="1" thickBot="1" x14ac:dyDescent="0.3">
      <c r="C3" s="1533" t="s">
        <v>94</v>
      </c>
      <c r="D3" s="1534"/>
      <c r="E3" s="1534"/>
      <c r="F3" s="1534"/>
      <c r="G3" s="1534"/>
      <c r="H3" s="1534"/>
      <c r="I3" s="1534"/>
      <c r="J3" s="1534"/>
      <c r="K3" s="1361"/>
      <c r="L3" s="1429"/>
      <c r="M3" s="1391" t="s">
        <v>428</v>
      </c>
      <c r="N3" s="1391"/>
      <c r="S3" s="1414"/>
      <c r="T3" s="1415"/>
      <c r="U3" s="1415"/>
      <c r="V3" s="1415"/>
      <c r="W3" s="1415"/>
      <c r="X3" s="1415"/>
      <c r="Y3" s="1415"/>
      <c r="Z3" s="1415"/>
      <c r="AA3" s="1415"/>
      <c r="AB3" s="1415"/>
      <c r="AC3" s="1415"/>
      <c r="AD3" s="1415"/>
      <c r="AE3" s="1415"/>
      <c r="AF3" s="1415"/>
      <c r="AG3" s="1415"/>
      <c r="AH3" s="1416"/>
      <c r="AJ3" s="1538"/>
      <c r="AK3" s="1538"/>
      <c r="AL3" s="1538"/>
      <c r="AM3" s="1541"/>
      <c r="AN3" s="1512"/>
      <c r="AO3" s="1512"/>
      <c r="AP3" s="1512"/>
      <c r="AR3" s="1488"/>
      <c r="AS3" s="1488"/>
      <c r="AT3" s="1488"/>
      <c r="AU3" s="1488"/>
      <c r="AW3" s="1488"/>
      <c r="AX3" s="1488"/>
      <c r="AY3" s="1488"/>
      <c r="AZ3" s="1488"/>
      <c r="BA3" s="1486"/>
      <c r="BB3" s="1486"/>
      <c r="BC3" s="1486"/>
      <c r="BD3" s="1486"/>
      <c r="BE3" s="1486"/>
      <c r="BF3" s="1486"/>
      <c r="BG3" s="1486"/>
      <c r="BH3" s="1486"/>
      <c r="BI3" s="1486"/>
      <c r="BJ3" s="1486"/>
      <c r="BK3" s="1486"/>
      <c r="BL3" s="1486"/>
      <c r="BM3" s="1486"/>
      <c r="BN3" s="1486"/>
      <c r="BO3" s="1486"/>
      <c r="BP3" s="1486"/>
      <c r="BQ3" s="1486"/>
      <c r="BR3" s="1486"/>
      <c r="BS3" s="1486"/>
      <c r="BT3" s="1486"/>
      <c r="BU3" s="1486"/>
      <c r="BV3" s="1486"/>
      <c r="BW3" s="1486"/>
      <c r="BX3" s="1486"/>
      <c r="BY3" s="1486"/>
      <c r="BZ3" s="1486"/>
      <c r="CA3" s="1486"/>
      <c r="CB3" s="1486"/>
      <c r="CC3" s="1486"/>
      <c r="CD3" s="1486"/>
      <c r="CE3" s="1486"/>
      <c r="CF3" s="1486"/>
      <c r="CG3" s="1486"/>
      <c r="CH3" s="1486"/>
      <c r="CI3" s="1486"/>
      <c r="CJ3" s="1486"/>
      <c r="CK3" s="1486"/>
      <c r="CL3" s="1486"/>
      <c r="CM3" s="1486"/>
      <c r="CN3" s="1486"/>
      <c r="CO3" s="1486"/>
      <c r="CP3" s="1486"/>
      <c r="CQ3" s="1486"/>
      <c r="CR3"/>
      <c r="CS3"/>
      <c r="CT3"/>
      <c r="CU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row>
    <row r="4" spans="3:217" ht="7.5" customHeight="1" x14ac:dyDescent="0.25">
      <c r="C4" s="1535"/>
      <c r="D4" s="1536"/>
      <c r="E4" s="1536"/>
      <c r="F4" s="1536"/>
      <c r="G4" s="1536"/>
      <c r="H4" s="1536"/>
      <c r="I4" s="1536"/>
      <c r="J4" s="1536"/>
      <c r="K4" s="1363"/>
      <c r="L4" s="1430"/>
      <c r="M4" s="1392"/>
      <c r="N4" s="1392"/>
      <c r="S4" s="1417"/>
      <c r="T4" s="1418"/>
      <c r="U4" s="1418"/>
      <c r="V4" s="1418"/>
      <c r="W4" s="1418"/>
      <c r="X4" s="1418"/>
      <c r="Y4" s="1418"/>
      <c r="Z4" s="1418"/>
      <c r="AA4" s="1418"/>
      <c r="AB4" s="1418"/>
      <c r="AC4" s="1418"/>
      <c r="AD4" s="1418"/>
      <c r="AE4" s="1418"/>
      <c r="AF4" s="1418"/>
      <c r="AG4" s="1418"/>
      <c r="AH4" s="1419"/>
      <c r="AJ4" s="1539" t="s">
        <v>433</v>
      </c>
      <c r="AK4" s="1539"/>
      <c r="AL4" s="1539"/>
      <c r="AM4" s="1539"/>
      <c r="AN4" s="1539"/>
      <c r="AO4" s="1539"/>
      <c r="AP4" s="1539"/>
      <c r="AR4" s="1489" t="s">
        <v>495</v>
      </c>
      <c r="AS4" s="1489"/>
      <c r="AT4" s="1489"/>
      <c r="AU4" s="1489"/>
      <c r="AW4" s="1514" t="s">
        <v>496</v>
      </c>
      <c r="AX4" s="1514"/>
      <c r="AY4" s="1514"/>
      <c r="AZ4" s="1514"/>
      <c r="BA4" s="1490" t="s">
        <v>61</v>
      </c>
      <c r="BB4" s="1490"/>
      <c r="BC4" s="1490"/>
      <c r="BD4" s="1490"/>
      <c r="BE4" s="1490"/>
      <c r="BF4" s="1490"/>
      <c r="BG4" s="1490"/>
      <c r="BH4" s="1490"/>
      <c r="BI4" s="1490"/>
      <c r="BJ4" s="1490"/>
      <c r="BK4" s="1490"/>
      <c r="BL4" s="1490"/>
      <c r="BM4" s="1490"/>
      <c r="BN4" s="1502" t="s">
        <v>435</v>
      </c>
      <c r="BO4" s="1502"/>
      <c r="BP4" s="1502"/>
      <c r="BQ4" s="1502"/>
      <c r="BR4" s="1502"/>
      <c r="BS4" s="1502"/>
      <c r="BT4" s="1502"/>
      <c r="BU4" s="1502"/>
      <c r="BV4" s="1502"/>
      <c r="BW4" s="1502"/>
      <c r="BX4" s="1502"/>
      <c r="BY4" s="1502"/>
      <c r="BZ4" s="1502"/>
      <c r="CA4" s="1502"/>
      <c r="CB4" s="1502"/>
      <c r="CC4" s="1502"/>
      <c r="CD4" s="1502"/>
      <c r="CE4" s="1502"/>
      <c r="CF4" s="1502"/>
      <c r="CG4" s="1502"/>
      <c r="CH4" s="1502"/>
      <c r="CI4" s="1502"/>
      <c r="CJ4" s="1502"/>
      <c r="CK4" s="1502"/>
      <c r="CL4" s="1502"/>
      <c r="CM4" s="1502"/>
      <c r="CN4" s="1502"/>
      <c r="CO4" s="1502" t="s">
        <v>434</v>
      </c>
      <c r="CP4" s="1502"/>
      <c r="CQ4" s="1502"/>
      <c r="CR4"/>
      <c r="CS4"/>
      <c r="CT4"/>
      <c r="CU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row>
    <row r="5" spans="3:217" ht="7.5" customHeight="1" thickBot="1" x14ac:dyDescent="0.3">
      <c r="C5" s="1530"/>
      <c r="D5" s="1531"/>
      <c r="E5" s="1531"/>
      <c r="F5" s="1531"/>
      <c r="G5" s="1531"/>
      <c r="H5" s="1531"/>
      <c r="I5" s="1531"/>
      <c r="J5" s="1531"/>
      <c r="K5" s="1531"/>
      <c r="L5" s="1531"/>
      <c r="M5" s="1531"/>
      <c r="N5" s="1531"/>
      <c r="O5" s="103"/>
      <c r="P5" s="102"/>
      <c r="Q5" s="102"/>
      <c r="R5" s="104"/>
      <c r="S5" s="1417"/>
      <c r="T5" s="1418"/>
      <c r="U5" s="1418"/>
      <c r="V5" s="1418"/>
      <c r="W5" s="1418"/>
      <c r="X5" s="1418"/>
      <c r="Y5" s="1418"/>
      <c r="Z5" s="1418"/>
      <c r="AA5" s="1418"/>
      <c r="AB5" s="1418"/>
      <c r="AC5" s="1418"/>
      <c r="AD5" s="1418"/>
      <c r="AE5" s="1418"/>
      <c r="AF5" s="1418"/>
      <c r="AG5" s="1418"/>
      <c r="AH5" s="1419"/>
      <c r="AQ5"/>
      <c r="AR5"/>
      <c r="AS5"/>
      <c r="AT5"/>
      <c r="AU5"/>
      <c r="AV5"/>
      <c r="BA5" s="1491"/>
      <c r="BB5" s="1491"/>
      <c r="BC5" s="1491"/>
      <c r="BD5" s="1491"/>
      <c r="BE5" s="1491"/>
      <c r="BF5" s="1491"/>
      <c r="BG5" s="1491"/>
      <c r="BH5" s="1491"/>
      <c r="BI5" s="1491"/>
      <c r="BJ5" s="1491"/>
      <c r="BK5" s="1491"/>
      <c r="BL5" s="1491"/>
      <c r="BM5" s="1491"/>
      <c r="BN5" s="1503"/>
      <c r="BO5" s="1503"/>
      <c r="BP5" s="1503"/>
      <c r="BQ5" s="1503"/>
      <c r="BR5" s="1503"/>
      <c r="BS5" s="1503"/>
      <c r="BT5" s="1503"/>
      <c r="BU5" s="1503"/>
      <c r="BV5" s="1503"/>
      <c r="BW5" s="1503"/>
      <c r="BX5" s="1503"/>
      <c r="BY5" s="1503"/>
      <c r="BZ5" s="1503"/>
      <c r="CA5" s="1503"/>
      <c r="CB5" s="1503"/>
      <c r="CC5" s="1503"/>
      <c r="CD5" s="1503"/>
      <c r="CE5" s="1503"/>
      <c r="CF5" s="1503"/>
      <c r="CG5" s="1503"/>
      <c r="CH5" s="1503"/>
      <c r="CI5" s="1503"/>
      <c r="CJ5" s="1503"/>
      <c r="CK5" s="1503"/>
      <c r="CL5" s="1503"/>
      <c r="CM5" s="1503"/>
      <c r="CN5" s="1503"/>
      <c r="CO5" s="1513"/>
      <c r="CP5" s="1513"/>
      <c r="CQ5" s="1513"/>
      <c r="CR5"/>
      <c r="CS5"/>
      <c r="CT5"/>
      <c r="CU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row>
    <row r="6" spans="3:217" ht="7.5" customHeight="1" thickBot="1" x14ac:dyDescent="0.3">
      <c r="C6" s="1442"/>
      <c r="D6" s="892"/>
      <c r="E6" s="892"/>
      <c r="F6" s="892"/>
      <c r="G6" s="892"/>
      <c r="H6" s="892"/>
      <c r="I6" s="892"/>
      <c r="J6" s="892"/>
      <c r="K6" s="892"/>
      <c r="L6" s="892"/>
      <c r="M6" s="892"/>
      <c r="N6" s="892"/>
      <c r="O6" s="103"/>
      <c r="P6" s="102"/>
      <c r="Q6" s="102"/>
      <c r="R6" s="104"/>
      <c r="S6" s="1417"/>
      <c r="T6" s="1418"/>
      <c r="U6" s="1418"/>
      <c r="V6" s="1418"/>
      <c r="W6" s="1418"/>
      <c r="X6" s="1418"/>
      <c r="Y6" s="1418"/>
      <c r="Z6" s="1418"/>
      <c r="AA6" s="1418"/>
      <c r="AB6" s="1418"/>
      <c r="AC6" s="1418"/>
      <c r="AD6" s="1418"/>
      <c r="AE6" s="1418"/>
      <c r="AF6" s="1418"/>
      <c r="AG6" s="1418"/>
      <c r="AH6" s="1419"/>
      <c r="AN6" s="107"/>
      <c r="AO6" s="1504" t="s">
        <v>437</v>
      </c>
      <c r="AP6" s="1505"/>
      <c r="AQ6" s="1505"/>
      <c r="AR6" s="1505"/>
      <c r="AS6" s="1505"/>
      <c r="AT6" s="1506"/>
      <c r="AU6" s="107"/>
      <c r="BA6" s="1492"/>
      <c r="BB6" s="1493"/>
      <c r="BC6" s="1493"/>
      <c r="BD6" s="1493"/>
      <c r="BE6" s="1493"/>
      <c r="BF6" s="1493"/>
      <c r="BG6" s="1493"/>
      <c r="BH6" s="1493"/>
      <c r="BI6" s="1493"/>
      <c r="BJ6" s="1493"/>
      <c r="BK6" s="1493"/>
      <c r="BL6" s="1493"/>
      <c r="BM6" s="1494"/>
      <c r="BN6" s="1499"/>
      <c r="BO6" s="1500"/>
      <c r="BP6" s="1500"/>
      <c r="BQ6" s="1500"/>
      <c r="BR6" s="1500"/>
      <c r="BS6" s="1500"/>
      <c r="BT6" s="1500"/>
      <c r="BU6" s="1500"/>
      <c r="BV6" s="1500"/>
      <c r="BW6" s="1500"/>
      <c r="BX6" s="1500"/>
      <c r="BY6" s="1500"/>
      <c r="BZ6" s="1500"/>
      <c r="CA6" s="1500"/>
      <c r="CB6" s="1500"/>
      <c r="CC6" s="1500"/>
      <c r="CD6" s="1500"/>
      <c r="CE6" s="1500"/>
      <c r="CF6" s="1500"/>
      <c r="CG6" s="1500"/>
      <c r="CH6" s="1500"/>
      <c r="CI6" s="1500"/>
      <c r="CJ6" s="1500"/>
      <c r="CK6" s="1500"/>
      <c r="CL6" s="1500"/>
      <c r="CM6" s="1500"/>
      <c r="CN6" s="1501"/>
      <c r="CO6" s="1495"/>
      <c r="CP6" s="1496"/>
      <c r="CQ6" s="1497"/>
      <c r="CR6"/>
      <c r="CS6"/>
      <c r="CT6"/>
      <c r="CU6"/>
      <c r="CV6"/>
      <c r="CW6"/>
      <c r="CX6"/>
      <c r="CY6"/>
      <c r="CZ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row>
    <row r="7" spans="3:217" ht="7.5" customHeight="1" thickBot="1" x14ac:dyDescent="0.3">
      <c r="C7" s="1442"/>
      <c r="D7" s="892"/>
      <c r="E7" s="892"/>
      <c r="F7" s="892"/>
      <c r="G7" s="892"/>
      <c r="H7" s="892"/>
      <c r="I7" s="892"/>
      <c r="J7" s="892"/>
      <c r="K7" s="892"/>
      <c r="L7" s="892"/>
      <c r="M7" s="892"/>
      <c r="N7" s="892"/>
      <c r="O7" s="103"/>
      <c r="P7" s="102"/>
      <c r="Q7" s="102"/>
      <c r="R7" s="104"/>
      <c r="S7" s="1417"/>
      <c r="T7" s="1418"/>
      <c r="U7" s="1418"/>
      <c r="V7" s="1418"/>
      <c r="W7" s="1418"/>
      <c r="X7" s="1418"/>
      <c r="Y7" s="1418"/>
      <c r="Z7" s="1418"/>
      <c r="AA7" s="1418"/>
      <c r="AB7" s="1418"/>
      <c r="AC7" s="1418"/>
      <c r="AD7" s="1418"/>
      <c r="AE7" s="1418"/>
      <c r="AF7" s="1418"/>
      <c r="AG7" s="1418"/>
      <c r="AH7" s="1419"/>
      <c r="AM7" s="108"/>
      <c r="AN7" s="109"/>
      <c r="AO7" s="1507"/>
      <c r="AP7" s="1508"/>
      <c r="AQ7" s="1508"/>
      <c r="AR7" s="1508"/>
      <c r="AS7" s="1508"/>
      <c r="AT7" s="1509"/>
      <c r="AU7" s="109"/>
      <c r="AV7" s="110"/>
      <c r="BA7" s="1393"/>
      <c r="BB7" s="1394"/>
      <c r="BC7" s="1394"/>
      <c r="BD7" s="1394"/>
      <c r="BE7" s="1394"/>
      <c r="BF7" s="1394"/>
      <c r="BG7" s="1394"/>
      <c r="BH7" s="1394"/>
      <c r="BI7" s="1394"/>
      <c r="BJ7" s="1394"/>
      <c r="BK7" s="1394"/>
      <c r="BL7" s="1394"/>
      <c r="BM7" s="1395"/>
      <c r="BN7" s="1383"/>
      <c r="BO7" s="1384"/>
      <c r="BP7" s="1384"/>
      <c r="BQ7" s="1384"/>
      <c r="BR7" s="1384"/>
      <c r="BS7" s="1384"/>
      <c r="BT7" s="1384"/>
      <c r="BU7" s="1384"/>
      <c r="BV7" s="1384"/>
      <c r="BW7" s="1384"/>
      <c r="BX7" s="1384"/>
      <c r="BY7" s="1384"/>
      <c r="BZ7" s="1384"/>
      <c r="CA7" s="1384"/>
      <c r="CB7" s="1384"/>
      <c r="CC7" s="1384"/>
      <c r="CD7" s="1384"/>
      <c r="CE7" s="1384"/>
      <c r="CF7" s="1384"/>
      <c r="CG7" s="1384"/>
      <c r="CH7" s="1384"/>
      <c r="CI7" s="1384"/>
      <c r="CJ7" s="1384"/>
      <c r="CK7" s="1384"/>
      <c r="CL7" s="1384"/>
      <c r="CM7" s="1384"/>
      <c r="CN7" s="1385"/>
      <c r="CO7" s="1456"/>
      <c r="CP7" s="1457"/>
      <c r="CQ7" s="1498"/>
      <c r="CR7"/>
      <c r="CS7"/>
      <c r="CT7"/>
      <c r="CU7"/>
      <c r="CV7"/>
      <c r="CW7"/>
      <c r="CX7"/>
      <c r="CY7"/>
      <c r="CZ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row>
    <row r="8" spans="3:217" ht="7.5" customHeight="1" x14ac:dyDescent="0.25">
      <c r="C8" s="1442"/>
      <c r="D8" s="892"/>
      <c r="E8" s="892"/>
      <c r="F8" s="892"/>
      <c r="G8" s="892"/>
      <c r="H8" s="892"/>
      <c r="I8" s="892"/>
      <c r="J8" s="892"/>
      <c r="K8" s="892"/>
      <c r="L8" s="892"/>
      <c r="M8" s="892"/>
      <c r="N8" s="892"/>
      <c r="O8" s="103"/>
      <c r="P8" s="102"/>
      <c r="Q8" s="102"/>
      <c r="R8" s="104"/>
      <c r="S8" s="1417"/>
      <c r="T8" s="1418"/>
      <c r="U8" s="1418"/>
      <c r="V8" s="1418"/>
      <c r="W8" s="1418"/>
      <c r="X8" s="1418"/>
      <c r="Y8" s="1418"/>
      <c r="Z8" s="1418"/>
      <c r="AA8" s="1418"/>
      <c r="AB8" s="1418"/>
      <c r="AC8" s="1418"/>
      <c r="AD8" s="1418"/>
      <c r="AE8" s="1418"/>
      <c r="AF8" s="1418"/>
      <c r="AG8" s="1418"/>
      <c r="AH8" s="1419"/>
      <c r="AM8" s="111"/>
      <c r="AN8" s="95"/>
      <c r="AO8" s="95"/>
      <c r="AP8" s="95"/>
      <c r="AQ8" s="95"/>
      <c r="AR8" s="95"/>
      <c r="AS8" s="95"/>
      <c r="AT8" s="95"/>
      <c r="AU8" s="95"/>
      <c r="AV8" s="112"/>
      <c r="BA8" s="1450"/>
      <c r="BB8" s="1451"/>
      <c r="BC8" s="1451"/>
      <c r="BD8" s="1451"/>
      <c r="BE8" s="1451"/>
      <c r="BF8" s="1451"/>
      <c r="BG8" s="1451"/>
      <c r="BH8" s="1451"/>
      <c r="BI8" s="1451"/>
      <c r="BJ8" s="1451"/>
      <c r="BK8" s="1451"/>
      <c r="BL8" s="1451"/>
      <c r="BM8" s="1452"/>
      <c r="BN8" s="1380"/>
      <c r="BO8" s="1381"/>
      <c r="BP8" s="1381"/>
      <c r="BQ8" s="1381"/>
      <c r="BR8" s="1381"/>
      <c r="BS8" s="1381"/>
      <c r="BT8" s="1381"/>
      <c r="BU8" s="1381"/>
      <c r="BV8" s="1381"/>
      <c r="BW8" s="1381"/>
      <c r="BX8" s="1381"/>
      <c r="BY8" s="1381"/>
      <c r="BZ8" s="1381"/>
      <c r="CA8" s="1381"/>
      <c r="CB8" s="1381"/>
      <c r="CC8" s="1381"/>
      <c r="CD8" s="1381"/>
      <c r="CE8" s="1381"/>
      <c r="CF8" s="1381"/>
      <c r="CG8" s="1381"/>
      <c r="CH8" s="1381"/>
      <c r="CI8" s="1381"/>
      <c r="CJ8" s="1381"/>
      <c r="CK8" s="1381"/>
      <c r="CL8" s="1381"/>
      <c r="CM8" s="1381"/>
      <c r="CN8" s="1382"/>
      <c r="CO8" s="1453"/>
      <c r="CP8" s="1454"/>
      <c r="CQ8" s="1455"/>
      <c r="CR8"/>
      <c r="CS8"/>
      <c r="CT8"/>
      <c r="CU8"/>
      <c r="CV8"/>
      <c r="CW8"/>
      <c r="CX8"/>
      <c r="CY8"/>
      <c r="CZ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row>
    <row r="9" spans="3:217" ht="7.5" customHeight="1" x14ac:dyDescent="0.25">
      <c r="C9" s="1442"/>
      <c r="D9" s="892"/>
      <c r="E9" s="892"/>
      <c r="F9" s="892"/>
      <c r="G9" s="892"/>
      <c r="H9" s="892"/>
      <c r="I9" s="892"/>
      <c r="J9" s="892"/>
      <c r="K9" s="892"/>
      <c r="L9" s="892"/>
      <c r="M9" s="892"/>
      <c r="N9" s="892"/>
      <c r="O9" s="103"/>
      <c r="P9" s="102"/>
      <c r="Q9" s="102"/>
      <c r="R9" s="104"/>
      <c r="S9" s="1420"/>
      <c r="T9" s="1421"/>
      <c r="U9" s="1421"/>
      <c r="V9" s="1421"/>
      <c r="W9" s="1421"/>
      <c r="X9" s="1421"/>
      <c r="Y9" s="1421"/>
      <c r="Z9" s="1421"/>
      <c r="AA9" s="1421"/>
      <c r="AB9" s="1421"/>
      <c r="AC9" s="1421"/>
      <c r="AD9" s="1421"/>
      <c r="AE9" s="1421"/>
      <c r="AF9" s="1421"/>
      <c r="AG9" s="1421"/>
      <c r="AH9" s="1422"/>
      <c r="AM9" s="111"/>
      <c r="AN9" s="1484" t="s">
        <v>25</v>
      </c>
      <c r="AO9" s="1484"/>
      <c r="AP9" s="1484"/>
      <c r="AQ9" s="1484"/>
      <c r="AR9" s="1484"/>
      <c r="AS9" s="1484"/>
      <c r="AT9" s="1484"/>
      <c r="AU9" s="1484"/>
      <c r="AV9" s="112"/>
      <c r="BA9" s="1450"/>
      <c r="BB9" s="1451"/>
      <c r="BC9" s="1451"/>
      <c r="BD9" s="1451"/>
      <c r="BE9" s="1451"/>
      <c r="BF9" s="1451"/>
      <c r="BG9" s="1451"/>
      <c r="BH9" s="1451"/>
      <c r="BI9" s="1451"/>
      <c r="BJ9" s="1451"/>
      <c r="BK9" s="1451"/>
      <c r="BL9" s="1451"/>
      <c r="BM9" s="1452"/>
      <c r="BN9" s="1380"/>
      <c r="BO9" s="1381"/>
      <c r="BP9" s="1381"/>
      <c r="BQ9" s="1381"/>
      <c r="BR9" s="1381"/>
      <c r="BS9" s="1381"/>
      <c r="BT9" s="1381"/>
      <c r="BU9" s="1381"/>
      <c r="BV9" s="1381"/>
      <c r="BW9" s="1381"/>
      <c r="BX9" s="1381"/>
      <c r="BY9" s="1381"/>
      <c r="BZ9" s="1381"/>
      <c r="CA9" s="1381"/>
      <c r="CB9" s="1381"/>
      <c r="CC9" s="1381"/>
      <c r="CD9" s="1381"/>
      <c r="CE9" s="1381"/>
      <c r="CF9" s="1381"/>
      <c r="CG9" s="1381"/>
      <c r="CH9" s="1381"/>
      <c r="CI9" s="1381"/>
      <c r="CJ9" s="1381"/>
      <c r="CK9" s="1381"/>
      <c r="CL9" s="1381"/>
      <c r="CM9" s="1381"/>
      <c r="CN9" s="1382"/>
      <c r="CO9" s="1453"/>
      <c r="CP9" s="1454"/>
      <c r="CQ9" s="1455"/>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row>
    <row r="10" spans="3:217" ht="7.5" customHeight="1" thickBot="1" x14ac:dyDescent="0.3">
      <c r="C10" s="1442"/>
      <c r="D10" s="892"/>
      <c r="E10" s="892"/>
      <c r="F10" s="892"/>
      <c r="G10" s="892"/>
      <c r="H10" s="892"/>
      <c r="I10" s="892"/>
      <c r="J10" s="892"/>
      <c r="K10" s="892"/>
      <c r="L10" s="892"/>
      <c r="M10" s="892"/>
      <c r="N10" s="892"/>
      <c r="O10" s="103"/>
      <c r="P10" s="102"/>
      <c r="Q10" s="102"/>
      <c r="R10" s="102"/>
      <c r="S10" s="105"/>
      <c r="AM10" s="111"/>
      <c r="AN10" s="1510"/>
      <c r="AO10" s="1510"/>
      <c r="AP10" s="1510"/>
      <c r="AQ10" s="1510"/>
      <c r="AR10" s="1510"/>
      <c r="AS10" s="1510"/>
      <c r="AT10" s="1510"/>
      <c r="AU10" s="1510"/>
      <c r="AV10" s="112"/>
      <c r="BA10" s="1393"/>
      <c r="BB10" s="1394"/>
      <c r="BC10" s="1394"/>
      <c r="BD10" s="1394"/>
      <c r="BE10" s="1394"/>
      <c r="BF10" s="1394"/>
      <c r="BG10" s="1394"/>
      <c r="BH10" s="1394"/>
      <c r="BI10" s="1394"/>
      <c r="BJ10" s="1394"/>
      <c r="BK10" s="1394"/>
      <c r="BL10" s="1394"/>
      <c r="BM10" s="1395"/>
      <c r="BN10" s="1383"/>
      <c r="BO10" s="1384"/>
      <c r="BP10" s="1384"/>
      <c r="BQ10" s="1384"/>
      <c r="BR10" s="1384"/>
      <c r="BS10" s="1384"/>
      <c r="BT10" s="1384"/>
      <c r="BU10" s="1384"/>
      <c r="BV10" s="1384"/>
      <c r="BW10" s="1384"/>
      <c r="BX10" s="1384"/>
      <c r="BY10" s="1384"/>
      <c r="BZ10" s="1384"/>
      <c r="CA10" s="1384"/>
      <c r="CB10" s="1384"/>
      <c r="CC10" s="1384"/>
      <c r="CD10" s="1384"/>
      <c r="CE10" s="1384"/>
      <c r="CF10" s="1384"/>
      <c r="CG10" s="1384"/>
      <c r="CH10" s="1384"/>
      <c r="CI10" s="1384"/>
      <c r="CJ10" s="1384"/>
      <c r="CK10" s="1384"/>
      <c r="CL10" s="1384"/>
      <c r="CM10" s="1384"/>
      <c r="CN10" s="1385"/>
      <c r="CO10" s="1456"/>
      <c r="CP10" s="1457"/>
      <c r="CQ10" s="1458"/>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row>
    <row r="11" spans="3:217" ht="7.5" customHeight="1" x14ac:dyDescent="0.25">
      <c r="C11" s="1442"/>
      <c r="D11" s="892"/>
      <c r="E11" s="892"/>
      <c r="F11" s="892"/>
      <c r="G11" s="892"/>
      <c r="H11" s="892"/>
      <c r="I11" s="892"/>
      <c r="J11" s="892"/>
      <c r="K11" s="892"/>
      <c r="L11" s="892"/>
      <c r="M11" s="892"/>
      <c r="N11" s="892"/>
      <c r="O11" s="103"/>
      <c r="P11" s="102"/>
      <c r="AM11" s="111"/>
      <c r="AN11" s="95"/>
      <c r="AO11" s="95"/>
      <c r="AP11" s="95"/>
      <c r="AQ11" s="95"/>
      <c r="AR11" s="95"/>
      <c r="AS11" s="95"/>
      <c r="AT11" s="95"/>
      <c r="AU11" s="95"/>
      <c r="AV11" s="112"/>
      <c r="BA11" s="1393"/>
      <c r="BB11" s="1394"/>
      <c r="BC11" s="1394"/>
      <c r="BD11" s="1394"/>
      <c r="BE11" s="1394"/>
      <c r="BF11" s="1394"/>
      <c r="BG11" s="1394"/>
      <c r="BH11" s="1394"/>
      <c r="BI11" s="1394"/>
      <c r="BJ11" s="1394"/>
      <c r="BK11" s="1394"/>
      <c r="BL11" s="1394"/>
      <c r="BM11" s="1395"/>
      <c r="BN11" s="1383"/>
      <c r="BO11" s="1384"/>
      <c r="BP11" s="1384"/>
      <c r="BQ11" s="1384"/>
      <c r="BR11" s="1384"/>
      <c r="BS11" s="1384"/>
      <c r="BT11" s="1384"/>
      <c r="BU11" s="1384"/>
      <c r="BV11" s="1384"/>
      <c r="BW11" s="1384"/>
      <c r="BX11" s="1384"/>
      <c r="BY11" s="1384"/>
      <c r="BZ11" s="1384"/>
      <c r="CA11" s="1384"/>
      <c r="CB11" s="1384"/>
      <c r="CC11" s="1384"/>
      <c r="CD11" s="1384"/>
      <c r="CE11" s="1384"/>
      <c r="CF11" s="1384"/>
      <c r="CG11" s="1384"/>
      <c r="CH11" s="1384"/>
      <c r="CI11" s="1384"/>
      <c r="CJ11" s="1384"/>
      <c r="CK11" s="1384"/>
      <c r="CL11" s="1384"/>
      <c r="CM11" s="1384"/>
      <c r="CN11" s="1385"/>
      <c r="CO11" s="1456"/>
      <c r="CP11" s="1457"/>
      <c r="CQ11" s="1458"/>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row>
    <row r="12" spans="3:217" ht="7.5" customHeight="1" x14ac:dyDescent="0.25">
      <c r="C12" s="1442"/>
      <c r="D12" s="892"/>
      <c r="E12" s="892"/>
      <c r="F12" s="892"/>
      <c r="G12" s="892"/>
      <c r="H12" s="892"/>
      <c r="I12" s="892"/>
      <c r="J12" s="892"/>
      <c r="K12" s="892"/>
      <c r="L12" s="892"/>
      <c r="M12" s="892"/>
      <c r="N12" s="892"/>
      <c r="O12" s="103"/>
      <c r="P12" s="102"/>
      <c r="S12" s="1399" t="s">
        <v>30</v>
      </c>
      <c r="T12" s="1400"/>
      <c r="U12" s="1400"/>
      <c r="V12" s="1400"/>
      <c r="W12" s="1400"/>
      <c r="X12" s="1400"/>
      <c r="Y12" s="1400"/>
      <c r="Z12" s="1400"/>
      <c r="AA12" s="1400"/>
      <c r="AB12" s="1400"/>
      <c r="AC12" s="1400"/>
      <c r="AD12" s="1448"/>
      <c r="AE12" s="1361"/>
      <c r="AF12" s="1429"/>
      <c r="AG12" s="1391" t="s">
        <v>428</v>
      </c>
      <c r="AH12" s="1391"/>
      <c r="AM12" s="111"/>
      <c r="AN12" s="1484" t="s">
        <v>436</v>
      </c>
      <c r="AO12" s="1484"/>
      <c r="AP12" s="1484"/>
      <c r="AQ12" s="1484"/>
      <c r="AR12" s="1484"/>
      <c r="AS12" s="1484"/>
      <c r="AT12" s="1484"/>
      <c r="AU12" s="1484"/>
      <c r="AV12" s="112"/>
      <c r="BA12" s="1450"/>
      <c r="BB12" s="1451"/>
      <c r="BC12" s="1451"/>
      <c r="BD12" s="1451"/>
      <c r="BE12" s="1451"/>
      <c r="BF12" s="1451"/>
      <c r="BG12" s="1451"/>
      <c r="BH12" s="1451"/>
      <c r="BI12" s="1451"/>
      <c r="BJ12" s="1451"/>
      <c r="BK12" s="1451"/>
      <c r="BL12" s="1451"/>
      <c r="BM12" s="1452"/>
      <c r="BN12" s="1380"/>
      <c r="BO12" s="1381"/>
      <c r="BP12" s="1381"/>
      <c r="BQ12" s="1381"/>
      <c r="BR12" s="1381"/>
      <c r="BS12" s="1381"/>
      <c r="BT12" s="1381"/>
      <c r="BU12" s="1381"/>
      <c r="BV12" s="1381"/>
      <c r="BW12" s="1381"/>
      <c r="BX12" s="1381"/>
      <c r="BY12" s="1381"/>
      <c r="BZ12" s="1381"/>
      <c r="CA12" s="1381"/>
      <c r="CB12" s="1381"/>
      <c r="CC12" s="1381"/>
      <c r="CD12" s="1381"/>
      <c r="CE12" s="1381"/>
      <c r="CF12" s="1381"/>
      <c r="CG12" s="1381"/>
      <c r="CH12" s="1381"/>
      <c r="CI12" s="1381"/>
      <c r="CJ12" s="1381"/>
      <c r="CK12" s="1381"/>
      <c r="CL12" s="1381"/>
      <c r="CM12" s="1381"/>
      <c r="CN12" s="1382"/>
      <c r="CO12" s="1453"/>
      <c r="CP12" s="1454"/>
      <c r="CQ12" s="1455"/>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row>
    <row r="13" spans="3:217" ht="7.5" customHeight="1" thickBot="1" x14ac:dyDescent="0.3">
      <c r="C13" s="1442"/>
      <c r="D13" s="892"/>
      <c r="E13" s="892"/>
      <c r="F13" s="892"/>
      <c r="G13" s="892"/>
      <c r="H13" s="892"/>
      <c r="I13" s="892"/>
      <c r="J13" s="892"/>
      <c r="K13" s="892"/>
      <c r="L13" s="892"/>
      <c r="M13" s="892"/>
      <c r="N13" s="892"/>
      <c r="O13" s="103"/>
      <c r="P13" s="102"/>
      <c r="S13" s="1402"/>
      <c r="T13" s="1403"/>
      <c r="U13" s="1403"/>
      <c r="V13" s="1403"/>
      <c r="W13" s="1403"/>
      <c r="X13" s="1403"/>
      <c r="Y13" s="1403"/>
      <c r="Z13" s="1403"/>
      <c r="AA13" s="1403"/>
      <c r="AB13" s="1403"/>
      <c r="AC13" s="1403"/>
      <c r="AD13" s="1449"/>
      <c r="AE13" s="1363"/>
      <c r="AF13" s="1430"/>
      <c r="AG13" s="1392"/>
      <c r="AH13" s="1392"/>
      <c r="AM13" s="111"/>
      <c r="AN13" s="1520"/>
      <c r="AO13" s="1520"/>
      <c r="AP13" s="1520"/>
      <c r="AQ13" s="1520"/>
      <c r="AR13" s="1520"/>
      <c r="AS13" s="1520"/>
      <c r="AT13" s="1520"/>
      <c r="AU13" s="1520"/>
      <c r="AV13" s="112"/>
      <c r="BA13" s="1450"/>
      <c r="BB13" s="1451"/>
      <c r="BC13" s="1451"/>
      <c r="BD13" s="1451"/>
      <c r="BE13" s="1451"/>
      <c r="BF13" s="1451"/>
      <c r="BG13" s="1451"/>
      <c r="BH13" s="1451"/>
      <c r="BI13" s="1451"/>
      <c r="BJ13" s="1451"/>
      <c r="BK13" s="1451"/>
      <c r="BL13" s="1451"/>
      <c r="BM13" s="1452"/>
      <c r="BN13" s="1380"/>
      <c r="BO13" s="1381"/>
      <c r="BP13" s="1381"/>
      <c r="BQ13" s="1381"/>
      <c r="BR13" s="1381"/>
      <c r="BS13" s="1381"/>
      <c r="BT13" s="1381"/>
      <c r="BU13" s="1381"/>
      <c r="BV13" s="1381"/>
      <c r="BW13" s="1381"/>
      <c r="BX13" s="1381"/>
      <c r="BY13" s="1381"/>
      <c r="BZ13" s="1381"/>
      <c r="CA13" s="1381"/>
      <c r="CB13" s="1381"/>
      <c r="CC13" s="1381"/>
      <c r="CD13" s="1381"/>
      <c r="CE13" s="1381"/>
      <c r="CF13" s="1381"/>
      <c r="CG13" s="1381"/>
      <c r="CH13" s="1381"/>
      <c r="CI13" s="1381"/>
      <c r="CJ13" s="1381"/>
      <c r="CK13" s="1381"/>
      <c r="CL13" s="1381"/>
      <c r="CM13" s="1381"/>
      <c r="CN13" s="1382"/>
      <c r="CO13" s="1453"/>
      <c r="CP13" s="1454"/>
      <c r="CQ13" s="1455"/>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row>
    <row r="14" spans="3:217" ht="7.5" customHeight="1" x14ac:dyDescent="0.25">
      <c r="C14" s="1442"/>
      <c r="D14" s="892"/>
      <c r="E14" s="892"/>
      <c r="F14" s="892"/>
      <c r="G14" s="892"/>
      <c r="H14" s="892"/>
      <c r="I14" s="892"/>
      <c r="J14" s="892"/>
      <c r="K14" s="892"/>
      <c r="L14" s="892"/>
      <c r="M14" s="892"/>
      <c r="N14" s="892"/>
      <c r="O14" s="103"/>
      <c r="P14" s="102"/>
      <c r="S14" s="1414"/>
      <c r="T14" s="1415"/>
      <c r="U14" s="1415"/>
      <c r="V14" s="1415"/>
      <c r="W14" s="1415"/>
      <c r="X14" s="1415"/>
      <c r="Y14" s="1415"/>
      <c r="Z14" s="1415"/>
      <c r="AA14" s="1415"/>
      <c r="AB14" s="1415"/>
      <c r="AC14" s="1415"/>
      <c r="AD14" s="1415"/>
      <c r="AE14" s="1415"/>
      <c r="AF14" s="1415"/>
      <c r="AG14" s="1415"/>
      <c r="AH14" s="1416"/>
      <c r="AM14" s="111"/>
      <c r="AN14" s="95"/>
      <c r="AO14" s="95"/>
      <c r="AP14" s="95"/>
      <c r="AQ14" s="95"/>
      <c r="AR14" s="95"/>
      <c r="AS14" s="95"/>
      <c r="AT14" s="95"/>
      <c r="AU14" s="95"/>
      <c r="AV14" s="112"/>
      <c r="BA14" s="1393"/>
      <c r="BB14" s="1394"/>
      <c r="BC14" s="1394"/>
      <c r="BD14" s="1394"/>
      <c r="BE14" s="1394"/>
      <c r="BF14" s="1394"/>
      <c r="BG14" s="1394"/>
      <c r="BH14" s="1394"/>
      <c r="BI14" s="1394"/>
      <c r="BJ14" s="1394"/>
      <c r="BK14" s="1394"/>
      <c r="BL14" s="1394"/>
      <c r="BM14" s="1395"/>
      <c r="BN14" s="1383"/>
      <c r="BO14" s="1384"/>
      <c r="BP14" s="1384"/>
      <c r="BQ14" s="1384"/>
      <c r="BR14" s="1384"/>
      <c r="BS14" s="1384"/>
      <c r="BT14" s="1384"/>
      <c r="BU14" s="1384"/>
      <c r="BV14" s="1384"/>
      <c r="BW14" s="1384"/>
      <c r="BX14" s="1384"/>
      <c r="BY14" s="1384"/>
      <c r="BZ14" s="1384"/>
      <c r="CA14" s="1384"/>
      <c r="CB14" s="1384"/>
      <c r="CC14" s="1384"/>
      <c r="CD14" s="1384"/>
      <c r="CE14" s="1384"/>
      <c r="CF14" s="1384"/>
      <c r="CG14" s="1384"/>
      <c r="CH14" s="1384"/>
      <c r="CI14" s="1384"/>
      <c r="CJ14" s="1384"/>
      <c r="CK14" s="1384"/>
      <c r="CL14" s="1384"/>
      <c r="CM14" s="1384"/>
      <c r="CN14" s="1385"/>
      <c r="CO14" s="1456"/>
      <c r="CP14" s="1457"/>
      <c r="CQ14" s="1458"/>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row>
    <row r="15" spans="3:217" ht="7.5" customHeight="1" x14ac:dyDescent="0.25">
      <c r="C15" s="1442"/>
      <c r="D15" s="892"/>
      <c r="E15" s="892"/>
      <c r="F15" s="892"/>
      <c r="G15" s="892"/>
      <c r="H15" s="892"/>
      <c r="I15" s="892"/>
      <c r="J15" s="892"/>
      <c r="K15" s="892"/>
      <c r="L15" s="892"/>
      <c r="M15" s="892"/>
      <c r="N15" s="892"/>
      <c r="O15" s="103"/>
      <c r="P15" s="102"/>
      <c r="S15" s="1417"/>
      <c r="T15" s="1418"/>
      <c r="U15" s="1418"/>
      <c r="V15" s="1418"/>
      <c r="W15" s="1418"/>
      <c r="X15" s="1418"/>
      <c r="Y15" s="1418"/>
      <c r="Z15" s="1418"/>
      <c r="AA15" s="1418"/>
      <c r="AB15" s="1418"/>
      <c r="AC15" s="1418"/>
      <c r="AD15" s="1418"/>
      <c r="AE15" s="1418"/>
      <c r="AF15" s="1418"/>
      <c r="AG15" s="1418"/>
      <c r="AH15" s="1419"/>
      <c r="AM15" s="111"/>
      <c r="AN15" s="1484" t="s">
        <v>39</v>
      </c>
      <c r="AO15" s="1484"/>
      <c r="AP15" s="1484"/>
      <c r="AQ15" s="1484"/>
      <c r="AR15" s="1484"/>
      <c r="AS15" s="1484"/>
      <c r="AT15" s="1484"/>
      <c r="AU15" s="1484"/>
      <c r="AV15" s="112"/>
      <c r="BA15" s="1393"/>
      <c r="BB15" s="1394"/>
      <c r="BC15" s="1394"/>
      <c r="BD15" s="1394"/>
      <c r="BE15" s="1394"/>
      <c r="BF15" s="1394"/>
      <c r="BG15" s="1394"/>
      <c r="BH15" s="1394"/>
      <c r="BI15" s="1394"/>
      <c r="BJ15" s="1394"/>
      <c r="BK15" s="1394"/>
      <c r="BL15" s="1394"/>
      <c r="BM15" s="1395"/>
      <c r="BN15" s="1383"/>
      <c r="BO15" s="1384"/>
      <c r="BP15" s="1384"/>
      <c r="BQ15" s="1384"/>
      <c r="BR15" s="1384"/>
      <c r="BS15" s="1384"/>
      <c r="BT15" s="1384"/>
      <c r="BU15" s="1384"/>
      <c r="BV15" s="1384"/>
      <c r="BW15" s="1384"/>
      <c r="BX15" s="1384"/>
      <c r="BY15" s="1384"/>
      <c r="BZ15" s="1384"/>
      <c r="CA15" s="1384"/>
      <c r="CB15" s="1384"/>
      <c r="CC15" s="1384"/>
      <c r="CD15" s="1384"/>
      <c r="CE15" s="1384"/>
      <c r="CF15" s="1384"/>
      <c r="CG15" s="1384"/>
      <c r="CH15" s="1384"/>
      <c r="CI15" s="1384"/>
      <c r="CJ15" s="1384"/>
      <c r="CK15" s="1384"/>
      <c r="CL15" s="1384"/>
      <c r="CM15" s="1384"/>
      <c r="CN15" s="1385"/>
      <c r="CO15" s="1456"/>
      <c r="CP15" s="1457"/>
      <c r="CQ15" s="1458"/>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row>
    <row r="16" spans="3:217" ht="7.5" customHeight="1" thickBot="1" x14ac:dyDescent="0.3">
      <c r="C16" s="1442"/>
      <c r="D16" s="892"/>
      <c r="E16" s="892"/>
      <c r="F16" s="892"/>
      <c r="G16" s="892"/>
      <c r="H16" s="892"/>
      <c r="I16" s="892"/>
      <c r="J16" s="892"/>
      <c r="K16" s="892"/>
      <c r="L16" s="892"/>
      <c r="M16" s="892"/>
      <c r="N16" s="892"/>
      <c r="O16" s="103"/>
      <c r="P16" s="102"/>
      <c r="S16" s="1417"/>
      <c r="T16" s="1418"/>
      <c r="U16" s="1418"/>
      <c r="V16" s="1418"/>
      <c r="W16" s="1418"/>
      <c r="X16" s="1418"/>
      <c r="Y16" s="1418"/>
      <c r="Z16" s="1418"/>
      <c r="AA16" s="1418"/>
      <c r="AB16" s="1418"/>
      <c r="AC16" s="1418"/>
      <c r="AD16" s="1418"/>
      <c r="AE16" s="1418"/>
      <c r="AF16" s="1418"/>
      <c r="AG16" s="1418"/>
      <c r="AH16" s="1419"/>
      <c r="AM16" s="111"/>
      <c r="AN16" s="1485"/>
      <c r="AO16" s="1485"/>
      <c r="AP16" s="1485"/>
      <c r="AQ16" s="1485"/>
      <c r="AR16" s="1485"/>
      <c r="AS16" s="1485"/>
      <c r="AT16" s="1485"/>
      <c r="AU16" s="1485"/>
      <c r="AV16" s="112"/>
      <c r="BA16" s="1450"/>
      <c r="BB16" s="1451"/>
      <c r="BC16" s="1451"/>
      <c r="BD16" s="1451"/>
      <c r="BE16" s="1451"/>
      <c r="BF16" s="1451"/>
      <c r="BG16" s="1451"/>
      <c r="BH16" s="1451"/>
      <c r="BI16" s="1451"/>
      <c r="BJ16" s="1451"/>
      <c r="BK16" s="1451"/>
      <c r="BL16" s="1451"/>
      <c r="BM16" s="1452"/>
      <c r="BN16" s="1380"/>
      <c r="BO16" s="1381"/>
      <c r="BP16" s="1381"/>
      <c r="BQ16" s="1381"/>
      <c r="BR16" s="1381"/>
      <c r="BS16" s="1381"/>
      <c r="BT16" s="1381"/>
      <c r="BU16" s="1381"/>
      <c r="BV16" s="1381"/>
      <c r="BW16" s="1381"/>
      <c r="BX16" s="1381"/>
      <c r="BY16" s="1381"/>
      <c r="BZ16" s="1381"/>
      <c r="CA16" s="1381"/>
      <c r="CB16" s="1381"/>
      <c r="CC16" s="1381"/>
      <c r="CD16" s="1381"/>
      <c r="CE16" s="1381"/>
      <c r="CF16" s="1381"/>
      <c r="CG16" s="1381"/>
      <c r="CH16" s="1381"/>
      <c r="CI16" s="1381"/>
      <c r="CJ16" s="1381"/>
      <c r="CK16" s="1381"/>
      <c r="CL16" s="1381"/>
      <c r="CM16" s="1381"/>
      <c r="CN16" s="1382"/>
      <c r="CO16" s="1453"/>
      <c r="CP16" s="1454"/>
      <c r="CQ16" s="1455"/>
      <c r="CR16"/>
      <c r="CS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row>
    <row r="17" spans="3:217" ht="7.5" customHeight="1" x14ac:dyDescent="0.25">
      <c r="C17" s="1473"/>
      <c r="D17" s="1532"/>
      <c r="E17" s="1532"/>
      <c r="F17" s="1532"/>
      <c r="G17" s="1532"/>
      <c r="H17" s="1532"/>
      <c r="I17" s="1532"/>
      <c r="J17" s="1532"/>
      <c r="K17" s="1532"/>
      <c r="L17" s="1532"/>
      <c r="M17" s="1532"/>
      <c r="N17" s="1532"/>
      <c r="O17" s="103"/>
      <c r="P17" s="102"/>
      <c r="S17" s="1417"/>
      <c r="T17" s="1418"/>
      <c r="U17" s="1418"/>
      <c r="V17" s="1418"/>
      <c r="W17" s="1418"/>
      <c r="X17" s="1418"/>
      <c r="Y17" s="1418"/>
      <c r="Z17" s="1418"/>
      <c r="AA17" s="1418"/>
      <c r="AB17" s="1418"/>
      <c r="AC17" s="1418"/>
      <c r="AD17" s="1418"/>
      <c r="AE17" s="1418"/>
      <c r="AF17" s="1418"/>
      <c r="AG17" s="1418"/>
      <c r="AH17" s="1419"/>
      <c r="AM17" s="111"/>
      <c r="AN17" s="95"/>
      <c r="AO17" s="95"/>
      <c r="AP17" s="95"/>
      <c r="AQ17" s="95"/>
      <c r="AR17" s="95"/>
      <c r="AS17" s="95"/>
      <c r="AT17" s="95"/>
      <c r="AU17" s="95"/>
      <c r="AV17" s="112"/>
      <c r="BA17" s="1450"/>
      <c r="BB17" s="1451"/>
      <c r="BC17" s="1451"/>
      <c r="BD17" s="1451"/>
      <c r="BE17" s="1451"/>
      <c r="BF17" s="1451"/>
      <c r="BG17" s="1451"/>
      <c r="BH17" s="1451"/>
      <c r="BI17" s="1451"/>
      <c r="BJ17" s="1451"/>
      <c r="BK17" s="1451"/>
      <c r="BL17" s="1451"/>
      <c r="BM17" s="1452"/>
      <c r="BN17" s="1380"/>
      <c r="BO17" s="1381"/>
      <c r="BP17" s="1381"/>
      <c r="BQ17" s="1381"/>
      <c r="BR17" s="1381"/>
      <c r="BS17" s="1381"/>
      <c r="BT17" s="1381"/>
      <c r="BU17" s="1381"/>
      <c r="BV17" s="1381"/>
      <c r="BW17" s="1381"/>
      <c r="BX17" s="1381"/>
      <c r="BY17" s="1381"/>
      <c r="BZ17" s="1381"/>
      <c r="CA17" s="1381"/>
      <c r="CB17" s="1381"/>
      <c r="CC17" s="1381"/>
      <c r="CD17" s="1381"/>
      <c r="CE17" s="1381"/>
      <c r="CF17" s="1381"/>
      <c r="CG17" s="1381"/>
      <c r="CH17" s="1381"/>
      <c r="CI17" s="1381"/>
      <c r="CJ17" s="1381"/>
      <c r="CK17" s="1381"/>
      <c r="CL17" s="1381"/>
      <c r="CM17" s="1381"/>
      <c r="CN17" s="1382"/>
      <c r="CO17" s="1453"/>
      <c r="CP17" s="1454"/>
      <c r="CQ17" s="1455"/>
      <c r="CR17"/>
      <c r="CS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row>
    <row r="18" spans="3:217" ht="7.5" customHeight="1" thickBot="1" x14ac:dyDescent="0.3">
      <c r="S18" s="1417"/>
      <c r="T18" s="1418"/>
      <c r="U18" s="1418"/>
      <c r="V18" s="1418"/>
      <c r="W18" s="1418"/>
      <c r="X18" s="1418"/>
      <c r="Y18" s="1418"/>
      <c r="Z18" s="1418"/>
      <c r="AA18" s="1418"/>
      <c r="AB18" s="1418"/>
      <c r="AC18" s="1418"/>
      <c r="AD18" s="1418"/>
      <c r="AE18" s="1418"/>
      <c r="AF18" s="1418"/>
      <c r="AG18" s="1418"/>
      <c r="AH18" s="1419"/>
      <c r="AM18" s="113"/>
      <c r="AN18" s="114"/>
      <c r="AO18" s="114"/>
      <c r="AP18" s="114"/>
      <c r="AQ18" s="114"/>
      <c r="AR18" s="114"/>
      <c r="AS18" s="114"/>
      <c r="AT18" s="114"/>
      <c r="AU18" s="114"/>
      <c r="AV18" s="115"/>
      <c r="BA18" s="1393"/>
      <c r="BB18" s="1394"/>
      <c r="BC18" s="1394"/>
      <c r="BD18" s="1394"/>
      <c r="BE18" s="1394"/>
      <c r="BF18" s="1394"/>
      <c r="BG18" s="1394"/>
      <c r="BH18" s="1394"/>
      <c r="BI18" s="1394"/>
      <c r="BJ18" s="1394"/>
      <c r="BK18" s="1394"/>
      <c r="BL18" s="1394"/>
      <c r="BM18" s="1395"/>
      <c r="BN18" s="1383"/>
      <c r="BO18" s="1384"/>
      <c r="BP18" s="1384"/>
      <c r="BQ18" s="1384"/>
      <c r="BR18" s="1384"/>
      <c r="BS18" s="1384"/>
      <c r="BT18" s="1384"/>
      <c r="BU18" s="1384"/>
      <c r="BV18" s="1384"/>
      <c r="BW18" s="1384"/>
      <c r="BX18" s="1384"/>
      <c r="BY18" s="1384"/>
      <c r="BZ18" s="1384"/>
      <c r="CA18" s="1384"/>
      <c r="CB18" s="1384"/>
      <c r="CC18" s="1384"/>
      <c r="CD18" s="1384"/>
      <c r="CE18" s="1384"/>
      <c r="CF18" s="1384"/>
      <c r="CG18" s="1384"/>
      <c r="CH18" s="1384"/>
      <c r="CI18" s="1384"/>
      <c r="CJ18" s="1384"/>
      <c r="CK18" s="1384"/>
      <c r="CL18" s="1384"/>
      <c r="CM18" s="1384"/>
      <c r="CN18" s="1385"/>
      <c r="CO18" s="1456"/>
      <c r="CP18" s="1457"/>
      <c r="CQ18" s="145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row>
    <row r="19" spans="3:217" ht="7.5" customHeight="1" x14ac:dyDescent="0.25">
      <c r="S19" s="1417"/>
      <c r="T19" s="1418"/>
      <c r="U19" s="1418"/>
      <c r="V19" s="1418"/>
      <c r="W19" s="1418"/>
      <c r="X19" s="1418"/>
      <c r="Y19" s="1418"/>
      <c r="Z19" s="1418"/>
      <c r="AA19" s="1418"/>
      <c r="AB19" s="1418"/>
      <c r="AC19" s="1418"/>
      <c r="AD19" s="1418"/>
      <c r="AE19" s="1418"/>
      <c r="AF19" s="1418"/>
      <c r="AG19" s="1418"/>
      <c r="AH19" s="1419"/>
      <c r="BA19" s="1393"/>
      <c r="BB19" s="1394"/>
      <c r="BC19" s="1394"/>
      <c r="BD19" s="1394"/>
      <c r="BE19" s="1394"/>
      <c r="BF19" s="1394"/>
      <c r="BG19" s="1394"/>
      <c r="BH19" s="1394"/>
      <c r="BI19" s="1394"/>
      <c r="BJ19" s="1394"/>
      <c r="BK19" s="1394"/>
      <c r="BL19" s="1394"/>
      <c r="BM19" s="1395"/>
      <c r="BN19" s="1383"/>
      <c r="BO19" s="1384"/>
      <c r="BP19" s="1384"/>
      <c r="BQ19" s="1384"/>
      <c r="BR19" s="1384"/>
      <c r="BS19" s="1384"/>
      <c r="BT19" s="1384"/>
      <c r="BU19" s="1384"/>
      <c r="BV19" s="1384"/>
      <c r="BW19" s="1384"/>
      <c r="BX19" s="1384"/>
      <c r="BY19" s="1384"/>
      <c r="BZ19" s="1384"/>
      <c r="CA19" s="1384"/>
      <c r="CB19" s="1384"/>
      <c r="CC19" s="1384"/>
      <c r="CD19" s="1384"/>
      <c r="CE19" s="1384"/>
      <c r="CF19" s="1384"/>
      <c r="CG19" s="1384"/>
      <c r="CH19" s="1384"/>
      <c r="CI19" s="1384"/>
      <c r="CJ19" s="1384"/>
      <c r="CK19" s="1384"/>
      <c r="CL19" s="1384"/>
      <c r="CM19" s="1384"/>
      <c r="CN19" s="1385"/>
      <c r="CO19" s="1456"/>
      <c r="CP19" s="1457"/>
      <c r="CQ19" s="1458"/>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row>
    <row r="20" spans="3:217" ht="7.5" customHeight="1" x14ac:dyDescent="0.25">
      <c r="S20" s="1420"/>
      <c r="T20" s="1421"/>
      <c r="U20" s="1421"/>
      <c r="V20" s="1421"/>
      <c r="W20" s="1421"/>
      <c r="X20" s="1421"/>
      <c r="Y20" s="1421"/>
      <c r="Z20" s="1421"/>
      <c r="AA20" s="1421"/>
      <c r="AB20" s="1421"/>
      <c r="AC20" s="1421"/>
      <c r="AD20" s="1421"/>
      <c r="AE20" s="1421"/>
      <c r="AF20" s="1421"/>
      <c r="AG20" s="1421"/>
      <c r="AH20" s="1422"/>
      <c r="BA20" s="1450"/>
      <c r="BB20" s="1451"/>
      <c r="BC20" s="1451"/>
      <c r="BD20" s="1451"/>
      <c r="BE20" s="1451"/>
      <c r="BF20" s="1451"/>
      <c r="BG20" s="1451"/>
      <c r="BH20" s="1451"/>
      <c r="BI20" s="1451"/>
      <c r="BJ20" s="1451"/>
      <c r="BK20" s="1451"/>
      <c r="BL20" s="1451"/>
      <c r="BM20" s="1452"/>
      <c r="BN20" s="1380"/>
      <c r="BO20" s="1381"/>
      <c r="BP20" s="1381"/>
      <c r="BQ20" s="1381"/>
      <c r="BR20" s="1381"/>
      <c r="BS20" s="1381"/>
      <c r="BT20" s="1381"/>
      <c r="BU20" s="1381"/>
      <c r="BV20" s="1381"/>
      <c r="BW20" s="1381"/>
      <c r="BX20" s="1381"/>
      <c r="BY20" s="1381"/>
      <c r="BZ20" s="1381"/>
      <c r="CA20" s="1381"/>
      <c r="CB20" s="1381"/>
      <c r="CC20" s="1381"/>
      <c r="CD20" s="1381"/>
      <c r="CE20" s="1381"/>
      <c r="CF20" s="1381"/>
      <c r="CG20" s="1381"/>
      <c r="CH20" s="1381"/>
      <c r="CI20" s="1381"/>
      <c r="CJ20" s="1381"/>
      <c r="CK20" s="1381"/>
      <c r="CL20" s="1381"/>
      <c r="CM20" s="1381"/>
      <c r="CN20" s="1382"/>
      <c r="CO20" s="1453"/>
      <c r="CP20" s="1454"/>
      <c r="CQ20" s="1455"/>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row>
    <row r="21" spans="3:217" ht="7.5" customHeight="1" x14ac:dyDescent="0.25">
      <c r="BA21" s="1450"/>
      <c r="BB21" s="1451"/>
      <c r="BC21" s="1451"/>
      <c r="BD21" s="1451"/>
      <c r="BE21" s="1451"/>
      <c r="BF21" s="1451"/>
      <c r="BG21" s="1451"/>
      <c r="BH21" s="1451"/>
      <c r="BI21" s="1451"/>
      <c r="BJ21" s="1451"/>
      <c r="BK21" s="1451"/>
      <c r="BL21" s="1451"/>
      <c r="BM21" s="1452"/>
      <c r="BN21" s="1380"/>
      <c r="BO21" s="1381"/>
      <c r="BP21" s="1381"/>
      <c r="BQ21" s="1381"/>
      <c r="BR21" s="1381"/>
      <c r="BS21" s="1381"/>
      <c r="BT21" s="1381"/>
      <c r="BU21" s="1381"/>
      <c r="BV21" s="1381"/>
      <c r="BW21" s="1381"/>
      <c r="BX21" s="1381"/>
      <c r="BY21" s="1381"/>
      <c r="BZ21" s="1381"/>
      <c r="CA21" s="1381"/>
      <c r="CB21" s="1381"/>
      <c r="CC21" s="1381"/>
      <c r="CD21" s="1381"/>
      <c r="CE21" s="1381"/>
      <c r="CF21" s="1381"/>
      <c r="CG21" s="1381"/>
      <c r="CH21" s="1381"/>
      <c r="CI21" s="1381"/>
      <c r="CJ21" s="1381"/>
      <c r="CK21" s="1381"/>
      <c r="CL21" s="1381"/>
      <c r="CM21" s="1381"/>
      <c r="CN21" s="1382"/>
      <c r="CO21" s="1453"/>
      <c r="CP21" s="1454"/>
      <c r="CQ21" s="1455"/>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row>
    <row r="22" spans="3:217" ht="7.5" customHeight="1" x14ac:dyDescent="0.25">
      <c r="R22" s="305"/>
      <c r="BA22" s="1393"/>
      <c r="BB22" s="1394"/>
      <c r="BC22" s="1394"/>
      <c r="BD22" s="1394"/>
      <c r="BE22" s="1394"/>
      <c r="BF22" s="1394"/>
      <c r="BG22" s="1394"/>
      <c r="BH22" s="1394"/>
      <c r="BI22" s="1394"/>
      <c r="BJ22" s="1394"/>
      <c r="BK22" s="1394"/>
      <c r="BL22" s="1394"/>
      <c r="BM22" s="1395"/>
      <c r="BN22" s="1383"/>
      <c r="BO22" s="1384"/>
      <c r="BP22" s="1384"/>
      <c r="BQ22" s="1384"/>
      <c r="BR22" s="1384"/>
      <c r="BS22" s="1384"/>
      <c r="BT22" s="1384"/>
      <c r="BU22" s="1384"/>
      <c r="BV22" s="1384"/>
      <c r="BW22" s="1384"/>
      <c r="BX22" s="1384"/>
      <c r="BY22" s="1384"/>
      <c r="BZ22" s="1384"/>
      <c r="CA22" s="1384"/>
      <c r="CB22" s="1384"/>
      <c r="CC22" s="1384"/>
      <c r="CD22" s="1384"/>
      <c r="CE22" s="1384"/>
      <c r="CF22" s="1384"/>
      <c r="CG22" s="1384"/>
      <c r="CH22" s="1384"/>
      <c r="CI22" s="1384"/>
      <c r="CJ22" s="1384"/>
      <c r="CK22" s="1384"/>
      <c r="CL22" s="1384"/>
      <c r="CM22" s="1384"/>
      <c r="CN22" s="1385"/>
      <c r="CO22" s="1456"/>
      <c r="CP22" s="1457"/>
      <c r="CQ22" s="1458"/>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row>
    <row r="23" spans="3:217" ht="7.5" customHeight="1" x14ac:dyDescent="0.25">
      <c r="R23" s="306"/>
      <c r="S23" s="1399" t="s">
        <v>556</v>
      </c>
      <c r="T23" s="1400"/>
      <c r="U23" s="1400"/>
      <c r="V23" s="1400"/>
      <c r="W23" s="1400"/>
      <c r="X23" s="1400"/>
      <c r="Y23" s="1400"/>
      <c r="Z23" s="1400"/>
      <c r="AA23" s="1400"/>
      <c r="AB23" s="1400"/>
      <c r="AC23" s="1400"/>
      <c r="AD23" s="1448"/>
      <c r="AE23" s="1516">
        <v>17.5</v>
      </c>
      <c r="AF23" s="1517"/>
      <c r="AG23" s="1391" t="s">
        <v>428</v>
      </c>
      <c r="AH23" s="1391"/>
      <c r="BA23" s="1393"/>
      <c r="BB23" s="1394"/>
      <c r="BC23" s="1394"/>
      <c r="BD23" s="1394"/>
      <c r="BE23" s="1394"/>
      <c r="BF23" s="1394"/>
      <c r="BG23" s="1394"/>
      <c r="BH23" s="1394"/>
      <c r="BI23" s="1394"/>
      <c r="BJ23" s="1394"/>
      <c r="BK23" s="1394"/>
      <c r="BL23" s="1394"/>
      <c r="BM23" s="1395"/>
      <c r="BN23" s="1383"/>
      <c r="BO23" s="1384"/>
      <c r="BP23" s="1384"/>
      <c r="BQ23" s="1384"/>
      <c r="BR23" s="1384"/>
      <c r="BS23" s="1384"/>
      <c r="BT23" s="1384"/>
      <c r="BU23" s="1384"/>
      <c r="BV23" s="1384"/>
      <c r="BW23" s="1384"/>
      <c r="BX23" s="1384"/>
      <c r="BY23" s="1384"/>
      <c r="BZ23" s="1384"/>
      <c r="CA23" s="1384"/>
      <c r="CB23" s="1384"/>
      <c r="CC23" s="1384"/>
      <c r="CD23" s="1384"/>
      <c r="CE23" s="1384"/>
      <c r="CF23" s="1384"/>
      <c r="CG23" s="1384"/>
      <c r="CH23" s="1384"/>
      <c r="CI23" s="1384"/>
      <c r="CJ23" s="1384"/>
      <c r="CK23" s="1384"/>
      <c r="CL23" s="1384"/>
      <c r="CM23" s="1384"/>
      <c r="CN23" s="1385"/>
      <c r="CO23" s="1456"/>
      <c r="CP23" s="1457"/>
      <c r="CQ23" s="1458"/>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row>
    <row r="24" spans="3:217" ht="7.5" customHeight="1" x14ac:dyDescent="0.25">
      <c r="R24"/>
      <c r="S24" s="1402"/>
      <c r="T24" s="1403"/>
      <c r="U24" s="1403"/>
      <c r="V24" s="1403"/>
      <c r="W24" s="1403"/>
      <c r="X24" s="1403"/>
      <c r="Y24" s="1403"/>
      <c r="Z24" s="1403"/>
      <c r="AA24" s="1403"/>
      <c r="AB24" s="1403"/>
      <c r="AC24" s="1403"/>
      <c r="AD24" s="1449"/>
      <c r="AE24" s="1518"/>
      <c r="AF24" s="1519"/>
      <c r="AG24" s="1392"/>
      <c r="AH24" s="1392"/>
      <c r="BA24" s="1450"/>
      <c r="BB24" s="1451"/>
      <c r="BC24" s="1451"/>
      <c r="BD24" s="1451"/>
      <c r="BE24" s="1451"/>
      <c r="BF24" s="1451"/>
      <c r="BG24" s="1451"/>
      <c r="BH24" s="1451"/>
      <c r="BI24" s="1451"/>
      <c r="BJ24" s="1451"/>
      <c r="BK24" s="1451"/>
      <c r="BL24" s="1451"/>
      <c r="BM24" s="1452"/>
      <c r="BN24" s="1380"/>
      <c r="BO24" s="1381"/>
      <c r="BP24" s="1381"/>
      <c r="BQ24" s="1381"/>
      <c r="BR24" s="1381"/>
      <c r="BS24" s="1381"/>
      <c r="BT24" s="1381"/>
      <c r="BU24" s="1381"/>
      <c r="BV24" s="1381"/>
      <c r="BW24" s="1381"/>
      <c r="BX24" s="1381"/>
      <c r="BY24" s="1381"/>
      <c r="BZ24" s="1381"/>
      <c r="CA24" s="1381"/>
      <c r="CB24" s="1381"/>
      <c r="CC24" s="1381"/>
      <c r="CD24" s="1381"/>
      <c r="CE24" s="1381"/>
      <c r="CF24" s="1381"/>
      <c r="CG24" s="1381"/>
      <c r="CH24" s="1381"/>
      <c r="CI24" s="1381"/>
      <c r="CJ24" s="1381"/>
      <c r="CK24" s="1381"/>
      <c r="CL24" s="1381"/>
      <c r="CM24" s="1381"/>
      <c r="CN24" s="1382"/>
      <c r="CO24" s="1453"/>
      <c r="CP24" s="1454"/>
      <c r="CQ24" s="1515"/>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row>
    <row r="25" spans="3:217" ht="7.5" customHeight="1" x14ac:dyDescent="0.25">
      <c r="R25"/>
      <c r="S25" s="1521"/>
      <c r="T25" s="1522"/>
      <c r="U25" s="1522"/>
      <c r="V25" s="1522"/>
      <c r="W25" s="1522"/>
      <c r="X25" s="1522"/>
      <c r="Y25" s="1522"/>
      <c r="Z25" s="1522"/>
      <c r="AA25" s="1522"/>
      <c r="AB25" s="1522"/>
      <c r="AC25" s="1522"/>
      <c r="AD25" s="1522"/>
      <c r="AE25" s="1522"/>
      <c r="AF25" s="1522"/>
      <c r="AG25" s="1522"/>
      <c r="AH25" s="1523"/>
      <c r="BA25" s="1450"/>
      <c r="BB25" s="1451"/>
      <c r="BC25" s="1451"/>
      <c r="BD25" s="1451"/>
      <c r="BE25" s="1451"/>
      <c r="BF25" s="1451"/>
      <c r="BG25" s="1451"/>
      <c r="BH25" s="1451"/>
      <c r="BI25" s="1451"/>
      <c r="BJ25" s="1451"/>
      <c r="BK25" s="1451"/>
      <c r="BL25" s="1451"/>
      <c r="BM25" s="1452"/>
      <c r="BN25" s="1380"/>
      <c r="BO25" s="1381"/>
      <c r="BP25" s="1381"/>
      <c r="BQ25" s="1381"/>
      <c r="BR25" s="1381"/>
      <c r="BS25" s="1381"/>
      <c r="BT25" s="1381"/>
      <c r="BU25" s="1381"/>
      <c r="BV25" s="1381"/>
      <c r="BW25" s="1381"/>
      <c r="BX25" s="1381"/>
      <c r="BY25" s="1381"/>
      <c r="BZ25" s="1381"/>
      <c r="CA25" s="1381"/>
      <c r="CB25" s="1381"/>
      <c r="CC25" s="1381"/>
      <c r="CD25" s="1381"/>
      <c r="CE25" s="1381"/>
      <c r="CF25" s="1381"/>
      <c r="CG25" s="1381"/>
      <c r="CH25" s="1381"/>
      <c r="CI25" s="1381"/>
      <c r="CJ25" s="1381"/>
      <c r="CK25" s="1381"/>
      <c r="CL25" s="1381"/>
      <c r="CM25" s="1381"/>
      <c r="CN25" s="1382"/>
      <c r="CO25" s="1453"/>
      <c r="CP25" s="1454"/>
      <c r="CQ25" s="151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row>
    <row r="26" spans="3:217" ht="7.5" customHeight="1" x14ac:dyDescent="0.25">
      <c r="C26" s="1399" t="s">
        <v>35</v>
      </c>
      <c r="D26" s="1400"/>
      <c r="E26" s="1400"/>
      <c r="F26" s="1400"/>
      <c r="G26" s="1400"/>
      <c r="H26" s="1400"/>
      <c r="I26" s="1400"/>
      <c r="J26" s="1400"/>
      <c r="K26" s="1400"/>
      <c r="L26" s="1400"/>
      <c r="M26" s="1400"/>
      <c r="N26" s="1400"/>
      <c r="O26" s="1391"/>
      <c r="P26" s="1391"/>
      <c r="R26"/>
      <c r="S26" s="1524"/>
      <c r="T26" s="1525"/>
      <c r="U26" s="1525"/>
      <c r="V26" s="1525"/>
      <c r="W26" s="1525"/>
      <c r="X26" s="1525"/>
      <c r="Y26" s="1525"/>
      <c r="Z26" s="1525"/>
      <c r="AA26" s="1525"/>
      <c r="AB26" s="1525"/>
      <c r="AC26" s="1525"/>
      <c r="AD26" s="1525"/>
      <c r="AE26" s="1525"/>
      <c r="AF26" s="1525"/>
      <c r="AG26" s="1525"/>
      <c r="AH26" s="1526"/>
      <c r="AK26" s="1399" t="s">
        <v>96</v>
      </c>
      <c r="AL26" s="1400"/>
      <c r="AM26" s="1400"/>
      <c r="AN26" s="1400"/>
      <c r="AO26" s="1400"/>
      <c r="AP26" s="1400"/>
      <c r="AQ26" s="1400"/>
      <c r="AR26" s="1400"/>
      <c r="AS26" s="1400"/>
      <c r="AT26" s="1401"/>
      <c r="AU26" s="1396"/>
      <c r="AV26" s="1397"/>
      <c r="AW26" s="1391" t="s">
        <v>428</v>
      </c>
      <c r="AX26" s="1391"/>
      <c r="BA26" s="1393"/>
      <c r="BB26" s="1394"/>
      <c r="BC26" s="1394"/>
      <c r="BD26" s="1394"/>
      <c r="BE26" s="1394"/>
      <c r="BF26" s="1394"/>
      <c r="BG26" s="1394"/>
      <c r="BH26" s="1394"/>
      <c r="BI26" s="1394"/>
      <c r="BJ26" s="1394"/>
      <c r="BK26" s="1394"/>
      <c r="BL26" s="1394"/>
      <c r="BM26" s="1395"/>
      <c r="BN26" s="1383"/>
      <c r="BO26" s="1384"/>
      <c r="BP26" s="1384"/>
      <c r="BQ26" s="1384"/>
      <c r="BR26" s="1384"/>
      <c r="BS26" s="1384"/>
      <c r="BT26" s="1384"/>
      <c r="BU26" s="1384"/>
      <c r="BV26" s="1384"/>
      <c r="BW26" s="1384"/>
      <c r="BX26" s="1384"/>
      <c r="BY26" s="1384"/>
      <c r="BZ26" s="1384"/>
      <c r="CA26" s="1384"/>
      <c r="CB26" s="1384"/>
      <c r="CC26" s="1384"/>
      <c r="CD26" s="1384"/>
      <c r="CE26" s="1384"/>
      <c r="CF26" s="1384"/>
      <c r="CG26" s="1384"/>
      <c r="CH26" s="1384"/>
      <c r="CI26" s="1384"/>
      <c r="CJ26" s="1384"/>
      <c r="CK26" s="1384"/>
      <c r="CL26" s="1384"/>
      <c r="CM26" s="1384"/>
      <c r="CN26" s="1385"/>
      <c r="CO26" s="1456"/>
      <c r="CP26" s="1457"/>
      <c r="CQ26" s="1458"/>
      <c r="CR26"/>
      <c r="CS26"/>
      <c r="CT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row>
    <row r="27" spans="3:217" ht="7.5" customHeight="1" x14ac:dyDescent="0.25">
      <c r="C27" s="1402"/>
      <c r="D27" s="1403"/>
      <c r="E27" s="1403"/>
      <c r="F27" s="1403"/>
      <c r="G27" s="1403"/>
      <c r="H27" s="1403"/>
      <c r="I27" s="1403"/>
      <c r="J27" s="1403"/>
      <c r="K27" s="1403"/>
      <c r="L27" s="1403"/>
      <c r="M27" s="1403"/>
      <c r="N27" s="1403"/>
      <c r="O27" s="1392"/>
      <c r="P27" s="1392"/>
      <c r="R27"/>
      <c r="S27" s="1524"/>
      <c r="T27" s="1525"/>
      <c r="U27" s="1525"/>
      <c r="V27" s="1525"/>
      <c r="W27" s="1525"/>
      <c r="X27" s="1525"/>
      <c r="Y27" s="1525"/>
      <c r="Z27" s="1525"/>
      <c r="AA27" s="1525"/>
      <c r="AB27" s="1525"/>
      <c r="AC27" s="1525"/>
      <c r="AD27" s="1525"/>
      <c r="AE27" s="1525"/>
      <c r="AF27" s="1525"/>
      <c r="AG27" s="1525"/>
      <c r="AH27" s="1526"/>
      <c r="AK27" s="1402"/>
      <c r="AL27" s="1403"/>
      <c r="AM27" s="1403"/>
      <c r="AN27" s="1403"/>
      <c r="AO27" s="1403"/>
      <c r="AP27" s="1403"/>
      <c r="AQ27" s="1403"/>
      <c r="AR27" s="1403"/>
      <c r="AS27" s="1403"/>
      <c r="AT27" s="1404"/>
      <c r="AU27" s="1398"/>
      <c r="AV27" s="1364"/>
      <c r="AW27" s="1392"/>
      <c r="AX27" s="1392"/>
      <c r="BA27" s="1393"/>
      <c r="BB27" s="1394"/>
      <c r="BC27" s="1394"/>
      <c r="BD27" s="1394"/>
      <c r="BE27" s="1394"/>
      <c r="BF27" s="1394"/>
      <c r="BG27" s="1394"/>
      <c r="BH27" s="1394"/>
      <c r="BI27" s="1394"/>
      <c r="BJ27" s="1394"/>
      <c r="BK27" s="1394"/>
      <c r="BL27" s="1394"/>
      <c r="BM27" s="1395"/>
      <c r="BN27" s="1383"/>
      <c r="BO27" s="1384"/>
      <c r="BP27" s="1384"/>
      <c r="BQ27" s="1384"/>
      <c r="BR27" s="1384"/>
      <c r="BS27" s="1384"/>
      <c r="BT27" s="1384"/>
      <c r="BU27" s="1384"/>
      <c r="BV27" s="1384"/>
      <c r="BW27" s="1384"/>
      <c r="BX27" s="1384"/>
      <c r="BY27" s="1384"/>
      <c r="BZ27" s="1384"/>
      <c r="CA27" s="1384"/>
      <c r="CB27" s="1384"/>
      <c r="CC27" s="1384"/>
      <c r="CD27" s="1384"/>
      <c r="CE27" s="1384"/>
      <c r="CF27" s="1384"/>
      <c r="CG27" s="1384"/>
      <c r="CH27" s="1384"/>
      <c r="CI27" s="1384"/>
      <c r="CJ27" s="1384"/>
      <c r="CK27" s="1384"/>
      <c r="CL27" s="1384"/>
      <c r="CM27" s="1384"/>
      <c r="CN27" s="1385"/>
      <c r="CO27" s="1456"/>
      <c r="CP27" s="1457"/>
      <c r="CQ27" s="1458"/>
      <c r="CR27"/>
      <c r="CS27"/>
      <c r="CT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row>
    <row r="28" spans="3:217" ht="7.5" customHeight="1" x14ac:dyDescent="0.25">
      <c r="C28" s="1405"/>
      <c r="D28" s="1406"/>
      <c r="E28" s="1406"/>
      <c r="F28" s="1406"/>
      <c r="G28" s="1406"/>
      <c r="H28" s="1406"/>
      <c r="I28" s="1406"/>
      <c r="J28" s="1406"/>
      <c r="K28" s="1406"/>
      <c r="L28" s="1406"/>
      <c r="M28" s="1406"/>
      <c r="N28" s="1406"/>
      <c r="O28" s="1406"/>
      <c r="P28" s="1407"/>
      <c r="R28"/>
      <c r="S28" s="1524"/>
      <c r="T28" s="1525"/>
      <c r="U28" s="1525"/>
      <c r="V28" s="1525"/>
      <c r="W28" s="1525"/>
      <c r="X28" s="1525"/>
      <c r="Y28" s="1525"/>
      <c r="Z28" s="1525"/>
      <c r="AA28" s="1525"/>
      <c r="AB28" s="1525"/>
      <c r="AC28" s="1525"/>
      <c r="AD28" s="1525"/>
      <c r="AE28" s="1525"/>
      <c r="AF28" s="1525"/>
      <c r="AG28" s="1525"/>
      <c r="AH28" s="1526"/>
      <c r="AK28" s="1405"/>
      <c r="AL28" s="1406"/>
      <c r="AM28" s="1406"/>
      <c r="AN28" s="1406"/>
      <c r="AO28" s="1406"/>
      <c r="AP28" s="1406"/>
      <c r="AQ28" s="1406"/>
      <c r="AR28" s="1406"/>
      <c r="AS28" s="1406"/>
      <c r="AT28" s="1406"/>
      <c r="AU28" s="1406"/>
      <c r="AV28" s="1406"/>
      <c r="AW28" s="1406"/>
      <c r="AX28" s="1407"/>
      <c r="BA28" s="1450"/>
      <c r="BB28" s="1451"/>
      <c r="BC28" s="1451"/>
      <c r="BD28" s="1451"/>
      <c r="BE28" s="1451"/>
      <c r="BF28" s="1451"/>
      <c r="BG28" s="1451"/>
      <c r="BH28" s="1451"/>
      <c r="BI28" s="1451"/>
      <c r="BJ28" s="1451"/>
      <c r="BK28" s="1451"/>
      <c r="BL28" s="1451"/>
      <c r="BM28" s="1452"/>
      <c r="BN28" s="1380"/>
      <c r="BO28" s="1381"/>
      <c r="BP28" s="1381"/>
      <c r="BQ28" s="1381"/>
      <c r="BR28" s="1381"/>
      <c r="BS28" s="1381"/>
      <c r="BT28" s="1381"/>
      <c r="BU28" s="1381"/>
      <c r="BV28" s="1381"/>
      <c r="BW28" s="1381"/>
      <c r="BX28" s="1381"/>
      <c r="BY28" s="1381"/>
      <c r="BZ28" s="1381"/>
      <c r="CA28" s="1381"/>
      <c r="CB28" s="1381"/>
      <c r="CC28" s="1381"/>
      <c r="CD28" s="1381"/>
      <c r="CE28" s="1381"/>
      <c r="CF28" s="1381"/>
      <c r="CG28" s="1381"/>
      <c r="CH28" s="1381"/>
      <c r="CI28" s="1381"/>
      <c r="CJ28" s="1381"/>
      <c r="CK28" s="1381"/>
      <c r="CL28" s="1381"/>
      <c r="CM28" s="1381"/>
      <c r="CN28" s="1382"/>
      <c r="CO28" s="1453"/>
      <c r="CP28" s="1454"/>
      <c r="CQ28" s="1455"/>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row>
    <row r="29" spans="3:217" ht="7.5" customHeight="1" x14ac:dyDescent="0.25">
      <c r="C29" s="1408"/>
      <c r="D29" s="1409"/>
      <c r="E29" s="1409"/>
      <c r="F29" s="1409"/>
      <c r="G29" s="1409"/>
      <c r="H29" s="1409"/>
      <c r="I29" s="1409"/>
      <c r="J29" s="1409"/>
      <c r="K29" s="1409"/>
      <c r="L29" s="1409"/>
      <c r="M29" s="1409"/>
      <c r="N29" s="1409"/>
      <c r="O29" s="1409"/>
      <c r="P29" s="1410"/>
      <c r="R29"/>
      <c r="S29" s="1524"/>
      <c r="T29" s="1525"/>
      <c r="U29" s="1525"/>
      <c r="V29" s="1525"/>
      <c r="W29" s="1525"/>
      <c r="X29" s="1525"/>
      <c r="Y29" s="1525"/>
      <c r="Z29" s="1525"/>
      <c r="AA29" s="1525"/>
      <c r="AB29" s="1525"/>
      <c r="AC29" s="1525"/>
      <c r="AD29" s="1525"/>
      <c r="AE29" s="1525"/>
      <c r="AF29" s="1525"/>
      <c r="AG29" s="1525"/>
      <c r="AH29" s="1526"/>
      <c r="AK29" s="1408"/>
      <c r="AL29" s="1409"/>
      <c r="AM29" s="1409"/>
      <c r="AN29" s="1409"/>
      <c r="AO29" s="1409"/>
      <c r="AP29" s="1409"/>
      <c r="AQ29" s="1409"/>
      <c r="AR29" s="1409"/>
      <c r="AS29" s="1409"/>
      <c r="AT29" s="1409"/>
      <c r="AU29" s="1409"/>
      <c r="AV29" s="1409"/>
      <c r="AW29" s="1409"/>
      <c r="AX29" s="1410"/>
      <c r="BA29" s="1450"/>
      <c r="BB29" s="1451"/>
      <c r="BC29" s="1451"/>
      <c r="BD29" s="1451"/>
      <c r="BE29" s="1451"/>
      <c r="BF29" s="1451"/>
      <c r="BG29" s="1451"/>
      <c r="BH29" s="1451"/>
      <c r="BI29" s="1451"/>
      <c r="BJ29" s="1451"/>
      <c r="BK29" s="1451"/>
      <c r="BL29" s="1451"/>
      <c r="BM29" s="1452"/>
      <c r="BN29" s="1380"/>
      <c r="BO29" s="1381"/>
      <c r="BP29" s="1381"/>
      <c r="BQ29" s="1381"/>
      <c r="BR29" s="1381"/>
      <c r="BS29" s="1381"/>
      <c r="BT29" s="1381"/>
      <c r="BU29" s="1381"/>
      <c r="BV29" s="1381"/>
      <c r="BW29" s="1381"/>
      <c r="BX29" s="1381"/>
      <c r="BY29" s="1381"/>
      <c r="BZ29" s="1381"/>
      <c r="CA29" s="1381"/>
      <c r="CB29" s="1381"/>
      <c r="CC29" s="1381"/>
      <c r="CD29" s="1381"/>
      <c r="CE29" s="1381"/>
      <c r="CF29" s="1381"/>
      <c r="CG29" s="1381"/>
      <c r="CH29" s="1381"/>
      <c r="CI29" s="1381"/>
      <c r="CJ29" s="1381"/>
      <c r="CK29" s="1381"/>
      <c r="CL29" s="1381"/>
      <c r="CM29" s="1381"/>
      <c r="CN29" s="1382"/>
      <c r="CO29" s="1453"/>
      <c r="CP29" s="1454"/>
      <c r="CQ29" s="1455"/>
      <c r="CR29"/>
      <c r="CS29"/>
      <c r="CT29"/>
      <c r="CU29"/>
      <c r="CV29"/>
      <c r="CW29"/>
      <c r="CX29"/>
      <c r="CY29"/>
      <c r="CZ29"/>
      <c r="DA29"/>
      <c r="DB29"/>
      <c r="DC29"/>
      <c r="DD29"/>
      <c r="DE29"/>
      <c r="DF29"/>
      <c r="DG29"/>
      <c r="DH29"/>
      <c r="DI29"/>
      <c r="DJ29"/>
      <c r="DK29"/>
      <c r="DL29"/>
      <c r="DM29"/>
      <c r="DN29"/>
      <c r="DO29"/>
      <c r="DP29"/>
      <c r="DQ29"/>
    </row>
    <row r="30" spans="3:217" ht="7.5" customHeight="1" x14ac:dyDescent="0.25">
      <c r="C30" s="1408"/>
      <c r="D30" s="1409"/>
      <c r="E30" s="1409"/>
      <c r="F30" s="1409"/>
      <c r="G30" s="1409"/>
      <c r="H30" s="1409"/>
      <c r="I30" s="1409"/>
      <c r="J30" s="1409"/>
      <c r="K30" s="1409"/>
      <c r="L30" s="1409"/>
      <c r="M30" s="1409"/>
      <c r="N30" s="1409"/>
      <c r="O30" s="1409"/>
      <c r="P30" s="1410"/>
      <c r="R30"/>
      <c r="S30" s="1524"/>
      <c r="T30" s="1525"/>
      <c r="U30" s="1525"/>
      <c r="V30" s="1525"/>
      <c r="W30" s="1525"/>
      <c r="X30" s="1525"/>
      <c r="Y30" s="1525"/>
      <c r="Z30" s="1525"/>
      <c r="AA30" s="1525"/>
      <c r="AB30" s="1525"/>
      <c r="AC30" s="1525"/>
      <c r="AD30" s="1525"/>
      <c r="AE30" s="1525"/>
      <c r="AF30" s="1525"/>
      <c r="AG30" s="1525"/>
      <c r="AH30" s="1526"/>
      <c r="AK30" s="1408"/>
      <c r="AL30" s="1409"/>
      <c r="AM30" s="1409"/>
      <c r="AN30" s="1409"/>
      <c r="AO30" s="1409"/>
      <c r="AP30" s="1409"/>
      <c r="AQ30" s="1409"/>
      <c r="AR30" s="1409"/>
      <c r="AS30" s="1409"/>
      <c r="AT30" s="1409"/>
      <c r="AU30" s="1409"/>
      <c r="AV30" s="1409"/>
      <c r="AW30" s="1409"/>
      <c r="AX30" s="1410"/>
      <c r="BA30" s="1393"/>
      <c r="BB30" s="1394"/>
      <c r="BC30" s="1394"/>
      <c r="BD30" s="1394"/>
      <c r="BE30" s="1394"/>
      <c r="BF30" s="1394"/>
      <c r="BG30" s="1394"/>
      <c r="BH30" s="1394"/>
      <c r="BI30" s="1394"/>
      <c r="BJ30" s="1394"/>
      <c r="BK30" s="1394"/>
      <c r="BL30" s="1394"/>
      <c r="BM30" s="1395"/>
      <c r="BN30" s="1383"/>
      <c r="BO30" s="1384"/>
      <c r="BP30" s="1384"/>
      <c r="BQ30" s="1384"/>
      <c r="BR30" s="1384"/>
      <c r="BS30" s="1384"/>
      <c r="BT30" s="1384"/>
      <c r="BU30" s="1384"/>
      <c r="BV30" s="1384"/>
      <c r="BW30" s="1384"/>
      <c r="BX30" s="1384"/>
      <c r="BY30" s="1384"/>
      <c r="BZ30" s="1384"/>
      <c r="CA30" s="1384"/>
      <c r="CB30" s="1384"/>
      <c r="CC30" s="1384"/>
      <c r="CD30" s="1384"/>
      <c r="CE30" s="1384"/>
      <c r="CF30" s="1384"/>
      <c r="CG30" s="1384"/>
      <c r="CH30" s="1384"/>
      <c r="CI30" s="1384"/>
      <c r="CJ30" s="1384"/>
      <c r="CK30" s="1384"/>
      <c r="CL30" s="1384"/>
      <c r="CM30" s="1384"/>
      <c r="CN30" s="1385"/>
      <c r="CO30" s="1456"/>
      <c r="CP30" s="1457"/>
      <c r="CQ30" s="1458"/>
    </row>
    <row r="31" spans="3:217" ht="7.5" customHeight="1" x14ac:dyDescent="0.25">
      <c r="C31" s="1408"/>
      <c r="D31" s="1409"/>
      <c r="E31" s="1409"/>
      <c r="F31" s="1409"/>
      <c r="G31" s="1409"/>
      <c r="H31" s="1409"/>
      <c r="I31" s="1409"/>
      <c r="J31" s="1409"/>
      <c r="K31" s="1409"/>
      <c r="L31" s="1409"/>
      <c r="M31" s="1409"/>
      <c r="N31" s="1409"/>
      <c r="O31" s="1409"/>
      <c r="P31" s="1410"/>
      <c r="R31"/>
      <c r="S31" s="1524"/>
      <c r="T31" s="1525"/>
      <c r="U31" s="1525"/>
      <c r="V31" s="1525"/>
      <c r="W31" s="1525"/>
      <c r="X31" s="1525"/>
      <c r="Y31" s="1525"/>
      <c r="Z31" s="1525"/>
      <c r="AA31" s="1525"/>
      <c r="AB31" s="1525"/>
      <c r="AC31" s="1525"/>
      <c r="AD31" s="1525"/>
      <c r="AE31" s="1525"/>
      <c r="AF31" s="1525"/>
      <c r="AG31" s="1525"/>
      <c r="AH31" s="1526"/>
      <c r="AK31" s="1408"/>
      <c r="AL31" s="1409"/>
      <c r="AM31" s="1409"/>
      <c r="AN31" s="1409"/>
      <c r="AO31" s="1409"/>
      <c r="AP31" s="1409"/>
      <c r="AQ31" s="1409"/>
      <c r="AR31" s="1409"/>
      <c r="AS31" s="1409"/>
      <c r="AT31" s="1409"/>
      <c r="AU31" s="1409"/>
      <c r="AV31" s="1409"/>
      <c r="AW31" s="1409"/>
      <c r="AX31" s="1410"/>
      <c r="BA31" s="1393"/>
      <c r="BB31" s="1394"/>
      <c r="BC31" s="1394"/>
      <c r="BD31" s="1394"/>
      <c r="BE31" s="1394"/>
      <c r="BF31" s="1394"/>
      <c r="BG31" s="1394"/>
      <c r="BH31" s="1394"/>
      <c r="BI31" s="1394"/>
      <c r="BJ31" s="1394"/>
      <c r="BK31" s="1394"/>
      <c r="BL31" s="1394"/>
      <c r="BM31" s="1395"/>
      <c r="BN31" s="1383"/>
      <c r="BO31" s="1384"/>
      <c r="BP31" s="1384"/>
      <c r="BQ31" s="1384"/>
      <c r="BR31" s="1384"/>
      <c r="BS31" s="1384"/>
      <c r="BT31" s="1384"/>
      <c r="BU31" s="1384"/>
      <c r="BV31" s="1384"/>
      <c r="BW31" s="1384"/>
      <c r="BX31" s="1384"/>
      <c r="BY31" s="1384"/>
      <c r="BZ31" s="1384"/>
      <c r="CA31" s="1384"/>
      <c r="CB31" s="1384"/>
      <c r="CC31" s="1384"/>
      <c r="CD31" s="1384"/>
      <c r="CE31" s="1384"/>
      <c r="CF31" s="1384"/>
      <c r="CG31" s="1384"/>
      <c r="CH31" s="1384"/>
      <c r="CI31" s="1384"/>
      <c r="CJ31" s="1384"/>
      <c r="CK31" s="1384"/>
      <c r="CL31" s="1384"/>
      <c r="CM31" s="1384"/>
      <c r="CN31" s="1385"/>
      <c r="CO31" s="1456"/>
      <c r="CP31" s="1457"/>
      <c r="CQ31" s="1458"/>
    </row>
    <row r="32" spans="3:217" ht="7.5" customHeight="1" x14ac:dyDescent="0.25">
      <c r="C32" s="1408"/>
      <c r="D32" s="1409"/>
      <c r="E32" s="1409"/>
      <c r="F32" s="1409"/>
      <c r="G32" s="1409"/>
      <c r="H32" s="1409"/>
      <c r="I32" s="1409"/>
      <c r="J32" s="1409"/>
      <c r="K32" s="1409"/>
      <c r="L32" s="1409"/>
      <c r="M32" s="1409"/>
      <c r="N32" s="1409"/>
      <c r="O32" s="1409"/>
      <c r="P32" s="1410"/>
      <c r="R32"/>
      <c r="S32" s="1524"/>
      <c r="T32" s="1525"/>
      <c r="U32" s="1525"/>
      <c r="V32" s="1525"/>
      <c r="W32" s="1525"/>
      <c r="X32" s="1525"/>
      <c r="Y32" s="1525"/>
      <c r="Z32" s="1525"/>
      <c r="AA32" s="1525"/>
      <c r="AB32" s="1525"/>
      <c r="AC32" s="1525"/>
      <c r="AD32" s="1525"/>
      <c r="AE32" s="1525"/>
      <c r="AF32" s="1525"/>
      <c r="AG32" s="1525"/>
      <c r="AH32" s="1526"/>
      <c r="AK32" s="1408"/>
      <c r="AL32" s="1409"/>
      <c r="AM32" s="1409"/>
      <c r="AN32" s="1409"/>
      <c r="AO32" s="1409"/>
      <c r="AP32" s="1409"/>
      <c r="AQ32" s="1409"/>
      <c r="AR32" s="1409"/>
      <c r="AS32" s="1409"/>
      <c r="AT32" s="1409"/>
      <c r="AU32" s="1409"/>
      <c r="AV32" s="1409"/>
      <c r="AW32" s="1409"/>
      <c r="AX32" s="1410"/>
      <c r="BA32" s="1450"/>
      <c r="BB32" s="1451"/>
      <c r="BC32" s="1451"/>
      <c r="BD32" s="1451"/>
      <c r="BE32" s="1451"/>
      <c r="BF32" s="1451"/>
      <c r="BG32" s="1451"/>
      <c r="BH32" s="1451"/>
      <c r="BI32" s="1451"/>
      <c r="BJ32" s="1451"/>
      <c r="BK32" s="1451"/>
      <c r="BL32" s="1451"/>
      <c r="BM32" s="1452"/>
      <c r="BN32" s="1380"/>
      <c r="BO32" s="1381"/>
      <c r="BP32" s="1381"/>
      <c r="BQ32" s="1381"/>
      <c r="BR32" s="1381"/>
      <c r="BS32" s="1381"/>
      <c r="BT32" s="1381"/>
      <c r="BU32" s="1381"/>
      <c r="BV32" s="1381"/>
      <c r="BW32" s="1381"/>
      <c r="BX32" s="1381"/>
      <c r="BY32" s="1381"/>
      <c r="BZ32" s="1381"/>
      <c r="CA32" s="1381"/>
      <c r="CB32" s="1381"/>
      <c r="CC32" s="1381"/>
      <c r="CD32" s="1381"/>
      <c r="CE32" s="1381"/>
      <c r="CF32" s="1381"/>
      <c r="CG32" s="1381"/>
      <c r="CH32" s="1381"/>
      <c r="CI32" s="1381"/>
      <c r="CJ32" s="1381"/>
      <c r="CK32" s="1381"/>
      <c r="CL32" s="1381"/>
      <c r="CM32" s="1381"/>
      <c r="CN32" s="1382"/>
      <c r="CO32" s="1453"/>
      <c r="CP32" s="1454"/>
      <c r="CQ32" s="1515"/>
    </row>
    <row r="33" spans="3:95" ht="7.5" customHeight="1" x14ac:dyDescent="0.25">
      <c r="C33" s="1408"/>
      <c r="D33" s="1409"/>
      <c r="E33" s="1409"/>
      <c r="F33" s="1409"/>
      <c r="G33" s="1409"/>
      <c r="H33" s="1409"/>
      <c r="I33" s="1409"/>
      <c r="J33" s="1409"/>
      <c r="K33" s="1409"/>
      <c r="L33" s="1409"/>
      <c r="M33" s="1409"/>
      <c r="N33" s="1409"/>
      <c r="O33" s="1409"/>
      <c r="P33" s="1410"/>
      <c r="R33"/>
      <c r="S33" s="1527"/>
      <c r="T33" s="1528"/>
      <c r="U33" s="1528"/>
      <c r="V33" s="1528"/>
      <c r="W33" s="1528"/>
      <c r="X33" s="1528"/>
      <c r="Y33" s="1528"/>
      <c r="Z33" s="1528"/>
      <c r="AA33" s="1528"/>
      <c r="AB33" s="1528"/>
      <c r="AC33" s="1528"/>
      <c r="AD33" s="1528"/>
      <c r="AE33" s="1528"/>
      <c r="AF33" s="1528"/>
      <c r="AG33" s="1528"/>
      <c r="AH33" s="1529"/>
      <c r="AK33" s="1408"/>
      <c r="AL33" s="1409"/>
      <c r="AM33" s="1409"/>
      <c r="AN33" s="1409"/>
      <c r="AO33" s="1409"/>
      <c r="AP33" s="1409"/>
      <c r="AQ33" s="1409"/>
      <c r="AR33" s="1409"/>
      <c r="AS33" s="1409"/>
      <c r="AT33" s="1409"/>
      <c r="AU33" s="1409"/>
      <c r="AV33" s="1409"/>
      <c r="AW33" s="1409"/>
      <c r="AX33" s="1410"/>
      <c r="BA33" s="1450"/>
      <c r="BB33" s="1451"/>
      <c r="BC33" s="1451"/>
      <c r="BD33" s="1451"/>
      <c r="BE33" s="1451"/>
      <c r="BF33" s="1451"/>
      <c r="BG33" s="1451"/>
      <c r="BH33" s="1451"/>
      <c r="BI33" s="1451"/>
      <c r="BJ33" s="1451"/>
      <c r="BK33" s="1451"/>
      <c r="BL33" s="1451"/>
      <c r="BM33" s="1452"/>
      <c r="BN33" s="1380"/>
      <c r="BO33" s="1381"/>
      <c r="BP33" s="1381"/>
      <c r="BQ33" s="1381"/>
      <c r="BR33" s="1381"/>
      <c r="BS33" s="1381"/>
      <c r="BT33" s="1381"/>
      <c r="BU33" s="1381"/>
      <c r="BV33" s="1381"/>
      <c r="BW33" s="1381"/>
      <c r="BX33" s="1381"/>
      <c r="BY33" s="1381"/>
      <c r="BZ33" s="1381"/>
      <c r="CA33" s="1381"/>
      <c r="CB33" s="1381"/>
      <c r="CC33" s="1381"/>
      <c r="CD33" s="1381"/>
      <c r="CE33" s="1381"/>
      <c r="CF33" s="1381"/>
      <c r="CG33" s="1381"/>
      <c r="CH33" s="1381"/>
      <c r="CI33" s="1381"/>
      <c r="CJ33" s="1381"/>
      <c r="CK33" s="1381"/>
      <c r="CL33" s="1381"/>
      <c r="CM33" s="1381"/>
      <c r="CN33" s="1382"/>
      <c r="CO33" s="1453"/>
      <c r="CP33" s="1454"/>
      <c r="CQ33" s="1515"/>
    </row>
    <row r="34" spans="3:95" ht="7.5" customHeight="1" x14ac:dyDescent="0.25">
      <c r="C34" s="1408"/>
      <c r="D34" s="1409"/>
      <c r="E34" s="1409"/>
      <c r="F34" s="1409"/>
      <c r="G34" s="1409"/>
      <c r="H34" s="1409"/>
      <c r="I34" s="1409"/>
      <c r="J34" s="1409"/>
      <c r="K34" s="1409"/>
      <c r="L34" s="1409"/>
      <c r="M34" s="1409"/>
      <c r="N34" s="1409"/>
      <c r="O34" s="1409"/>
      <c r="P34" s="1410"/>
      <c r="R34"/>
      <c r="S34" s="1368" t="s">
        <v>526</v>
      </c>
      <c r="T34" s="1369"/>
      <c r="U34" s="1369"/>
      <c r="V34" s="1370"/>
      <c r="W34"/>
      <c r="X34"/>
      <c r="Y34" s="1368" t="s">
        <v>555</v>
      </c>
      <c r="Z34" s="1369"/>
      <c r="AA34" s="1369"/>
      <c r="AB34" s="1370"/>
      <c r="AC34"/>
      <c r="AD34"/>
      <c r="AE34" s="1368" t="s">
        <v>493</v>
      </c>
      <c r="AF34" s="1369"/>
      <c r="AG34" s="1369"/>
      <c r="AH34" s="1370"/>
      <c r="AK34" s="1408"/>
      <c r="AL34" s="1409"/>
      <c r="AM34" s="1409"/>
      <c r="AN34" s="1409"/>
      <c r="AO34" s="1409"/>
      <c r="AP34" s="1409"/>
      <c r="AQ34" s="1409"/>
      <c r="AR34" s="1409"/>
      <c r="AS34" s="1409"/>
      <c r="AT34" s="1409"/>
      <c r="AU34" s="1409"/>
      <c r="AV34" s="1409"/>
      <c r="AW34" s="1409"/>
      <c r="AX34" s="1410"/>
      <c r="BA34" s="1393"/>
      <c r="BB34" s="1394"/>
      <c r="BC34" s="1394"/>
      <c r="BD34" s="1394"/>
      <c r="BE34" s="1394"/>
      <c r="BF34" s="1394"/>
      <c r="BG34" s="1394"/>
      <c r="BH34" s="1394"/>
      <c r="BI34" s="1394"/>
      <c r="BJ34" s="1394"/>
      <c r="BK34" s="1394"/>
      <c r="BL34" s="1394"/>
      <c r="BM34" s="1395"/>
      <c r="BN34" s="1383"/>
      <c r="BO34" s="1384"/>
      <c r="BP34" s="1384"/>
      <c r="BQ34" s="1384"/>
      <c r="BR34" s="1384"/>
      <c r="BS34" s="1384"/>
      <c r="BT34" s="1384"/>
      <c r="BU34" s="1384"/>
      <c r="BV34" s="1384"/>
      <c r="BW34" s="1384"/>
      <c r="BX34" s="1384"/>
      <c r="BY34" s="1384"/>
      <c r="BZ34" s="1384"/>
      <c r="CA34" s="1384"/>
      <c r="CB34" s="1384"/>
      <c r="CC34" s="1384"/>
      <c r="CD34" s="1384"/>
      <c r="CE34" s="1384"/>
      <c r="CF34" s="1384"/>
      <c r="CG34" s="1384"/>
      <c r="CH34" s="1384"/>
      <c r="CI34" s="1384"/>
      <c r="CJ34" s="1384"/>
      <c r="CK34" s="1384"/>
      <c r="CL34" s="1384"/>
      <c r="CM34" s="1384"/>
      <c r="CN34" s="1385"/>
      <c r="CO34" s="1456"/>
      <c r="CP34" s="1457"/>
      <c r="CQ34" s="1458"/>
    </row>
    <row r="35" spans="3:95" ht="7.5" customHeight="1" x14ac:dyDescent="0.25">
      <c r="C35" s="1408"/>
      <c r="D35" s="1409"/>
      <c r="E35" s="1409"/>
      <c r="F35" s="1409"/>
      <c r="G35" s="1409"/>
      <c r="H35" s="1409"/>
      <c r="I35" s="1409"/>
      <c r="J35" s="1409"/>
      <c r="K35" s="1409"/>
      <c r="L35" s="1409"/>
      <c r="M35" s="1409"/>
      <c r="N35" s="1409"/>
      <c r="O35" s="1409"/>
      <c r="P35" s="1410"/>
      <c r="R35"/>
      <c r="S35" s="1371"/>
      <c r="T35" s="1372"/>
      <c r="U35" s="1372"/>
      <c r="V35" s="1373"/>
      <c r="W35"/>
      <c r="X35"/>
      <c r="Y35" s="1371"/>
      <c r="Z35" s="1372"/>
      <c r="AA35" s="1372"/>
      <c r="AB35" s="1373"/>
      <c r="AC35"/>
      <c r="AD35"/>
      <c r="AE35" s="1371"/>
      <c r="AF35" s="1372"/>
      <c r="AG35" s="1372"/>
      <c r="AH35" s="1373"/>
      <c r="AK35" s="1408"/>
      <c r="AL35" s="1409"/>
      <c r="AM35" s="1409"/>
      <c r="AN35" s="1409"/>
      <c r="AO35" s="1409"/>
      <c r="AP35" s="1409"/>
      <c r="AQ35" s="1409"/>
      <c r="AR35" s="1409"/>
      <c r="AS35" s="1409"/>
      <c r="AT35" s="1409"/>
      <c r="AU35" s="1409"/>
      <c r="AV35" s="1409"/>
      <c r="AW35" s="1409"/>
      <c r="AX35" s="1410"/>
      <c r="BA35" s="1393"/>
      <c r="BB35" s="1394"/>
      <c r="BC35" s="1394"/>
      <c r="BD35" s="1394"/>
      <c r="BE35" s="1394"/>
      <c r="BF35" s="1394"/>
      <c r="BG35" s="1394"/>
      <c r="BH35" s="1394"/>
      <c r="BI35" s="1394"/>
      <c r="BJ35" s="1394"/>
      <c r="BK35" s="1394"/>
      <c r="BL35" s="1394"/>
      <c r="BM35" s="1395"/>
      <c r="BN35" s="1383"/>
      <c r="BO35" s="1384"/>
      <c r="BP35" s="1384"/>
      <c r="BQ35" s="1384"/>
      <c r="BR35" s="1384"/>
      <c r="BS35" s="1384"/>
      <c r="BT35" s="1384"/>
      <c r="BU35" s="1384"/>
      <c r="BV35" s="1384"/>
      <c r="BW35" s="1384"/>
      <c r="BX35" s="1384"/>
      <c r="BY35" s="1384"/>
      <c r="BZ35" s="1384"/>
      <c r="CA35" s="1384"/>
      <c r="CB35" s="1384"/>
      <c r="CC35" s="1384"/>
      <c r="CD35" s="1384"/>
      <c r="CE35" s="1384"/>
      <c r="CF35" s="1384"/>
      <c r="CG35" s="1384"/>
      <c r="CH35" s="1384"/>
      <c r="CI35" s="1384"/>
      <c r="CJ35" s="1384"/>
      <c r="CK35" s="1384"/>
      <c r="CL35" s="1384"/>
      <c r="CM35" s="1384"/>
      <c r="CN35" s="1385"/>
      <c r="CO35" s="1456"/>
      <c r="CP35" s="1457"/>
      <c r="CQ35" s="1458"/>
    </row>
    <row r="36" spans="3:95" ht="7.5" customHeight="1" x14ac:dyDescent="0.25">
      <c r="C36" s="1411"/>
      <c r="D36" s="1412"/>
      <c r="E36" s="1412"/>
      <c r="F36" s="1412"/>
      <c r="G36" s="1412"/>
      <c r="H36" s="1412"/>
      <c r="I36" s="1412"/>
      <c r="J36" s="1412"/>
      <c r="K36" s="1412"/>
      <c r="L36" s="1412"/>
      <c r="M36" s="1412"/>
      <c r="N36" s="1412"/>
      <c r="O36" s="1412"/>
      <c r="P36" s="1413"/>
      <c r="Q36"/>
      <c r="R36"/>
      <c r="S36" s="1374"/>
      <c r="T36" s="1375"/>
      <c r="U36" s="1375"/>
      <c r="V36" s="1376"/>
      <c r="W36"/>
      <c r="X36"/>
      <c r="Y36" s="1374"/>
      <c r="Z36" s="1375"/>
      <c r="AA36" s="1375"/>
      <c r="AB36" s="1376"/>
      <c r="AC36"/>
      <c r="AD36"/>
      <c r="AE36" s="1374"/>
      <c r="AF36" s="1375"/>
      <c r="AG36" s="1375"/>
      <c r="AH36" s="1376"/>
      <c r="AK36" s="1411"/>
      <c r="AL36" s="1412"/>
      <c r="AM36" s="1412"/>
      <c r="AN36" s="1412"/>
      <c r="AO36" s="1412"/>
      <c r="AP36" s="1412"/>
      <c r="AQ36" s="1412"/>
      <c r="AR36" s="1412"/>
      <c r="AS36" s="1412"/>
      <c r="AT36" s="1412"/>
      <c r="AU36" s="1412"/>
      <c r="AV36" s="1412"/>
      <c r="AW36" s="1412"/>
      <c r="AX36" s="1413"/>
      <c r="BA36" s="1450"/>
      <c r="BB36" s="1451"/>
      <c r="BC36" s="1451"/>
      <c r="BD36" s="1451"/>
      <c r="BE36" s="1451"/>
      <c r="BF36" s="1451"/>
      <c r="BG36" s="1451"/>
      <c r="BH36" s="1451"/>
      <c r="BI36" s="1451"/>
      <c r="BJ36" s="1451"/>
      <c r="BK36" s="1451"/>
      <c r="BL36" s="1451"/>
      <c r="BM36" s="1452"/>
      <c r="BN36" s="1380"/>
      <c r="BO36" s="1381"/>
      <c r="BP36" s="1381"/>
      <c r="BQ36" s="1381"/>
      <c r="BR36" s="1381"/>
      <c r="BS36" s="1381"/>
      <c r="BT36" s="1381"/>
      <c r="BU36" s="1381"/>
      <c r="BV36" s="1381"/>
      <c r="BW36" s="1381"/>
      <c r="BX36" s="1381"/>
      <c r="BY36" s="1381"/>
      <c r="BZ36" s="1381"/>
      <c r="CA36" s="1381"/>
      <c r="CB36" s="1381"/>
      <c r="CC36" s="1381"/>
      <c r="CD36" s="1381"/>
      <c r="CE36" s="1381"/>
      <c r="CF36" s="1381"/>
      <c r="CG36" s="1381"/>
      <c r="CH36" s="1381"/>
      <c r="CI36" s="1381"/>
      <c r="CJ36" s="1381"/>
      <c r="CK36" s="1381"/>
      <c r="CL36" s="1381"/>
      <c r="CM36" s="1381"/>
      <c r="CN36" s="1382"/>
      <c r="CO36" s="1453"/>
      <c r="CP36" s="1454"/>
      <c r="CQ36" s="1455"/>
    </row>
    <row r="37" spans="3:95" ht="7.5" customHeight="1" x14ac:dyDescent="0.25">
      <c r="C37" s="102"/>
      <c r="D37" s="102"/>
      <c r="E37" s="102"/>
      <c r="F37" s="102"/>
      <c r="G37" s="102"/>
      <c r="H37" s="102"/>
      <c r="I37" s="102"/>
      <c r="J37" s="102"/>
      <c r="K37" s="102"/>
      <c r="L37" s="102"/>
      <c r="M37" s="102"/>
      <c r="N37" s="102"/>
      <c r="Q37"/>
      <c r="R37"/>
      <c r="S37" s="1377"/>
      <c r="T37" s="1378"/>
      <c r="U37" s="1378"/>
      <c r="V37" s="1379"/>
      <c r="W37" s="435"/>
      <c r="X37" s="406"/>
      <c r="Y37" s="1377"/>
      <c r="Z37" s="1378"/>
      <c r="AA37" s="1378"/>
      <c r="AB37" s="1379"/>
      <c r="AC37" s="435"/>
      <c r="AD37" s="406"/>
      <c r="AE37" s="1377"/>
      <c r="AF37" s="1378"/>
      <c r="AG37" s="1378"/>
      <c r="AH37" s="1379"/>
      <c r="AI37"/>
      <c r="AJ37"/>
      <c r="AK37" s="107"/>
      <c r="AL37" s="107"/>
      <c r="AM37" s="107"/>
      <c r="AN37" s="107"/>
      <c r="AO37" s="107"/>
      <c r="AP37" s="107"/>
      <c r="AQ37" s="107"/>
      <c r="AR37" s="107"/>
      <c r="AS37" s="107"/>
      <c r="AT37" s="107"/>
      <c r="AU37" s="107"/>
      <c r="AV37" s="107"/>
      <c r="AW37" s="107"/>
      <c r="AX37" s="107"/>
      <c r="BA37" s="1450"/>
      <c r="BB37" s="1451"/>
      <c r="BC37" s="1451"/>
      <c r="BD37" s="1451"/>
      <c r="BE37" s="1451"/>
      <c r="BF37" s="1451"/>
      <c r="BG37" s="1451"/>
      <c r="BH37" s="1451"/>
      <c r="BI37" s="1451"/>
      <c r="BJ37" s="1451"/>
      <c r="BK37" s="1451"/>
      <c r="BL37" s="1451"/>
      <c r="BM37" s="1452"/>
      <c r="BN37" s="1380"/>
      <c r="BO37" s="1381"/>
      <c r="BP37" s="1381"/>
      <c r="BQ37" s="1381"/>
      <c r="BR37" s="1381"/>
      <c r="BS37" s="1381"/>
      <c r="BT37" s="1381"/>
      <c r="BU37" s="1381"/>
      <c r="BV37" s="1381"/>
      <c r="BW37" s="1381"/>
      <c r="BX37" s="1381"/>
      <c r="BY37" s="1381"/>
      <c r="BZ37" s="1381"/>
      <c r="CA37" s="1381"/>
      <c r="CB37" s="1381"/>
      <c r="CC37" s="1381"/>
      <c r="CD37" s="1381"/>
      <c r="CE37" s="1381"/>
      <c r="CF37" s="1381"/>
      <c r="CG37" s="1381"/>
      <c r="CH37" s="1381"/>
      <c r="CI37" s="1381"/>
      <c r="CJ37" s="1381"/>
      <c r="CK37" s="1381"/>
      <c r="CL37" s="1381"/>
      <c r="CM37" s="1381"/>
      <c r="CN37" s="1382"/>
      <c r="CO37" s="1453"/>
      <c r="CP37" s="1454"/>
      <c r="CQ37" s="1455"/>
    </row>
    <row r="38" spans="3:95" ht="7.5" customHeight="1" x14ac:dyDescent="0.25">
      <c r="C38" s="102"/>
      <c r="D38" s="102"/>
      <c r="E38" s="102"/>
      <c r="F38" s="102"/>
      <c r="G38" s="102"/>
      <c r="H38" s="102"/>
      <c r="I38" s="102"/>
      <c r="J38" s="102"/>
      <c r="K38" s="102"/>
      <c r="L38" s="102"/>
      <c r="M38" s="102"/>
      <c r="N38" s="102"/>
      <c r="Q38"/>
      <c r="R38"/>
      <c r="S38"/>
      <c r="T38"/>
      <c r="U38"/>
      <c r="V38"/>
      <c r="W38"/>
      <c r="X38"/>
      <c r="Y38"/>
      <c r="Z38"/>
      <c r="AA38"/>
      <c r="AB38"/>
      <c r="AC38"/>
      <c r="AD38"/>
      <c r="AE38"/>
      <c r="AF38"/>
      <c r="AG38"/>
      <c r="AH38"/>
      <c r="AI38"/>
      <c r="AJ38"/>
      <c r="AK38" s="107"/>
      <c r="AL38" s="107"/>
      <c r="AM38" s="107"/>
      <c r="AN38" s="107"/>
      <c r="AO38" s="107"/>
      <c r="AP38" s="107"/>
      <c r="AQ38" s="107"/>
      <c r="AR38" s="107"/>
      <c r="AS38" s="107"/>
      <c r="AT38" s="107"/>
      <c r="AU38" s="107"/>
      <c r="AV38" s="107"/>
      <c r="AW38" s="107"/>
      <c r="AX38" s="107"/>
      <c r="BA38" s="1393"/>
      <c r="BB38" s="1394"/>
      <c r="BC38" s="1394"/>
      <c r="BD38" s="1394"/>
      <c r="BE38" s="1394"/>
      <c r="BF38" s="1394"/>
      <c r="BG38" s="1394"/>
      <c r="BH38" s="1394"/>
      <c r="BI38" s="1394"/>
      <c r="BJ38" s="1394"/>
      <c r="BK38" s="1394"/>
      <c r="BL38" s="1394"/>
      <c r="BM38" s="1395"/>
      <c r="BN38" s="1383"/>
      <c r="BO38" s="1384"/>
      <c r="BP38" s="1384"/>
      <c r="BQ38" s="1384"/>
      <c r="BR38" s="1384"/>
      <c r="BS38" s="1384"/>
      <c r="BT38" s="1384"/>
      <c r="BU38" s="1384"/>
      <c r="BV38" s="1384"/>
      <c r="BW38" s="1384"/>
      <c r="BX38" s="1384"/>
      <c r="BY38" s="1384"/>
      <c r="BZ38" s="1384"/>
      <c r="CA38" s="1384"/>
      <c r="CB38" s="1384"/>
      <c r="CC38" s="1384"/>
      <c r="CD38" s="1384"/>
      <c r="CE38" s="1384"/>
      <c r="CF38" s="1384"/>
      <c r="CG38" s="1384"/>
      <c r="CH38" s="1384"/>
      <c r="CI38" s="1384"/>
      <c r="CJ38" s="1384"/>
      <c r="CK38" s="1384"/>
      <c r="CL38" s="1384"/>
      <c r="CM38" s="1384"/>
      <c r="CN38" s="1385"/>
      <c r="CO38" s="1456"/>
      <c r="CP38" s="1457"/>
      <c r="CQ38" s="1458"/>
    </row>
    <row r="39" spans="3:95" ht="7.5" customHeight="1" x14ac:dyDescent="0.25">
      <c r="C39" s="1399" t="s">
        <v>93</v>
      </c>
      <c r="D39" s="1400"/>
      <c r="E39" s="1400"/>
      <c r="F39" s="1400"/>
      <c r="G39" s="1400"/>
      <c r="H39" s="1400"/>
      <c r="I39" s="1400"/>
      <c r="J39" s="1400"/>
      <c r="K39" s="1400"/>
      <c r="L39" s="1400"/>
      <c r="M39" s="1361"/>
      <c r="N39" s="1362"/>
      <c r="O39" s="1391" t="s">
        <v>428</v>
      </c>
      <c r="P39" s="1391"/>
      <c r="Q39"/>
      <c r="R39"/>
      <c r="S39"/>
      <c r="T39"/>
      <c r="U39"/>
      <c r="V39"/>
      <c r="W39"/>
      <c r="X39"/>
      <c r="Y39"/>
      <c r="Z39"/>
      <c r="AA39"/>
      <c r="AB39"/>
      <c r="AC39"/>
      <c r="AD39"/>
      <c r="AE39"/>
      <c r="AF39"/>
      <c r="AG39"/>
      <c r="AH39"/>
      <c r="AI39"/>
      <c r="AJ39"/>
      <c r="AK39" s="1399" t="s">
        <v>92</v>
      </c>
      <c r="AL39" s="1400"/>
      <c r="AM39" s="1400"/>
      <c r="AN39" s="1400"/>
      <c r="AO39" s="1400"/>
      <c r="AP39" s="1400"/>
      <c r="AQ39" s="1400"/>
      <c r="AR39" s="1400"/>
      <c r="AS39" s="1400"/>
      <c r="AT39" s="1448"/>
      <c r="AU39" s="1361"/>
      <c r="AV39" s="1362"/>
      <c r="AW39" s="1391" t="s">
        <v>428</v>
      </c>
      <c r="AX39" s="1391"/>
      <c r="BA39" s="1393"/>
      <c r="BB39" s="1394"/>
      <c r="BC39" s="1394"/>
      <c r="BD39" s="1394"/>
      <c r="BE39" s="1394"/>
      <c r="BF39" s="1394"/>
      <c r="BG39" s="1394"/>
      <c r="BH39" s="1394"/>
      <c r="BI39" s="1394"/>
      <c r="BJ39" s="1394"/>
      <c r="BK39" s="1394"/>
      <c r="BL39" s="1394"/>
      <c r="BM39" s="1395"/>
      <c r="BN39" s="1383"/>
      <c r="BO39" s="1384"/>
      <c r="BP39" s="1384"/>
      <c r="BQ39" s="1384"/>
      <c r="BR39" s="1384"/>
      <c r="BS39" s="1384"/>
      <c r="BT39" s="1384"/>
      <c r="BU39" s="1384"/>
      <c r="BV39" s="1384"/>
      <c r="BW39" s="1384"/>
      <c r="BX39" s="1384"/>
      <c r="BY39" s="1384"/>
      <c r="BZ39" s="1384"/>
      <c r="CA39" s="1384"/>
      <c r="CB39" s="1384"/>
      <c r="CC39" s="1384"/>
      <c r="CD39" s="1384"/>
      <c r="CE39" s="1384"/>
      <c r="CF39" s="1384"/>
      <c r="CG39" s="1384"/>
      <c r="CH39" s="1384"/>
      <c r="CI39" s="1384"/>
      <c r="CJ39" s="1384"/>
      <c r="CK39" s="1384"/>
      <c r="CL39" s="1384"/>
      <c r="CM39" s="1384"/>
      <c r="CN39" s="1385"/>
      <c r="CO39" s="1456"/>
      <c r="CP39" s="1457"/>
      <c r="CQ39" s="1458"/>
    </row>
    <row r="40" spans="3:95" ht="7.5" customHeight="1" x14ac:dyDescent="0.25">
      <c r="C40" s="1402"/>
      <c r="D40" s="1403"/>
      <c r="E40" s="1403"/>
      <c r="F40" s="1403"/>
      <c r="G40" s="1403"/>
      <c r="H40" s="1403"/>
      <c r="I40" s="1403"/>
      <c r="J40" s="1403"/>
      <c r="K40" s="1403"/>
      <c r="L40" s="1403"/>
      <c r="M40" s="1363"/>
      <c r="N40" s="1364"/>
      <c r="O40" s="1392"/>
      <c r="P40" s="1392"/>
      <c r="S40"/>
      <c r="T40"/>
      <c r="U40"/>
      <c r="V40"/>
      <c r="W40"/>
      <c r="X40"/>
      <c r="Y40"/>
      <c r="Z40"/>
      <c r="AA40"/>
      <c r="AB40"/>
      <c r="AC40"/>
      <c r="AD40"/>
      <c r="AE40"/>
      <c r="AF40"/>
      <c r="AG40"/>
      <c r="AH40"/>
      <c r="AK40" s="1402"/>
      <c r="AL40" s="1403"/>
      <c r="AM40" s="1403"/>
      <c r="AN40" s="1403"/>
      <c r="AO40" s="1403"/>
      <c r="AP40" s="1403"/>
      <c r="AQ40" s="1403"/>
      <c r="AR40" s="1403"/>
      <c r="AS40" s="1403"/>
      <c r="AT40" s="1449"/>
      <c r="AU40" s="1363"/>
      <c r="AV40" s="1364"/>
      <c r="AW40" s="1392"/>
      <c r="AX40" s="1392"/>
      <c r="BA40" s="1450"/>
      <c r="BB40" s="1451"/>
      <c r="BC40" s="1451"/>
      <c r="BD40" s="1451"/>
      <c r="BE40" s="1451"/>
      <c r="BF40" s="1451"/>
      <c r="BG40" s="1451"/>
      <c r="BH40" s="1451"/>
      <c r="BI40" s="1451"/>
      <c r="BJ40" s="1451"/>
      <c r="BK40" s="1451"/>
      <c r="BL40" s="1451"/>
      <c r="BM40" s="1452"/>
      <c r="BN40" s="1380"/>
      <c r="BO40" s="1381"/>
      <c r="BP40" s="1381"/>
      <c r="BQ40" s="1381"/>
      <c r="BR40" s="1381"/>
      <c r="BS40" s="1381"/>
      <c r="BT40" s="1381"/>
      <c r="BU40" s="1381"/>
      <c r="BV40" s="1381"/>
      <c r="BW40" s="1381"/>
      <c r="BX40" s="1381"/>
      <c r="BY40" s="1381"/>
      <c r="BZ40" s="1381"/>
      <c r="CA40" s="1381"/>
      <c r="CB40" s="1381"/>
      <c r="CC40" s="1381"/>
      <c r="CD40" s="1381"/>
      <c r="CE40" s="1381"/>
      <c r="CF40" s="1381"/>
      <c r="CG40" s="1381"/>
      <c r="CH40" s="1381"/>
      <c r="CI40" s="1381"/>
      <c r="CJ40" s="1381"/>
      <c r="CK40" s="1381"/>
      <c r="CL40" s="1381"/>
      <c r="CM40" s="1381"/>
      <c r="CN40" s="1382"/>
      <c r="CO40" s="1453"/>
      <c r="CP40" s="1454"/>
      <c r="CQ40" s="1455"/>
    </row>
    <row r="41" spans="3:95" ht="7.5" customHeight="1" x14ac:dyDescent="0.25">
      <c r="C41" s="1423"/>
      <c r="D41" s="1424"/>
      <c r="E41" s="1424"/>
      <c r="F41" s="1424"/>
      <c r="G41" s="1424"/>
      <c r="H41" s="1424"/>
      <c r="I41" s="1424"/>
      <c r="J41" s="1424"/>
      <c r="K41" s="1424"/>
      <c r="L41" s="1424"/>
      <c r="M41" s="297"/>
      <c r="N41" s="297"/>
      <c r="O41" s="300"/>
      <c r="P41" s="301"/>
      <c r="S41"/>
      <c r="T41"/>
      <c r="U41"/>
      <c r="V41"/>
      <c r="W41"/>
      <c r="X41"/>
      <c r="Y41"/>
      <c r="Z41"/>
      <c r="AA41"/>
      <c r="AB41"/>
      <c r="AC41"/>
      <c r="AD41"/>
      <c r="AE41"/>
      <c r="AF41"/>
      <c r="AG41"/>
      <c r="AH41"/>
      <c r="AK41" s="1368" t="s">
        <v>24</v>
      </c>
      <c r="AL41" s="1369"/>
      <c r="AM41" s="1369"/>
      <c r="AN41" s="1370"/>
      <c r="AO41" s="298"/>
      <c r="AP41" s="1368" t="s">
        <v>429</v>
      </c>
      <c r="AQ41" s="1369"/>
      <c r="AR41" s="1369"/>
      <c r="AS41" s="1370"/>
      <c r="AT41" s="298"/>
      <c r="AU41" s="1368" t="s">
        <v>432</v>
      </c>
      <c r="AV41" s="1369"/>
      <c r="AW41" s="1369"/>
      <c r="AX41" s="1370"/>
      <c r="BA41" s="1450"/>
      <c r="BB41" s="1451"/>
      <c r="BC41" s="1451"/>
      <c r="BD41" s="1451"/>
      <c r="BE41" s="1451"/>
      <c r="BF41" s="1451"/>
      <c r="BG41" s="1451"/>
      <c r="BH41" s="1451"/>
      <c r="BI41" s="1451"/>
      <c r="BJ41" s="1451"/>
      <c r="BK41" s="1451"/>
      <c r="BL41" s="1451"/>
      <c r="BM41" s="1452"/>
      <c r="BN41" s="1380"/>
      <c r="BO41" s="1381"/>
      <c r="BP41" s="1381"/>
      <c r="BQ41" s="1381"/>
      <c r="BR41" s="1381"/>
      <c r="BS41" s="1381"/>
      <c r="BT41" s="1381"/>
      <c r="BU41" s="1381"/>
      <c r="BV41" s="1381"/>
      <c r="BW41" s="1381"/>
      <c r="BX41" s="1381"/>
      <c r="BY41" s="1381"/>
      <c r="BZ41" s="1381"/>
      <c r="CA41" s="1381"/>
      <c r="CB41" s="1381"/>
      <c r="CC41" s="1381"/>
      <c r="CD41" s="1381"/>
      <c r="CE41" s="1381"/>
      <c r="CF41" s="1381"/>
      <c r="CG41" s="1381"/>
      <c r="CH41" s="1381"/>
      <c r="CI41" s="1381"/>
      <c r="CJ41" s="1381"/>
      <c r="CK41" s="1381"/>
      <c r="CL41" s="1381"/>
      <c r="CM41" s="1381"/>
      <c r="CN41" s="1382"/>
      <c r="CO41" s="1453"/>
      <c r="CP41" s="1454"/>
      <c r="CQ41" s="1455"/>
    </row>
    <row r="42" spans="3:95" ht="7.5" customHeight="1" x14ac:dyDescent="0.25">
      <c r="C42" s="1425"/>
      <c r="D42" s="1426"/>
      <c r="E42" s="1426"/>
      <c r="F42" s="1426"/>
      <c r="G42" s="1426"/>
      <c r="H42" s="1426"/>
      <c r="I42" s="1426"/>
      <c r="J42" s="1426"/>
      <c r="K42" s="1426"/>
      <c r="L42" s="1426"/>
      <c r="M42" s="1368" t="s">
        <v>440</v>
      </c>
      <c r="N42" s="1369"/>
      <c r="O42" s="1369"/>
      <c r="P42" s="1370"/>
      <c r="S42"/>
      <c r="T42"/>
      <c r="U42"/>
      <c r="V42"/>
      <c r="W42"/>
      <c r="X42"/>
      <c r="Y42"/>
      <c r="Z42"/>
      <c r="AA42"/>
      <c r="AB42"/>
      <c r="AC42"/>
      <c r="AD42"/>
      <c r="AE42"/>
      <c r="AF42"/>
      <c r="AG42"/>
      <c r="AH42"/>
      <c r="AK42" s="1371"/>
      <c r="AL42" s="1372"/>
      <c r="AM42" s="1372"/>
      <c r="AN42" s="1373"/>
      <c r="AO42" s="298"/>
      <c r="AP42" s="1371"/>
      <c r="AQ42" s="1372"/>
      <c r="AR42" s="1372"/>
      <c r="AS42" s="1373"/>
      <c r="AT42" s="298"/>
      <c r="AU42" s="1371"/>
      <c r="AV42" s="1372"/>
      <c r="AW42" s="1372"/>
      <c r="AX42" s="1373"/>
      <c r="BA42" s="1393"/>
      <c r="BB42" s="1394"/>
      <c r="BC42" s="1394"/>
      <c r="BD42" s="1394"/>
      <c r="BE42" s="1394"/>
      <c r="BF42" s="1394"/>
      <c r="BG42" s="1394"/>
      <c r="BH42" s="1394"/>
      <c r="BI42" s="1394"/>
      <c r="BJ42" s="1394"/>
      <c r="BK42" s="1394"/>
      <c r="BL42" s="1394"/>
      <c r="BM42" s="1395"/>
      <c r="BN42" s="1383"/>
      <c r="BO42" s="1384"/>
      <c r="BP42" s="1384"/>
      <c r="BQ42" s="1384"/>
      <c r="BR42" s="1384"/>
      <c r="BS42" s="1384"/>
      <c r="BT42" s="1384"/>
      <c r="BU42" s="1384"/>
      <c r="BV42" s="1384"/>
      <c r="BW42" s="1384"/>
      <c r="BX42" s="1384"/>
      <c r="BY42" s="1384"/>
      <c r="BZ42" s="1384"/>
      <c r="CA42" s="1384"/>
      <c r="CB42" s="1384"/>
      <c r="CC42" s="1384"/>
      <c r="CD42" s="1384"/>
      <c r="CE42" s="1384"/>
      <c r="CF42" s="1384"/>
      <c r="CG42" s="1384"/>
      <c r="CH42" s="1384"/>
      <c r="CI42" s="1384"/>
      <c r="CJ42" s="1384"/>
      <c r="CK42" s="1384"/>
      <c r="CL42" s="1384"/>
      <c r="CM42" s="1384"/>
      <c r="CN42" s="1385"/>
      <c r="CO42" s="1456"/>
      <c r="CP42" s="1457"/>
      <c r="CQ42" s="1458"/>
    </row>
    <row r="43" spans="3:95" ht="7.5" customHeight="1" x14ac:dyDescent="0.25">
      <c r="C43" s="1425"/>
      <c r="D43" s="1426"/>
      <c r="E43" s="1426"/>
      <c r="F43" s="1426"/>
      <c r="G43" s="1426"/>
      <c r="H43" s="1426"/>
      <c r="I43" s="1426"/>
      <c r="J43" s="1426"/>
      <c r="K43" s="1426"/>
      <c r="L43" s="1426"/>
      <c r="M43" s="1371"/>
      <c r="N43" s="1372"/>
      <c r="O43" s="1372"/>
      <c r="P43" s="1373"/>
      <c r="AK43" s="1386"/>
      <c r="AL43" s="1375"/>
      <c r="AM43" s="1375"/>
      <c r="AN43" s="1387"/>
      <c r="AO43" s="298"/>
      <c r="AP43" s="1386"/>
      <c r="AQ43" s="1375"/>
      <c r="AR43" s="1375"/>
      <c r="AS43" s="1387"/>
      <c r="AT43" s="298"/>
      <c r="AU43" s="1386"/>
      <c r="AV43" s="1375"/>
      <c r="AW43" s="1375"/>
      <c r="AX43" s="1387"/>
      <c r="BA43" s="1393"/>
      <c r="BB43" s="1394"/>
      <c r="BC43" s="1394"/>
      <c r="BD43" s="1394"/>
      <c r="BE43" s="1394"/>
      <c r="BF43" s="1394"/>
      <c r="BG43" s="1394"/>
      <c r="BH43" s="1394"/>
      <c r="BI43" s="1394"/>
      <c r="BJ43" s="1394"/>
      <c r="BK43" s="1394"/>
      <c r="BL43" s="1394"/>
      <c r="BM43" s="1395"/>
      <c r="BN43" s="1383"/>
      <c r="BO43" s="1384"/>
      <c r="BP43" s="1384"/>
      <c r="BQ43" s="1384"/>
      <c r="BR43" s="1384"/>
      <c r="BS43" s="1384"/>
      <c r="BT43" s="1384"/>
      <c r="BU43" s="1384"/>
      <c r="BV43" s="1384"/>
      <c r="BW43" s="1384"/>
      <c r="BX43" s="1384"/>
      <c r="BY43" s="1384"/>
      <c r="BZ43" s="1384"/>
      <c r="CA43" s="1384"/>
      <c r="CB43" s="1384"/>
      <c r="CC43" s="1384"/>
      <c r="CD43" s="1384"/>
      <c r="CE43" s="1384"/>
      <c r="CF43" s="1384"/>
      <c r="CG43" s="1384"/>
      <c r="CH43" s="1384"/>
      <c r="CI43" s="1384"/>
      <c r="CJ43" s="1384"/>
      <c r="CK43" s="1384"/>
      <c r="CL43" s="1384"/>
      <c r="CM43" s="1384"/>
      <c r="CN43" s="1385"/>
      <c r="CO43" s="1456"/>
      <c r="CP43" s="1457"/>
      <c r="CQ43" s="1458"/>
    </row>
    <row r="44" spans="3:95" ht="7.5" customHeight="1" x14ac:dyDescent="0.25">
      <c r="C44" s="1425"/>
      <c r="D44" s="1426"/>
      <c r="E44" s="1426"/>
      <c r="F44" s="1426"/>
      <c r="G44" s="1426"/>
      <c r="H44" s="1426"/>
      <c r="I44" s="1426"/>
      <c r="J44" s="1426"/>
      <c r="K44" s="1426"/>
      <c r="L44" s="1426"/>
      <c r="M44" s="1386"/>
      <c r="N44" s="1375"/>
      <c r="O44" s="1375"/>
      <c r="P44" s="1431"/>
      <c r="AK44" s="1388"/>
      <c r="AL44" s="1389"/>
      <c r="AM44" s="1389"/>
      <c r="AN44" s="1390"/>
      <c r="AO44" s="307"/>
      <c r="AP44" s="1388"/>
      <c r="AQ44" s="1389"/>
      <c r="AR44" s="1389"/>
      <c r="AS44" s="1390"/>
      <c r="AT44" s="307"/>
      <c r="AU44" s="1388"/>
      <c r="AV44" s="1389"/>
      <c r="AW44" s="1389"/>
      <c r="AX44" s="1390"/>
      <c r="BA44" s="1450"/>
      <c r="BB44" s="1451"/>
      <c r="BC44" s="1451"/>
      <c r="BD44" s="1451"/>
      <c r="BE44" s="1451"/>
      <c r="BF44" s="1451"/>
      <c r="BG44" s="1451"/>
      <c r="BH44" s="1451"/>
      <c r="BI44" s="1451"/>
      <c r="BJ44" s="1451"/>
      <c r="BK44" s="1451"/>
      <c r="BL44" s="1451"/>
      <c r="BM44" s="1452"/>
      <c r="BN44" s="1380"/>
      <c r="BO44" s="1381"/>
      <c r="BP44" s="1381"/>
      <c r="BQ44" s="1381"/>
      <c r="BR44" s="1381"/>
      <c r="BS44" s="1381"/>
      <c r="BT44" s="1381"/>
      <c r="BU44" s="1381"/>
      <c r="BV44" s="1381"/>
      <c r="BW44" s="1381"/>
      <c r="BX44" s="1381"/>
      <c r="BY44" s="1381"/>
      <c r="BZ44" s="1381"/>
      <c r="CA44" s="1381"/>
      <c r="CB44" s="1381"/>
      <c r="CC44" s="1381"/>
      <c r="CD44" s="1381"/>
      <c r="CE44" s="1381"/>
      <c r="CF44" s="1381"/>
      <c r="CG44" s="1381"/>
      <c r="CH44" s="1381"/>
      <c r="CI44" s="1381"/>
      <c r="CJ44" s="1381"/>
      <c r="CK44" s="1381"/>
      <c r="CL44" s="1381"/>
      <c r="CM44" s="1381"/>
      <c r="CN44" s="1382"/>
      <c r="CO44" s="1453"/>
      <c r="CP44" s="1454"/>
      <c r="CQ44" s="1455"/>
    </row>
    <row r="45" spans="3:95" ht="7.5" customHeight="1" x14ac:dyDescent="0.25">
      <c r="C45" s="1425"/>
      <c r="D45" s="1426"/>
      <c r="E45" s="1426"/>
      <c r="F45" s="1426"/>
      <c r="G45" s="1426"/>
      <c r="H45" s="1426"/>
      <c r="I45" s="1426"/>
      <c r="J45" s="1426"/>
      <c r="K45" s="1426"/>
      <c r="L45" s="1426"/>
      <c r="M45" s="1432"/>
      <c r="N45" s="1433"/>
      <c r="O45" s="1433"/>
      <c r="P45" s="1434"/>
      <c r="AK45" s="1405"/>
      <c r="AL45" s="1406"/>
      <c r="AM45" s="1406"/>
      <c r="AN45" s="1406"/>
      <c r="AO45" s="1406"/>
      <c r="AP45" s="1406"/>
      <c r="AQ45" s="1406"/>
      <c r="AR45" s="1406"/>
      <c r="AS45" s="1406"/>
      <c r="AT45" s="1406"/>
      <c r="AU45" s="1406"/>
      <c r="AV45" s="1406"/>
      <c r="AW45" s="1406"/>
      <c r="AX45" s="1407"/>
      <c r="BA45" s="1450"/>
      <c r="BB45" s="1451"/>
      <c r="BC45" s="1451"/>
      <c r="BD45" s="1451"/>
      <c r="BE45" s="1451"/>
      <c r="BF45" s="1451"/>
      <c r="BG45" s="1451"/>
      <c r="BH45" s="1451"/>
      <c r="BI45" s="1451"/>
      <c r="BJ45" s="1451"/>
      <c r="BK45" s="1451"/>
      <c r="BL45" s="1451"/>
      <c r="BM45" s="1452"/>
      <c r="BN45" s="1380"/>
      <c r="BO45" s="1381"/>
      <c r="BP45" s="1381"/>
      <c r="BQ45" s="1381"/>
      <c r="BR45" s="1381"/>
      <c r="BS45" s="1381"/>
      <c r="BT45" s="1381"/>
      <c r="BU45" s="1381"/>
      <c r="BV45" s="1381"/>
      <c r="BW45" s="1381"/>
      <c r="BX45" s="1381"/>
      <c r="BY45" s="1381"/>
      <c r="BZ45" s="1381"/>
      <c r="CA45" s="1381"/>
      <c r="CB45" s="1381"/>
      <c r="CC45" s="1381"/>
      <c r="CD45" s="1381"/>
      <c r="CE45" s="1381"/>
      <c r="CF45" s="1381"/>
      <c r="CG45" s="1381"/>
      <c r="CH45" s="1381"/>
      <c r="CI45" s="1381"/>
      <c r="CJ45" s="1381"/>
      <c r="CK45" s="1381"/>
      <c r="CL45" s="1381"/>
      <c r="CM45" s="1381"/>
      <c r="CN45" s="1382"/>
      <c r="CO45" s="1453"/>
      <c r="CP45" s="1454"/>
      <c r="CQ45" s="1455"/>
    </row>
    <row r="46" spans="3:95" ht="7.5" customHeight="1" x14ac:dyDescent="0.25">
      <c r="C46" s="1425"/>
      <c r="D46" s="1426"/>
      <c r="E46" s="1426"/>
      <c r="F46" s="1426"/>
      <c r="G46" s="1426"/>
      <c r="H46" s="1426"/>
      <c r="I46" s="1426"/>
      <c r="J46" s="1426"/>
      <c r="K46" s="1426"/>
      <c r="L46" s="1426"/>
      <c r="M46" s="1368" t="s">
        <v>493</v>
      </c>
      <c r="N46" s="1369"/>
      <c r="O46" s="1369"/>
      <c r="P46" s="1370"/>
      <c r="AK46" s="1408"/>
      <c r="AL46" s="1409"/>
      <c r="AM46" s="1409"/>
      <c r="AN46" s="1409"/>
      <c r="AO46" s="1409"/>
      <c r="AP46" s="1409"/>
      <c r="AQ46" s="1409"/>
      <c r="AR46" s="1409"/>
      <c r="AS46" s="1409"/>
      <c r="AT46" s="1409"/>
      <c r="AU46" s="1409"/>
      <c r="AV46" s="1409"/>
      <c r="AW46" s="1409"/>
      <c r="AX46" s="1410"/>
      <c r="BA46" s="1393"/>
      <c r="BB46" s="1394"/>
      <c r="BC46" s="1394"/>
      <c r="BD46" s="1394"/>
      <c r="BE46" s="1394"/>
      <c r="BF46" s="1394"/>
      <c r="BG46" s="1394"/>
      <c r="BH46" s="1394"/>
      <c r="BI46" s="1394"/>
      <c r="BJ46" s="1394"/>
      <c r="BK46" s="1394"/>
      <c r="BL46" s="1394"/>
      <c r="BM46" s="1395"/>
      <c r="BN46" s="1383"/>
      <c r="BO46" s="1384"/>
      <c r="BP46" s="1384"/>
      <c r="BQ46" s="1384"/>
      <c r="BR46" s="1384"/>
      <c r="BS46" s="1384"/>
      <c r="BT46" s="1384"/>
      <c r="BU46" s="1384"/>
      <c r="BV46" s="1384"/>
      <c r="BW46" s="1384"/>
      <c r="BX46" s="1384"/>
      <c r="BY46" s="1384"/>
      <c r="BZ46" s="1384"/>
      <c r="CA46" s="1384"/>
      <c r="CB46" s="1384"/>
      <c r="CC46" s="1384"/>
      <c r="CD46" s="1384"/>
      <c r="CE46" s="1384"/>
      <c r="CF46" s="1384"/>
      <c r="CG46" s="1384"/>
      <c r="CH46" s="1384"/>
      <c r="CI46" s="1384"/>
      <c r="CJ46" s="1384"/>
      <c r="CK46" s="1384"/>
      <c r="CL46" s="1384"/>
      <c r="CM46" s="1384"/>
      <c r="CN46" s="1385"/>
      <c r="CO46" s="1456"/>
      <c r="CP46" s="1457"/>
      <c r="CQ46" s="1458"/>
    </row>
    <row r="47" spans="3:95" ht="7.5" customHeight="1" x14ac:dyDescent="0.25">
      <c r="C47" s="1425"/>
      <c r="D47" s="1426"/>
      <c r="E47" s="1426"/>
      <c r="F47" s="1426"/>
      <c r="G47" s="1426"/>
      <c r="H47" s="1426"/>
      <c r="I47" s="1426"/>
      <c r="J47" s="1426"/>
      <c r="K47" s="1426"/>
      <c r="L47" s="1426"/>
      <c r="M47" s="1371"/>
      <c r="N47" s="1372"/>
      <c r="O47" s="1372"/>
      <c r="P47" s="1373"/>
      <c r="AK47" s="1408"/>
      <c r="AL47" s="1409"/>
      <c r="AM47" s="1409"/>
      <c r="AN47" s="1409"/>
      <c r="AO47" s="1409"/>
      <c r="AP47" s="1409"/>
      <c r="AQ47" s="1409"/>
      <c r="AR47" s="1409"/>
      <c r="AS47" s="1409"/>
      <c r="AT47" s="1409"/>
      <c r="AU47" s="1409"/>
      <c r="AV47" s="1409"/>
      <c r="AW47" s="1409"/>
      <c r="AX47" s="1410"/>
      <c r="BA47" s="1393"/>
      <c r="BB47" s="1394"/>
      <c r="BC47" s="1394"/>
      <c r="BD47" s="1394"/>
      <c r="BE47" s="1394"/>
      <c r="BF47" s="1394"/>
      <c r="BG47" s="1394"/>
      <c r="BH47" s="1394"/>
      <c r="BI47" s="1394"/>
      <c r="BJ47" s="1394"/>
      <c r="BK47" s="1394"/>
      <c r="BL47" s="1394"/>
      <c r="BM47" s="1395"/>
      <c r="BN47" s="1383"/>
      <c r="BO47" s="1384"/>
      <c r="BP47" s="1384"/>
      <c r="BQ47" s="1384"/>
      <c r="BR47" s="1384"/>
      <c r="BS47" s="1384"/>
      <c r="BT47" s="1384"/>
      <c r="BU47" s="1384"/>
      <c r="BV47" s="1384"/>
      <c r="BW47" s="1384"/>
      <c r="BX47" s="1384"/>
      <c r="BY47" s="1384"/>
      <c r="BZ47" s="1384"/>
      <c r="CA47" s="1384"/>
      <c r="CB47" s="1384"/>
      <c r="CC47" s="1384"/>
      <c r="CD47" s="1384"/>
      <c r="CE47" s="1384"/>
      <c r="CF47" s="1384"/>
      <c r="CG47" s="1384"/>
      <c r="CH47" s="1384"/>
      <c r="CI47" s="1384"/>
      <c r="CJ47" s="1384"/>
      <c r="CK47" s="1384"/>
      <c r="CL47" s="1384"/>
      <c r="CM47" s="1384"/>
      <c r="CN47" s="1385"/>
      <c r="CO47" s="1456"/>
      <c r="CP47" s="1457"/>
      <c r="CQ47" s="1458"/>
    </row>
    <row r="48" spans="3:95" ht="7.5" customHeight="1" x14ac:dyDescent="0.25">
      <c r="C48" s="1425"/>
      <c r="D48" s="1426"/>
      <c r="E48" s="1426"/>
      <c r="F48" s="1426"/>
      <c r="G48" s="1426"/>
      <c r="H48" s="1426"/>
      <c r="I48" s="1426"/>
      <c r="J48" s="1426"/>
      <c r="K48" s="1426"/>
      <c r="L48" s="1426"/>
      <c r="M48" s="1386"/>
      <c r="N48" s="1375"/>
      <c r="O48" s="1375"/>
      <c r="P48" s="1431"/>
      <c r="AK48" s="1408"/>
      <c r="AL48" s="1409"/>
      <c r="AM48" s="1409"/>
      <c r="AN48" s="1409"/>
      <c r="AO48" s="1409"/>
      <c r="AP48" s="1409"/>
      <c r="AQ48" s="1409"/>
      <c r="AR48" s="1409"/>
      <c r="AS48" s="1409"/>
      <c r="AT48" s="1409"/>
      <c r="AU48" s="1409"/>
      <c r="AV48" s="1409"/>
      <c r="AW48" s="1409"/>
      <c r="AX48" s="1410"/>
      <c r="BA48" s="1450"/>
      <c r="BB48" s="1451"/>
      <c r="BC48" s="1451"/>
      <c r="BD48" s="1451"/>
      <c r="BE48" s="1451"/>
      <c r="BF48" s="1451"/>
      <c r="BG48" s="1451"/>
      <c r="BH48" s="1451"/>
      <c r="BI48" s="1451"/>
      <c r="BJ48" s="1451"/>
      <c r="BK48" s="1451"/>
      <c r="BL48" s="1451"/>
      <c r="BM48" s="1452"/>
      <c r="BN48" s="1380"/>
      <c r="BO48" s="1381"/>
      <c r="BP48" s="1381"/>
      <c r="BQ48" s="1381"/>
      <c r="BR48" s="1381"/>
      <c r="BS48" s="1381"/>
      <c r="BT48" s="1381"/>
      <c r="BU48" s="1381"/>
      <c r="BV48" s="1381"/>
      <c r="BW48" s="1381"/>
      <c r="BX48" s="1381"/>
      <c r="BY48" s="1381"/>
      <c r="BZ48" s="1381"/>
      <c r="CA48" s="1381"/>
      <c r="CB48" s="1381"/>
      <c r="CC48" s="1381"/>
      <c r="CD48" s="1381"/>
      <c r="CE48" s="1381"/>
      <c r="CF48" s="1381"/>
      <c r="CG48" s="1381"/>
      <c r="CH48" s="1381"/>
      <c r="CI48" s="1381"/>
      <c r="CJ48" s="1381"/>
      <c r="CK48" s="1381"/>
      <c r="CL48" s="1381"/>
      <c r="CM48" s="1381"/>
      <c r="CN48" s="1382"/>
      <c r="CO48" s="1453"/>
      <c r="CP48" s="1454"/>
      <c r="CQ48" s="1455"/>
    </row>
    <row r="49" spans="3:95" ht="7.5" customHeight="1" x14ac:dyDescent="0.25">
      <c r="C49" s="1425"/>
      <c r="D49" s="1426"/>
      <c r="E49" s="1426"/>
      <c r="F49" s="1426"/>
      <c r="G49" s="1426"/>
      <c r="H49" s="1426"/>
      <c r="I49" s="1426"/>
      <c r="J49" s="1426"/>
      <c r="K49" s="1426"/>
      <c r="L49" s="1426"/>
      <c r="M49" s="1432"/>
      <c r="N49" s="1433"/>
      <c r="O49" s="1433"/>
      <c r="P49" s="1434"/>
      <c r="AK49" s="1408"/>
      <c r="AL49" s="1409"/>
      <c r="AM49" s="1409"/>
      <c r="AN49" s="1409"/>
      <c r="AO49" s="1409"/>
      <c r="AP49" s="1409"/>
      <c r="AQ49" s="1409"/>
      <c r="AR49" s="1409"/>
      <c r="AS49" s="1409"/>
      <c r="AT49" s="1409"/>
      <c r="AU49" s="1409"/>
      <c r="AV49" s="1409"/>
      <c r="AW49" s="1409"/>
      <c r="AX49" s="1410"/>
      <c r="BA49" s="1450"/>
      <c r="BB49" s="1451"/>
      <c r="BC49" s="1451"/>
      <c r="BD49" s="1451"/>
      <c r="BE49" s="1451"/>
      <c r="BF49" s="1451"/>
      <c r="BG49" s="1451"/>
      <c r="BH49" s="1451"/>
      <c r="BI49" s="1451"/>
      <c r="BJ49" s="1451"/>
      <c r="BK49" s="1451"/>
      <c r="BL49" s="1451"/>
      <c r="BM49" s="1452"/>
      <c r="BN49" s="1380"/>
      <c r="BO49" s="1381"/>
      <c r="BP49" s="1381"/>
      <c r="BQ49" s="1381"/>
      <c r="BR49" s="1381"/>
      <c r="BS49" s="1381"/>
      <c r="BT49" s="1381"/>
      <c r="BU49" s="1381"/>
      <c r="BV49" s="1381"/>
      <c r="BW49" s="1381"/>
      <c r="BX49" s="1381"/>
      <c r="BY49" s="1381"/>
      <c r="BZ49" s="1381"/>
      <c r="CA49" s="1381"/>
      <c r="CB49" s="1381"/>
      <c r="CC49" s="1381"/>
      <c r="CD49" s="1381"/>
      <c r="CE49" s="1381"/>
      <c r="CF49" s="1381"/>
      <c r="CG49" s="1381"/>
      <c r="CH49" s="1381"/>
      <c r="CI49" s="1381"/>
      <c r="CJ49" s="1381"/>
      <c r="CK49" s="1381"/>
      <c r="CL49" s="1381"/>
      <c r="CM49" s="1381"/>
      <c r="CN49" s="1382"/>
      <c r="CO49" s="1453"/>
      <c r="CP49" s="1454"/>
      <c r="CQ49" s="1455"/>
    </row>
    <row r="50" spans="3:95" ht="7.5" customHeight="1" thickBot="1" x14ac:dyDescent="0.3">
      <c r="C50" s="1425"/>
      <c r="D50" s="1426"/>
      <c r="E50" s="1426"/>
      <c r="F50" s="1426"/>
      <c r="G50" s="1426"/>
      <c r="H50" s="1426"/>
      <c r="I50" s="1426"/>
      <c r="J50" s="1426"/>
      <c r="K50" s="1426"/>
      <c r="L50" s="1426"/>
      <c r="M50" s="298"/>
      <c r="N50" s="298"/>
      <c r="O50" s="95"/>
      <c r="P50" s="292"/>
      <c r="AK50" s="1408"/>
      <c r="AL50" s="1409"/>
      <c r="AM50" s="1409"/>
      <c r="AN50" s="1409"/>
      <c r="AO50" s="1409"/>
      <c r="AP50" s="1409"/>
      <c r="AQ50" s="1409"/>
      <c r="AR50" s="1409"/>
      <c r="AS50" s="1409"/>
      <c r="AT50" s="1409"/>
      <c r="AU50" s="1409"/>
      <c r="AV50" s="1409"/>
      <c r="AW50" s="1409"/>
      <c r="AX50" s="1410"/>
      <c r="BA50" s="1393"/>
      <c r="BB50" s="1394"/>
      <c r="BC50" s="1394"/>
      <c r="BD50" s="1394"/>
      <c r="BE50" s="1394"/>
      <c r="BF50" s="1394"/>
      <c r="BG50" s="1394"/>
      <c r="BH50" s="1394"/>
      <c r="BI50" s="1394"/>
      <c r="BJ50" s="1394"/>
      <c r="BK50" s="1394"/>
      <c r="BL50" s="1394"/>
      <c r="BM50" s="1395"/>
      <c r="BN50" s="1383"/>
      <c r="BO50" s="1384"/>
      <c r="BP50" s="1384"/>
      <c r="BQ50" s="1384"/>
      <c r="BR50" s="1384"/>
      <c r="BS50" s="1384"/>
      <c r="BT50" s="1384"/>
      <c r="BU50" s="1384"/>
      <c r="BV50" s="1384"/>
      <c r="BW50" s="1384"/>
      <c r="BX50" s="1384"/>
      <c r="BY50" s="1384"/>
      <c r="BZ50" s="1384"/>
      <c r="CA50" s="1384"/>
      <c r="CB50" s="1384"/>
      <c r="CC50" s="1384"/>
      <c r="CD50" s="1384"/>
      <c r="CE50" s="1384"/>
      <c r="CF50" s="1384"/>
      <c r="CG50" s="1384"/>
      <c r="CH50" s="1384"/>
      <c r="CI50" s="1384"/>
      <c r="CJ50" s="1384"/>
      <c r="CK50" s="1384"/>
      <c r="CL50" s="1384"/>
      <c r="CM50" s="1384"/>
      <c r="CN50" s="1385"/>
      <c r="CO50" s="1456"/>
      <c r="CP50" s="1457"/>
      <c r="CQ50" s="1458"/>
    </row>
    <row r="51" spans="3:95" ht="7.5" customHeight="1" thickBot="1" x14ac:dyDescent="0.3">
      <c r="C51" s="1425"/>
      <c r="D51" s="1426"/>
      <c r="E51" s="1426"/>
      <c r="F51" s="1426"/>
      <c r="G51" s="1426"/>
      <c r="H51" s="1426"/>
      <c r="I51" s="1426"/>
      <c r="J51" s="1426"/>
      <c r="K51" s="1426"/>
      <c r="L51" s="1426"/>
      <c r="M51" s="280"/>
      <c r="N51" s="1365" t="s">
        <v>505</v>
      </c>
      <c r="O51" s="1366"/>
      <c r="P51" s="1367"/>
      <c r="AK51" s="1408"/>
      <c r="AL51" s="1409"/>
      <c r="AM51" s="1409"/>
      <c r="AN51" s="1409"/>
      <c r="AO51" s="1409"/>
      <c r="AP51" s="1409"/>
      <c r="AQ51" s="1409"/>
      <c r="AR51" s="1409"/>
      <c r="AS51" s="1409"/>
      <c r="AT51" s="1409"/>
      <c r="AU51" s="1409"/>
      <c r="AV51" s="1409"/>
      <c r="AW51" s="1409"/>
      <c r="AX51" s="1410"/>
      <c r="BA51" s="1393"/>
      <c r="BB51" s="1394"/>
      <c r="BC51" s="1394"/>
      <c r="BD51" s="1394"/>
      <c r="BE51" s="1394"/>
      <c r="BF51" s="1394"/>
      <c r="BG51" s="1394"/>
      <c r="BH51" s="1394"/>
      <c r="BI51" s="1394"/>
      <c r="BJ51" s="1394"/>
      <c r="BK51" s="1394"/>
      <c r="BL51" s="1394"/>
      <c r="BM51" s="1395"/>
      <c r="BN51" s="1383"/>
      <c r="BO51" s="1384"/>
      <c r="BP51" s="1384"/>
      <c r="BQ51" s="1384"/>
      <c r="BR51" s="1384"/>
      <c r="BS51" s="1384"/>
      <c r="BT51" s="1384"/>
      <c r="BU51" s="1384"/>
      <c r="BV51" s="1384"/>
      <c r="BW51" s="1384"/>
      <c r="BX51" s="1384"/>
      <c r="BY51" s="1384"/>
      <c r="BZ51" s="1384"/>
      <c r="CA51" s="1384"/>
      <c r="CB51" s="1384"/>
      <c r="CC51" s="1384"/>
      <c r="CD51" s="1384"/>
      <c r="CE51" s="1384"/>
      <c r="CF51" s="1384"/>
      <c r="CG51" s="1384"/>
      <c r="CH51" s="1384"/>
      <c r="CI51" s="1384"/>
      <c r="CJ51" s="1384"/>
      <c r="CK51" s="1384"/>
      <c r="CL51" s="1384"/>
      <c r="CM51" s="1384"/>
      <c r="CN51" s="1385"/>
      <c r="CO51" s="1456"/>
      <c r="CP51" s="1457"/>
      <c r="CQ51" s="1458"/>
    </row>
    <row r="52" spans="3:95" ht="7.5" customHeight="1" thickBot="1" x14ac:dyDescent="0.3">
      <c r="C52" s="1425"/>
      <c r="D52" s="1426"/>
      <c r="E52" s="1426"/>
      <c r="F52" s="1426"/>
      <c r="G52" s="1426"/>
      <c r="H52" s="1426"/>
      <c r="I52" s="1426"/>
      <c r="J52" s="1426"/>
      <c r="K52" s="1426"/>
      <c r="L52" s="1426"/>
      <c r="M52" s="298"/>
      <c r="N52" s="298"/>
      <c r="O52" s="95"/>
      <c r="P52" s="292"/>
      <c r="AK52" s="1408"/>
      <c r="AL52" s="1409"/>
      <c r="AM52" s="1409"/>
      <c r="AN52" s="1409"/>
      <c r="AO52" s="1409"/>
      <c r="AP52" s="1409"/>
      <c r="AQ52" s="1409"/>
      <c r="AR52" s="1409"/>
      <c r="AS52" s="1409"/>
      <c r="AT52" s="1409"/>
      <c r="AU52" s="1409"/>
      <c r="AV52" s="1409"/>
      <c r="AW52" s="1409"/>
      <c r="AX52" s="1410"/>
      <c r="BA52" s="1450"/>
      <c r="BB52" s="1451"/>
      <c r="BC52" s="1451"/>
      <c r="BD52" s="1451"/>
      <c r="BE52" s="1451"/>
      <c r="BF52" s="1451"/>
      <c r="BG52" s="1451"/>
      <c r="BH52" s="1451"/>
      <c r="BI52" s="1451"/>
      <c r="BJ52" s="1451"/>
      <c r="BK52" s="1451"/>
      <c r="BL52" s="1451"/>
      <c r="BM52" s="1452"/>
      <c r="BN52" s="1380"/>
      <c r="BO52" s="1381"/>
      <c r="BP52" s="1381"/>
      <c r="BQ52" s="1381"/>
      <c r="BR52" s="1381"/>
      <c r="BS52" s="1381"/>
      <c r="BT52" s="1381"/>
      <c r="BU52" s="1381"/>
      <c r="BV52" s="1381"/>
      <c r="BW52" s="1381"/>
      <c r="BX52" s="1381"/>
      <c r="BY52" s="1381"/>
      <c r="BZ52" s="1381"/>
      <c r="CA52" s="1381"/>
      <c r="CB52" s="1381"/>
      <c r="CC52" s="1381"/>
      <c r="CD52" s="1381"/>
      <c r="CE52" s="1381"/>
      <c r="CF52" s="1381"/>
      <c r="CG52" s="1381"/>
      <c r="CH52" s="1381"/>
      <c r="CI52" s="1381"/>
      <c r="CJ52" s="1381"/>
      <c r="CK52" s="1381"/>
      <c r="CL52" s="1381"/>
      <c r="CM52" s="1381"/>
      <c r="CN52" s="1382"/>
      <c r="CO52" s="1453"/>
      <c r="CP52" s="1454"/>
      <c r="CQ52" s="1455"/>
    </row>
    <row r="53" spans="3:95" ht="7.5" customHeight="1" thickBot="1" x14ac:dyDescent="0.3">
      <c r="C53" s="1427"/>
      <c r="D53" s="1428"/>
      <c r="E53" s="1428"/>
      <c r="F53" s="1428"/>
      <c r="G53" s="1428"/>
      <c r="H53" s="1428"/>
      <c r="I53" s="1428"/>
      <c r="J53" s="1428"/>
      <c r="K53" s="1428"/>
      <c r="L53" s="1428"/>
      <c r="M53" s="280"/>
      <c r="N53" s="1461" t="s">
        <v>23</v>
      </c>
      <c r="O53" s="1462"/>
      <c r="P53" s="1463"/>
      <c r="AK53" s="1411"/>
      <c r="AL53" s="1412"/>
      <c r="AM53" s="1412"/>
      <c r="AN53" s="1412"/>
      <c r="AO53" s="1412"/>
      <c r="AP53" s="1412"/>
      <c r="AQ53" s="1412"/>
      <c r="AR53" s="1412"/>
      <c r="AS53" s="1412"/>
      <c r="AT53" s="1412"/>
      <c r="AU53" s="1412"/>
      <c r="AV53" s="1412"/>
      <c r="AW53" s="1412"/>
      <c r="AX53" s="1413"/>
      <c r="BA53" s="1450"/>
      <c r="BB53" s="1451"/>
      <c r="BC53" s="1451"/>
      <c r="BD53" s="1451"/>
      <c r="BE53" s="1451"/>
      <c r="BF53" s="1451"/>
      <c r="BG53" s="1451"/>
      <c r="BH53" s="1451"/>
      <c r="BI53" s="1451"/>
      <c r="BJ53" s="1451"/>
      <c r="BK53" s="1451"/>
      <c r="BL53" s="1451"/>
      <c r="BM53" s="1452"/>
      <c r="BN53" s="1380"/>
      <c r="BO53" s="1381"/>
      <c r="BP53" s="1381"/>
      <c r="BQ53" s="1381"/>
      <c r="BR53" s="1381"/>
      <c r="BS53" s="1381"/>
      <c r="BT53" s="1381"/>
      <c r="BU53" s="1381"/>
      <c r="BV53" s="1381"/>
      <c r="BW53" s="1381"/>
      <c r="BX53" s="1381"/>
      <c r="BY53" s="1381"/>
      <c r="BZ53" s="1381"/>
      <c r="CA53" s="1381"/>
      <c r="CB53" s="1381"/>
      <c r="CC53" s="1381"/>
      <c r="CD53" s="1381"/>
      <c r="CE53" s="1381"/>
      <c r="CF53" s="1381"/>
      <c r="CG53" s="1381"/>
      <c r="CH53" s="1381"/>
      <c r="CI53" s="1381"/>
      <c r="CJ53" s="1381"/>
      <c r="CK53" s="1381"/>
      <c r="CL53" s="1381"/>
      <c r="CM53" s="1381"/>
      <c r="CN53" s="1382"/>
      <c r="CO53" s="1453"/>
      <c r="CP53" s="1454"/>
      <c r="CQ53" s="1455"/>
    </row>
    <row r="54" spans="3:95" ht="7.5" customHeight="1" x14ac:dyDescent="0.25">
      <c r="BA54" s="1393"/>
      <c r="BB54" s="1394"/>
      <c r="BC54" s="1394"/>
      <c r="BD54" s="1394"/>
      <c r="BE54" s="1394"/>
      <c r="BF54" s="1394"/>
      <c r="BG54" s="1394"/>
      <c r="BH54" s="1394"/>
      <c r="BI54" s="1394"/>
      <c r="BJ54" s="1394"/>
      <c r="BK54" s="1394"/>
      <c r="BL54" s="1394"/>
      <c r="BM54" s="1395"/>
      <c r="BN54" s="1383"/>
      <c r="BO54" s="1384"/>
      <c r="BP54" s="1384"/>
      <c r="BQ54" s="1384"/>
      <c r="BR54" s="1384"/>
      <c r="BS54" s="1384"/>
      <c r="BT54" s="1384"/>
      <c r="BU54" s="1384"/>
      <c r="BV54" s="1384"/>
      <c r="BW54" s="1384"/>
      <c r="BX54" s="1384"/>
      <c r="BY54" s="1384"/>
      <c r="BZ54" s="1384"/>
      <c r="CA54" s="1384"/>
      <c r="CB54" s="1384"/>
      <c r="CC54" s="1384"/>
      <c r="CD54" s="1384"/>
      <c r="CE54" s="1384"/>
      <c r="CF54" s="1384"/>
      <c r="CG54" s="1384"/>
      <c r="CH54" s="1384"/>
      <c r="CI54" s="1384"/>
      <c r="CJ54" s="1384"/>
      <c r="CK54" s="1384"/>
      <c r="CL54" s="1384"/>
      <c r="CM54" s="1384"/>
      <c r="CN54" s="1385"/>
      <c r="CO54" s="1456"/>
      <c r="CP54" s="1457"/>
      <c r="CQ54" s="1458"/>
    </row>
    <row r="55" spans="3:95" ht="7.5" customHeight="1" x14ac:dyDescent="0.25">
      <c r="BA55" s="1393"/>
      <c r="BB55" s="1394"/>
      <c r="BC55" s="1394"/>
      <c r="BD55" s="1394"/>
      <c r="BE55" s="1394"/>
      <c r="BF55" s="1394"/>
      <c r="BG55" s="1394"/>
      <c r="BH55" s="1394"/>
      <c r="BI55" s="1394"/>
      <c r="BJ55" s="1394"/>
      <c r="BK55" s="1394"/>
      <c r="BL55" s="1394"/>
      <c r="BM55" s="1395"/>
      <c r="BN55" s="1383"/>
      <c r="BO55" s="1384"/>
      <c r="BP55" s="1384"/>
      <c r="BQ55" s="1384"/>
      <c r="BR55" s="1384"/>
      <c r="BS55" s="1384"/>
      <c r="BT55" s="1384"/>
      <c r="BU55" s="1384"/>
      <c r="BV55" s="1384"/>
      <c r="BW55" s="1384"/>
      <c r="BX55" s="1384"/>
      <c r="BY55" s="1384"/>
      <c r="BZ55" s="1384"/>
      <c r="CA55" s="1384"/>
      <c r="CB55" s="1384"/>
      <c r="CC55" s="1384"/>
      <c r="CD55" s="1384"/>
      <c r="CE55" s="1384"/>
      <c r="CF55" s="1384"/>
      <c r="CG55" s="1384"/>
      <c r="CH55" s="1384"/>
      <c r="CI55" s="1384"/>
      <c r="CJ55" s="1384"/>
      <c r="CK55" s="1384"/>
      <c r="CL55" s="1384"/>
      <c r="CM55" s="1384"/>
      <c r="CN55" s="1385"/>
      <c r="CO55" s="1456"/>
      <c r="CP55" s="1457"/>
      <c r="CQ55" s="1458"/>
    </row>
    <row r="56" spans="3:95" ht="7.5" customHeight="1" x14ac:dyDescent="0.25">
      <c r="C56" s="1435" t="s">
        <v>430</v>
      </c>
      <c r="D56" s="1436"/>
      <c r="E56" s="1436"/>
      <c r="F56" s="1436"/>
      <c r="G56" s="1436"/>
      <c r="H56" s="1436"/>
      <c r="I56" s="1436"/>
      <c r="J56" s="1436"/>
      <c r="K56" s="1436"/>
      <c r="L56" s="1436"/>
      <c r="M56" s="1436"/>
      <c r="N56" s="1436"/>
      <c r="O56" s="1391"/>
      <c r="P56" s="1391"/>
      <c r="Q56"/>
      <c r="R56"/>
      <c r="W56"/>
      <c r="X56"/>
      <c r="AK56" s="1399" t="s">
        <v>431</v>
      </c>
      <c r="AL56" s="1400"/>
      <c r="AM56" s="1400"/>
      <c r="AN56" s="1400"/>
      <c r="AO56" s="1400"/>
      <c r="AP56" s="1400"/>
      <c r="AQ56" s="1400"/>
      <c r="AR56" s="1400"/>
      <c r="AS56" s="1400"/>
      <c r="AT56" s="1400"/>
      <c r="AU56" s="1400"/>
      <c r="AV56" s="1400"/>
      <c r="AW56" s="1391"/>
      <c r="AX56" s="1391"/>
      <c r="BA56" s="1450"/>
      <c r="BB56" s="1451"/>
      <c r="BC56" s="1451"/>
      <c r="BD56" s="1451"/>
      <c r="BE56" s="1451"/>
      <c r="BF56" s="1451"/>
      <c r="BG56" s="1451"/>
      <c r="BH56" s="1451"/>
      <c r="BI56" s="1451"/>
      <c r="BJ56" s="1451"/>
      <c r="BK56" s="1451"/>
      <c r="BL56" s="1451"/>
      <c r="BM56" s="1452"/>
      <c r="BN56" s="1380"/>
      <c r="BO56" s="1381"/>
      <c r="BP56" s="1381"/>
      <c r="BQ56" s="1381"/>
      <c r="BR56" s="1381"/>
      <c r="BS56" s="1381"/>
      <c r="BT56" s="1381"/>
      <c r="BU56" s="1381"/>
      <c r="BV56" s="1381"/>
      <c r="BW56" s="1381"/>
      <c r="BX56" s="1381"/>
      <c r="BY56" s="1381"/>
      <c r="BZ56" s="1381"/>
      <c r="CA56" s="1381"/>
      <c r="CB56" s="1381"/>
      <c r="CC56" s="1381"/>
      <c r="CD56" s="1381"/>
      <c r="CE56" s="1381"/>
      <c r="CF56" s="1381"/>
      <c r="CG56" s="1381"/>
      <c r="CH56" s="1381"/>
      <c r="CI56" s="1381"/>
      <c r="CJ56" s="1381"/>
      <c r="CK56" s="1381"/>
      <c r="CL56" s="1381"/>
      <c r="CM56" s="1381"/>
      <c r="CN56" s="1382"/>
      <c r="CO56" s="1453"/>
      <c r="CP56" s="1454"/>
      <c r="CQ56" s="1455"/>
    </row>
    <row r="57" spans="3:95" ht="7.5" customHeight="1" x14ac:dyDescent="0.25">
      <c r="C57" s="1437"/>
      <c r="D57" s="1438"/>
      <c r="E57" s="1438"/>
      <c r="F57" s="1438"/>
      <c r="G57" s="1438"/>
      <c r="H57" s="1438"/>
      <c r="I57" s="1438"/>
      <c r="J57" s="1438"/>
      <c r="K57" s="1438"/>
      <c r="L57" s="1438"/>
      <c r="M57" s="1438"/>
      <c r="N57" s="1438"/>
      <c r="O57" s="1392"/>
      <c r="P57" s="1392"/>
      <c r="Q57"/>
      <c r="R57"/>
      <c r="S57" s="1445" t="s">
        <v>526</v>
      </c>
      <c r="T57" s="1446"/>
      <c r="U57" s="1446"/>
      <c r="V57" s="1447"/>
      <c r="AE57" s="1445" t="s">
        <v>46</v>
      </c>
      <c r="AF57" s="1446"/>
      <c r="AG57" s="1446"/>
      <c r="AH57" s="1447"/>
      <c r="AK57" s="1402"/>
      <c r="AL57" s="1403"/>
      <c r="AM57" s="1403"/>
      <c r="AN57" s="1403"/>
      <c r="AO57" s="1403"/>
      <c r="AP57" s="1403"/>
      <c r="AQ57" s="1403"/>
      <c r="AR57" s="1403"/>
      <c r="AS57" s="1403"/>
      <c r="AT57" s="1403"/>
      <c r="AU57" s="1403"/>
      <c r="AV57" s="1403"/>
      <c r="AW57" s="1392"/>
      <c r="AX57" s="1392"/>
      <c r="BA57" s="1450"/>
      <c r="BB57" s="1451"/>
      <c r="BC57" s="1451"/>
      <c r="BD57" s="1451"/>
      <c r="BE57" s="1451"/>
      <c r="BF57" s="1451"/>
      <c r="BG57" s="1451"/>
      <c r="BH57" s="1451"/>
      <c r="BI57" s="1451"/>
      <c r="BJ57" s="1451"/>
      <c r="BK57" s="1451"/>
      <c r="BL57" s="1451"/>
      <c r="BM57" s="1452"/>
      <c r="BN57" s="1380"/>
      <c r="BO57" s="1381"/>
      <c r="BP57" s="1381"/>
      <c r="BQ57" s="1381"/>
      <c r="BR57" s="1381"/>
      <c r="BS57" s="1381"/>
      <c r="BT57" s="1381"/>
      <c r="BU57" s="1381"/>
      <c r="BV57" s="1381"/>
      <c r="BW57" s="1381"/>
      <c r="BX57" s="1381"/>
      <c r="BY57" s="1381"/>
      <c r="BZ57" s="1381"/>
      <c r="CA57" s="1381"/>
      <c r="CB57" s="1381"/>
      <c r="CC57" s="1381"/>
      <c r="CD57" s="1381"/>
      <c r="CE57" s="1381"/>
      <c r="CF57" s="1381"/>
      <c r="CG57" s="1381"/>
      <c r="CH57" s="1381"/>
      <c r="CI57" s="1381"/>
      <c r="CJ57" s="1381"/>
      <c r="CK57" s="1381"/>
      <c r="CL57" s="1381"/>
      <c r="CM57" s="1381"/>
      <c r="CN57" s="1382"/>
      <c r="CO57" s="1453"/>
      <c r="CP57" s="1454"/>
      <c r="CQ57" s="1455"/>
    </row>
    <row r="58" spans="3:95" ht="7.5" customHeight="1" x14ac:dyDescent="0.25">
      <c r="C58" s="1470"/>
      <c r="D58" s="1362"/>
      <c r="E58" s="1362"/>
      <c r="F58" s="1362"/>
      <c r="G58" s="1362"/>
      <c r="H58" s="1362"/>
      <c r="I58" s="1362"/>
      <c r="J58" s="1362"/>
      <c r="K58" s="1362"/>
      <c r="L58" s="1362"/>
      <c r="M58" s="1362"/>
      <c r="N58" s="1362"/>
      <c r="O58" s="1362"/>
      <c r="P58" s="1471"/>
      <c r="Q58"/>
      <c r="R58"/>
      <c r="S58" s="1464"/>
      <c r="T58" s="1465"/>
      <c r="U58" s="1465"/>
      <c r="V58" s="1466"/>
      <c r="AE58" s="1464"/>
      <c r="AF58" s="1465"/>
      <c r="AG58" s="1465"/>
      <c r="AH58" s="1466"/>
      <c r="AK58" s="1470"/>
      <c r="AL58" s="1362"/>
      <c r="AM58" s="1362"/>
      <c r="AN58" s="1362"/>
      <c r="AO58" s="1362"/>
      <c r="AP58" s="1362"/>
      <c r="AQ58" s="1362"/>
      <c r="AR58" s="1362"/>
      <c r="AS58" s="1362"/>
      <c r="AT58" s="1362"/>
      <c r="AU58" s="1362"/>
      <c r="AV58" s="1362"/>
      <c r="AW58" s="1362"/>
      <c r="AX58" s="1471"/>
      <c r="BA58" s="1393"/>
      <c r="BB58" s="1394"/>
      <c r="BC58" s="1394"/>
      <c r="BD58" s="1394"/>
      <c r="BE58" s="1394"/>
      <c r="BF58" s="1394"/>
      <c r="BG58" s="1394"/>
      <c r="BH58" s="1394"/>
      <c r="BI58" s="1394"/>
      <c r="BJ58" s="1394"/>
      <c r="BK58" s="1394"/>
      <c r="BL58" s="1394"/>
      <c r="BM58" s="1395"/>
      <c r="BN58" s="1383"/>
      <c r="BO58" s="1384"/>
      <c r="BP58" s="1384"/>
      <c r="BQ58" s="1384"/>
      <c r="BR58" s="1384"/>
      <c r="BS58" s="1384"/>
      <c r="BT58" s="1384"/>
      <c r="BU58" s="1384"/>
      <c r="BV58" s="1384"/>
      <c r="BW58" s="1384"/>
      <c r="BX58" s="1384"/>
      <c r="BY58" s="1384"/>
      <c r="BZ58" s="1384"/>
      <c r="CA58" s="1384"/>
      <c r="CB58" s="1384"/>
      <c r="CC58" s="1384"/>
      <c r="CD58" s="1384"/>
      <c r="CE58" s="1384"/>
      <c r="CF58" s="1384"/>
      <c r="CG58" s="1384"/>
      <c r="CH58" s="1384"/>
      <c r="CI58" s="1384"/>
      <c r="CJ58" s="1384"/>
      <c r="CK58" s="1384"/>
      <c r="CL58" s="1384"/>
      <c r="CM58" s="1384"/>
      <c r="CN58" s="1385"/>
      <c r="CO58" s="1456"/>
      <c r="CP58" s="1457"/>
      <c r="CQ58" s="1458"/>
    </row>
    <row r="59" spans="3:95" ht="7.5" customHeight="1" x14ac:dyDescent="0.25">
      <c r="C59" s="1442"/>
      <c r="D59" s="892"/>
      <c r="E59" s="892"/>
      <c r="F59" s="892"/>
      <c r="G59" s="892"/>
      <c r="H59" s="892"/>
      <c r="I59" s="892"/>
      <c r="J59" s="892"/>
      <c r="K59" s="892"/>
      <c r="L59" s="892"/>
      <c r="M59" s="892"/>
      <c r="N59" s="892"/>
      <c r="O59" s="892"/>
      <c r="P59" s="1472"/>
      <c r="Q59"/>
      <c r="R59"/>
      <c r="S59" s="1467"/>
      <c r="T59" s="1468"/>
      <c r="U59" s="1468"/>
      <c r="V59" s="1469"/>
      <c r="AE59" s="1467"/>
      <c r="AF59" s="1468"/>
      <c r="AG59" s="1468"/>
      <c r="AH59" s="1469"/>
      <c r="AK59" s="1442"/>
      <c r="AL59" s="892"/>
      <c r="AM59" s="892"/>
      <c r="AN59" s="892"/>
      <c r="AO59" s="892"/>
      <c r="AP59" s="892"/>
      <c r="AQ59" s="892"/>
      <c r="AR59" s="892"/>
      <c r="AS59" s="892"/>
      <c r="AT59" s="892"/>
      <c r="AU59" s="892"/>
      <c r="AV59" s="892"/>
      <c r="AW59" s="892"/>
      <c r="AX59" s="1472"/>
      <c r="BA59" s="1393"/>
      <c r="BB59" s="1394"/>
      <c r="BC59" s="1394"/>
      <c r="BD59" s="1394"/>
      <c r="BE59" s="1394"/>
      <c r="BF59" s="1394"/>
      <c r="BG59" s="1394"/>
      <c r="BH59" s="1394"/>
      <c r="BI59" s="1394"/>
      <c r="BJ59" s="1394"/>
      <c r="BK59" s="1394"/>
      <c r="BL59" s="1394"/>
      <c r="BM59" s="1395"/>
      <c r="BN59" s="1383"/>
      <c r="BO59" s="1384"/>
      <c r="BP59" s="1384"/>
      <c r="BQ59" s="1384"/>
      <c r="BR59" s="1384"/>
      <c r="BS59" s="1384"/>
      <c r="BT59" s="1384"/>
      <c r="BU59" s="1384"/>
      <c r="BV59" s="1384"/>
      <c r="BW59" s="1384"/>
      <c r="BX59" s="1384"/>
      <c r="BY59" s="1384"/>
      <c r="BZ59" s="1384"/>
      <c r="CA59" s="1384"/>
      <c r="CB59" s="1384"/>
      <c r="CC59" s="1384"/>
      <c r="CD59" s="1384"/>
      <c r="CE59" s="1384"/>
      <c r="CF59" s="1384"/>
      <c r="CG59" s="1384"/>
      <c r="CH59" s="1384"/>
      <c r="CI59" s="1384"/>
      <c r="CJ59" s="1384"/>
      <c r="CK59" s="1384"/>
      <c r="CL59" s="1384"/>
      <c r="CM59" s="1384"/>
      <c r="CN59" s="1385"/>
      <c r="CO59" s="1456"/>
      <c r="CP59" s="1457"/>
      <c r="CQ59" s="1458"/>
    </row>
    <row r="60" spans="3:95" ht="7.5" customHeight="1" x14ac:dyDescent="0.25">
      <c r="C60" s="1442"/>
      <c r="D60" s="892"/>
      <c r="E60" s="892"/>
      <c r="F60" s="892"/>
      <c r="G60" s="892"/>
      <c r="H60" s="892"/>
      <c r="I60" s="892"/>
      <c r="J60" s="892"/>
      <c r="K60" s="892"/>
      <c r="L60" s="892"/>
      <c r="M60" s="892"/>
      <c r="N60" s="892"/>
      <c r="O60" s="892"/>
      <c r="P60" s="1472"/>
      <c r="Q60"/>
      <c r="R60"/>
      <c r="AK60" s="1442"/>
      <c r="AL60" s="892"/>
      <c r="AM60" s="892"/>
      <c r="AN60" s="892"/>
      <c r="AO60" s="892"/>
      <c r="AP60" s="892"/>
      <c r="AQ60" s="892"/>
      <c r="AR60" s="892"/>
      <c r="AS60" s="892"/>
      <c r="AT60" s="892"/>
      <c r="AU60" s="892"/>
      <c r="AV60" s="892"/>
      <c r="AW60" s="892"/>
      <c r="AX60" s="1472"/>
      <c r="BA60" s="1450"/>
      <c r="BB60" s="1451"/>
      <c r="BC60" s="1451"/>
      <c r="BD60" s="1451"/>
      <c r="BE60" s="1451"/>
      <c r="BF60" s="1451"/>
      <c r="BG60" s="1451"/>
      <c r="BH60" s="1451"/>
      <c r="BI60" s="1451"/>
      <c r="BJ60" s="1451"/>
      <c r="BK60" s="1451"/>
      <c r="BL60" s="1451"/>
      <c r="BM60" s="1452"/>
      <c r="BN60" s="1380"/>
      <c r="BO60" s="1381"/>
      <c r="BP60" s="1381"/>
      <c r="BQ60" s="1381"/>
      <c r="BR60" s="1381"/>
      <c r="BS60" s="1381"/>
      <c r="BT60" s="1381"/>
      <c r="BU60" s="1381"/>
      <c r="BV60" s="1381"/>
      <c r="BW60" s="1381"/>
      <c r="BX60" s="1381"/>
      <c r="BY60" s="1381"/>
      <c r="BZ60" s="1381"/>
      <c r="CA60" s="1381"/>
      <c r="CB60" s="1381"/>
      <c r="CC60" s="1381"/>
      <c r="CD60" s="1381"/>
      <c r="CE60" s="1381"/>
      <c r="CF60" s="1381"/>
      <c r="CG60" s="1381"/>
      <c r="CH60" s="1381"/>
      <c r="CI60" s="1381"/>
      <c r="CJ60" s="1381"/>
      <c r="CK60" s="1381"/>
      <c r="CL60" s="1381"/>
      <c r="CM60" s="1381"/>
      <c r="CN60" s="1382"/>
      <c r="CO60" s="1453"/>
      <c r="CP60" s="1454"/>
      <c r="CQ60" s="1455"/>
    </row>
    <row r="61" spans="3:95" ht="7.5" customHeight="1" x14ac:dyDescent="0.25">
      <c r="C61" s="1442"/>
      <c r="D61" s="892"/>
      <c r="E61" s="892"/>
      <c r="F61" s="892"/>
      <c r="G61" s="892"/>
      <c r="H61" s="892"/>
      <c r="I61" s="892"/>
      <c r="J61" s="892"/>
      <c r="K61" s="892"/>
      <c r="L61" s="892"/>
      <c r="M61" s="892"/>
      <c r="N61" s="892"/>
      <c r="O61" s="892"/>
      <c r="P61" s="1472"/>
      <c r="Q61"/>
      <c r="R61"/>
      <c r="S61" s="1435" t="s">
        <v>37</v>
      </c>
      <c r="T61" s="1436"/>
      <c r="U61" s="1436"/>
      <c r="V61" s="1436"/>
      <c r="W61" s="1436"/>
      <c r="X61" s="1436"/>
      <c r="Y61" s="1436"/>
      <c r="Z61" s="1436"/>
      <c r="AA61" s="1436"/>
      <c r="AB61" s="1436"/>
      <c r="AC61" s="1436"/>
      <c r="AD61" s="1436"/>
      <c r="AE61" s="1361"/>
      <c r="AF61" s="1429"/>
      <c r="AG61" s="1391" t="s">
        <v>428</v>
      </c>
      <c r="AH61" s="1391"/>
      <c r="AK61" s="1442"/>
      <c r="AL61" s="892"/>
      <c r="AM61" s="892"/>
      <c r="AN61" s="892"/>
      <c r="AO61" s="892"/>
      <c r="AP61" s="892"/>
      <c r="AQ61" s="892"/>
      <c r="AR61" s="892"/>
      <c r="AS61" s="892"/>
      <c r="AT61" s="892"/>
      <c r="AU61" s="892"/>
      <c r="AV61" s="892"/>
      <c r="AW61" s="892"/>
      <c r="AX61" s="1472"/>
      <c r="BA61" s="1450"/>
      <c r="BB61" s="1451"/>
      <c r="BC61" s="1451"/>
      <c r="BD61" s="1451"/>
      <c r="BE61" s="1451"/>
      <c r="BF61" s="1451"/>
      <c r="BG61" s="1451"/>
      <c r="BH61" s="1451"/>
      <c r="BI61" s="1451"/>
      <c r="BJ61" s="1451"/>
      <c r="BK61" s="1451"/>
      <c r="BL61" s="1451"/>
      <c r="BM61" s="1452"/>
      <c r="BN61" s="1380"/>
      <c r="BO61" s="1381"/>
      <c r="BP61" s="1381"/>
      <c r="BQ61" s="1381"/>
      <c r="BR61" s="1381"/>
      <c r="BS61" s="1381"/>
      <c r="BT61" s="1381"/>
      <c r="BU61" s="1381"/>
      <c r="BV61" s="1381"/>
      <c r="BW61" s="1381"/>
      <c r="BX61" s="1381"/>
      <c r="BY61" s="1381"/>
      <c r="BZ61" s="1381"/>
      <c r="CA61" s="1381"/>
      <c r="CB61" s="1381"/>
      <c r="CC61" s="1381"/>
      <c r="CD61" s="1381"/>
      <c r="CE61" s="1381"/>
      <c r="CF61" s="1381"/>
      <c r="CG61" s="1381"/>
      <c r="CH61" s="1381"/>
      <c r="CI61" s="1381"/>
      <c r="CJ61" s="1381"/>
      <c r="CK61" s="1381"/>
      <c r="CL61" s="1381"/>
      <c r="CM61" s="1381"/>
      <c r="CN61" s="1382"/>
      <c r="CO61" s="1453"/>
      <c r="CP61" s="1454"/>
      <c r="CQ61" s="1455"/>
    </row>
    <row r="62" spans="3:95" ht="7.5" customHeight="1" x14ac:dyDescent="0.25">
      <c r="C62" s="1442"/>
      <c r="D62" s="892"/>
      <c r="E62" s="892"/>
      <c r="F62" s="892"/>
      <c r="G62" s="892"/>
      <c r="H62" s="892"/>
      <c r="I62" s="892"/>
      <c r="J62" s="892"/>
      <c r="K62" s="892"/>
      <c r="L62" s="892"/>
      <c r="M62" s="892"/>
      <c r="N62" s="892"/>
      <c r="O62" s="892"/>
      <c r="P62" s="1472"/>
      <c r="Q62"/>
      <c r="R62"/>
      <c r="S62" s="1437"/>
      <c r="T62" s="1438"/>
      <c r="U62" s="1438"/>
      <c r="V62" s="1438"/>
      <c r="W62" s="1438"/>
      <c r="X62" s="1438"/>
      <c r="Y62" s="1438"/>
      <c r="Z62" s="1438"/>
      <c r="AA62" s="1438"/>
      <c r="AB62" s="1438"/>
      <c r="AC62" s="1438"/>
      <c r="AD62" s="1438"/>
      <c r="AE62" s="1363"/>
      <c r="AF62" s="1430"/>
      <c r="AG62" s="1392"/>
      <c r="AH62" s="1392"/>
      <c r="AK62" s="1442"/>
      <c r="AL62" s="892"/>
      <c r="AM62" s="892"/>
      <c r="AN62" s="892"/>
      <c r="AO62" s="892"/>
      <c r="AP62" s="892"/>
      <c r="AQ62" s="892"/>
      <c r="AR62" s="892"/>
      <c r="AS62" s="892"/>
      <c r="AT62" s="892"/>
      <c r="AU62" s="892"/>
      <c r="AV62" s="892"/>
      <c r="AW62" s="892"/>
      <c r="AX62" s="1472"/>
      <c r="BA62" s="1393"/>
      <c r="BB62" s="1394"/>
      <c r="BC62" s="1394"/>
      <c r="BD62" s="1394"/>
      <c r="BE62" s="1394"/>
      <c r="BF62" s="1394"/>
      <c r="BG62" s="1394"/>
      <c r="BH62" s="1394"/>
      <c r="BI62" s="1394"/>
      <c r="BJ62" s="1394"/>
      <c r="BK62" s="1394"/>
      <c r="BL62" s="1394"/>
      <c r="BM62" s="1395"/>
      <c r="BN62" s="1383"/>
      <c r="BO62" s="1384"/>
      <c r="BP62" s="1384"/>
      <c r="BQ62" s="1384"/>
      <c r="BR62" s="1384"/>
      <c r="BS62" s="1384"/>
      <c r="BT62" s="1384"/>
      <c r="BU62" s="1384"/>
      <c r="BV62" s="1384"/>
      <c r="BW62" s="1384"/>
      <c r="BX62" s="1384"/>
      <c r="BY62" s="1384"/>
      <c r="BZ62" s="1384"/>
      <c r="CA62" s="1384"/>
      <c r="CB62" s="1384"/>
      <c r="CC62" s="1384"/>
      <c r="CD62" s="1384"/>
      <c r="CE62" s="1384"/>
      <c r="CF62" s="1384"/>
      <c r="CG62" s="1384"/>
      <c r="CH62" s="1384"/>
      <c r="CI62" s="1384"/>
      <c r="CJ62" s="1384"/>
      <c r="CK62" s="1384"/>
      <c r="CL62" s="1384"/>
      <c r="CM62" s="1384"/>
      <c r="CN62" s="1385"/>
      <c r="CO62" s="1456"/>
      <c r="CP62" s="1457"/>
      <c r="CQ62" s="1458"/>
    </row>
    <row r="63" spans="3:95" ht="7.5" customHeight="1" x14ac:dyDescent="0.25">
      <c r="C63" s="1442"/>
      <c r="D63" s="892"/>
      <c r="E63" s="892"/>
      <c r="F63" s="892"/>
      <c r="G63" s="892"/>
      <c r="H63" s="892"/>
      <c r="I63" s="892"/>
      <c r="J63" s="892"/>
      <c r="K63" s="892"/>
      <c r="L63" s="892"/>
      <c r="M63" s="892"/>
      <c r="N63" s="892"/>
      <c r="O63" s="892"/>
      <c r="P63" s="1472"/>
      <c r="S63" s="1414"/>
      <c r="T63" s="1415"/>
      <c r="U63" s="1415"/>
      <c r="V63" s="1415"/>
      <c r="W63" s="1415"/>
      <c r="X63" s="1415"/>
      <c r="Y63" s="1415"/>
      <c r="Z63" s="1415"/>
      <c r="AA63" s="1415"/>
      <c r="AB63" s="1415"/>
      <c r="AC63" s="1415"/>
      <c r="AD63" s="1415"/>
      <c r="AE63" s="1415"/>
      <c r="AF63" s="1415"/>
      <c r="AG63" s="1415"/>
      <c r="AH63" s="1416"/>
      <c r="AK63" s="1442"/>
      <c r="AL63" s="892"/>
      <c r="AM63" s="892"/>
      <c r="AN63" s="892"/>
      <c r="AO63" s="892"/>
      <c r="AP63" s="892"/>
      <c r="AQ63" s="892"/>
      <c r="AR63" s="892"/>
      <c r="AS63" s="892"/>
      <c r="AT63" s="892"/>
      <c r="AU63" s="892"/>
      <c r="AV63" s="892"/>
      <c r="AW63" s="892"/>
      <c r="AX63" s="1472"/>
      <c r="BA63" s="1393"/>
      <c r="BB63" s="1394"/>
      <c r="BC63" s="1394"/>
      <c r="BD63" s="1394"/>
      <c r="BE63" s="1394"/>
      <c r="BF63" s="1394"/>
      <c r="BG63" s="1394"/>
      <c r="BH63" s="1394"/>
      <c r="BI63" s="1394"/>
      <c r="BJ63" s="1394"/>
      <c r="BK63" s="1394"/>
      <c r="BL63" s="1394"/>
      <c r="BM63" s="1395"/>
      <c r="BN63" s="1383"/>
      <c r="BO63" s="1384"/>
      <c r="BP63" s="1384"/>
      <c r="BQ63" s="1384"/>
      <c r="BR63" s="1384"/>
      <c r="BS63" s="1384"/>
      <c r="BT63" s="1384"/>
      <c r="BU63" s="1384"/>
      <c r="BV63" s="1384"/>
      <c r="BW63" s="1384"/>
      <c r="BX63" s="1384"/>
      <c r="BY63" s="1384"/>
      <c r="BZ63" s="1384"/>
      <c r="CA63" s="1384"/>
      <c r="CB63" s="1384"/>
      <c r="CC63" s="1384"/>
      <c r="CD63" s="1384"/>
      <c r="CE63" s="1384"/>
      <c r="CF63" s="1384"/>
      <c r="CG63" s="1384"/>
      <c r="CH63" s="1384"/>
      <c r="CI63" s="1384"/>
      <c r="CJ63" s="1384"/>
      <c r="CK63" s="1384"/>
      <c r="CL63" s="1384"/>
      <c r="CM63" s="1384"/>
      <c r="CN63" s="1385"/>
      <c r="CO63" s="1456"/>
      <c r="CP63" s="1457"/>
      <c r="CQ63" s="1458"/>
    </row>
    <row r="64" spans="3:95" ht="7.5" customHeight="1" x14ac:dyDescent="0.25">
      <c r="C64" s="1442"/>
      <c r="D64" s="892"/>
      <c r="E64" s="892"/>
      <c r="F64" s="892"/>
      <c r="G64" s="892"/>
      <c r="H64" s="892"/>
      <c r="I64" s="892"/>
      <c r="J64" s="892"/>
      <c r="K64" s="892"/>
      <c r="L64" s="892"/>
      <c r="M64" s="892"/>
      <c r="N64" s="892"/>
      <c r="O64" s="892"/>
      <c r="P64" s="1472"/>
      <c r="S64" s="1417"/>
      <c r="T64" s="1418"/>
      <c r="U64" s="1418"/>
      <c r="V64" s="1418"/>
      <c r="W64" s="1418"/>
      <c r="X64" s="1418"/>
      <c r="Y64" s="1418"/>
      <c r="Z64" s="1418"/>
      <c r="AA64" s="1418"/>
      <c r="AB64" s="1418"/>
      <c r="AC64" s="1418"/>
      <c r="AD64" s="1418"/>
      <c r="AE64" s="1418"/>
      <c r="AF64" s="1418"/>
      <c r="AG64" s="1418"/>
      <c r="AH64" s="1419"/>
      <c r="AK64" s="1442"/>
      <c r="AL64" s="892"/>
      <c r="AM64" s="892"/>
      <c r="AN64" s="892"/>
      <c r="AO64" s="892"/>
      <c r="AP64" s="892"/>
      <c r="AQ64" s="892"/>
      <c r="AR64" s="892"/>
      <c r="AS64" s="892"/>
      <c r="AT64" s="892"/>
      <c r="AU64" s="892"/>
      <c r="AV64" s="892"/>
      <c r="AW64" s="892"/>
      <c r="AX64" s="1472"/>
      <c r="BA64" s="1450"/>
      <c r="BB64" s="1451"/>
      <c r="BC64" s="1451"/>
      <c r="BD64" s="1451"/>
      <c r="BE64" s="1451"/>
      <c r="BF64" s="1451"/>
      <c r="BG64" s="1451"/>
      <c r="BH64" s="1451"/>
      <c r="BI64" s="1451"/>
      <c r="BJ64" s="1451"/>
      <c r="BK64" s="1451"/>
      <c r="BL64" s="1451"/>
      <c r="BM64" s="1452"/>
      <c r="BN64" s="1380"/>
      <c r="BO64" s="1381"/>
      <c r="BP64" s="1381"/>
      <c r="BQ64" s="1381"/>
      <c r="BR64" s="1381"/>
      <c r="BS64" s="1381"/>
      <c r="BT64" s="1381"/>
      <c r="BU64" s="1381"/>
      <c r="BV64" s="1381"/>
      <c r="BW64" s="1381"/>
      <c r="BX64" s="1381"/>
      <c r="BY64" s="1381"/>
      <c r="BZ64" s="1381"/>
      <c r="CA64" s="1381"/>
      <c r="CB64" s="1381"/>
      <c r="CC64" s="1381"/>
      <c r="CD64" s="1381"/>
      <c r="CE64" s="1381"/>
      <c r="CF64" s="1381"/>
      <c r="CG64" s="1381"/>
      <c r="CH64" s="1381"/>
      <c r="CI64" s="1381"/>
      <c r="CJ64" s="1381"/>
      <c r="CK64" s="1381"/>
      <c r="CL64" s="1381"/>
      <c r="CM64" s="1381"/>
      <c r="CN64" s="1382"/>
      <c r="CO64" s="1453"/>
      <c r="CP64" s="1454"/>
      <c r="CQ64" s="1455"/>
    </row>
    <row r="65" spans="1:95" ht="7.5" customHeight="1" x14ac:dyDescent="0.25">
      <c r="C65" s="1473"/>
      <c r="D65" s="1364"/>
      <c r="E65" s="1364"/>
      <c r="F65" s="1364"/>
      <c r="G65" s="1364"/>
      <c r="H65" s="1364"/>
      <c r="I65" s="1364"/>
      <c r="J65" s="1364"/>
      <c r="K65" s="1364"/>
      <c r="L65" s="1364"/>
      <c r="M65" s="1364"/>
      <c r="N65" s="1364"/>
      <c r="O65" s="1364"/>
      <c r="P65" s="1474"/>
      <c r="S65" s="1417"/>
      <c r="T65" s="1418"/>
      <c r="U65" s="1418"/>
      <c r="V65" s="1418"/>
      <c r="W65" s="1418"/>
      <c r="X65" s="1418"/>
      <c r="Y65" s="1418"/>
      <c r="Z65" s="1418"/>
      <c r="AA65" s="1418"/>
      <c r="AB65" s="1418"/>
      <c r="AC65" s="1418"/>
      <c r="AD65" s="1418"/>
      <c r="AE65" s="1418"/>
      <c r="AF65" s="1418"/>
      <c r="AG65" s="1418"/>
      <c r="AH65" s="1419"/>
      <c r="AK65" s="1473"/>
      <c r="AL65" s="1364"/>
      <c r="AM65" s="1364"/>
      <c r="AN65" s="1364"/>
      <c r="AO65" s="1364"/>
      <c r="AP65" s="1364"/>
      <c r="AQ65" s="1364"/>
      <c r="AR65" s="1364"/>
      <c r="AS65" s="1364"/>
      <c r="AT65" s="1364"/>
      <c r="AU65" s="1364"/>
      <c r="AV65" s="1364"/>
      <c r="AW65" s="1364"/>
      <c r="AX65" s="1474"/>
      <c r="BA65" s="1450"/>
      <c r="BB65" s="1451"/>
      <c r="BC65" s="1451"/>
      <c r="BD65" s="1451"/>
      <c r="BE65" s="1451"/>
      <c r="BF65" s="1451"/>
      <c r="BG65" s="1451"/>
      <c r="BH65" s="1451"/>
      <c r="BI65" s="1451"/>
      <c r="BJ65" s="1451"/>
      <c r="BK65" s="1451"/>
      <c r="BL65" s="1451"/>
      <c r="BM65" s="1452"/>
      <c r="BN65" s="1380"/>
      <c r="BO65" s="1381"/>
      <c r="BP65" s="1381"/>
      <c r="BQ65" s="1381"/>
      <c r="BR65" s="1381"/>
      <c r="BS65" s="1381"/>
      <c r="BT65" s="1381"/>
      <c r="BU65" s="1381"/>
      <c r="BV65" s="1381"/>
      <c r="BW65" s="1381"/>
      <c r="BX65" s="1381"/>
      <c r="BY65" s="1381"/>
      <c r="BZ65" s="1381"/>
      <c r="CA65" s="1381"/>
      <c r="CB65" s="1381"/>
      <c r="CC65" s="1381"/>
      <c r="CD65" s="1381"/>
      <c r="CE65" s="1381"/>
      <c r="CF65" s="1381"/>
      <c r="CG65" s="1381"/>
      <c r="CH65" s="1381"/>
      <c r="CI65" s="1381"/>
      <c r="CJ65" s="1381"/>
      <c r="CK65" s="1381"/>
      <c r="CL65" s="1381"/>
      <c r="CM65" s="1381"/>
      <c r="CN65" s="1382"/>
      <c r="CO65" s="1453"/>
      <c r="CP65" s="1454"/>
      <c r="CQ65" s="1455"/>
    </row>
    <row r="66" spans="1:95" ht="7.5" customHeight="1" x14ac:dyDescent="0.25">
      <c r="S66" s="1417"/>
      <c r="T66" s="1418"/>
      <c r="U66" s="1418"/>
      <c r="V66" s="1418"/>
      <c r="W66" s="1418"/>
      <c r="X66" s="1418"/>
      <c r="Y66" s="1418"/>
      <c r="Z66" s="1418"/>
      <c r="AA66" s="1418"/>
      <c r="AB66" s="1418"/>
      <c r="AC66" s="1418"/>
      <c r="AD66" s="1418"/>
      <c r="AE66" s="1418"/>
      <c r="AF66" s="1418"/>
      <c r="AG66" s="1418"/>
      <c r="AH66" s="1419"/>
      <c r="BA66" s="1393"/>
      <c r="BB66" s="1394"/>
      <c r="BC66" s="1394"/>
      <c r="BD66" s="1394"/>
      <c r="BE66" s="1394"/>
      <c r="BF66" s="1394"/>
      <c r="BG66" s="1394"/>
      <c r="BH66" s="1394"/>
      <c r="BI66" s="1394"/>
      <c r="BJ66" s="1394"/>
      <c r="BK66" s="1394"/>
      <c r="BL66" s="1394"/>
      <c r="BM66" s="1395"/>
      <c r="BN66" s="1383"/>
      <c r="BO66" s="1384"/>
      <c r="BP66" s="1384"/>
      <c r="BQ66" s="1384"/>
      <c r="BR66" s="1384"/>
      <c r="BS66" s="1384"/>
      <c r="BT66" s="1384"/>
      <c r="BU66" s="1384"/>
      <c r="BV66" s="1384"/>
      <c r="BW66" s="1384"/>
      <c r="BX66" s="1384"/>
      <c r="BY66" s="1384"/>
      <c r="BZ66" s="1384"/>
      <c r="CA66" s="1384"/>
      <c r="CB66" s="1384"/>
      <c r="CC66" s="1384"/>
      <c r="CD66" s="1384"/>
      <c r="CE66" s="1384"/>
      <c r="CF66" s="1384"/>
      <c r="CG66" s="1384"/>
      <c r="CH66" s="1384"/>
      <c r="CI66" s="1384"/>
      <c r="CJ66" s="1384"/>
      <c r="CK66" s="1384"/>
      <c r="CL66" s="1384"/>
      <c r="CM66" s="1384"/>
      <c r="CN66" s="1385"/>
      <c r="CO66" s="1456"/>
      <c r="CP66" s="1457"/>
      <c r="CQ66" s="1458"/>
    </row>
    <row r="67" spans="1:95" ht="7.5" customHeight="1" x14ac:dyDescent="0.25">
      <c r="S67" s="1417"/>
      <c r="T67" s="1418"/>
      <c r="U67" s="1418"/>
      <c r="V67" s="1418"/>
      <c r="W67" s="1418"/>
      <c r="X67" s="1418"/>
      <c r="Y67" s="1418"/>
      <c r="Z67" s="1418"/>
      <c r="AA67" s="1418"/>
      <c r="AB67" s="1418"/>
      <c r="AC67" s="1418"/>
      <c r="AD67" s="1418"/>
      <c r="AE67" s="1418"/>
      <c r="AF67" s="1418"/>
      <c r="AG67" s="1418"/>
      <c r="AH67" s="1419"/>
      <c r="BA67" s="1393"/>
      <c r="BB67" s="1394"/>
      <c r="BC67" s="1394"/>
      <c r="BD67" s="1394"/>
      <c r="BE67" s="1394"/>
      <c r="BF67" s="1394"/>
      <c r="BG67" s="1394"/>
      <c r="BH67" s="1394"/>
      <c r="BI67" s="1394"/>
      <c r="BJ67" s="1394"/>
      <c r="BK67" s="1394"/>
      <c r="BL67" s="1394"/>
      <c r="BM67" s="1395"/>
      <c r="BN67" s="1383"/>
      <c r="BO67" s="1384"/>
      <c r="BP67" s="1384"/>
      <c r="BQ67" s="1384"/>
      <c r="BR67" s="1384"/>
      <c r="BS67" s="1384"/>
      <c r="BT67" s="1384"/>
      <c r="BU67" s="1384"/>
      <c r="BV67" s="1384"/>
      <c r="BW67" s="1384"/>
      <c r="BX67" s="1384"/>
      <c r="BY67" s="1384"/>
      <c r="BZ67" s="1384"/>
      <c r="CA67" s="1384"/>
      <c r="CB67" s="1384"/>
      <c r="CC67" s="1384"/>
      <c r="CD67" s="1384"/>
      <c r="CE67" s="1384"/>
      <c r="CF67" s="1384"/>
      <c r="CG67" s="1384"/>
      <c r="CH67" s="1384"/>
      <c r="CI67" s="1384"/>
      <c r="CJ67" s="1384"/>
      <c r="CK67" s="1384"/>
      <c r="CL67" s="1384"/>
      <c r="CM67" s="1384"/>
      <c r="CN67" s="1385"/>
      <c r="CO67" s="1456"/>
      <c r="CP67" s="1457"/>
      <c r="CQ67" s="1458"/>
    </row>
    <row r="68" spans="1:95" ht="7.5" customHeight="1" x14ac:dyDescent="0.25">
      <c r="C68" s="1435" t="s">
        <v>97</v>
      </c>
      <c r="D68" s="1436"/>
      <c r="E68" s="1436"/>
      <c r="F68" s="1436"/>
      <c r="G68" s="1436"/>
      <c r="H68" s="1436"/>
      <c r="I68" s="1436"/>
      <c r="J68" s="1436"/>
      <c r="K68" s="1436"/>
      <c r="L68" s="1436"/>
      <c r="M68" s="1436"/>
      <c r="N68" s="1436"/>
      <c r="O68" s="1391"/>
      <c r="P68" s="1391"/>
      <c r="S68" s="1417"/>
      <c r="T68" s="1418"/>
      <c r="U68" s="1418"/>
      <c r="V68" s="1418"/>
      <c r="W68" s="1418"/>
      <c r="X68" s="1418"/>
      <c r="Y68" s="1418"/>
      <c r="Z68" s="1418"/>
      <c r="AA68" s="1418"/>
      <c r="AB68" s="1418"/>
      <c r="AC68" s="1418"/>
      <c r="AD68" s="1418"/>
      <c r="AE68" s="1418"/>
      <c r="AF68" s="1418"/>
      <c r="AG68" s="1418"/>
      <c r="AH68" s="1419"/>
      <c r="AK68" s="1459" t="s">
        <v>98</v>
      </c>
      <c r="AL68" s="1460"/>
      <c r="AM68" s="1460"/>
      <c r="AN68" s="1460"/>
      <c r="AO68" s="1460"/>
      <c r="AP68" s="1460"/>
      <c r="AQ68" s="1460"/>
      <c r="AR68" s="1460"/>
      <c r="AS68" s="1460"/>
      <c r="AT68" s="1460"/>
      <c r="AU68" s="1460"/>
      <c r="AV68" s="1460"/>
      <c r="AW68" s="1391"/>
      <c r="AX68" s="1391"/>
      <c r="BA68" s="1450"/>
      <c r="BB68" s="1451"/>
      <c r="BC68" s="1451"/>
      <c r="BD68" s="1451"/>
      <c r="BE68" s="1451"/>
      <c r="BF68" s="1451"/>
      <c r="BG68" s="1451"/>
      <c r="BH68" s="1451"/>
      <c r="BI68" s="1451"/>
      <c r="BJ68" s="1451"/>
      <c r="BK68" s="1451"/>
      <c r="BL68" s="1451"/>
      <c r="BM68" s="1452"/>
      <c r="BN68" s="1380"/>
      <c r="BO68" s="1381"/>
      <c r="BP68" s="1381"/>
      <c r="BQ68" s="1381"/>
      <c r="BR68" s="1381"/>
      <c r="BS68" s="1381"/>
      <c r="BT68" s="1381"/>
      <c r="BU68" s="1381"/>
      <c r="BV68" s="1381"/>
      <c r="BW68" s="1381"/>
      <c r="BX68" s="1381"/>
      <c r="BY68" s="1381"/>
      <c r="BZ68" s="1381"/>
      <c r="CA68" s="1381"/>
      <c r="CB68" s="1381"/>
      <c r="CC68" s="1381"/>
      <c r="CD68" s="1381"/>
      <c r="CE68" s="1381"/>
      <c r="CF68" s="1381"/>
      <c r="CG68" s="1381"/>
      <c r="CH68" s="1381"/>
      <c r="CI68" s="1381"/>
      <c r="CJ68" s="1381"/>
      <c r="CK68" s="1381"/>
      <c r="CL68" s="1381"/>
      <c r="CM68" s="1381"/>
      <c r="CN68" s="1382"/>
      <c r="CO68" s="1453"/>
      <c r="CP68" s="1454"/>
      <c r="CQ68" s="1455"/>
    </row>
    <row r="69" spans="1:95" ht="7.5" customHeight="1" x14ac:dyDescent="0.25">
      <c r="C69" s="1437"/>
      <c r="D69" s="1438"/>
      <c r="E69" s="1438"/>
      <c r="F69" s="1438"/>
      <c r="G69" s="1438"/>
      <c r="H69" s="1438"/>
      <c r="I69" s="1438"/>
      <c r="J69" s="1438"/>
      <c r="K69" s="1438"/>
      <c r="L69" s="1438"/>
      <c r="M69" s="1438"/>
      <c r="N69" s="1438"/>
      <c r="O69" s="1392"/>
      <c r="P69" s="1392"/>
      <c r="S69" s="1420"/>
      <c r="T69" s="1421"/>
      <c r="U69" s="1421"/>
      <c r="V69" s="1421"/>
      <c r="W69" s="1421"/>
      <c r="X69" s="1421"/>
      <c r="Y69" s="1421"/>
      <c r="Z69" s="1421"/>
      <c r="AA69" s="1421"/>
      <c r="AB69" s="1421"/>
      <c r="AC69" s="1421"/>
      <c r="AD69" s="1421"/>
      <c r="AE69" s="1421"/>
      <c r="AF69" s="1421"/>
      <c r="AG69" s="1421"/>
      <c r="AH69" s="1422"/>
      <c r="AK69" s="1437"/>
      <c r="AL69" s="1438"/>
      <c r="AM69" s="1438"/>
      <c r="AN69" s="1438"/>
      <c r="AO69" s="1438"/>
      <c r="AP69" s="1438"/>
      <c r="AQ69" s="1438"/>
      <c r="AR69" s="1438"/>
      <c r="AS69" s="1438"/>
      <c r="AT69" s="1438"/>
      <c r="AU69" s="1438"/>
      <c r="AV69" s="1438"/>
      <c r="AW69" s="1392"/>
      <c r="AX69" s="1392"/>
      <c r="BA69" s="1450"/>
      <c r="BB69" s="1451"/>
      <c r="BC69" s="1451"/>
      <c r="BD69" s="1451"/>
      <c r="BE69" s="1451"/>
      <c r="BF69" s="1451"/>
      <c r="BG69" s="1451"/>
      <c r="BH69" s="1451"/>
      <c r="BI69" s="1451"/>
      <c r="BJ69" s="1451"/>
      <c r="BK69" s="1451"/>
      <c r="BL69" s="1451"/>
      <c r="BM69" s="1452"/>
      <c r="BN69" s="1380"/>
      <c r="BO69" s="1381"/>
      <c r="BP69" s="1381"/>
      <c r="BQ69" s="1381"/>
      <c r="BR69" s="1381"/>
      <c r="BS69" s="1381"/>
      <c r="BT69" s="1381"/>
      <c r="BU69" s="1381"/>
      <c r="BV69" s="1381"/>
      <c r="BW69" s="1381"/>
      <c r="BX69" s="1381"/>
      <c r="BY69" s="1381"/>
      <c r="BZ69" s="1381"/>
      <c r="CA69" s="1381"/>
      <c r="CB69" s="1381"/>
      <c r="CC69" s="1381"/>
      <c r="CD69" s="1381"/>
      <c r="CE69" s="1381"/>
      <c r="CF69" s="1381"/>
      <c r="CG69" s="1381"/>
      <c r="CH69" s="1381"/>
      <c r="CI69" s="1381"/>
      <c r="CJ69" s="1381"/>
      <c r="CK69" s="1381"/>
      <c r="CL69" s="1381"/>
      <c r="CM69" s="1381"/>
      <c r="CN69" s="1382"/>
      <c r="CO69" s="1453"/>
      <c r="CP69" s="1454"/>
      <c r="CQ69" s="1455"/>
    </row>
    <row r="70" spans="1:95" ht="7.5" customHeight="1" x14ac:dyDescent="0.25">
      <c r="A70" s="231"/>
      <c r="C70" s="1439"/>
      <c r="D70" s="1440"/>
      <c r="E70" s="1440"/>
      <c r="F70" s="1440"/>
      <c r="G70" s="1440"/>
      <c r="H70" s="1440"/>
      <c r="I70" s="1440"/>
      <c r="J70" s="1440"/>
      <c r="K70" s="1440"/>
      <c r="L70" s="1440"/>
      <c r="M70" s="1440"/>
      <c r="N70" s="1440"/>
      <c r="O70" s="1440"/>
      <c r="P70" s="1441"/>
      <c r="AK70" s="1414"/>
      <c r="AL70" s="1415"/>
      <c r="AM70" s="1415"/>
      <c r="AN70" s="1415"/>
      <c r="AO70" s="1415"/>
      <c r="AP70" s="1415"/>
      <c r="AQ70" s="1415"/>
      <c r="AR70" s="1415"/>
      <c r="AS70" s="1415"/>
      <c r="AT70" s="1415"/>
      <c r="AU70" s="1415"/>
      <c r="AV70" s="1415"/>
      <c r="AW70" s="1415"/>
      <c r="AX70" s="1416"/>
      <c r="BA70" s="1393"/>
      <c r="BB70" s="1394"/>
      <c r="BC70" s="1394"/>
      <c r="BD70" s="1394"/>
      <c r="BE70" s="1394"/>
      <c r="BF70" s="1394"/>
      <c r="BG70" s="1394"/>
      <c r="BH70" s="1394"/>
      <c r="BI70" s="1394"/>
      <c r="BJ70" s="1394"/>
      <c r="BK70" s="1394"/>
      <c r="BL70" s="1394"/>
      <c r="BM70" s="1395"/>
      <c r="BN70" s="1383"/>
      <c r="BO70" s="1384"/>
      <c r="BP70" s="1384"/>
      <c r="BQ70" s="1384"/>
      <c r="BR70" s="1384"/>
      <c r="BS70" s="1384"/>
      <c r="BT70" s="1384"/>
      <c r="BU70" s="1384"/>
      <c r="BV70" s="1384"/>
      <c r="BW70" s="1384"/>
      <c r="BX70" s="1384"/>
      <c r="BY70" s="1384"/>
      <c r="BZ70" s="1384"/>
      <c r="CA70" s="1384"/>
      <c r="CB70" s="1384"/>
      <c r="CC70" s="1384"/>
      <c r="CD70" s="1384"/>
      <c r="CE70" s="1384"/>
      <c r="CF70" s="1384"/>
      <c r="CG70" s="1384"/>
      <c r="CH70" s="1384"/>
      <c r="CI70" s="1384"/>
      <c r="CJ70" s="1384"/>
      <c r="CK70" s="1384"/>
      <c r="CL70" s="1384"/>
      <c r="CM70" s="1384"/>
      <c r="CN70" s="1385"/>
      <c r="CO70" s="1456"/>
      <c r="CP70" s="1457"/>
      <c r="CQ70" s="1458"/>
    </row>
    <row r="71" spans="1:95" ht="7.5" customHeight="1" x14ac:dyDescent="0.25">
      <c r="C71" s="1442"/>
      <c r="D71" s="892"/>
      <c r="E71" s="892"/>
      <c r="F71" s="892"/>
      <c r="G71" s="892"/>
      <c r="H71" s="892"/>
      <c r="I71" s="892"/>
      <c r="J71" s="892"/>
      <c r="K71" s="892"/>
      <c r="L71" s="892"/>
      <c r="M71" s="892"/>
      <c r="N71" s="892"/>
      <c r="O71" s="892"/>
      <c r="P71" s="1443"/>
      <c r="S71" s="1435" t="s">
        <v>38</v>
      </c>
      <c r="T71" s="1436"/>
      <c r="U71" s="1436"/>
      <c r="V71" s="1436"/>
      <c r="W71" s="1436"/>
      <c r="X71" s="1436"/>
      <c r="Y71" s="1436"/>
      <c r="Z71" s="1436"/>
      <c r="AA71" s="1436"/>
      <c r="AB71" s="1436"/>
      <c r="AC71" s="1436"/>
      <c r="AD71" s="1436"/>
      <c r="AE71" s="1361"/>
      <c r="AF71" s="1429"/>
      <c r="AG71" s="1391" t="s">
        <v>428</v>
      </c>
      <c r="AH71" s="1391"/>
      <c r="AK71" s="1417"/>
      <c r="AL71" s="1418"/>
      <c r="AM71" s="1418"/>
      <c r="AN71" s="1418"/>
      <c r="AO71" s="1418"/>
      <c r="AP71" s="1418"/>
      <c r="AQ71" s="1418"/>
      <c r="AR71" s="1418"/>
      <c r="AS71" s="1418"/>
      <c r="AT71" s="1418"/>
      <c r="AU71" s="1418"/>
      <c r="AV71" s="1418"/>
      <c r="AW71" s="1418"/>
      <c r="AX71" s="1419"/>
      <c r="BA71" s="1393"/>
      <c r="BB71" s="1394"/>
      <c r="BC71" s="1394"/>
      <c r="BD71" s="1394"/>
      <c r="BE71" s="1394"/>
      <c r="BF71" s="1394"/>
      <c r="BG71" s="1394"/>
      <c r="BH71" s="1394"/>
      <c r="BI71" s="1394"/>
      <c r="BJ71" s="1394"/>
      <c r="BK71" s="1394"/>
      <c r="BL71" s="1394"/>
      <c r="BM71" s="1395"/>
      <c r="BN71" s="1383"/>
      <c r="BO71" s="1384"/>
      <c r="BP71" s="1384"/>
      <c r="BQ71" s="1384"/>
      <c r="BR71" s="1384"/>
      <c r="BS71" s="1384"/>
      <c r="BT71" s="1384"/>
      <c r="BU71" s="1384"/>
      <c r="BV71" s="1384"/>
      <c r="BW71" s="1384"/>
      <c r="BX71" s="1384"/>
      <c r="BY71" s="1384"/>
      <c r="BZ71" s="1384"/>
      <c r="CA71" s="1384"/>
      <c r="CB71" s="1384"/>
      <c r="CC71" s="1384"/>
      <c r="CD71" s="1384"/>
      <c r="CE71" s="1384"/>
      <c r="CF71" s="1384"/>
      <c r="CG71" s="1384"/>
      <c r="CH71" s="1384"/>
      <c r="CI71" s="1384"/>
      <c r="CJ71" s="1384"/>
      <c r="CK71" s="1384"/>
      <c r="CL71" s="1384"/>
      <c r="CM71" s="1384"/>
      <c r="CN71" s="1385"/>
      <c r="CO71" s="1456"/>
      <c r="CP71" s="1457"/>
      <c r="CQ71" s="1458"/>
    </row>
    <row r="72" spans="1:95" ht="7.5" customHeight="1" x14ac:dyDescent="0.25">
      <c r="C72" s="1442"/>
      <c r="D72" s="892"/>
      <c r="E72" s="892"/>
      <c r="F72" s="892"/>
      <c r="G72" s="892"/>
      <c r="H72" s="892"/>
      <c r="I72" s="892"/>
      <c r="J72" s="892"/>
      <c r="K72" s="892"/>
      <c r="L72" s="892"/>
      <c r="M72" s="892"/>
      <c r="N72" s="892"/>
      <c r="O72" s="892"/>
      <c r="P72" s="1443"/>
      <c r="S72" s="1437"/>
      <c r="T72" s="1438"/>
      <c r="U72" s="1438"/>
      <c r="V72" s="1438"/>
      <c r="W72" s="1438"/>
      <c r="X72" s="1438"/>
      <c r="Y72" s="1438"/>
      <c r="Z72" s="1438"/>
      <c r="AA72" s="1438"/>
      <c r="AB72" s="1438"/>
      <c r="AC72" s="1438"/>
      <c r="AD72" s="1438"/>
      <c r="AE72" s="1363"/>
      <c r="AF72" s="1430"/>
      <c r="AG72" s="1392"/>
      <c r="AH72" s="1392"/>
      <c r="AK72" s="1417"/>
      <c r="AL72" s="1418"/>
      <c r="AM72" s="1418"/>
      <c r="AN72" s="1418"/>
      <c r="AO72" s="1418"/>
      <c r="AP72" s="1418"/>
      <c r="AQ72" s="1418"/>
      <c r="AR72" s="1418"/>
      <c r="AS72" s="1418"/>
      <c r="AT72" s="1418"/>
      <c r="AU72" s="1418"/>
      <c r="AV72" s="1418"/>
      <c r="AW72" s="1418"/>
      <c r="AX72" s="1419"/>
      <c r="BA72" s="1450"/>
      <c r="BB72" s="1451"/>
      <c r="BC72" s="1451"/>
      <c r="BD72" s="1451"/>
      <c r="BE72" s="1451"/>
      <c r="BF72" s="1451"/>
      <c r="BG72" s="1451"/>
      <c r="BH72" s="1451"/>
      <c r="BI72" s="1451"/>
      <c r="BJ72" s="1451"/>
      <c r="BK72" s="1451"/>
      <c r="BL72" s="1451"/>
      <c r="BM72" s="1452"/>
      <c r="BN72" s="1380"/>
      <c r="BO72" s="1381"/>
      <c r="BP72" s="1381"/>
      <c r="BQ72" s="1381"/>
      <c r="BR72" s="1381"/>
      <c r="BS72" s="1381"/>
      <c r="BT72" s="1381"/>
      <c r="BU72" s="1381"/>
      <c r="BV72" s="1381"/>
      <c r="BW72" s="1381"/>
      <c r="BX72" s="1381"/>
      <c r="BY72" s="1381"/>
      <c r="BZ72" s="1381"/>
      <c r="CA72" s="1381"/>
      <c r="CB72" s="1381"/>
      <c r="CC72" s="1381"/>
      <c r="CD72" s="1381"/>
      <c r="CE72" s="1381"/>
      <c r="CF72" s="1381"/>
      <c r="CG72" s="1381"/>
      <c r="CH72" s="1381"/>
      <c r="CI72" s="1381"/>
      <c r="CJ72" s="1381"/>
      <c r="CK72" s="1381"/>
      <c r="CL72" s="1381"/>
      <c r="CM72" s="1381"/>
      <c r="CN72" s="1382"/>
      <c r="CO72" s="1453"/>
      <c r="CP72" s="1454"/>
      <c r="CQ72" s="1455"/>
    </row>
    <row r="73" spans="1:95" ht="7.5" customHeight="1" x14ac:dyDescent="0.25">
      <c r="C73" s="1442"/>
      <c r="D73" s="892"/>
      <c r="E73" s="892"/>
      <c r="F73" s="892"/>
      <c r="G73" s="892"/>
      <c r="H73" s="892"/>
      <c r="I73" s="892"/>
      <c r="J73" s="892"/>
      <c r="K73" s="892"/>
      <c r="L73" s="892"/>
      <c r="M73" s="892"/>
      <c r="N73" s="892"/>
      <c r="O73" s="892"/>
      <c r="P73" s="1443"/>
      <c r="S73" s="1414"/>
      <c r="T73" s="1415"/>
      <c r="U73" s="1415"/>
      <c r="V73" s="1415"/>
      <c r="W73" s="1415"/>
      <c r="X73" s="1415"/>
      <c r="Y73" s="1415"/>
      <c r="Z73" s="1415"/>
      <c r="AA73" s="1415"/>
      <c r="AB73" s="1415"/>
      <c r="AC73" s="1415"/>
      <c r="AD73" s="1415"/>
      <c r="AE73" s="1415"/>
      <c r="AF73" s="1415"/>
      <c r="AG73" s="1415"/>
      <c r="AH73" s="1416"/>
      <c r="AK73" s="1417"/>
      <c r="AL73" s="1418"/>
      <c r="AM73" s="1418"/>
      <c r="AN73" s="1418"/>
      <c r="AO73" s="1418"/>
      <c r="AP73" s="1418"/>
      <c r="AQ73" s="1418"/>
      <c r="AR73" s="1418"/>
      <c r="AS73" s="1418"/>
      <c r="AT73" s="1418"/>
      <c r="AU73" s="1418"/>
      <c r="AV73" s="1418"/>
      <c r="AW73" s="1418"/>
      <c r="AX73" s="1419"/>
      <c r="BA73" s="1450"/>
      <c r="BB73" s="1451"/>
      <c r="BC73" s="1451"/>
      <c r="BD73" s="1451"/>
      <c r="BE73" s="1451"/>
      <c r="BF73" s="1451"/>
      <c r="BG73" s="1451"/>
      <c r="BH73" s="1451"/>
      <c r="BI73" s="1451"/>
      <c r="BJ73" s="1451"/>
      <c r="BK73" s="1451"/>
      <c r="BL73" s="1451"/>
      <c r="BM73" s="1452"/>
      <c r="BN73" s="1380"/>
      <c r="BO73" s="1381"/>
      <c r="BP73" s="1381"/>
      <c r="BQ73" s="1381"/>
      <c r="BR73" s="1381"/>
      <c r="BS73" s="1381"/>
      <c r="BT73" s="1381"/>
      <c r="BU73" s="1381"/>
      <c r="BV73" s="1381"/>
      <c r="BW73" s="1381"/>
      <c r="BX73" s="1381"/>
      <c r="BY73" s="1381"/>
      <c r="BZ73" s="1381"/>
      <c r="CA73" s="1381"/>
      <c r="CB73" s="1381"/>
      <c r="CC73" s="1381"/>
      <c r="CD73" s="1381"/>
      <c r="CE73" s="1381"/>
      <c r="CF73" s="1381"/>
      <c r="CG73" s="1381"/>
      <c r="CH73" s="1381"/>
      <c r="CI73" s="1381"/>
      <c r="CJ73" s="1381"/>
      <c r="CK73" s="1381"/>
      <c r="CL73" s="1381"/>
      <c r="CM73" s="1381"/>
      <c r="CN73" s="1382"/>
      <c r="CO73" s="1453"/>
      <c r="CP73" s="1454"/>
      <c r="CQ73" s="1455"/>
    </row>
    <row r="74" spans="1:95" ht="7.5" customHeight="1" x14ac:dyDescent="0.25">
      <c r="C74" s="1442"/>
      <c r="D74" s="892"/>
      <c r="E74" s="892"/>
      <c r="F74" s="892"/>
      <c r="G74" s="892"/>
      <c r="H74" s="892"/>
      <c r="I74" s="892"/>
      <c r="J74" s="892"/>
      <c r="K74" s="892"/>
      <c r="L74" s="892"/>
      <c r="M74" s="892"/>
      <c r="N74" s="892"/>
      <c r="O74" s="892"/>
      <c r="P74" s="1443"/>
      <c r="S74" s="1417"/>
      <c r="T74" s="1418"/>
      <c r="U74" s="1418"/>
      <c r="V74" s="1418"/>
      <c r="W74" s="1418"/>
      <c r="X74" s="1418"/>
      <c r="Y74" s="1418"/>
      <c r="Z74" s="1418"/>
      <c r="AA74" s="1418"/>
      <c r="AB74" s="1418"/>
      <c r="AC74" s="1418"/>
      <c r="AD74" s="1418"/>
      <c r="AE74" s="1418"/>
      <c r="AF74" s="1418"/>
      <c r="AG74" s="1418"/>
      <c r="AH74" s="1419"/>
      <c r="AK74" s="1417"/>
      <c r="AL74" s="1418"/>
      <c r="AM74" s="1418"/>
      <c r="AN74" s="1418"/>
      <c r="AO74" s="1418"/>
      <c r="AP74" s="1418"/>
      <c r="AQ74" s="1418"/>
      <c r="AR74" s="1418"/>
      <c r="AS74" s="1418"/>
      <c r="AT74" s="1418"/>
      <c r="AU74" s="1418"/>
      <c r="AV74" s="1418"/>
      <c r="AW74" s="1418"/>
      <c r="AX74" s="1419"/>
      <c r="BA74" s="1393"/>
      <c r="BB74" s="1394"/>
      <c r="BC74" s="1394"/>
      <c r="BD74" s="1394"/>
      <c r="BE74" s="1394"/>
      <c r="BF74" s="1394"/>
      <c r="BG74" s="1394"/>
      <c r="BH74" s="1394"/>
      <c r="BI74" s="1394"/>
      <c r="BJ74" s="1394"/>
      <c r="BK74" s="1394"/>
      <c r="BL74" s="1394"/>
      <c r="BM74" s="1395"/>
      <c r="BN74" s="1383"/>
      <c r="BO74" s="1384"/>
      <c r="BP74" s="1384"/>
      <c r="BQ74" s="1384"/>
      <c r="BR74" s="1384"/>
      <c r="BS74" s="1384"/>
      <c r="BT74" s="1384"/>
      <c r="BU74" s="1384"/>
      <c r="BV74" s="1384"/>
      <c r="BW74" s="1384"/>
      <c r="BX74" s="1384"/>
      <c r="BY74" s="1384"/>
      <c r="BZ74" s="1384"/>
      <c r="CA74" s="1384"/>
      <c r="CB74" s="1384"/>
      <c r="CC74" s="1384"/>
      <c r="CD74" s="1384"/>
      <c r="CE74" s="1384"/>
      <c r="CF74" s="1384"/>
      <c r="CG74" s="1384"/>
      <c r="CH74" s="1384"/>
      <c r="CI74" s="1384"/>
      <c r="CJ74" s="1384"/>
      <c r="CK74" s="1384"/>
      <c r="CL74" s="1384"/>
      <c r="CM74" s="1384"/>
      <c r="CN74" s="1385"/>
      <c r="CO74" s="1456"/>
      <c r="CP74" s="1457"/>
      <c r="CQ74" s="1458"/>
    </row>
    <row r="75" spans="1:95" ht="7.5" customHeight="1" x14ac:dyDescent="0.25">
      <c r="C75" s="1442"/>
      <c r="D75" s="892"/>
      <c r="E75" s="892"/>
      <c r="F75" s="892"/>
      <c r="G75" s="892"/>
      <c r="H75" s="892"/>
      <c r="I75" s="892"/>
      <c r="J75" s="892"/>
      <c r="K75" s="892"/>
      <c r="L75" s="892"/>
      <c r="M75" s="892"/>
      <c r="N75" s="892"/>
      <c r="O75" s="892"/>
      <c r="P75" s="1443"/>
      <c r="S75" s="1417"/>
      <c r="T75" s="1418"/>
      <c r="U75" s="1418"/>
      <c r="V75" s="1418"/>
      <c r="W75" s="1418"/>
      <c r="X75" s="1418"/>
      <c r="Y75" s="1418"/>
      <c r="Z75" s="1418"/>
      <c r="AA75" s="1418"/>
      <c r="AB75" s="1418"/>
      <c r="AC75" s="1418"/>
      <c r="AD75" s="1418"/>
      <c r="AE75" s="1418"/>
      <c r="AF75" s="1418"/>
      <c r="AG75" s="1418"/>
      <c r="AH75" s="1419"/>
      <c r="AK75" s="1417"/>
      <c r="AL75" s="1418"/>
      <c r="AM75" s="1418"/>
      <c r="AN75" s="1418"/>
      <c r="AO75" s="1418"/>
      <c r="AP75" s="1418"/>
      <c r="AQ75" s="1418"/>
      <c r="AR75" s="1418"/>
      <c r="AS75" s="1418"/>
      <c r="AT75" s="1418"/>
      <c r="AU75" s="1418"/>
      <c r="AV75" s="1418"/>
      <c r="AW75" s="1418"/>
      <c r="AX75" s="1419"/>
      <c r="BA75" s="1393"/>
      <c r="BB75" s="1394"/>
      <c r="BC75" s="1394"/>
      <c r="BD75" s="1394"/>
      <c r="BE75" s="1394"/>
      <c r="BF75" s="1394"/>
      <c r="BG75" s="1394"/>
      <c r="BH75" s="1394"/>
      <c r="BI75" s="1394"/>
      <c r="BJ75" s="1394"/>
      <c r="BK75" s="1394"/>
      <c r="BL75" s="1394"/>
      <c r="BM75" s="1395"/>
      <c r="BN75" s="1383"/>
      <c r="BO75" s="1384"/>
      <c r="BP75" s="1384"/>
      <c r="BQ75" s="1384"/>
      <c r="BR75" s="1384"/>
      <c r="BS75" s="1384"/>
      <c r="BT75" s="1384"/>
      <c r="BU75" s="1384"/>
      <c r="BV75" s="1384"/>
      <c r="BW75" s="1384"/>
      <c r="BX75" s="1384"/>
      <c r="BY75" s="1384"/>
      <c r="BZ75" s="1384"/>
      <c r="CA75" s="1384"/>
      <c r="CB75" s="1384"/>
      <c r="CC75" s="1384"/>
      <c r="CD75" s="1384"/>
      <c r="CE75" s="1384"/>
      <c r="CF75" s="1384"/>
      <c r="CG75" s="1384"/>
      <c r="CH75" s="1384"/>
      <c r="CI75" s="1384"/>
      <c r="CJ75" s="1384"/>
      <c r="CK75" s="1384"/>
      <c r="CL75" s="1384"/>
      <c r="CM75" s="1384"/>
      <c r="CN75" s="1385"/>
      <c r="CO75" s="1456"/>
      <c r="CP75" s="1457"/>
      <c r="CQ75" s="1458"/>
    </row>
    <row r="76" spans="1:95" ht="7.5" customHeight="1" x14ac:dyDescent="0.25">
      <c r="C76" s="1442"/>
      <c r="D76" s="892"/>
      <c r="E76" s="892"/>
      <c r="F76" s="892"/>
      <c r="G76" s="892"/>
      <c r="H76" s="892"/>
      <c r="I76" s="892"/>
      <c r="J76" s="892"/>
      <c r="K76" s="892"/>
      <c r="L76" s="892"/>
      <c r="M76" s="892"/>
      <c r="N76" s="892"/>
      <c r="O76" s="892"/>
      <c r="P76" s="1443"/>
      <c r="S76" s="1417"/>
      <c r="T76" s="1418"/>
      <c r="U76" s="1418"/>
      <c r="V76" s="1418"/>
      <c r="W76" s="1418"/>
      <c r="X76" s="1418"/>
      <c r="Y76" s="1418"/>
      <c r="Z76" s="1418"/>
      <c r="AA76" s="1418"/>
      <c r="AB76" s="1418"/>
      <c r="AC76" s="1418"/>
      <c r="AD76" s="1418"/>
      <c r="AE76" s="1418"/>
      <c r="AF76" s="1418"/>
      <c r="AG76" s="1418"/>
      <c r="AH76" s="1419"/>
      <c r="AK76" s="1417"/>
      <c r="AL76" s="1418"/>
      <c r="AM76" s="1418"/>
      <c r="AN76" s="1418"/>
      <c r="AO76" s="1418"/>
      <c r="AP76" s="1418"/>
      <c r="AQ76" s="1418"/>
      <c r="AR76" s="1418"/>
      <c r="AS76" s="1418"/>
      <c r="AT76" s="1418"/>
      <c r="AU76" s="1418"/>
      <c r="AV76" s="1418"/>
      <c r="AW76" s="1418"/>
      <c r="AX76" s="1419"/>
      <c r="BA76" s="1450"/>
      <c r="BB76" s="1451"/>
      <c r="BC76" s="1451"/>
      <c r="BD76" s="1451"/>
      <c r="BE76" s="1451"/>
      <c r="BF76" s="1451"/>
      <c r="BG76" s="1451"/>
      <c r="BH76" s="1451"/>
      <c r="BI76" s="1451"/>
      <c r="BJ76" s="1451"/>
      <c r="BK76" s="1451"/>
      <c r="BL76" s="1451"/>
      <c r="BM76" s="1452"/>
      <c r="BN76" s="1380"/>
      <c r="BO76" s="1381"/>
      <c r="BP76" s="1381"/>
      <c r="BQ76" s="1381"/>
      <c r="BR76" s="1381"/>
      <c r="BS76" s="1381"/>
      <c r="BT76" s="1381"/>
      <c r="BU76" s="1381"/>
      <c r="BV76" s="1381"/>
      <c r="BW76" s="1381"/>
      <c r="BX76" s="1381"/>
      <c r="BY76" s="1381"/>
      <c r="BZ76" s="1381"/>
      <c r="CA76" s="1381"/>
      <c r="CB76" s="1381"/>
      <c r="CC76" s="1381"/>
      <c r="CD76" s="1381"/>
      <c r="CE76" s="1381"/>
      <c r="CF76" s="1381"/>
      <c r="CG76" s="1381"/>
      <c r="CH76" s="1381"/>
      <c r="CI76" s="1381"/>
      <c r="CJ76" s="1381"/>
      <c r="CK76" s="1381"/>
      <c r="CL76" s="1381"/>
      <c r="CM76" s="1381"/>
      <c r="CN76" s="1382"/>
      <c r="CO76" s="1453"/>
      <c r="CP76" s="1454"/>
      <c r="CQ76" s="1455"/>
    </row>
    <row r="77" spans="1:95" ht="7.5" customHeight="1" x14ac:dyDescent="0.25">
      <c r="C77" s="1442"/>
      <c r="D77" s="892"/>
      <c r="E77" s="892"/>
      <c r="F77" s="892"/>
      <c r="G77" s="892"/>
      <c r="H77" s="892"/>
      <c r="I77" s="892"/>
      <c r="J77" s="892"/>
      <c r="K77" s="892"/>
      <c r="L77" s="892"/>
      <c r="M77" s="892"/>
      <c r="N77" s="892"/>
      <c r="O77" s="892"/>
      <c r="P77" s="1443"/>
      <c r="S77" s="1417"/>
      <c r="T77" s="1418"/>
      <c r="U77" s="1418"/>
      <c r="V77" s="1418"/>
      <c r="W77" s="1418"/>
      <c r="X77" s="1418"/>
      <c r="Y77" s="1418"/>
      <c r="Z77" s="1418"/>
      <c r="AA77" s="1418"/>
      <c r="AB77" s="1418"/>
      <c r="AC77" s="1418"/>
      <c r="AD77" s="1418"/>
      <c r="AE77" s="1418"/>
      <c r="AF77" s="1418"/>
      <c r="AG77" s="1418"/>
      <c r="AH77" s="1419"/>
      <c r="AK77" s="1417"/>
      <c r="AL77" s="1418"/>
      <c r="AM77" s="1418"/>
      <c r="AN77" s="1418"/>
      <c r="AO77" s="1418"/>
      <c r="AP77" s="1418"/>
      <c r="AQ77" s="1418"/>
      <c r="AR77" s="1418"/>
      <c r="AS77" s="1418"/>
      <c r="AT77" s="1418"/>
      <c r="AU77" s="1418"/>
      <c r="AV77" s="1418"/>
      <c r="AW77" s="1418"/>
      <c r="AX77" s="1419"/>
      <c r="BA77" s="1450"/>
      <c r="BB77" s="1451"/>
      <c r="BC77" s="1451"/>
      <c r="BD77" s="1451"/>
      <c r="BE77" s="1451"/>
      <c r="BF77" s="1451"/>
      <c r="BG77" s="1451"/>
      <c r="BH77" s="1451"/>
      <c r="BI77" s="1451"/>
      <c r="BJ77" s="1451"/>
      <c r="BK77" s="1451"/>
      <c r="BL77" s="1451"/>
      <c r="BM77" s="1452"/>
      <c r="BN77" s="1380"/>
      <c r="BO77" s="1381"/>
      <c r="BP77" s="1381"/>
      <c r="BQ77" s="1381"/>
      <c r="BR77" s="1381"/>
      <c r="BS77" s="1381"/>
      <c r="BT77" s="1381"/>
      <c r="BU77" s="1381"/>
      <c r="BV77" s="1381"/>
      <c r="BW77" s="1381"/>
      <c r="BX77" s="1381"/>
      <c r="BY77" s="1381"/>
      <c r="BZ77" s="1381"/>
      <c r="CA77" s="1381"/>
      <c r="CB77" s="1381"/>
      <c r="CC77" s="1381"/>
      <c r="CD77" s="1381"/>
      <c r="CE77" s="1381"/>
      <c r="CF77" s="1381"/>
      <c r="CG77" s="1381"/>
      <c r="CH77" s="1381"/>
      <c r="CI77" s="1381"/>
      <c r="CJ77" s="1381"/>
      <c r="CK77" s="1381"/>
      <c r="CL77" s="1381"/>
      <c r="CM77" s="1381"/>
      <c r="CN77" s="1382"/>
      <c r="CO77" s="1453"/>
      <c r="CP77" s="1454"/>
      <c r="CQ77" s="1455"/>
    </row>
    <row r="78" spans="1:95" ht="7.5" customHeight="1" x14ac:dyDescent="0.25">
      <c r="C78" s="1442"/>
      <c r="D78" s="892"/>
      <c r="E78" s="892"/>
      <c r="F78" s="892"/>
      <c r="G78" s="892"/>
      <c r="H78" s="892"/>
      <c r="I78" s="892"/>
      <c r="J78" s="892"/>
      <c r="K78" s="892"/>
      <c r="L78" s="892"/>
      <c r="M78" s="892"/>
      <c r="N78" s="892"/>
      <c r="O78" s="892"/>
      <c r="P78" s="1443"/>
      <c r="S78" s="1417"/>
      <c r="T78" s="1418"/>
      <c r="U78" s="1418"/>
      <c r="V78" s="1418"/>
      <c r="W78" s="1418"/>
      <c r="X78" s="1418"/>
      <c r="Y78" s="1418"/>
      <c r="Z78" s="1418"/>
      <c r="AA78" s="1418"/>
      <c r="AB78" s="1418"/>
      <c r="AC78" s="1418"/>
      <c r="AD78" s="1418"/>
      <c r="AE78" s="1418"/>
      <c r="AF78" s="1418"/>
      <c r="AG78" s="1418"/>
      <c r="AH78" s="1419"/>
      <c r="AK78" s="1417"/>
      <c r="AL78" s="1418"/>
      <c r="AM78" s="1418"/>
      <c r="AN78" s="1418"/>
      <c r="AO78" s="1418"/>
      <c r="AP78" s="1418"/>
      <c r="AQ78" s="1418"/>
      <c r="AR78" s="1418"/>
      <c r="AS78" s="1418"/>
      <c r="AT78" s="1418"/>
      <c r="AU78" s="1418"/>
      <c r="AV78" s="1418"/>
      <c r="AW78" s="1418"/>
      <c r="AX78" s="1419"/>
      <c r="BA78" s="1393"/>
      <c r="BB78" s="1394"/>
      <c r="BC78" s="1394"/>
      <c r="BD78" s="1394"/>
      <c r="BE78" s="1394"/>
      <c r="BF78" s="1394"/>
      <c r="BG78" s="1394"/>
      <c r="BH78" s="1394"/>
      <c r="BI78" s="1394"/>
      <c r="BJ78" s="1394"/>
      <c r="BK78" s="1394"/>
      <c r="BL78" s="1394"/>
      <c r="BM78" s="1395"/>
      <c r="BN78" s="1383"/>
      <c r="BO78" s="1384"/>
      <c r="BP78" s="1384"/>
      <c r="BQ78" s="1384"/>
      <c r="BR78" s="1384"/>
      <c r="BS78" s="1384"/>
      <c r="BT78" s="1384"/>
      <c r="BU78" s="1384"/>
      <c r="BV78" s="1384"/>
      <c r="BW78" s="1384"/>
      <c r="BX78" s="1384"/>
      <c r="BY78" s="1384"/>
      <c r="BZ78" s="1384"/>
      <c r="CA78" s="1384"/>
      <c r="CB78" s="1384"/>
      <c r="CC78" s="1384"/>
      <c r="CD78" s="1384"/>
      <c r="CE78" s="1384"/>
      <c r="CF78" s="1384"/>
      <c r="CG78" s="1384"/>
      <c r="CH78" s="1384"/>
      <c r="CI78" s="1384"/>
      <c r="CJ78" s="1384"/>
      <c r="CK78" s="1384"/>
      <c r="CL78" s="1384"/>
      <c r="CM78" s="1384"/>
      <c r="CN78" s="1385"/>
      <c r="CO78" s="1456"/>
      <c r="CP78" s="1457"/>
      <c r="CQ78" s="1458"/>
    </row>
    <row r="79" spans="1:95" ht="7.5" customHeight="1" x14ac:dyDescent="0.25">
      <c r="C79" s="860"/>
      <c r="D79" s="1444"/>
      <c r="E79" s="1444"/>
      <c r="F79" s="1444"/>
      <c r="G79" s="1444"/>
      <c r="H79" s="1444"/>
      <c r="I79" s="1444"/>
      <c r="J79" s="1444"/>
      <c r="K79" s="1444"/>
      <c r="L79" s="1444"/>
      <c r="M79" s="1444"/>
      <c r="N79" s="1444"/>
      <c r="O79" s="1444"/>
      <c r="P79" s="885"/>
      <c r="S79" s="1420"/>
      <c r="T79" s="1421"/>
      <c r="U79" s="1421"/>
      <c r="V79" s="1421"/>
      <c r="W79" s="1421"/>
      <c r="X79" s="1421"/>
      <c r="Y79" s="1421"/>
      <c r="Z79" s="1421"/>
      <c r="AA79" s="1421"/>
      <c r="AB79" s="1421"/>
      <c r="AC79" s="1421"/>
      <c r="AD79" s="1421"/>
      <c r="AE79" s="1421"/>
      <c r="AF79" s="1421"/>
      <c r="AG79" s="1421"/>
      <c r="AH79" s="1422"/>
      <c r="AK79" s="1420"/>
      <c r="AL79" s="1421"/>
      <c r="AM79" s="1421"/>
      <c r="AN79" s="1421"/>
      <c r="AO79" s="1421"/>
      <c r="AP79" s="1421"/>
      <c r="AQ79" s="1421"/>
      <c r="AR79" s="1421"/>
      <c r="AS79" s="1421"/>
      <c r="AT79" s="1421"/>
      <c r="AU79" s="1421"/>
      <c r="AV79" s="1421"/>
      <c r="AW79" s="1421"/>
      <c r="AX79" s="1422"/>
      <c r="BA79" s="1475"/>
      <c r="BB79" s="1476"/>
      <c r="BC79" s="1476"/>
      <c r="BD79" s="1476"/>
      <c r="BE79" s="1476"/>
      <c r="BF79" s="1476"/>
      <c r="BG79" s="1476"/>
      <c r="BH79" s="1476"/>
      <c r="BI79" s="1476"/>
      <c r="BJ79" s="1476"/>
      <c r="BK79" s="1476"/>
      <c r="BL79" s="1476"/>
      <c r="BM79" s="1477"/>
      <c r="BN79" s="1481"/>
      <c r="BO79" s="1482"/>
      <c r="BP79" s="1482"/>
      <c r="BQ79" s="1482"/>
      <c r="BR79" s="1482"/>
      <c r="BS79" s="1482"/>
      <c r="BT79" s="1482"/>
      <c r="BU79" s="1482"/>
      <c r="BV79" s="1482"/>
      <c r="BW79" s="1482"/>
      <c r="BX79" s="1482"/>
      <c r="BY79" s="1482"/>
      <c r="BZ79" s="1482"/>
      <c r="CA79" s="1482"/>
      <c r="CB79" s="1482"/>
      <c r="CC79" s="1482"/>
      <c r="CD79" s="1482"/>
      <c r="CE79" s="1482"/>
      <c r="CF79" s="1482"/>
      <c r="CG79" s="1482"/>
      <c r="CH79" s="1482"/>
      <c r="CI79" s="1482"/>
      <c r="CJ79" s="1482"/>
      <c r="CK79" s="1482"/>
      <c r="CL79" s="1482"/>
      <c r="CM79" s="1482"/>
      <c r="CN79" s="1483"/>
      <c r="CO79" s="1478"/>
      <c r="CP79" s="1479"/>
      <c r="CQ79" s="1480"/>
    </row>
  </sheetData>
  <mergeCells count="200">
    <mergeCell ref="AE23:AF24"/>
    <mergeCell ref="S23:AD24"/>
    <mergeCell ref="AN12:AU13"/>
    <mergeCell ref="S25:AH33"/>
    <mergeCell ref="C5:N17"/>
    <mergeCell ref="C3:J4"/>
    <mergeCell ref="S14:AH20"/>
    <mergeCell ref="AE34:AH34"/>
    <mergeCell ref="M3:N4"/>
    <mergeCell ref="K3:L4"/>
    <mergeCell ref="S3:AH9"/>
    <mergeCell ref="AJ2:AL3"/>
    <mergeCell ref="AJ4:AP4"/>
    <mergeCell ref="AM2:AM3"/>
    <mergeCell ref="S12:AD13"/>
    <mergeCell ref="AE12:AF13"/>
    <mergeCell ref="AG12:AH13"/>
    <mergeCell ref="S1:AD2"/>
    <mergeCell ref="AE1:AF2"/>
    <mergeCell ref="AG1:AH2"/>
    <mergeCell ref="CO30:CQ31"/>
    <mergeCell ref="BA32:BM33"/>
    <mergeCell ref="BN22:CN23"/>
    <mergeCell ref="BN24:CN25"/>
    <mergeCell ref="BN26:CN27"/>
    <mergeCell ref="BN28:CN29"/>
    <mergeCell ref="BN8:CN9"/>
    <mergeCell ref="BN10:CN11"/>
    <mergeCell ref="BA22:BM23"/>
    <mergeCell ref="CO22:CQ23"/>
    <mergeCell ref="BA24:BM25"/>
    <mergeCell ref="CO24:CQ25"/>
    <mergeCell ref="CO12:CQ13"/>
    <mergeCell ref="BA14:BM15"/>
    <mergeCell ref="CO14:CQ15"/>
    <mergeCell ref="BA18:BM19"/>
    <mergeCell ref="CO18:CQ19"/>
    <mergeCell ref="BA20:BM21"/>
    <mergeCell ref="CO20:CQ21"/>
    <mergeCell ref="BA16:BM17"/>
    <mergeCell ref="CO16:CQ17"/>
    <mergeCell ref="CO26:CQ27"/>
    <mergeCell ref="BA28:BM29"/>
    <mergeCell ref="CO28:CQ29"/>
    <mergeCell ref="BA12:BM13"/>
    <mergeCell ref="AN15:AU16"/>
    <mergeCell ref="S34:V34"/>
    <mergeCell ref="BA1:CQ3"/>
    <mergeCell ref="AR2:AU3"/>
    <mergeCell ref="AR4:AU4"/>
    <mergeCell ref="BA4:BM5"/>
    <mergeCell ref="BA6:BM7"/>
    <mergeCell ref="BA8:BM9"/>
    <mergeCell ref="CO8:CQ9"/>
    <mergeCell ref="CO6:CQ7"/>
    <mergeCell ref="BA10:BM11"/>
    <mergeCell ref="CO10:CQ11"/>
    <mergeCell ref="BN6:CN7"/>
    <mergeCell ref="BN4:CN5"/>
    <mergeCell ref="AO6:AT7"/>
    <mergeCell ref="AN9:AU10"/>
    <mergeCell ref="AN2:AP3"/>
    <mergeCell ref="CO4:CQ5"/>
    <mergeCell ref="AW4:AZ4"/>
    <mergeCell ref="AW2:AZ3"/>
    <mergeCell ref="CO32:CQ33"/>
    <mergeCell ref="BA34:BM35"/>
    <mergeCell ref="CO34:CQ35"/>
    <mergeCell ref="BA78:BM79"/>
    <mergeCell ref="CO78:CQ79"/>
    <mergeCell ref="BA72:BM73"/>
    <mergeCell ref="CO72:CQ73"/>
    <mergeCell ref="BA74:BM75"/>
    <mergeCell ref="CO74:CQ75"/>
    <mergeCell ref="BA68:BM69"/>
    <mergeCell ref="CO68:CQ69"/>
    <mergeCell ref="BA70:BM71"/>
    <mergeCell ref="CO70:CQ71"/>
    <mergeCell ref="BN68:CN69"/>
    <mergeCell ref="BN70:CN71"/>
    <mergeCell ref="BN72:CN73"/>
    <mergeCell ref="BN74:CN75"/>
    <mergeCell ref="BN76:CN77"/>
    <mergeCell ref="BN78:CN79"/>
    <mergeCell ref="BA76:BM77"/>
    <mergeCell ref="CO76:CQ77"/>
    <mergeCell ref="BN64:CN65"/>
    <mergeCell ref="BN66:CN67"/>
    <mergeCell ref="BA56:BM57"/>
    <mergeCell ref="CO56:CQ57"/>
    <mergeCell ref="BA58:BM59"/>
    <mergeCell ref="CO58:CQ59"/>
    <mergeCell ref="BA64:BM65"/>
    <mergeCell ref="BN56:CN57"/>
    <mergeCell ref="BN58:CN59"/>
    <mergeCell ref="CO64:CQ65"/>
    <mergeCell ref="BA66:BM67"/>
    <mergeCell ref="CO66:CQ67"/>
    <mergeCell ref="BA60:BM61"/>
    <mergeCell ref="CO60:CQ61"/>
    <mergeCell ref="BN40:CN41"/>
    <mergeCell ref="BA48:BM49"/>
    <mergeCell ref="CO48:CQ49"/>
    <mergeCell ref="BA42:BM43"/>
    <mergeCell ref="CO42:CQ43"/>
    <mergeCell ref="BA44:BM45"/>
    <mergeCell ref="CO44:CQ45"/>
    <mergeCell ref="BA46:BM47"/>
    <mergeCell ref="BA62:BM63"/>
    <mergeCell ref="CO62:CQ63"/>
    <mergeCell ref="BN60:CN61"/>
    <mergeCell ref="BN62:CN63"/>
    <mergeCell ref="AK68:AV69"/>
    <mergeCell ref="AG61:AH62"/>
    <mergeCell ref="S63:AH69"/>
    <mergeCell ref="S61:AD62"/>
    <mergeCell ref="AE61:AF62"/>
    <mergeCell ref="N53:P53"/>
    <mergeCell ref="S58:V59"/>
    <mergeCell ref="AW68:AX69"/>
    <mergeCell ref="AK58:AX65"/>
    <mergeCell ref="AK56:AV57"/>
    <mergeCell ref="AW56:AX57"/>
    <mergeCell ref="C56:N57"/>
    <mergeCell ref="O56:P57"/>
    <mergeCell ref="C58:P65"/>
    <mergeCell ref="AE58:AH59"/>
    <mergeCell ref="AE57:AH57"/>
    <mergeCell ref="BN30:CN31"/>
    <mergeCell ref="BN32:CN33"/>
    <mergeCell ref="BN34:CN35"/>
    <mergeCell ref="BA52:BM53"/>
    <mergeCell ref="CO52:CQ53"/>
    <mergeCell ref="BA54:BM55"/>
    <mergeCell ref="CO50:CQ51"/>
    <mergeCell ref="BN48:CN49"/>
    <mergeCell ref="BN50:CN51"/>
    <mergeCell ref="CO54:CQ55"/>
    <mergeCell ref="BN52:CN53"/>
    <mergeCell ref="BN54:CN55"/>
    <mergeCell ref="CO46:CQ47"/>
    <mergeCell ref="BN42:CN43"/>
    <mergeCell ref="BN44:CN45"/>
    <mergeCell ref="BN46:CN47"/>
    <mergeCell ref="BA36:BM37"/>
    <mergeCell ref="CO36:CQ37"/>
    <mergeCell ref="BA38:BM39"/>
    <mergeCell ref="CO38:CQ39"/>
    <mergeCell ref="BA40:BM41"/>
    <mergeCell ref="CO40:CQ41"/>
    <mergeCell ref="BN36:CN37"/>
    <mergeCell ref="BN38:CN39"/>
    <mergeCell ref="AK70:AX79"/>
    <mergeCell ref="C39:L40"/>
    <mergeCell ref="C41:L53"/>
    <mergeCell ref="AK45:AX53"/>
    <mergeCell ref="C26:N27"/>
    <mergeCell ref="C28:P36"/>
    <mergeCell ref="AG23:AH24"/>
    <mergeCell ref="AG71:AH72"/>
    <mergeCell ref="AE71:AF72"/>
    <mergeCell ref="O26:P27"/>
    <mergeCell ref="O39:P40"/>
    <mergeCell ref="M42:P42"/>
    <mergeCell ref="M43:P45"/>
    <mergeCell ref="M46:P46"/>
    <mergeCell ref="M47:P49"/>
    <mergeCell ref="C68:N69"/>
    <mergeCell ref="C70:P79"/>
    <mergeCell ref="S71:AD72"/>
    <mergeCell ref="S73:AH79"/>
    <mergeCell ref="S57:V57"/>
    <mergeCell ref="AK39:AT40"/>
    <mergeCell ref="S35:V37"/>
    <mergeCell ref="O68:P69"/>
    <mergeCell ref="AU41:AX41"/>
    <mergeCell ref="M39:N40"/>
    <mergeCell ref="N51:P51"/>
    <mergeCell ref="Y34:AB34"/>
    <mergeCell ref="Y35:AB37"/>
    <mergeCell ref="AU39:AV40"/>
    <mergeCell ref="BN16:CN17"/>
    <mergeCell ref="BN18:CN19"/>
    <mergeCell ref="BN20:CN21"/>
    <mergeCell ref="BN12:CN13"/>
    <mergeCell ref="BN14:CN15"/>
    <mergeCell ref="AU42:AX44"/>
    <mergeCell ref="AW39:AX40"/>
    <mergeCell ref="AK41:AN41"/>
    <mergeCell ref="AK42:AN44"/>
    <mergeCell ref="AP41:AS41"/>
    <mergeCell ref="AP42:AS44"/>
    <mergeCell ref="BA50:BM51"/>
    <mergeCell ref="AU26:AV27"/>
    <mergeCell ref="BA26:BM27"/>
    <mergeCell ref="BA30:BM31"/>
    <mergeCell ref="AE35:AH37"/>
    <mergeCell ref="AK26:AT27"/>
    <mergeCell ref="AK28:AX36"/>
    <mergeCell ref="AW26:AX27"/>
  </mergeCells>
  <phoneticPr fontId="99" type="noConversion"/>
  <conditionalFormatting sqref="S1">
    <cfRule type="expression" dxfId="123" priority="14">
      <formula>$S$1&lt;&gt;"Head"</formula>
    </cfRule>
  </conditionalFormatting>
  <conditionalFormatting sqref="C3">
    <cfRule type="expression" dxfId="122" priority="13">
      <formula>$C$3&lt;&gt;"Back"</formula>
    </cfRule>
  </conditionalFormatting>
  <conditionalFormatting sqref="AK26">
    <cfRule type="expression" dxfId="121" priority="11">
      <formula>$AK$26&lt;&gt;"Arms"</formula>
    </cfRule>
  </conditionalFormatting>
  <conditionalFormatting sqref="C26">
    <cfRule type="expression" dxfId="120" priority="9">
      <formula>$C$26&lt;&gt;"Hands"</formula>
    </cfRule>
  </conditionalFormatting>
  <conditionalFormatting sqref="C39">
    <cfRule type="expression" dxfId="119" priority="8">
      <formula>$C$39&lt;&gt;"Off Hand"</formula>
    </cfRule>
  </conditionalFormatting>
  <conditionalFormatting sqref="AK39">
    <cfRule type="expression" dxfId="118" priority="5">
      <formula>#REF!&lt;&gt;"Main Hand"</formula>
    </cfRule>
  </conditionalFormatting>
  <conditionalFormatting sqref="R22:R23">
    <cfRule type="expression" priority="3">
      <formula>$Q$11&lt;&gt;"Body"</formula>
    </cfRule>
  </conditionalFormatting>
  <conditionalFormatting sqref="S12">
    <cfRule type="expression" dxfId="117" priority="2">
      <formula>$S$1&lt;&gt;"Head"</formula>
    </cfRule>
  </conditionalFormatting>
  <conditionalFormatting sqref="S23">
    <cfRule type="expression" priority="1">
      <formula>$Q$11&lt;&gt;"Body"</formula>
    </cfRule>
  </conditionalFormatting>
  <printOptions horizontalCentered="1" verticalCentered="1"/>
  <pageMargins left="0.5" right="0.5" top="0.5" bottom="0.5" header="0.3" footer="0.3"/>
  <pageSetup scale="94" orientation="landscape" horizontalDpi="4294967293" verticalDpi="4294967293" r:id="rId1"/>
  <headerFooter>
    <oddHeader>&amp;L&amp;G</oddHeader>
  </headerFooter>
  <legacyDrawingHF r:id="rId2"/>
  <extLst>
    <ext xmlns:mx="http://schemas.microsoft.com/office/mac/excel/2008/main" uri="{64002731-A6B0-56B0-2670-7721B7C09600}">
      <mx:PLV Mode="1"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FN94"/>
  <sheetViews>
    <sheetView zoomScale="115" zoomScaleNormal="115" zoomScalePageLayoutView="115" workbookViewId="0">
      <selection activeCell="BF53" sqref="BF53"/>
    </sheetView>
  </sheetViews>
  <sheetFormatPr defaultColWidth="1.42578125" defaultRowHeight="7.5" customHeight="1" x14ac:dyDescent="0.25"/>
  <sheetData>
    <row r="1" spans="1:153" ht="7.5" customHeight="1" x14ac:dyDescent="0.25">
      <c r="A1" s="1486" t="e">
        <f>IF(Name&gt;0,"Spellbook of "&amp;Name,"Spellbook")</f>
        <v>#REF!</v>
      </c>
      <c r="B1" s="1486"/>
      <c r="C1" s="1486"/>
      <c r="D1" s="1486"/>
      <c r="E1" s="1486"/>
      <c r="F1" s="1486"/>
      <c r="G1" s="1486"/>
      <c r="H1" s="1486"/>
      <c r="I1" s="1486"/>
      <c r="J1" s="1486"/>
      <c r="K1" s="1486"/>
      <c r="L1" s="1486"/>
      <c r="M1" s="1486"/>
      <c r="N1" s="1486"/>
      <c r="O1" s="1486"/>
      <c r="P1" s="1486"/>
      <c r="Q1" s="1486"/>
      <c r="R1" s="1486"/>
      <c r="S1" s="1486"/>
      <c r="T1" s="1486"/>
      <c r="U1" s="1486"/>
      <c r="V1" s="1486"/>
      <c r="W1" s="1486"/>
      <c r="X1" s="1486"/>
      <c r="Y1" s="1486"/>
      <c r="Z1" s="1486"/>
      <c r="AA1" s="1486"/>
      <c r="AB1" s="1486"/>
      <c r="AC1" s="1486"/>
      <c r="AD1" s="1486"/>
      <c r="AE1" s="1486"/>
      <c r="AF1" s="1486"/>
      <c r="AG1" s="1486"/>
      <c r="AH1" s="1486"/>
      <c r="AI1" s="1486"/>
      <c r="AJ1" s="1486"/>
      <c r="AK1" s="1486"/>
      <c r="AL1" s="1486"/>
      <c r="AM1" s="1486"/>
      <c r="AN1" s="1486"/>
      <c r="AO1" s="1486"/>
      <c r="CM1" s="1599" t="s">
        <v>105</v>
      </c>
      <c r="CN1" s="1599"/>
      <c r="CO1" s="1599"/>
      <c r="CP1" s="1599"/>
      <c r="CQ1" s="1599"/>
      <c r="CR1" s="1599"/>
      <c r="CS1" s="1599"/>
      <c r="CT1" s="1599"/>
      <c r="CU1" s="1599"/>
      <c r="CV1" s="1599"/>
      <c r="CW1" s="1599"/>
      <c r="CX1" s="1599"/>
      <c r="CY1" s="1599"/>
      <c r="CZ1" s="39"/>
      <c r="DA1" s="39"/>
      <c r="DB1" s="39"/>
      <c r="DC1" s="39"/>
      <c r="DD1" s="39"/>
      <c r="DE1" s="1601"/>
      <c r="DF1" s="1601"/>
      <c r="DG1" s="1601"/>
      <c r="DH1" s="1601"/>
      <c r="DI1" s="39"/>
      <c r="DJ1" s="1603"/>
      <c r="DK1" s="1603"/>
      <c r="DL1" s="1603"/>
      <c r="DM1" s="1603"/>
      <c r="DN1" s="39"/>
      <c r="DO1" s="1603"/>
      <c r="DP1" s="1603"/>
      <c r="DQ1" s="1603"/>
      <c r="DR1" s="1603"/>
      <c r="DS1" s="39"/>
      <c r="DT1" s="39"/>
      <c r="DU1" s="39"/>
      <c r="DV1" s="39"/>
      <c r="DW1" s="39"/>
      <c r="DX1" s="39"/>
      <c r="DY1" s="1604" t="s">
        <v>128</v>
      </c>
      <c r="DZ1" s="1604"/>
      <c r="EA1" s="1604"/>
      <c r="EB1" s="1604"/>
      <c r="EC1" s="1604"/>
      <c r="ED1" s="1604"/>
      <c r="EE1" s="1604"/>
      <c r="EF1" s="1604"/>
      <c r="EG1" s="1604"/>
      <c r="EH1" s="1604"/>
      <c r="EI1" s="1604"/>
      <c r="EJ1" s="1604"/>
      <c r="EK1" s="1604"/>
      <c r="EL1" s="1606"/>
      <c r="EM1" s="1606"/>
      <c r="EN1" s="1606"/>
      <c r="EO1" s="1608"/>
      <c r="EP1" s="1606" t="e">
        <f>'OLD Pro Sheet'!H26</f>
        <v>#REF!</v>
      </c>
      <c r="EQ1" s="1606"/>
      <c r="ER1" s="1606"/>
    </row>
    <row r="2" spans="1:153" ht="7.5" customHeight="1" x14ac:dyDescent="0.25">
      <c r="A2" s="1486"/>
      <c r="B2" s="1486"/>
      <c r="C2" s="1486"/>
      <c r="D2" s="1486"/>
      <c r="E2" s="1486"/>
      <c r="F2" s="1486"/>
      <c r="G2" s="1486"/>
      <c r="H2" s="1486"/>
      <c r="I2" s="1486"/>
      <c r="J2" s="1486"/>
      <c r="K2" s="1486"/>
      <c r="L2" s="1486"/>
      <c r="M2" s="1486"/>
      <c r="N2" s="1486"/>
      <c r="O2" s="1486"/>
      <c r="P2" s="1486"/>
      <c r="Q2" s="1486"/>
      <c r="R2" s="1486"/>
      <c r="S2" s="1486"/>
      <c r="T2" s="1486"/>
      <c r="U2" s="1486"/>
      <c r="V2" s="1486"/>
      <c r="W2" s="1486"/>
      <c r="X2" s="1486"/>
      <c r="Y2" s="1486"/>
      <c r="Z2" s="1486"/>
      <c r="AA2" s="1486"/>
      <c r="AB2" s="1486"/>
      <c r="AC2" s="1486"/>
      <c r="AD2" s="1486"/>
      <c r="AE2" s="1486"/>
      <c r="AF2" s="1486"/>
      <c r="AG2" s="1486"/>
      <c r="AH2" s="1486"/>
      <c r="AI2" s="1486"/>
      <c r="AJ2" s="1486"/>
      <c r="AK2" s="1486"/>
      <c r="AL2" s="1486"/>
      <c r="AM2" s="1486"/>
      <c r="AN2" s="1486"/>
      <c r="AO2" s="1486"/>
      <c r="CM2" s="1600"/>
      <c r="CN2" s="1600"/>
      <c r="CO2" s="1600"/>
      <c r="CP2" s="1600"/>
      <c r="CQ2" s="1600"/>
      <c r="CR2" s="1600"/>
      <c r="CS2" s="1600"/>
      <c r="CT2" s="1600"/>
      <c r="CU2" s="1600"/>
      <c r="CV2" s="1600"/>
      <c r="CW2" s="1600"/>
      <c r="CX2" s="1600"/>
      <c r="CY2" s="1600"/>
      <c r="CZ2" s="39"/>
      <c r="DA2" s="39"/>
      <c r="DB2" s="39"/>
      <c r="DC2" s="39"/>
      <c r="DD2" s="39"/>
      <c r="DE2" s="1602"/>
      <c r="DF2" s="1602"/>
      <c r="DG2" s="1602"/>
      <c r="DH2" s="1602"/>
      <c r="DI2" s="39"/>
      <c r="DJ2" s="39"/>
      <c r="DK2" s="39"/>
      <c r="DL2" s="39"/>
      <c r="DM2" s="39"/>
      <c r="DN2" s="39"/>
      <c r="DO2" s="39"/>
      <c r="DP2" s="39"/>
      <c r="DQ2" s="39"/>
      <c r="DR2" s="39"/>
      <c r="DS2" s="39"/>
      <c r="DT2" s="39"/>
      <c r="DU2" s="39"/>
      <c r="DV2" s="39"/>
      <c r="DW2" s="39"/>
      <c r="DX2" s="39"/>
      <c r="DY2" s="1605"/>
      <c r="DZ2" s="1605"/>
      <c r="EA2" s="1605"/>
      <c r="EB2" s="1605"/>
      <c r="EC2" s="1605"/>
      <c r="ED2" s="1605"/>
      <c r="EE2" s="1605"/>
      <c r="EF2" s="1605"/>
      <c r="EG2" s="1605"/>
      <c r="EH2" s="1605"/>
      <c r="EI2" s="1605"/>
      <c r="EJ2" s="1605"/>
      <c r="EK2" s="1605"/>
      <c r="EL2" s="1607"/>
      <c r="EM2" s="1607"/>
      <c r="EN2" s="1607"/>
      <c r="EO2" s="1609"/>
      <c r="EP2" s="1607"/>
      <c r="EQ2" s="1607"/>
      <c r="ER2" s="1607"/>
    </row>
    <row r="3" spans="1:153" ht="7.5" customHeight="1" x14ac:dyDescent="0.25">
      <c r="A3" s="1486"/>
      <c r="B3" s="1486"/>
      <c r="C3" s="1486"/>
      <c r="D3" s="1486"/>
      <c r="E3" s="1486"/>
      <c r="F3" s="1486"/>
      <c r="G3" s="1486"/>
      <c r="H3" s="1486"/>
      <c r="I3" s="1486"/>
      <c r="J3" s="1486"/>
      <c r="K3" s="1486"/>
      <c r="L3" s="1486"/>
      <c r="M3" s="1486"/>
      <c r="N3" s="1486"/>
      <c r="O3" s="1486"/>
      <c r="P3" s="1486"/>
      <c r="Q3" s="1486"/>
      <c r="R3" s="1486"/>
      <c r="S3" s="1486"/>
      <c r="T3" s="1486"/>
      <c r="U3" s="1486"/>
      <c r="V3" s="1486"/>
      <c r="W3" s="1486"/>
      <c r="X3" s="1486"/>
      <c r="Y3" s="1486"/>
      <c r="Z3" s="1486"/>
      <c r="AA3" s="1486"/>
      <c r="AB3" s="1486"/>
      <c r="AC3" s="1486"/>
      <c r="AD3" s="1486"/>
      <c r="AE3" s="1486"/>
      <c r="AF3" s="1486"/>
      <c r="AG3" s="1486"/>
      <c r="AH3" s="1486"/>
      <c r="AI3" s="1486"/>
      <c r="AJ3" s="1486"/>
      <c r="AK3" s="1486"/>
      <c r="AL3" s="1486"/>
      <c r="AM3" s="1486"/>
      <c r="AN3" s="1486"/>
      <c r="AO3" s="1486"/>
      <c r="CM3" s="1613"/>
      <c r="CN3" s="1614"/>
      <c r="CO3" s="1614"/>
      <c r="CP3" s="1614"/>
      <c r="CQ3" s="1614"/>
      <c r="CR3" s="1614"/>
      <c r="CS3" s="1614"/>
      <c r="CT3" s="1614"/>
      <c r="CU3" s="1614"/>
      <c r="CV3" s="1614"/>
      <c r="CW3" s="1614"/>
      <c r="CX3" s="1614"/>
      <c r="CY3" s="1614"/>
      <c r="CZ3" s="1614"/>
      <c r="DA3" s="1614"/>
      <c r="DB3" s="1614"/>
      <c r="DC3" s="1614"/>
      <c r="DD3" s="1614"/>
      <c r="DE3" s="1614"/>
      <c r="DF3" s="1614"/>
      <c r="DG3" s="1614"/>
      <c r="DH3" s="1614"/>
      <c r="DI3" s="1614"/>
      <c r="DJ3" s="1614"/>
      <c r="DK3" s="1614"/>
      <c r="DL3" s="1614"/>
      <c r="DM3" s="43"/>
      <c r="DN3" s="43"/>
      <c r="DO3" s="43"/>
      <c r="DP3" s="43"/>
      <c r="DQ3" s="43"/>
      <c r="DR3" s="43"/>
      <c r="DS3" s="43"/>
      <c r="DT3" s="43"/>
      <c r="DU3" s="43"/>
      <c r="DV3" s="43"/>
      <c r="DW3" s="43"/>
      <c r="DX3" s="43"/>
      <c r="DY3" s="46"/>
      <c r="DZ3" s="46"/>
      <c r="EA3" s="46"/>
      <c r="EB3" s="46"/>
      <c r="EC3" s="46"/>
      <c r="ED3" s="46"/>
      <c r="EE3" s="46"/>
      <c r="EF3" s="46"/>
      <c r="EG3" s="46"/>
      <c r="EH3" s="1615"/>
      <c r="EI3" s="1615"/>
      <c r="EJ3" s="1615"/>
      <c r="EK3" s="1615"/>
      <c r="EL3" s="1615"/>
      <c r="EM3" s="1615"/>
      <c r="EN3" s="1615"/>
      <c r="EO3" s="1615"/>
      <c r="EP3" s="1615"/>
      <c r="EQ3" s="1615"/>
      <c r="ER3" s="1615"/>
      <c r="ES3" s="1615"/>
      <c r="ET3" s="1615"/>
      <c r="EU3" s="1495"/>
      <c r="EV3" s="1496"/>
      <c r="EW3" s="1497"/>
    </row>
    <row r="4" spans="1:153" ht="7.5" customHeight="1" x14ac:dyDescent="0.25">
      <c r="CM4" s="1393"/>
      <c r="CN4" s="1394"/>
      <c r="CO4" s="1394"/>
      <c r="CP4" s="1394"/>
      <c r="CQ4" s="1394"/>
      <c r="CR4" s="1394"/>
      <c r="CS4" s="1394"/>
      <c r="CT4" s="1394"/>
      <c r="CU4" s="1394"/>
      <c r="CV4" s="1394"/>
      <c r="CW4" s="1394"/>
      <c r="CX4" s="1394"/>
      <c r="CY4" s="1394"/>
      <c r="CZ4" s="1394"/>
      <c r="DA4" s="1394"/>
      <c r="DB4" s="1394"/>
      <c r="DC4" s="1394"/>
      <c r="DD4" s="1394"/>
      <c r="DE4" s="1394"/>
      <c r="DF4" s="1394"/>
      <c r="DG4" s="1394"/>
      <c r="DH4" s="1394"/>
      <c r="DI4" s="1394"/>
      <c r="DJ4" s="1394"/>
      <c r="DK4" s="1394"/>
      <c r="DL4" s="1394"/>
      <c r="DM4" s="41"/>
      <c r="DN4" s="41"/>
      <c r="DO4" s="41"/>
      <c r="DP4" s="41"/>
      <c r="DQ4" s="41"/>
      <c r="DR4" s="41"/>
      <c r="DS4" s="41"/>
      <c r="DT4" s="41"/>
      <c r="DU4" s="41"/>
      <c r="DV4" s="41"/>
      <c r="DW4" s="41"/>
      <c r="DX4" s="41"/>
      <c r="DY4" s="44"/>
      <c r="DZ4" s="44"/>
      <c r="EA4" s="44"/>
      <c r="EB4" s="44"/>
      <c r="EC4" s="44"/>
      <c r="ED4" s="44"/>
      <c r="EE4" s="44"/>
      <c r="EF4" s="44"/>
      <c r="EG4" s="44"/>
      <c r="EH4" s="1590"/>
      <c r="EI4" s="1590"/>
      <c r="EJ4" s="1590"/>
      <c r="EK4" s="1590"/>
      <c r="EL4" s="1590"/>
      <c r="EM4" s="1590"/>
      <c r="EN4" s="1590"/>
      <c r="EO4" s="1590"/>
      <c r="EP4" s="1590"/>
      <c r="EQ4" s="1590"/>
      <c r="ER4" s="1590"/>
      <c r="ES4" s="1590"/>
      <c r="ET4" s="1590"/>
      <c r="EU4" s="1456"/>
      <c r="EV4" s="1457"/>
      <c r="EW4" s="1498"/>
    </row>
    <row r="5" spans="1:153" ht="7.5" customHeight="1" x14ac:dyDescent="0.25">
      <c r="CM5" s="1450"/>
      <c r="CN5" s="1451"/>
      <c r="CO5" s="1451"/>
      <c r="CP5" s="1451"/>
      <c r="CQ5" s="1451"/>
      <c r="CR5" s="1451"/>
      <c r="CS5" s="1451"/>
      <c r="CT5" s="1451"/>
      <c r="CU5" s="1451"/>
      <c r="CV5" s="1451"/>
      <c r="CW5" s="1451"/>
      <c r="CX5" s="1451"/>
      <c r="CY5" s="1451"/>
      <c r="CZ5" s="1451"/>
      <c r="DA5" s="1451"/>
      <c r="DB5" s="1451"/>
      <c r="DC5" s="1451"/>
      <c r="DD5" s="1451"/>
      <c r="DE5" s="1451"/>
      <c r="DF5" s="1451"/>
      <c r="DG5" s="1451"/>
      <c r="DH5" s="1451"/>
      <c r="DI5" s="1451"/>
      <c r="DJ5" s="1451"/>
      <c r="DK5" s="1451"/>
      <c r="DL5" s="1451"/>
      <c r="DM5" s="42"/>
      <c r="DN5" s="42"/>
      <c r="DO5" s="42"/>
      <c r="DP5" s="42"/>
      <c r="DQ5" s="42"/>
      <c r="DR5" s="42"/>
      <c r="DS5" s="42"/>
      <c r="DT5" s="42"/>
      <c r="DU5" s="42"/>
      <c r="DV5" s="42"/>
      <c r="DW5" s="42"/>
      <c r="DX5" s="42"/>
      <c r="DY5" s="45"/>
      <c r="DZ5" s="45"/>
      <c r="EA5" s="45"/>
      <c r="EB5" s="45"/>
      <c r="EC5" s="45"/>
      <c r="ED5" s="45"/>
      <c r="EE5" s="45"/>
      <c r="EF5" s="45"/>
      <c r="EG5" s="45"/>
      <c r="EH5" s="1588"/>
      <c r="EI5" s="1588"/>
      <c r="EJ5" s="1588"/>
      <c r="EK5" s="1588"/>
      <c r="EL5" s="1588"/>
      <c r="EM5" s="1588"/>
      <c r="EN5" s="1588"/>
      <c r="EO5" s="1588"/>
      <c r="EP5" s="1588"/>
      <c r="EQ5" s="1588"/>
      <c r="ER5" s="1588"/>
      <c r="ES5" s="1588"/>
      <c r="ET5" s="1588"/>
      <c r="EU5" s="1453"/>
      <c r="EV5" s="1454"/>
      <c r="EW5" s="1589"/>
    </row>
    <row r="6" spans="1:153" ht="7.5" customHeight="1" x14ac:dyDescent="0.25">
      <c r="CM6" s="1450"/>
      <c r="CN6" s="1451"/>
      <c r="CO6" s="1451"/>
      <c r="CP6" s="1451"/>
      <c r="CQ6" s="1451"/>
      <c r="CR6" s="1451"/>
      <c r="CS6" s="1451"/>
      <c r="CT6" s="1451"/>
      <c r="CU6" s="1451"/>
      <c r="CV6" s="1451"/>
      <c r="CW6" s="1451"/>
      <c r="CX6" s="1451"/>
      <c r="CY6" s="1451"/>
      <c r="CZ6" s="1451"/>
      <c r="DA6" s="1451"/>
      <c r="DB6" s="1451"/>
      <c r="DC6" s="1451"/>
      <c r="DD6" s="1451"/>
      <c r="DE6" s="1451"/>
      <c r="DF6" s="1451"/>
      <c r="DG6" s="1451"/>
      <c r="DH6" s="1451"/>
      <c r="DI6" s="1451"/>
      <c r="DJ6" s="1451"/>
      <c r="DK6" s="1451"/>
      <c r="DL6" s="1451"/>
      <c r="DM6" s="42"/>
      <c r="DN6" s="42"/>
      <c r="DO6" s="42"/>
      <c r="DP6" s="42"/>
      <c r="DQ6" s="42"/>
      <c r="DR6" s="42"/>
      <c r="DS6" s="42"/>
      <c r="DT6" s="42"/>
      <c r="DU6" s="42"/>
      <c r="DV6" s="42"/>
      <c r="DW6" s="42"/>
      <c r="DX6" s="42"/>
      <c r="DY6" s="45"/>
      <c r="DZ6" s="45"/>
      <c r="EA6" s="45"/>
      <c r="EB6" s="45"/>
      <c r="EC6" s="45"/>
      <c r="ED6" s="45"/>
      <c r="EE6" s="45"/>
      <c r="EF6" s="45"/>
      <c r="EG6" s="45"/>
      <c r="EH6" s="1588"/>
      <c r="EI6" s="1588"/>
      <c r="EJ6" s="1588"/>
      <c r="EK6" s="1588"/>
      <c r="EL6" s="1588"/>
      <c r="EM6" s="1588"/>
      <c r="EN6" s="1588"/>
      <c r="EO6" s="1588"/>
      <c r="EP6" s="1588"/>
      <c r="EQ6" s="1588"/>
      <c r="ER6" s="1588"/>
      <c r="ES6" s="1588"/>
      <c r="ET6" s="1588"/>
      <c r="EU6" s="1453"/>
      <c r="EV6" s="1454"/>
      <c r="EW6" s="1589"/>
    </row>
    <row r="7" spans="1:153" ht="7.5" customHeight="1" x14ac:dyDescent="0.25">
      <c r="CM7" s="1393"/>
      <c r="CN7" s="1394"/>
      <c r="CO7" s="1394"/>
      <c r="CP7" s="1394"/>
      <c r="CQ7" s="1394"/>
      <c r="CR7" s="1394"/>
      <c r="CS7" s="1394"/>
      <c r="CT7" s="1394"/>
      <c r="CU7" s="1394"/>
      <c r="CV7" s="1394"/>
      <c r="CW7" s="1394"/>
      <c r="CX7" s="1394"/>
      <c r="CY7" s="1394"/>
      <c r="CZ7" s="1394"/>
      <c r="DA7" s="1394"/>
      <c r="DB7" s="1394"/>
      <c r="DC7" s="1394"/>
      <c r="DD7" s="1394"/>
      <c r="DE7" s="1394"/>
      <c r="DF7" s="1394"/>
      <c r="DG7" s="1394"/>
      <c r="DH7" s="1394"/>
      <c r="DI7" s="1394"/>
      <c r="DJ7" s="1394"/>
      <c r="DK7" s="1394"/>
      <c r="DL7" s="1394"/>
      <c r="DM7" s="41"/>
      <c r="DN7" s="41"/>
      <c r="DO7" s="41"/>
      <c r="DP7" s="41"/>
      <c r="DQ7" s="41"/>
      <c r="DR7" s="41"/>
      <c r="DS7" s="41"/>
      <c r="DT7" s="41"/>
      <c r="DU7" s="41"/>
      <c r="DV7" s="41"/>
      <c r="DW7" s="41"/>
      <c r="DX7" s="41"/>
      <c r="DY7" s="44"/>
      <c r="DZ7" s="44"/>
      <c r="EA7" s="44"/>
      <c r="EB7" s="44"/>
      <c r="EC7" s="44"/>
      <c r="ED7" s="44"/>
      <c r="EE7" s="44"/>
      <c r="EF7" s="44"/>
      <c r="EG7" s="44"/>
      <c r="EH7" s="1590"/>
      <c r="EI7" s="1590"/>
      <c r="EJ7" s="1590"/>
      <c r="EK7" s="1590"/>
      <c r="EL7" s="1590"/>
      <c r="EM7" s="1590"/>
      <c r="EN7" s="1590"/>
      <c r="EO7" s="1590"/>
      <c r="EP7" s="1590"/>
      <c r="EQ7" s="1590"/>
      <c r="ER7" s="1590"/>
      <c r="ES7" s="1590"/>
      <c r="ET7" s="1590"/>
      <c r="EU7" s="1456"/>
      <c r="EV7" s="1457"/>
      <c r="EW7" s="1498"/>
    </row>
    <row r="8" spans="1:153" ht="7.5" customHeight="1" x14ac:dyDescent="0.25">
      <c r="CM8" s="1393"/>
      <c r="CN8" s="1394"/>
      <c r="CO8" s="1394"/>
      <c r="CP8" s="1394"/>
      <c r="CQ8" s="1394"/>
      <c r="CR8" s="1394"/>
      <c r="CS8" s="1394"/>
      <c r="CT8" s="1394"/>
      <c r="CU8" s="1394"/>
      <c r="CV8" s="1394"/>
      <c r="CW8" s="1394"/>
      <c r="CX8" s="1394"/>
      <c r="CY8" s="1394"/>
      <c r="CZ8" s="1394"/>
      <c r="DA8" s="1394"/>
      <c r="DB8" s="1394"/>
      <c r="DC8" s="1394"/>
      <c r="DD8" s="1394"/>
      <c r="DE8" s="1394"/>
      <c r="DF8" s="1394"/>
      <c r="DG8" s="1394"/>
      <c r="DH8" s="1394"/>
      <c r="DI8" s="1394"/>
      <c r="DJ8" s="1394"/>
      <c r="DK8" s="1394"/>
      <c r="DL8" s="1394"/>
      <c r="DM8" s="41"/>
      <c r="DN8" s="41"/>
      <c r="DO8" s="41"/>
      <c r="DP8" s="41"/>
      <c r="DQ8" s="41"/>
      <c r="DR8" s="41"/>
      <c r="DS8" s="41"/>
      <c r="DT8" s="41"/>
      <c r="DU8" s="41"/>
      <c r="DV8" s="41"/>
      <c r="DW8" s="41"/>
      <c r="DX8" s="41"/>
      <c r="DY8" s="44"/>
      <c r="DZ8" s="44"/>
      <c r="EA8" s="44"/>
      <c r="EB8" s="44"/>
      <c r="EC8" s="44"/>
      <c r="ED8" s="44"/>
      <c r="EE8" s="44"/>
      <c r="EF8" s="44"/>
      <c r="EG8" s="44"/>
      <c r="EH8" s="1590"/>
      <c r="EI8" s="1590"/>
      <c r="EJ8" s="1590"/>
      <c r="EK8" s="1590"/>
      <c r="EL8" s="1590"/>
      <c r="EM8" s="1590"/>
      <c r="EN8" s="1590"/>
      <c r="EO8" s="1590"/>
      <c r="EP8" s="1590"/>
      <c r="EQ8" s="1590"/>
      <c r="ER8" s="1590"/>
      <c r="ES8" s="1590"/>
      <c r="ET8" s="1590"/>
      <c r="EU8" s="1456"/>
      <c r="EV8" s="1457"/>
      <c r="EW8" s="1498"/>
    </row>
    <row r="9" spans="1:153" ht="7.5" customHeight="1" x14ac:dyDescent="0.25">
      <c r="CM9" s="1450"/>
      <c r="CN9" s="1451"/>
      <c r="CO9" s="1451"/>
      <c r="CP9" s="1451"/>
      <c r="CQ9" s="1451"/>
      <c r="CR9" s="1451"/>
      <c r="CS9" s="1451"/>
      <c r="CT9" s="1451"/>
      <c r="CU9" s="1451"/>
      <c r="CV9" s="1451"/>
      <c r="CW9" s="1451"/>
      <c r="CX9" s="1451"/>
      <c r="CY9" s="1451"/>
      <c r="CZ9" s="1451"/>
      <c r="DA9" s="1451"/>
      <c r="DB9" s="1451"/>
      <c r="DC9" s="1451"/>
      <c r="DD9" s="1451"/>
      <c r="DE9" s="1451"/>
      <c r="DF9" s="1451"/>
      <c r="DG9" s="1451"/>
      <c r="DH9" s="1451"/>
      <c r="DI9" s="1451"/>
      <c r="DJ9" s="1451"/>
      <c r="DK9" s="1451"/>
      <c r="DL9" s="1451"/>
      <c r="DM9" s="42"/>
      <c r="DN9" s="42"/>
      <c r="DO9" s="42"/>
      <c r="DP9" s="42"/>
      <c r="DQ9" s="42"/>
      <c r="DR9" s="42"/>
      <c r="DS9" s="42"/>
      <c r="DT9" s="42"/>
      <c r="DU9" s="42"/>
      <c r="DV9" s="42"/>
      <c r="DW9" s="42"/>
      <c r="DX9" s="42"/>
      <c r="DY9" s="45"/>
      <c r="DZ9" s="45"/>
      <c r="EA9" s="45"/>
      <c r="EB9" s="45"/>
      <c r="EC9" s="45"/>
      <c r="ED9" s="45"/>
      <c r="EE9" s="45"/>
      <c r="EF9" s="45"/>
      <c r="EG9" s="45"/>
      <c r="EH9" s="1588"/>
      <c r="EI9" s="1588"/>
      <c r="EJ9" s="1588"/>
      <c r="EK9" s="1588"/>
      <c r="EL9" s="1588"/>
      <c r="EM9" s="1588"/>
      <c r="EN9" s="1588"/>
      <c r="EO9" s="1588"/>
      <c r="EP9" s="1588"/>
      <c r="EQ9" s="1588"/>
      <c r="ER9" s="1588"/>
      <c r="ES9" s="1588"/>
      <c r="ET9" s="1588"/>
      <c r="EU9" s="1453"/>
      <c r="EV9" s="1454"/>
      <c r="EW9" s="1589"/>
    </row>
    <row r="10" spans="1:153" ht="7.5" customHeight="1" x14ac:dyDescent="0.25">
      <c r="CM10" s="1450"/>
      <c r="CN10" s="1451"/>
      <c r="CO10" s="1451"/>
      <c r="CP10" s="1451"/>
      <c r="CQ10" s="1451"/>
      <c r="CR10" s="1451"/>
      <c r="CS10" s="1451"/>
      <c r="CT10" s="1451"/>
      <c r="CU10" s="1451"/>
      <c r="CV10" s="1451"/>
      <c r="CW10" s="1451"/>
      <c r="CX10" s="1451"/>
      <c r="CY10" s="1451"/>
      <c r="CZ10" s="1451"/>
      <c r="DA10" s="1451"/>
      <c r="DB10" s="1451"/>
      <c r="DC10" s="1451"/>
      <c r="DD10" s="1451"/>
      <c r="DE10" s="1451"/>
      <c r="DF10" s="1451"/>
      <c r="DG10" s="1451"/>
      <c r="DH10" s="1451"/>
      <c r="DI10" s="1451"/>
      <c r="DJ10" s="1451"/>
      <c r="DK10" s="1451"/>
      <c r="DL10" s="1451"/>
      <c r="DM10" s="42"/>
      <c r="DN10" s="42"/>
      <c r="DO10" s="42"/>
      <c r="DP10" s="42"/>
      <c r="DQ10" s="42"/>
      <c r="DR10" s="42"/>
      <c r="DS10" s="42"/>
      <c r="DT10" s="42"/>
      <c r="DU10" s="42"/>
      <c r="DV10" s="42"/>
      <c r="DW10" s="42"/>
      <c r="DX10" s="42"/>
      <c r="DY10" s="45"/>
      <c r="DZ10" s="45"/>
      <c r="EA10" s="45"/>
      <c r="EB10" s="45"/>
      <c r="EC10" s="45"/>
      <c r="ED10" s="45"/>
      <c r="EE10" s="45"/>
      <c r="EF10" s="45"/>
      <c r="EG10" s="45"/>
      <c r="EH10" s="1588"/>
      <c r="EI10" s="1588"/>
      <c r="EJ10" s="1588"/>
      <c r="EK10" s="1588"/>
      <c r="EL10" s="1588"/>
      <c r="EM10" s="1588"/>
      <c r="EN10" s="1588"/>
      <c r="EO10" s="1588"/>
      <c r="EP10" s="1588"/>
      <c r="EQ10" s="1588"/>
      <c r="ER10" s="1588"/>
      <c r="ES10" s="1588"/>
      <c r="ET10" s="1588"/>
      <c r="EU10" s="1453"/>
      <c r="EV10" s="1454"/>
      <c r="EW10" s="1589"/>
    </row>
    <row r="11" spans="1:153" ht="7.5" customHeight="1" x14ac:dyDescent="0.25">
      <c r="CM11" s="1393"/>
      <c r="CN11" s="1394"/>
      <c r="CO11" s="1394"/>
      <c r="CP11" s="1394"/>
      <c r="CQ11" s="1394"/>
      <c r="CR11" s="1394"/>
      <c r="CS11" s="1394"/>
      <c r="CT11" s="1394"/>
      <c r="CU11" s="1394"/>
      <c r="CV11" s="1394"/>
      <c r="CW11" s="1394"/>
      <c r="CX11" s="1394"/>
      <c r="CY11" s="1394"/>
      <c r="CZ11" s="1394"/>
      <c r="DA11" s="1394"/>
      <c r="DB11" s="1394"/>
      <c r="DC11" s="1394"/>
      <c r="DD11" s="1394"/>
      <c r="DE11" s="1394"/>
      <c r="DF11" s="1394"/>
      <c r="DG11" s="1394"/>
      <c r="DH11" s="1394"/>
      <c r="DI11" s="1394"/>
      <c r="DJ11" s="1394"/>
      <c r="DK11" s="1394"/>
      <c r="DL11" s="1394"/>
      <c r="DM11" s="41"/>
      <c r="DN11" s="41"/>
      <c r="DO11" s="41"/>
      <c r="DP11" s="41"/>
      <c r="DQ11" s="41"/>
      <c r="DR11" s="41"/>
      <c r="DS11" s="41"/>
      <c r="DT11" s="41"/>
      <c r="DU11" s="41"/>
      <c r="DV11" s="41"/>
      <c r="DW11" s="41"/>
      <c r="DX11" s="41"/>
      <c r="DY11" s="44"/>
      <c r="DZ11" s="44"/>
      <c r="EA11" s="44"/>
      <c r="EB11" s="44"/>
      <c r="EC11" s="44"/>
      <c r="ED11" s="44"/>
      <c r="EE11" s="44"/>
      <c r="EF11" s="44"/>
      <c r="EG11" s="44"/>
      <c r="EH11" s="1590"/>
      <c r="EI11" s="1590"/>
      <c r="EJ11" s="1590"/>
      <c r="EK11" s="1590"/>
      <c r="EL11" s="1590"/>
      <c r="EM11" s="1590"/>
      <c r="EN11" s="1590"/>
      <c r="EO11" s="1590"/>
      <c r="EP11" s="1590"/>
      <c r="EQ11" s="1590"/>
      <c r="ER11" s="1590"/>
      <c r="ES11" s="1590"/>
      <c r="ET11" s="1590"/>
      <c r="EU11" s="1456"/>
      <c r="EV11" s="1457"/>
      <c r="EW11" s="1498"/>
    </row>
    <row r="12" spans="1:153" ht="7.5" customHeight="1" x14ac:dyDescent="0.25">
      <c r="CM12" s="1393"/>
      <c r="CN12" s="1394"/>
      <c r="CO12" s="1394"/>
      <c r="CP12" s="1394"/>
      <c r="CQ12" s="1394"/>
      <c r="CR12" s="1394"/>
      <c r="CS12" s="1394"/>
      <c r="CT12" s="1394"/>
      <c r="CU12" s="1394"/>
      <c r="CV12" s="1394"/>
      <c r="CW12" s="1394"/>
      <c r="CX12" s="1394"/>
      <c r="CY12" s="1394"/>
      <c r="CZ12" s="1394"/>
      <c r="DA12" s="1394"/>
      <c r="DB12" s="1394"/>
      <c r="DC12" s="1394"/>
      <c r="DD12" s="1394"/>
      <c r="DE12" s="1394"/>
      <c r="DF12" s="1394"/>
      <c r="DG12" s="1394"/>
      <c r="DH12" s="1394"/>
      <c r="DI12" s="1394"/>
      <c r="DJ12" s="1394"/>
      <c r="DK12" s="1394"/>
      <c r="DL12" s="1394"/>
      <c r="DM12" s="41"/>
      <c r="DN12" s="41"/>
      <c r="DO12" s="41"/>
      <c r="DP12" s="41"/>
      <c r="DQ12" s="41"/>
      <c r="DR12" s="41"/>
      <c r="DS12" s="41"/>
      <c r="DT12" s="41"/>
      <c r="DU12" s="41"/>
      <c r="DV12" s="41"/>
      <c r="DW12" s="41"/>
      <c r="DX12" s="41"/>
      <c r="DY12" s="44"/>
      <c r="DZ12" s="44"/>
      <c r="EA12" s="44"/>
      <c r="EB12" s="44"/>
      <c r="EC12" s="44"/>
      <c r="ED12" s="44"/>
      <c r="EE12" s="44"/>
      <c r="EF12" s="44"/>
      <c r="EG12" s="44"/>
      <c r="EH12" s="1590"/>
      <c r="EI12" s="1590"/>
      <c r="EJ12" s="1590"/>
      <c r="EK12" s="1590"/>
      <c r="EL12" s="1590"/>
      <c r="EM12" s="1590"/>
      <c r="EN12" s="1590"/>
      <c r="EO12" s="1590"/>
      <c r="EP12" s="1590"/>
      <c r="EQ12" s="1590"/>
      <c r="ER12" s="1590"/>
      <c r="ES12" s="1590"/>
      <c r="ET12" s="1590"/>
      <c r="EU12" s="1456"/>
      <c r="EV12" s="1457"/>
      <c r="EW12" s="1498"/>
    </row>
    <row r="13" spans="1:153" ht="7.5" customHeight="1" x14ac:dyDescent="0.25">
      <c r="CM13" s="1450"/>
      <c r="CN13" s="1451"/>
      <c r="CO13" s="1451"/>
      <c r="CP13" s="1451"/>
      <c r="CQ13" s="1451"/>
      <c r="CR13" s="1451"/>
      <c r="CS13" s="1451"/>
      <c r="CT13" s="1451"/>
      <c r="CU13" s="1451"/>
      <c r="CV13" s="1451"/>
      <c r="CW13" s="1451"/>
      <c r="CX13" s="1451"/>
      <c r="CY13" s="1451"/>
      <c r="CZ13" s="1451"/>
      <c r="DA13" s="1451"/>
      <c r="DB13" s="1451"/>
      <c r="DC13" s="1451"/>
      <c r="DD13" s="1451"/>
      <c r="DE13" s="1451"/>
      <c r="DF13" s="1451"/>
      <c r="DG13" s="1451"/>
      <c r="DH13" s="1451"/>
      <c r="DI13" s="1451"/>
      <c r="DJ13" s="1451"/>
      <c r="DK13" s="1451"/>
      <c r="DL13" s="1451"/>
      <c r="DM13" s="42"/>
      <c r="DN13" s="42"/>
      <c r="DO13" s="42"/>
      <c r="DP13" s="42"/>
      <c r="DQ13" s="42"/>
      <c r="DR13" s="42"/>
      <c r="DS13" s="42"/>
      <c r="DT13" s="42"/>
      <c r="DU13" s="42"/>
      <c r="DV13" s="42"/>
      <c r="DW13" s="42"/>
      <c r="DX13" s="42"/>
      <c r="DY13" s="45"/>
      <c r="DZ13" s="45"/>
      <c r="EA13" s="45"/>
      <c r="EB13" s="45"/>
      <c r="EC13" s="45"/>
      <c r="ED13" s="45"/>
      <c r="EE13" s="45"/>
      <c r="EF13" s="45"/>
      <c r="EG13" s="45"/>
      <c r="EH13" s="1588"/>
      <c r="EI13" s="1588"/>
      <c r="EJ13" s="1588"/>
      <c r="EK13" s="1588"/>
      <c r="EL13" s="1588"/>
      <c r="EM13" s="1588"/>
      <c r="EN13" s="1588"/>
      <c r="EO13" s="1588"/>
      <c r="EP13" s="1588"/>
      <c r="EQ13" s="1588"/>
      <c r="ER13" s="1588"/>
      <c r="ES13" s="1588"/>
      <c r="ET13" s="1588"/>
      <c r="EU13" s="1453"/>
      <c r="EV13" s="1454"/>
      <c r="EW13" s="1589"/>
    </row>
    <row r="14" spans="1:153" ht="7.5" customHeight="1" x14ac:dyDescent="0.25">
      <c r="CM14" s="1450"/>
      <c r="CN14" s="1451"/>
      <c r="CO14" s="1451"/>
      <c r="CP14" s="1451"/>
      <c r="CQ14" s="1451"/>
      <c r="CR14" s="1451"/>
      <c r="CS14" s="1451"/>
      <c r="CT14" s="1451"/>
      <c r="CU14" s="1451"/>
      <c r="CV14" s="1451"/>
      <c r="CW14" s="1451"/>
      <c r="CX14" s="1451"/>
      <c r="CY14" s="1451"/>
      <c r="CZ14" s="1451"/>
      <c r="DA14" s="1451"/>
      <c r="DB14" s="1451"/>
      <c r="DC14" s="1451"/>
      <c r="DD14" s="1451"/>
      <c r="DE14" s="1451"/>
      <c r="DF14" s="1451"/>
      <c r="DG14" s="1451"/>
      <c r="DH14" s="1451"/>
      <c r="DI14" s="1451"/>
      <c r="DJ14" s="1451"/>
      <c r="DK14" s="1451"/>
      <c r="DL14" s="1451"/>
      <c r="DM14" s="42"/>
      <c r="DN14" s="42"/>
      <c r="DO14" s="42"/>
      <c r="DP14" s="42"/>
      <c r="DQ14" s="42"/>
      <c r="DR14" s="42"/>
      <c r="DS14" s="42"/>
      <c r="DT14" s="42"/>
      <c r="DU14" s="42"/>
      <c r="DV14" s="42"/>
      <c r="DW14" s="42"/>
      <c r="DX14" s="42"/>
      <c r="DY14" s="45"/>
      <c r="DZ14" s="45"/>
      <c r="EA14" s="45"/>
      <c r="EB14" s="45"/>
      <c r="EC14" s="45"/>
      <c r="ED14" s="45"/>
      <c r="EE14" s="45"/>
      <c r="EF14" s="45"/>
      <c r="EG14" s="45"/>
      <c r="EH14" s="1588"/>
      <c r="EI14" s="1588"/>
      <c r="EJ14" s="1588"/>
      <c r="EK14" s="1588"/>
      <c r="EL14" s="1588"/>
      <c r="EM14" s="1588"/>
      <c r="EN14" s="1588"/>
      <c r="EO14" s="1588"/>
      <c r="EP14" s="1588"/>
      <c r="EQ14" s="1588"/>
      <c r="ER14" s="1588"/>
      <c r="ES14" s="1588"/>
      <c r="ET14" s="1588"/>
      <c r="EU14" s="1453"/>
      <c r="EV14" s="1454"/>
      <c r="EW14" s="1589"/>
    </row>
    <row r="15" spans="1:153" ht="7.5" customHeight="1" x14ac:dyDescent="0.25">
      <c r="CM15" s="1393"/>
      <c r="CN15" s="1394"/>
      <c r="CO15" s="1394"/>
      <c r="CP15" s="1394"/>
      <c r="CQ15" s="1394"/>
      <c r="CR15" s="1394"/>
      <c r="CS15" s="1394"/>
      <c r="CT15" s="1394"/>
      <c r="CU15" s="1394"/>
      <c r="CV15" s="1394"/>
      <c r="CW15" s="1394"/>
      <c r="CX15" s="1394"/>
      <c r="CY15" s="1394"/>
      <c r="CZ15" s="1394"/>
      <c r="DA15" s="1394"/>
      <c r="DB15" s="1394"/>
      <c r="DC15" s="1394"/>
      <c r="DD15" s="1394"/>
      <c r="DE15" s="1394"/>
      <c r="DF15" s="1394"/>
      <c r="DG15" s="1394"/>
      <c r="DH15" s="1394"/>
      <c r="DI15" s="1394"/>
      <c r="DJ15" s="1394"/>
      <c r="DK15" s="1394"/>
      <c r="DL15" s="1394"/>
      <c r="DM15" s="41"/>
      <c r="DN15" s="41"/>
      <c r="DO15" s="41"/>
      <c r="DP15" s="41"/>
      <c r="DQ15" s="41"/>
      <c r="DR15" s="41"/>
      <c r="DS15" s="41"/>
      <c r="DT15" s="41"/>
      <c r="DU15" s="41"/>
      <c r="DV15" s="41"/>
      <c r="DW15" s="41"/>
      <c r="DX15" s="41"/>
      <c r="DY15" s="44"/>
      <c r="DZ15" s="44"/>
      <c r="EA15" s="44"/>
      <c r="EB15" s="44"/>
      <c r="EC15" s="44"/>
      <c r="ED15" s="44"/>
      <c r="EE15" s="44"/>
      <c r="EF15" s="44"/>
      <c r="EG15" s="44"/>
      <c r="EH15" s="1590"/>
      <c r="EI15" s="1590"/>
      <c r="EJ15" s="1590"/>
      <c r="EK15" s="1590"/>
      <c r="EL15" s="1590"/>
      <c r="EM15" s="1590"/>
      <c r="EN15" s="1590"/>
      <c r="EO15" s="1590"/>
      <c r="EP15" s="1590"/>
      <c r="EQ15" s="1590"/>
      <c r="ER15" s="1590"/>
      <c r="ES15" s="1590"/>
      <c r="ET15" s="1590"/>
      <c r="EU15" s="1456"/>
      <c r="EV15" s="1457"/>
      <c r="EW15" s="1498"/>
    </row>
    <row r="16" spans="1:153" ht="7.5" customHeight="1" x14ac:dyDescent="0.25">
      <c r="BX16" s="39"/>
      <c r="BY16" s="39"/>
      <c r="BZ16" s="39"/>
      <c r="CA16" s="39"/>
      <c r="CB16" s="39"/>
      <c r="CC16" s="39"/>
      <c r="CD16" s="39"/>
      <c r="CE16" s="39"/>
      <c r="CF16" s="39"/>
      <c r="CG16" s="39"/>
      <c r="CM16" s="1393"/>
      <c r="CN16" s="1394"/>
      <c r="CO16" s="1394"/>
      <c r="CP16" s="1394"/>
      <c r="CQ16" s="1394"/>
      <c r="CR16" s="1394"/>
      <c r="CS16" s="1394"/>
      <c r="CT16" s="1394"/>
      <c r="CU16" s="1394"/>
      <c r="CV16" s="1394"/>
      <c r="CW16" s="1394"/>
      <c r="CX16" s="1394"/>
      <c r="CY16" s="1394"/>
      <c r="CZ16" s="1394"/>
      <c r="DA16" s="1394"/>
      <c r="DB16" s="1394"/>
      <c r="DC16" s="1394"/>
      <c r="DD16" s="1394"/>
      <c r="DE16" s="1394"/>
      <c r="DF16" s="1394"/>
      <c r="DG16" s="1394"/>
      <c r="DH16" s="1394"/>
      <c r="DI16" s="1394"/>
      <c r="DJ16" s="1394"/>
      <c r="DK16" s="1394"/>
      <c r="DL16" s="1394"/>
      <c r="DM16" s="41"/>
      <c r="DN16" s="41"/>
      <c r="DO16" s="41"/>
      <c r="DP16" s="41"/>
      <c r="DQ16" s="41"/>
      <c r="DR16" s="41"/>
      <c r="DS16" s="41"/>
      <c r="DT16" s="41"/>
      <c r="DU16" s="41"/>
      <c r="DV16" s="41"/>
      <c r="DW16" s="41"/>
      <c r="DX16" s="41"/>
      <c r="DY16" s="44"/>
      <c r="DZ16" s="44"/>
      <c r="EA16" s="44"/>
      <c r="EB16" s="44"/>
      <c r="EC16" s="44"/>
      <c r="ED16" s="44"/>
      <c r="EE16" s="44"/>
      <c r="EF16" s="44"/>
      <c r="EG16" s="44"/>
      <c r="EH16" s="1590"/>
      <c r="EI16" s="1590"/>
      <c r="EJ16" s="1590"/>
      <c r="EK16" s="1590"/>
      <c r="EL16" s="1590"/>
      <c r="EM16" s="1590"/>
      <c r="EN16" s="1590"/>
      <c r="EO16" s="1590"/>
      <c r="EP16" s="1590"/>
      <c r="EQ16" s="1590"/>
      <c r="ER16" s="1590"/>
      <c r="ES16" s="1590"/>
      <c r="ET16" s="1590"/>
      <c r="EU16" s="1456"/>
      <c r="EV16" s="1457"/>
      <c r="EW16" s="1498"/>
    </row>
    <row r="17" spans="91:153" ht="7.5" customHeight="1" x14ac:dyDescent="0.25">
      <c r="CM17" s="1450"/>
      <c r="CN17" s="1451"/>
      <c r="CO17" s="1451"/>
      <c r="CP17" s="1451"/>
      <c r="CQ17" s="1451"/>
      <c r="CR17" s="1451"/>
      <c r="CS17" s="1451"/>
      <c r="CT17" s="1451"/>
      <c r="CU17" s="1451"/>
      <c r="CV17" s="1451"/>
      <c r="CW17" s="1451"/>
      <c r="CX17" s="1451"/>
      <c r="CY17" s="1451"/>
      <c r="CZ17" s="1451"/>
      <c r="DA17" s="1451"/>
      <c r="DB17" s="1451"/>
      <c r="DC17" s="1451"/>
      <c r="DD17" s="1451"/>
      <c r="DE17" s="1451"/>
      <c r="DF17" s="1451"/>
      <c r="DG17" s="1451"/>
      <c r="DH17" s="1451"/>
      <c r="DI17" s="1451"/>
      <c r="DJ17" s="1451"/>
      <c r="DK17" s="1451"/>
      <c r="DL17" s="1451"/>
      <c r="DM17" s="42"/>
      <c r="DN17" s="42"/>
      <c r="DO17" s="42"/>
      <c r="DP17" s="42"/>
      <c r="DQ17" s="42"/>
      <c r="DR17" s="42"/>
      <c r="DS17" s="42"/>
      <c r="DT17" s="42"/>
      <c r="DU17" s="42"/>
      <c r="DV17" s="42"/>
      <c r="DW17" s="42"/>
      <c r="DX17" s="42"/>
      <c r="DY17" s="45"/>
      <c r="DZ17" s="45"/>
      <c r="EA17" s="45"/>
      <c r="EB17" s="45"/>
      <c r="EC17" s="45"/>
      <c r="ED17" s="45"/>
      <c r="EE17" s="45"/>
      <c r="EF17" s="45"/>
      <c r="EG17" s="45"/>
      <c r="EH17" s="1588"/>
      <c r="EI17" s="1588"/>
      <c r="EJ17" s="1588"/>
      <c r="EK17" s="1588"/>
      <c r="EL17" s="1588"/>
      <c r="EM17" s="1588"/>
      <c r="EN17" s="1588"/>
      <c r="EO17" s="1588"/>
      <c r="EP17" s="1588"/>
      <c r="EQ17" s="1588"/>
      <c r="ER17" s="1588"/>
      <c r="ES17" s="1588"/>
      <c r="ET17" s="1588"/>
      <c r="EU17" s="1453"/>
      <c r="EV17" s="1454"/>
      <c r="EW17" s="1589"/>
    </row>
    <row r="18" spans="91:153" ht="7.5" customHeight="1" x14ac:dyDescent="0.25">
      <c r="CM18" s="1450"/>
      <c r="CN18" s="1451"/>
      <c r="CO18" s="1451"/>
      <c r="CP18" s="1451"/>
      <c r="CQ18" s="1451"/>
      <c r="CR18" s="1451"/>
      <c r="CS18" s="1451"/>
      <c r="CT18" s="1451"/>
      <c r="CU18" s="1451"/>
      <c r="CV18" s="1451"/>
      <c r="CW18" s="1451"/>
      <c r="CX18" s="1451"/>
      <c r="CY18" s="1451"/>
      <c r="CZ18" s="1451"/>
      <c r="DA18" s="1451"/>
      <c r="DB18" s="1451"/>
      <c r="DC18" s="1451"/>
      <c r="DD18" s="1451"/>
      <c r="DE18" s="1451"/>
      <c r="DF18" s="1451"/>
      <c r="DG18" s="1451"/>
      <c r="DH18" s="1451"/>
      <c r="DI18" s="1451"/>
      <c r="DJ18" s="1451"/>
      <c r="DK18" s="1451"/>
      <c r="DL18" s="1451"/>
      <c r="DM18" s="42"/>
      <c r="DN18" s="42"/>
      <c r="DO18" s="42"/>
      <c r="DP18" s="42"/>
      <c r="DQ18" s="42"/>
      <c r="DR18" s="42"/>
      <c r="DS18" s="42"/>
      <c r="DT18" s="42"/>
      <c r="DU18" s="42"/>
      <c r="DV18" s="42"/>
      <c r="DW18" s="42"/>
      <c r="DX18" s="42"/>
      <c r="DY18" s="45"/>
      <c r="DZ18" s="45"/>
      <c r="EA18" s="45"/>
      <c r="EB18" s="45"/>
      <c r="EC18" s="45"/>
      <c r="ED18" s="45"/>
      <c r="EE18" s="45"/>
      <c r="EF18" s="45"/>
      <c r="EG18" s="45"/>
      <c r="EH18" s="1588"/>
      <c r="EI18" s="1588"/>
      <c r="EJ18" s="1588"/>
      <c r="EK18" s="1588"/>
      <c r="EL18" s="1588"/>
      <c r="EM18" s="1588"/>
      <c r="EN18" s="1588"/>
      <c r="EO18" s="1588"/>
      <c r="EP18" s="1588"/>
      <c r="EQ18" s="1588"/>
      <c r="ER18" s="1588"/>
      <c r="ES18" s="1588"/>
      <c r="ET18" s="1588"/>
      <c r="EU18" s="1453"/>
      <c r="EV18" s="1454"/>
      <c r="EW18" s="1589"/>
    </row>
    <row r="19" spans="91:153" ht="7.5" customHeight="1" x14ac:dyDescent="0.25">
      <c r="CM19" s="1393"/>
      <c r="CN19" s="1394"/>
      <c r="CO19" s="1394"/>
      <c r="CP19" s="1394"/>
      <c r="CQ19" s="1394"/>
      <c r="CR19" s="1394"/>
      <c r="CS19" s="1394"/>
      <c r="CT19" s="1394"/>
      <c r="CU19" s="1394"/>
      <c r="CV19" s="1394"/>
      <c r="CW19" s="1394"/>
      <c r="CX19" s="1394"/>
      <c r="CY19" s="1394"/>
      <c r="CZ19" s="1394"/>
      <c r="DA19" s="1394"/>
      <c r="DB19" s="1394"/>
      <c r="DC19" s="1394"/>
      <c r="DD19" s="1394"/>
      <c r="DE19" s="1394"/>
      <c r="DF19" s="1394"/>
      <c r="DG19" s="1394"/>
      <c r="DH19" s="1394"/>
      <c r="DI19" s="1394"/>
      <c r="DJ19" s="1394"/>
      <c r="DK19" s="1394"/>
      <c r="DL19" s="1394"/>
      <c r="DM19" s="41"/>
      <c r="DN19" s="41"/>
      <c r="DO19" s="41"/>
      <c r="DP19" s="41"/>
      <c r="DQ19" s="41"/>
      <c r="DR19" s="41"/>
      <c r="DS19" s="41"/>
      <c r="DT19" s="41"/>
      <c r="DU19" s="41"/>
      <c r="DV19" s="41"/>
      <c r="DW19" s="41"/>
      <c r="DX19" s="41"/>
      <c r="DY19" s="44"/>
      <c r="DZ19" s="44"/>
      <c r="EA19" s="44"/>
      <c r="EB19" s="44"/>
      <c r="EC19" s="44"/>
      <c r="ED19" s="44"/>
      <c r="EE19" s="44"/>
      <c r="EF19" s="44"/>
      <c r="EG19" s="44"/>
      <c r="EH19" s="1590"/>
      <c r="EI19" s="1590"/>
      <c r="EJ19" s="1590"/>
      <c r="EK19" s="1590"/>
      <c r="EL19" s="1590"/>
      <c r="EM19" s="1590"/>
      <c r="EN19" s="1590"/>
      <c r="EO19" s="1590"/>
      <c r="EP19" s="1590"/>
      <c r="EQ19" s="1590"/>
      <c r="ER19" s="1590"/>
      <c r="ES19" s="1590"/>
      <c r="ET19" s="1590"/>
      <c r="EU19" s="1456"/>
      <c r="EV19" s="1457"/>
      <c r="EW19" s="1498"/>
    </row>
    <row r="20" spans="91:153" ht="7.5" customHeight="1" x14ac:dyDescent="0.25">
      <c r="CM20" s="1393"/>
      <c r="CN20" s="1394"/>
      <c r="CO20" s="1394"/>
      <c r="CP20" s="1394"/>
      <c r="CQ20" s="1394"/>
      <c r="CR20" s="1394"/>
      <c r="CS20" s="1394"/>
      <c r="CT20" s="1394"/>
      <c r="CU20" s="1394"/>
      <c r="CV20" s="1394"/>
      <c r="CW20" s="1394"/>
      <c r="CX20" s="1394"/>
      <c r="CY20" s="1394"/>
      <c r="CZ20" s="1394"/>
      <c r="DA20" s="1394"/>
      <c r="DB20" s="1394"/>
      <c r="DC20" s="1394"/>
      <c r="DD20" s="1394"/>
      <c r="DE20" s="1394"/>
      <c r="DF20" s="1394"/>
      <c r="DG20" s="1394"/>
      <c r="DH20" s="1394"/>
      <c r="DI20" s="1394"/>
      <c r="DJ20" s="1394"/>
      <c r="DK20" s="1394"/>
      <c r="DL20" s="1394"/>
      <c r="DM20" s="41"/>
      <c r="DN20" s="41"/>
      <c r="DO20" s="41"/>
      <c r="DP20" s="41"/>
      <c r="DQ20" s="41"/>
      <c r="DR20" s="41"/>
      <c r="DS20" s="41"/>
      <c r="DT20" s="41"/>
      <c r="DU20" s="41"/>
      <c r="DV20" s="41"/>
      <c r="DW20" s="41"/>
      <c r="DX20" s="41"/>
      <c r="DY20" s="44"/>
      <c r="DZ20" s="44"/>
      <c r="EA20" s="44"/>
      <c r="EB20" s="44"/>
      <c r="EC20" s="44"/>
      <c r="ED20" s="44"/>
      <c r="EE20" s="44"/>
      <c r="EF20" s="44"/>
      <c r="EG20" s="44"/>
      <c r="EH20" s="1590"/>
      <c r="EI20" s="1590"/>
      <c r="EJ20" s="1590"/>
      <c r="EK20" s="1590"/>
      <c r="EL20" s="1590"/>
      <c r="EM20" s="1590"/>
      <c r="EN20" s="1590"/>
      <c r="EO20" s="1590"/>
      <c r="EP20" s="1590"/>
      <c r="EQ20" s="1590"/>
      <c r="ER20" s="1590"/>
      <c r="ES20" s="1590"/>
      <c r="ET20" s="1590"/>
      <c r="EU20" s="1456"/>
      <c r="EV20" s="1457"/>
      <c r="EW20" s="1498"/>
    </row>
    <row r="21" spans="91:153" ht="7.5" customHeight="1" x14ac:dyDescent="0.25">
      <c r="CM21" s="1450"/>
      <c r="CN21" s="1451"/>
      <c r="CO21" s="1451"/>
      <c r="CP21" s="1451"/>
      <c r="CQ21" s="1451"/>
      <c r="CR21" s="1451"/>
      <c r="CS21" s="1451"/>
      <c r="CT21" s="1451"/>
      <c r="CU21" s="1451"/>
      <c r="CV21" s="1451"/>
      <c r="CW21" s="1451"/>
      <c r="CX21" s="1451"/>
      <c r="CY21" s="1451"/>
      <c r="CZ21" s="1451"/>
      <c r="DA21" s="1451"/>
      <c r="DB21" s="1451"/>
      <c r="DC21" s="1451"/>
      <c r="DD21" s="1451"/>
      <c r="DE21" s="1451"/>
      <c r="DF21" s="1451"/>
      <c r="DG21" s="1451"/>
      <c r="DH21" s="1451"/>
      <c r="DI21" s="1451"/>
      <c r="DJ21" s="1451"/>
      <c r="DK21" s="1451"/>
      <c r="DL21" s="1451"/>
      <c r="DM21" s="42"/>
      <c r="DN21" s="42"/>
      <c r="DO21" s="42"/>
      <c r="DP21" s="42"/>
      <c r="DQ21" s="42"/>
      <c r="DR21" s="42"/>
      <c r="DS21" s="42"/>
      <c r="DT21" s="42"/>
      <c r="DU21" s="42"/>
      <c r="DV21" s="42"/>
      <c r="DW21" s="42"/>
      <c r="DX21" s="42"/>
      <c r="DY21" s="45"/>
      <c r="DZ21" s="45"/>
      <c r="EA21" s="45"/>
      <c r="EB21" s="45"/>
      <c r="EC21" s="45"/>
      <c r="ED21" s="45"/>
      <c r="EE21" s="45"/>
      <c r="EF21" s="45"/>
      <c r="EG21" s="45"/>
      <c r="EH21" s="1588"/>
      <c r="EI21" s="1588"/>
      <c r="EJ21" s="1588"/>
      <c r="EK21" s="1588"/>
      <c r="EL21" s="1588"/>
      <c r="EM21" s="1588"/>
      <c r="EN21" s="1588"/>
      <c r="EO21" s="1588"/>
      <c r="EP21" s="1588"/>
      <c r="EQ21" s="1588"/>
      <c r="ER21" s="1588"/>
      <c r="ES21" s="1588"/>
      <c r="ET21" s="1588"/>
      <c r="EU21" s="1453"/>
      <c r="EV21" s="1454"/>
      <c r="EW21" s="1589"/>
    </row>
    <row r="22" spans="91:153" ht="7.5" customHeight="1" x14ac:dyDescent="0.25">
      <c r="CM22" s="1450"/>
      <c r="CN22" s="1451"/>
      <c r="CO22" s="1451"/>
      <c r="CP22" s="1451"/>
      <c r="CQ22" s="1451"/>
      <c r="CR22" s="1451"/>
      <c r="CS22" s="1451"/>
      <c r="CT22" s="1451"/>
      <c r="CU22" s="1451"/>
      <c r="CV22" s="1451"/>
      <c r="CW22" s="1451"/>
      <c r="CX22" s="1451"/>
      <c r="CY22" s="1451"/>
      <c r="CZ22" s="1451"/>
      <c r="DA22" s="1451"/>
      <c r="DB22" s="1451"/>
      <c r="DC22" s="1451"/>
      <c r="DD22" s="1451"/>
      <c r="DE22" s="1451"/>
      <c r="DF22" s="1451"/>
      <c r="DG22" s="1451"/>
      <c r="DH22" s="1451"/>
      <c r="DI22" s="1451"/>
      <c r="DJ22" s="1451"/>
      <c r="DK22" s="1451"/>
      <c r="DL22" s="1451"/>
      <c r="DM22" s="42"/>
      <c r="DN22" s="42"/>
      <c r="DO22" s="42"/>
      <c r="DP22" s="42"/>
      <c r="DQ22" s="42"/>
      <c r="DR22" s="42"/>
      <c r="DS22" s="42"/>
      <c r="DT22" s="42"/>
      <c r="DU22" s="42"/>
      <c r="DV22" s="42"/>
      <c r="DW22" s="42"/>
      <c r="DX22" s="42"/>
      <c r="DY22" s="45"/>
      <c r="DZ22" s="45"/>
      <c r="EA22" s="45"/>
      <c r="EB22" s="45"/>
      <c r="EC22" s="45"/>
      <c r="ED22" s="45"/>
      <c r="EE22" s="45"/>
      <c r="EF22" s="45"/>
      <c r="EG22" s="45"/>
      <c r="EH22" s="1588"/>
      <c r="EI22" s="1588"/>
      <c r="EJ22" s="1588"/>
      <c r="EK22" s="1588"/>
      <c r="EL22" s="1588"/>
      <c r="EM22" s="1588"/>
      <c r="EN22" s="1588"/>
      <c r="EO22" s="1588"/>
      <c r="EP22" s="1588"/>
      <c r="EQ22" s="1588"/>
      <c r="ER22" s="1588"/>
      <c r="ES22" s="1588"/>
      <c r="ET22" s="1588"/>
      <c r="EU22" s="1453"/>
      <c r="EV22" s="1454"/>
      <c r="EW22" s="1589"/>
    </row>
    <row r="23" spans="91:153" ht="7.5" customHeight="1" x14ac:dyDescent="0.25">
      <c r="CM23" s="1393"/>
      <c r="CN23" s="1394"/>
      <c r="CO23" s="1394"/>
      <c r="CP23" s="1394"/>
      <c r="CQ23" s="1394"/>
      <c r="CR23" s="1394"/>
      <c r="CS23" s="1394"/>
      <c r="CT23" s="1394"/>
      <c r="CU23" s="1394"/>
      <c r="CV23" s="1394"/>
      <c r="CW23" s="1394"/>
      <c r="CX23" s="1394"/>
      <c r="CY23" s="1394"/>
      <c r="CZ23" s="1394"/>
      <c r="DA23" s="1394"/>
      <c r="DB23" s="1394"/>
      <c r="DC23" s="1394"/>
      <c r="DD23" s="1394"/>
      <c r="DE23" s="1394"/>
      <c r="DF23" s="1394"/>
      <c r="DG23" s="1394"/>
      <c r="DH23" s="1394"/>
      <c r="DI23" s="1394"/>
      <c r="DJ23" s="1394"/>
      <c r="DK23" s="1394"/>
      <c r="DL23" s="1394"/>
      <c r="DM23" s="41"/>
      <c r="DN23" s="41"/>
      <c r="DO23" s="41"/>
      <c r="DP23" s="41"/>
      <c r="DQ23" s="41"/>
      <c r="DR23" s="41"/>
      <c r="DS23" s="41"/>
      <c r="DT23" s="41"/>
      <c r="DU23" s="41"/>
      <c r="DV23" s="41"/>
      <c r="DW23" s="41"/>
      <c r="DX23" s="41"/>
      <c r="DY23" s="44"/>
      <c r="DZ23" s="44"/>
      <c r="EA23" s="44"/>
      <c r="EB23" s="44"/>
      <c r="EC23" s="44"/>
      <c r="ED23" s="44"/>
      <c r="EE23" s="44"/>
      <c r="EF23" s="44"/>
      <c r="EG23" s="44"/>
      <c r="EH23" s="1590"/>
      <c r="EI23" s="1590"/>
      <c r="EJ23" s="1590"/>
      <c r="EK23" s="1590"/>
      <c r="EL23" s="1590"/>
      <c r="EM23" s="1590"/>
      <c r="EN23" s="1590"/>
      <c r="EO23" s="1590"/>
      <c r="EP23" s="1590"/>
      <c r="EQ23" s="1590"/>
      <c r="ER23" s="1590"/>
      <c r="ES23" s="1590"/>
      <c r="ET23" s="1590"/>
      <c r="EU23" s="1456"/>
      <c r="EV23" s="1457"/>
      <c r="EW23" s="1498"/>
    </row>
    <row r="24" spans="91:153" ht="7.5" customHeight="1" x14ac:dyDescent="0.25">
      <c r="CM24" s="1393"/>
      <c r="CN24" s="1394"/>
      <c r="CO24" s="1394"/>
      <c r="CP24" s="1394"/>
      <c r="CQ24" s="1394"/>
      <c r="CR24" s="1394"/>
      <c r="CS24" s="1394"/>
      <c r="CT24" s="1394"/>
      <c r="CU24" s="1394"/>
      <c r="CV24" s="1394"/>
      <c r="CW24" s="1394"/>
      <c r="CX24" s="1394"/>
      <c r="CY24" s="1394"/>
      <c r="CZ24" s="1394"/>
      <c r="DA24" s="1394"/>
      <c r="DB24" s="1394"/>
      <c r="DC24" s="1394"/>
      <c r="DD24" s="1394"/>
      <c r="DE24" s="1394"/>
      <c r="DF24" s="1394"/>
      <c r="DG24" s="1394"/>
      <c r="DH24" s="1394"/>
      <c r="DI24" s="1394"/>
      <c r="DJ24" s="1394"/>
      <c r="DK24" s="1394"/>
      <c r="DL24" s="1394"/>
      <c r="DM24" s="41"/>
      <c r="DN24" s="41"/>
      <c r="DO24" s="41"/>
      <c r="DP24" s="41"/>
      <c r="DQ24" s="41"/>
      <c r="DR24" s="41"/>
      <c r="DS24" s="41"/>
      <c r="DT24" s="41"/>
      <c r="DU24" s="41"/>
      <c r="DV24" s="41"/>
      <c r="DW24" s="41"/>
      <c r="DX24" s="41"/>
      <c r="DY24" s="44"/>
      <c r="DZ24" s="44"/>
      <c r="EA24" s="44"/>
      <c r="EB24" s="44"/>
      <c r="EC24" s="44"/>
      <c r="ED24" s="44"/>
      <c r="EE24" s="44"/>
      <c r="EF24" s="44"/>
      <c r="EG24" s="44"/>
      <c r="EH24" s="1590"/>
      <c r="EI24" s="1590"/>
      <c r="EJ24" s="1590"/>
      <c r="EK24" s="1590"/>
      <c r="EL24" s="1590"/>
      <c r="EM24" s="1590"/>
      <c r="EN24" s="1590"/>
      <c r="EO24" s="1590"/>
      <c r="EP24" s="1590"/>
      <c r="EQ24" s="1590"/>
      <c r="ER24" s="1590"/>
      <c r="ES24" s="1590"/>
      <c r="ET24" s="1590"/>
      <c r="EU24" s="1456"/>
      <c r="EV24" s="1457"/>
      <c r="EW24" s="1498"/>
    </row>
    <row r="25" spans="91:153" ht="7.5" customHeight="1" x14ac:dyDescent="0.25">
      <c r="CM25" s="1450"/>
      <c r="CN25" s="1451"/>
      <c r="CO25" s="1451"/>
      <c r="CP25" s="1451"/>
      <c r="CQ25" s="1451"/>
      <c r="CR25" s="1451"/>
      <c r="CS25" s="1451"/>
      <c r="CT25" s="1451"/>
      <c r="CU25" s="1451"/>
      <c r="CV25" s="1451"/>
      <c r="CW25" s="1451"/>
      <c r="CX25" s="1451"/>
      <c r="CY25" s="1451"/>
      <c r="CZ25" s="1451"/>
      <c r="DA25" s="1451"/>
      <c r="DB25" s="1451"/>
      <c r="DC25" s="1451"/>
      <c r="DD25" s="1451"/>
      <c r="DE25" s="1451"/>
      <c r="DF25" s="1451"/>
      <c r="DG25" s="1451"/>
      <c r="DH25" s="1451"/>
      <c r="DI25" s="1451"/>
      <c r="DJ25" s="1451"/>
      <c r="DK25" s="1451"/>
      <c r="DL25" s="1451"/>
      <c r="DM25" s="42"/>
      <c r="DN25" s="42"/>
      <c r="DO25" s="42"/>
      <c r="DP25" s="42"/>
      <c r="DQ25" s="42"/>
      <c r="DR25" s="42"/>
      <c r="DS25" s="42"/>
      <c r="DT25" s="42"/>
      <c r="DU25" s="42"/>
      <c r="DV25" s="42"/>
      <c r="DW25" s="42"/>
      <c r="DX25" s="42"/>
      <c r="DY25" s="45"/>
      <c r="DZ25" s="45"/>
      <c r="EA25" s="45"/>
      <c r="EB25" s="45"/>
      <c r="EC25" s="45"/>
      <c r="ED25" s="45"/>
      <c r="EE25" s="45"/>
      <c r="EF25" s="45"/>
      <c r="EG25" s="45"/>
      <c r="EH25" s="1588"/>
      <c r="EI25" s="1588"/>
      <c r="EJ25" s="1588"/>
      <c r="EK25" s="1588"/>
      <c r="EL25" s="1588"/>
      <c r="EM25" s="1588"/>
      <c r="EN25" s="1588"/>
      <c r="EO25" s="1588"/>
      <c r="EP25" s="1588"/>
      <c r="EQ25" s="1588"/>
      <c r="ER25" s="1588"/>
      <c r="ES25" s="1588"/>
      <c r="ET25" s="1588"/>
      <c r="EU25" s="1453"/>
      <c r="EV25" s="1454"/>
      <c r="EW25" s="1589"/>
    </row>
    <row r="26" spans="91:153" ht="7.5" customHeight="1" x14ac:dyDescent="0.25">
      <c r="CM26" s="1450"/>
      <c r="CN26" s="1451"/>
      <c r="CO26" s="1451"/>
      <c r="CP26" s="1451"/>
      <c r="CQ26" s="1451"/>
      <c r="CR26" s="1451"/>
      <c r="CS26" s="1451"/>
      <c r="CT26" s="1451"/>
      <c r="CU26" s="1451"/>
      <c r="CV26" s="1451"/>
      <c r="CW26" s="1451"/>
      <c r="CX26" s="1451"/>
      <c r="CY26" s="1451"/>
      <c r="CZ26" s="1451"/>
      <c r="DA26" s="1451"/>
      <c r="DB26" s="1451"/>
      <c r="DC26" s="1451"/>
      <c r="DD26" s="1451"/>
      <c r="DE26" s="1451"/>
      <c r="DF26" s="1451"/>
      <c r="DG26" s="1451"/>
      <c r="DH26" s="1451"/>
      <c r="DI26" s="1451"/>
      <c r="DJ26" s="1451"/>
      <c r="DK26" s="1451"/>
      <c r="DL26" s="1451"/>
      <c r="DM26" s="42"/>
      <c r="DN26" s="42"/>
      <c r="DO26" s="42"/>
      <c r="DP26" s="42"/>
      <c r="DQ26" s="42"/>
      <c r="DR26" s="42"/>
      <c r="DS26" s="42"/>
      <c r="DT26" s="42"/>
      <c r="DU26" s="42"/>
      <c r="DV26" s="42"/>
      <c r="DW26" s="42"/>
      <c r="DX26" s="42"/>
      <c r="DY26" s="45"/>
      <c r="DZ26" s="45"/>
      <c r="EA26" s="45"/>
      <c r="EB26" s="45"/>
      <c r="EC26" s="45"/>
      <c r="ED26" s="45"/>
      <c r="EE26" s="45"/>
      <c r="EF26" s="45"/>
      <c r="EG26" s="45"/>
      <c r="EH26" s="1588"/>
      <c r="EI26" s="1588"/>
      <c r="EJ26" s="1588"/>
      <c r="EK26" s="1588"/>
      <c r="EL26" s="1588"/>
      <c r="EM26" s="1588"/>
      <c r="EN26" s="1588"/>
      <c r="EO26" s="1588"/>
      <c r="EP26" s="1588"/>
      <c r="EQ26" s="1588"/>
      <c r="ER26" s="1588"/>
      <c r="ES26" s="1588"/>
      <c r="ET26" s="1588"/>
      <c r="EU26" s="1453"/>
      <c r="EV26" s="1454"/>
      <c r="EW26" s="1589"/>
    </row>
    <row r="27" spans="91:153" ht="7.5" customHeight="1" x14ac:dyDescent="0.25">
      <c r="CM27" s="1393"/>
      <c r="CN27" s="1394"/>
      <c r="CO27" s="1394"/>
      <c r="CP27" s="1394"/>
      <c r="CQ27" s="1394"/>
      <c r="CR27" s="1394"/>
      <c r="CS27" s="1394"/>
      <c r="CT27" s="1394"/>
      <c r="CU27" s="1394"/>
      <c r="CV27" s="1394"/>
      <c r="CW27" s="1394"/>
      <c r="CX27" s="1394"/>
      <c r="CY27" s="1394"/>
      <c r="CZ27" s="1394"/>
      <c r="DA27" s="1394"/>
      <c r="DB27" s="1394"/>
      <c r="DC27" s="1394"/>
      <c r="DD27" s="1394"/>
      <c r="DE27" s="1394"/>
      <c r="DF27" s="1394"/>
      <c r="DG27" s="1394"/>
      <c r="DH27" s="1394"/>
      <c r="DI27" s="1394"/>
      <c r="DJ27" s="1394"/>
      <c r="DK27" s="1394"/>
      <c r="DL27" s="1394"/>
      <c r="DM27" s="41"/>
      <c r="DN27" s="41"/>
      <c r="DO27" s="41"/>
      <c r="DP27" s="41"/>
      <c r="DQ27" s="41"/>
      <c r="DR27" s="41"/>
      <c r="DS27" s="41"/>
      <c r="DT27" s="41"/>
      <c r="DU27" s="41"/>
      <c r="DV27" s="41"/>
      <c r="DW27" s="41"/>
      <c r="DX27" s="41"/>
      <c r="DY27" s="44"/>
      <c r="DZ27" s="44"/>
      <c r="EA27" s="44"/>
      <c r="EB27" s="44"/>
      <c r="EC27" s="44"/>
      <c r="ED27" s="44"/>
      <c r="EE27" s="44"/>
      <c r="EF27" s="44"/>
      <c r="EG27" s="44"/>
      <c r="EH27" s="1590"/>
      <c r="EI27" s="1590"/>
      <c r="EJ27" s="1590"/>
      <c r="EK27" s="1590"/>
      <c r="EL27" s="1590"/>
      <c r="EM27" s="1590"/>
      <c r="EN27" s="1590"/>
      <c r="EO27" s="1590"/>
      <c r="EP27" s="1590"/>
      <c r="EQ27" s="1590"/>
      <c r="ER27" s="1590"/>
      <c r="ES27" s="1590"/>
      <c r="ET27" s="1590"/>
      <c r="EU27" s="1456"/>
      <c r="EV27" s="1457"/>
      <c r="EW27" s="1498"/>
    </row>
    <row r="28" spans="91:153" ht="7.5" customHeight="1" x14ac:dyDescent="0.25">
      <c r="CM28" s="1393"/>
      <c r="CN28" s="1394"/>
      <c r="CO28" s="1394"/>
      <c r="CP28" s="1394"/>
      <c r="CQ28" s="1394"/>
      <c r="CR28" s="1394"/>
      <c r="CS28" s="1394"/>
      <c r="CT28" s="1394"/>
      <c r="CU28" s="1394"/>
      <c r="CV28" s="1394"/>
      <c r="CW28" s="1394"/>
      <c r="CX28" s="1394"/>
      <c r="CY28" s="1394"/>
      <c r="CZ28" s="1394"/>
      <c r="DA28" s="1394"/>
      <c r="DB28" s="1394"/>
      <c r="DC28" s="1394"/>
      <c r="DD28" s="1394"/>
      <c r="DE28" s="1394"/>
      <c r="DF28" s="1394"/>
      <c r="DG28" s="1394"/>
      <c r="DH28" s="1394"/>
      <c r="DI28" s="1394"/>
      <c r="DJ28" s="1394"/>
      <c r="DK28" s="1394"/>
      <c r="DL28" s="1394"/>
      <c r="DM28" s="41"/>
      <c r="DN28" s="41"/>
      <c r="DO28" s="41"/>
      <c r="DP28" s="41"/>
      <c r="DQ28" s="41"/>
      <c r="DR28" s="41"/>
      <c r="DS28" s="41"/>
      <c r="DT28" s="41"/>
      <c r="DU28" s="41"/>
      <c r="DV28" s="41"/>
      <c r="DW28" s="41"/>
      <c r="DX28" s="41"/>
      <c r="DY28" s="44"/>
      <c r="DZ28" s="44"/>
      <c r="EA28" s="44"/>
      <c r="EB28" s="44"/>
      <c r="EC28" s="44"/>
      <c r="ED28" s="44"/>
      <c r="EE28" s="44"/>
      <c r="EF28" s="44"/>
      <c r="EG28" s="44"/>
      <c r="EH28" s="1590"/>
      <c r="EI28" s="1590"/>
      <c r="EJ28" s="1590"/>
      <c r="EK28" s="1590"/>
      <c r="EL28" s="1590"/>
      <c r="EM28" s="1590"/>
      <c r="EN28" s="1590"/>
      <c r="EO28" s="1590"/>
      <c r="EP28" s="1590"/>
      <c r="EQ28" s="1590"/>
      <c r="ER28" s="1590"/>
      <c r="ES28" s="1590"/>
      <c r="ET28" s="1590"/>
      <c r="EU28" s="1456"/>
      <c r="EV28" s="1457"/>
      <c r="EW28" s="1498"/>
    </row>
    <row r="29" spans="91:153" ht="7.5" customHeight="1" x14ac:dyDescent="0.25">
      <c r="CM29" s="1450"/>
      <c r="CN29" s="1451"/>
      <c r="CO29" s="1451"/>
      <c r="CP29" s="1451"/>
      <c r="CQ29" s="1451"/>
      <c r="CR29" s="1451"/>
      <c r="CS29" s="1451"/>
      <c r="CT29" s="1451"/>
      <c r="CU29" s="1451"/>
      <c r="CV29" s="1451"/>
      <c r="CW29" s="1451"/>
      <c r="CX29" s="1451"/>
      <c r="CY29" s="1451"/>
      <c r="CZ29" s="1451"/>
      <c r="DA29" s="1451"/>
      <c r="DB29" s="1451"/>
      <c r="DC29" s="1451"/>
      <c r="DD29" s="1451"/>
      <c r="DE29" s="1451"/>
      <c r="DF29" s="1451"/>
      <c r="DG29" s="1451"/>
      <c r="DH29" s="1451"/>
      <c r="DI29" s="1451"/>
      <c r="DJ29" s="1451"/>
      <c r="DK29" s="1451"/>
      <c r="DL29" s="1451"/>
      <c r="DM29" s="42"/>
      <c r="DN29" s="42"/>
      <c r="DO29" s="42"/>
      <c r="DP29" s="42"/>
      <c r="DQ29" s="42"/>
      <c r="DR29" s="42"/>
      <c r="DS29" s="42"/>
      <c r="DT29" s="42"/>
      <c r="DU29" s="42"/>
      <c r="DV29" s="42"/>
      <c r="DW29" s="42"/>
      <c r="DX29" s="42"/>
      <c r="DY29" s="45"/>
      <c r="DZ29" s="45"/>
      <c r="EA29" s="45"/>
      <c r="EB29" s="45"/>
      <c r="EC29" s="45"/>
      <c r="ED29" s="45"/>
      <c r="EE29" s="45"/>
      <c r="EF29" s="45"/>
      <c r="EG29" s="45"/>
      <c r="EH29" s="1588"/>
      <c r="EI29" s="1588"/>
      <c r="EJ29" s="1588"/>
      <c r="EK29" s="1588"/>
      <c r="EL29" s="1588"/>
      <c r="EM29" s="1588"/>
      <c r="EN29" s="1588"/>
      <c r="EO29" s="1588"/>
      <c r="EP29" s="1588"/>
      <c r="EQ29" s="1588"/>
      <c r="ER29" s="1588"/>
      <c r="ES29" s="1588"/>
      <c r="ET29" s="1588"/>
      <c r="EU29" s="1453"/>
      <c r="EV29" s="1454"/>
      <c r="EW29" s="1589"/>
    </row>
    <row r="30" spans="91:153" ht="7.5" customHeight="1" x14ac:dyDescent="0.25">
      <c r="CM30" s="1450"/>
      <c r="CN30" s="1451"/>
      <c r="CO30" s="1451"/>
      <c r="CP30" s="1451"/>
      <c r="CQ30" s="1451"/>
      <c r="CR30" s="1451"/>
      <c r="CS30" s="1451"/>
      <c r="CT30" s="1451"/>
      <c r="CU30" s="1451"/>
      <c r="CV30" s="1451"/>
      <c r="CW30" s="1451"/>
      <c r="CX30" s="1451"/>
      <c r="CY30" s="1451"/>
      <c r="CZ30" s="1451"/>
      <c r="DA30" s="1451"/>
      <c r="DB30" s="1451"/>
      <c r="DC30" s="1451"/>
      <c r="DD30" s="1451"/>
      <c r="DE30" s="1451"/>
      <c r="DF30" s="1451"/>
      <c r="DG30" s="1451"/>
      <c r="DH30" s="1451"/>
      <c r="DI30" s="1451"/>
      <c r="DJ30" s="1451"/>
      <c r="DK30" s="1451"/>
      <c r="DL30" s="1451"/>
      <c r="DM30" s="42"/>
      <c r="DN30" s="42"/>
      <c r="DO30" s="42"/>
      <c r="DP30" s="42"/>
      <c r="DQ30" s="42"/>
      <c r="DR30" s="42"/>
      <c r="DS30" s="42"/>
      <c r="DT30" s="42"/>
      <c r="DU30" s="42"/>
      <c r="DV30" s="42"/>
      <c r="DW30" s="42"/>
      <c r="DX30" s="42"/>
      <c r="DY30" s="45"/>
      <c r="DZ30" s="45"/>
      <c r="EA30" s="45"/>
      <c r="EB30" s="45"/>
      <c r="EC30" s="45"/>
      <c r="ED30" s="45"/>
      <c r="EE30" s="45"/>
      <c r="EF30" s="45"/>
      <c r="EG30" s="45"/>
      <c r="EH30" s="1588"/>
      <c r="EI30" s="1588"/>
      <c r="EJ30" s="1588"/>
      <c r="EK30" s="1588"/>
      <c r="EL30" s="1588"/>
      <c r="EM30" s="1588"/>
      <c r="EN30" s="1588"/>
      <c r="EO30" s="1588"/>
      <c r="EP30" s="1588"/>
      <c r="EQ30" s="1588"/>
      <c r="ER30" s="1588"/>
      <c r="ES30" s="1588"/>
      <c r="ET30" s="1588"/>
      <c r="EU30" s="1453"/>
      <c r="EV30" s="1454"/>
      <c r="EW30" s="1589"/>
    </row>
    <row r="31" spans="91:153" ht="7.5" customHeight="1" x14ac:dyDescent="0.25">
      <c r="CM31" s="1393"/>
      <c r="CN31" s="1394"/>
      <c r="CO31" s="1394"/>
      <c r="CP31" s="1394"/>
      <c r="CQ31" s="1394"/>
      <c r="CR31" s="1394"/>
      <c r="CS31" s="1394"/>
      <c r="CT31" s="1394"/>
      <c r="CU31" s="1394"/>
      <c r="CV31" s="1394"/>
      <c r="CW31" s="1394"/>
      <c r="CX31" s="1394"/>
      <c r="CY31" s="1394"/>
      <c r="CZ31" s="1394"/>
      <c r="DA31" s="1394"/>
      <c r="DB31" s="1394"/>
      <c r="DC31" s="1394"/>
      <c r="DD31" s="1394"/>
      <c r="DE31" s="1394"/>
      <c r="DF31" s="1394"/>
      <c r="DG31" s="1394"/>
      <c r="DH31" s="1394"/>
      <c r="DI31" s="1394"/>
      <c r="DJ31" s="1394"/>
      <c r="DK31" s="1394"/>
      <c r="DL31" s="1394"/>
      <c r="DM31" s="41"/>
      <c r="DN31" s="41"/>
      <c r="DO31" s="41"/>
      <c r="DP31" s="41"/>
      <c r="DQ31" s="41"/>
      <c r="DR31" s="41"/>
      <c r="DS31" s="41"/>
      <c r="DT31" s="41"/>
      <c r="DU31" s="41"/>
      <c r="DV31" s="41"/>
      <c r="DW31" s="41"/>
      <c r="DX31" s="41"/>
      <c r="DY31" s="44"/>
      <c r="DZ31" s="44"/>
      <c r="EA31" s="44"/>
      <c r="EB31" s="44"/>
      <c r="EC31" s="44"/>
      <c r="ED31" s="44"/>
      <c r="EE31" s="44"/>
      <c r="EF31" s="44"/>
      <c r="EG31" s="44"/>
      <c r="EH31" s="1590"/>
      <c r="EI31" s="1590"/>
      <c r="EJ31" s="1590"/>
      <c r="EK31" s="1590"/>
      <c r="EL31" s="1590"/>
      <c r="EM31" s="1590"/>
      <c r="EN31" s="1590"/>
      <c r="EO31" s="1590"/>
      <c r="EP31" s="1590"/>
      <c r="EQ31" s="1590"/>
      <c r="ER31" s="1590"/>
      <c r="ES31" s="1590"/>
      <c r="ET31" s="1590"/>
      <c r="EU31" s="1456"/>
      <c r="EV31" s="1457"/>
      <c r="EW31" s="1498"/>
    </row>
    <row r="32" spans="91:153" ht="7.5" customHeight="1" x14ac:dyDescent="0.25">
      <c r="CM32" s="1393"/>
      <c r="CN32" s="1394"/>
      <c r="CO32" s="1394"/>
      <c r="CP32" s="1394"/>
      <c r="CQ32" s="1394"/>
      <c r="CR32" s="1394"/>
      <c r="CS32" s="1394"/>
      <c r="CT32" s="1394"/>
      <c r="CU32" s="1394"/>
      <c r="CV32" s="1394"/>
      <c r="CW32" s="1394"/>
      <c r="CX32" s="1394"/>
      <c r="CY32" s="1394"/>
      <c r="CZ32" s="1394"/>
      <c r="DA32" s="1394"/>
      <c r="DB32" s="1394"/>
      <c r="DC32" s="1394"/>
      <c r="DD32" s="1394"/>
      <c r="DE32" s="1394"/>
      <c r="DF32" s="1394"/>
      <c r="DG32" s="1394"/>
      <c r="DH32" s="1394"/>
      <c r="DI32" s="1394"/>
      <c r="DJ32" s="1394"/>
      <c r="DK32" s="1394"/>
      <c r="DL32" s="1394"/>
      <c r="DM32" s="41"/>
      <c r="DN32" s="41"/>
      <c r="DO32" s="41"/>
      <c r="DP32" s="41"/>
      <c r="DQ32" s="41"/>
      <c r="DR32" s="41"/>
      <c r="DS32" s="41"/>
      <c r="DT32" s="41"/>
      <c r="DU32" s="41"/>
      <c r="DV32" s="41"/>
      <c r="DW32" s="41"/>
      <c r="DX32" s="41"/>
      <c r="DY32" s="44"/>
      <c r="DZ32" s="44"/>
      <c r="EA32" s="44"/>
      <c r="EB32" s="44"/>
      <c r="EC32" s="44"/>
      <c r="ED32" s="44"/>
      <c r="EE32" s="44"/>
      <c r="EF32" s="44"/>
      <c r="EG32" s="44"/>
      <c r="EH32" s="1590"/>
      <c r="EI32" s="1590"/>
      <c r="EJ32" s="1590"/>
      <c r="EK32" s="1590"/>
      <c r="EL32" s="1590"/>
      <c r="EM32" s="1590"/>
      <c r="EN32" s="1590"/>
      <c r="EO32" s="1590"/>
      <c r="EP32" s="1590"/>
      <c r="EQ32" s="1590"/>
      <c r="ER32" s="1590"/>
      <c r="ES32" s="1590"/>
      <c r="ET32" s="1590"/>
      <c r="EU32" s="1456"/>
      <c r="EV32" s="1457"/>
      <c r="EW32" s="1498"/>
    </row>
    <row r="33" spans="91:162" ht="7.5" customHeight="1" x14ac:dyDescent="0.25">
      <c r="CM33" s="1450"/>
      <c r="CN33" s="1451"/>
      <c r="CO33" s="1451"/>
      <c r="CP33" s="1451"/>
      <c r="CQ33" s="1451"/>
      <c r="CR33" s="1451"/>
      <c r="CS33" s="1451"/>
      <c r="CT33" s="1451"/>
      <c r="CU33" s="1451"/>
      <c r="CV33" s="1451"/>
      <c r="CW33" s="1451"/>
      <c r="CX33" s="1451"/>
      <c r="CY33" s="1451"/>
      <c r="CZ33" s="1451"/>
      <c r="DA33" s="1451"/>
      <c r="DB33" s="1451"/>
      <c r="DC33" s="1451"/>
      <c r="DD33" s="1451"/>
      <c r="DE33" s="1451"/>
      <c r="DF33" s="1451"/>
      <c r="DG33" s="1451"/>
      <c r="DH33" s="1451"/>
      <c r="DI33" s="1451"/>
      <c r="DJ33" s="1451"/>
      <c r="DK33" s="1451"/>
      <c r="DL33" s="1451"/>
      <c r="DM33" s="42"/>
      <c r="DN33" s="42"/>
      <c r="DO33" s="42"/>
      <c r="DP33" s="42"/>
      <c r="DQ33" s="42"/>
      <c r="DR33" s="42"/>
      <c r="DS33" s="42"/>
      <c r="DT33" s="42"/>
      <c r="DU33" s="42"/>
      <c r="DV33" s="42"/>
      <c r="DW33" s="42"/>
      <c r="DX33" s="42"/>
      <c r="DY33" s="45"/>
      <c r="DZ33" s="45"/>
      <c r="EA33" s="45"/>
      <c r="EB33" s="45"/>
      <c r="EC33" s="45"/>
      <c r="ED33" s="45"/>
      <c r="EE33" s="45"/>
      <c r="EF33" s="45"/>
      <c r="EG33" s="45"/>
      <c r="EH33" s="1588"/>
      <c r="EI33" s="1588"/>
      <c r="EJ33" s="1588"/>
      <c r="EK33" s="1588"/>
      <c r="EL33" s="1588"/>
      <c r="EM33" s="1588"/>
      <c r="EN33" s="1588"/>
      <c r="EO33" s="1588"/>
      <c r="EP33" s="1588"/>
      <c r="EQ33" s="1588"/>
      <c r="ER33" s="1588"/>
      <c r="ES33" s="1588"/>
      <c r="ET33" s="1588"/>
      <c r="EU33" s="1453"/>
      <c r="EV33" s="1454"/>
      <c r="EW33" s="1589"/>
    </row>
    <row r="34" spans="91:162" ht="7.5" customHeight="1" x14ac:dyDescent="0.25">
      <c r="CM34" s="1450"/>
      <c r="CN34" s="1451"/>
      <c r="CO34" s="1451"/>
      <c r="CP34" s="1451"/>
      <c r="CQ34" s="1451"/>
      <c r="CR34" s="1451"/>
      <c r="CS34" s="1451"/>
      <c r="CT34" s="1451"/>
      <c r="CU34" s="1451"/>
      <c r="CV34" s="1451"/>
      <c r="CW34" s="1451"/>
      <c r="CX34" s="1451"/>
      <c r="CY34" s="1451"/>
      <c r="CZ34" s="1451"/>
      <c r="DA34" s="1451"/>
      <c r="DB34" s="1451"/>
      <c r="DC34" s="1451"/>
      <c r="DD34" s="1451"/>
      <c r="DE34" s="1451"/>
      <c r="DF34" s="1451"/>
      <c r="DG34" s="1451"/>
      <c r="DH34" s="1451"/>
      <c r="DI34" s="1451"/>
      <c r="DJ34" s="1451"/>
      <c r="DK34" s="1451"/>
      <c r="DL34" s="1451"/>
      <c r="DM34" s="42"/>
      <c r="DN34" s="42"/>
      <c r="DO34" s="42"/>
      <c r="DP34" s="42"/>
      <c r="DQ34" s="42"/>
      <c r="DR34" s="42"/>
      <c r="DS34" s="42"/>
      <c r="DT34" s="42"/>
      <c r="DU34" s="42"/>
      <c r="DV34" s="42"/>
      <c r="DW34" s="42"/>
      <c r="DX34" s="42"/>
      <c r="DY34" s="45"/>
      <c r="DZ34" s="45"/>
      <c r="EA34" s="45"/>
      <c r="EB34" s="45"/>
      <c r="EC34" s="45"/>
      <c r="ED34" s="45"/>
      <c r="EE34" s="45"/>
      <c r="EF34" s="45"/>
      <c r="EG34" s="45"/>
      <c r="EH34" s="1588"/>
      <c r="EI34" s="1588"/>
      <c r="EJ34" s="1588"/>
      <c r="EK34" s="1588"/>
      <c r="EL34" s="1588"/>
      <c r="EM34" s="1588"/>
      <c r="EN34" s="1588"/>
      <c r="EO34" s="1588"/>
      <c r="EP34" s="1588"/>
      <c r="EQ34" s="1588"/>
      <c r="ER34" s="1588"/>
      <c r="ES34" s="1588"/>
      <c r="ET34" s="1588"/>
      <c r="EU34" s="1453"/>
      <c r="EV34" s="1454"/>
      <c r="EW34" s="1589"/>
    </row>
    <row r="35" spans="91:162" ht="7.5" customHeight="1" x14ac:dyDescent="0.25">
      <c r="CM35" s="1393"/>
      <c r="CN35" s="1394"/>
      <c r="CO35" s="1394"/>
      <c r="CP35" s="1394"/>
      <c r="CQ35" s="1394"/>
      <c r="CR35" s="1394"/>
      <c r="CS35" s="1394"/>
      <c r="CT35" s="1394"/>
      <c r="CU35" s="1394"/>
      <c r="CV35" s="1394"/>
      <c r="CW35" s="1394"/>
      <c r="CX35" s="1394"/>
      <c r="CY35" s="1394"/>
      <c r="CZ35" s="1394"/>
      <c r="DA35" s="1394"/>
      <c r="DB35" s="1394"/>
      <c r="DC35" s="1394"/>
      <c r="DD35" s="1394"/>
      <c r="DE35" s="1394"/>
      <c r="DF35" s="1394"/>
      <c r="DG35" s="1394"/>
      <c r="DH35" s="1394"/>
      <c r="DI35" s="1394"/>
      <c r="DJ35" s="1394"/>
      <c r="DK35" s="1394"/>
      <c r="DL35" s="1394"/>
      <c r="DM35" s="41"/>
      <c r="DN35" s="41"/>
      <c r="DO35" s="41"/>
      <c r="DP35" s="41"/>
      <c r="DQ35" s="41"/>
      <c r="DR35" s="41"/>
      <c r="DS35" s="41"/>
      <c r="DT35" s="41"/>
      <c r="DU35" s="41"/>
      <c r="DV35" s="41"/>
      <c r="DW35" s="41"/>
      <c r="DX35" s="41"/>
      <c r="DY35" s="44"/>
      <c r="DZ35" s="44"/>
      <c r="EA35" s="44"/>
      <c r="EB35" s="44"/>
      <c r="EC35" s="44"/>
      <c r="ED35" s="44"/>
      <c r="EE35" s="44"/>
      <c r="EF35" s="44"/>
      <c r="EG35" s="44"/>
      <c r="EH35" s="1590"/>
      <c r="EI35" s="1590"/>
      <c r="EJ35" s="1590"/>
      <c r="EK35" s="1590"/>
      <c r="EL35" s="1590"/>
      <c r="EM35" s="1590"/>
      <c r="EN35" s="1590"/>
      <c r="EO35" s="1590"/>
      <c r="EP35" s="1590"/>
      <c r="EQ35" s="1590"/>
      <c r="ER35" s="1590"/>
      <c r="ES35" s="1590"/>
      <c r="ET35" s="1590"/>
      <c r="EU35" s="1456"/>
      <c r="EV35" s="1457"/>
      <c r="EW35" s="1498"/>
    </row>
    <row r="36" spans="91:162" ht="7.5" customHeight="1" x14ac:dyDescent="0.25">
      <c r="CM36" s="1393"/>
      <c r="CN36" s="1394"/>
      <c r="CO36" s="1394"/>
      <c r="CP36" s="1394"/>
      <c r="CQ36" s="1394"/>
      <c r="CR36" s="1394"/>
      <c r="CS36" s="1394"/>
      <c r="CT36" s="1394"/>
      <c r="CU36" s="1394"/>
      <c r="CV36" s="1394"/>
      <c r="CW36" s="1394"/>
      <c r="CX36" s="1394"/>
      <c r="CY36" s="1394"/>
      <c r="CZ36" s="1394"/>
      <c r="DA36" s="1394"/>
      <c r="DB36" s="1394"/>
      <c r="DC36" s="1394"/>
      <c r="DD36" s="1394"/>
      <c r="DE36" s="1394"/>
      <c r="DF36" s="1394"/>
      <c r="DG36" s="1394"/>
      <c r="DH36" s="1394"/>
      <c r="DI36" s="1394"/>
      <c r="DJ36" s="1394"/>
      <c r="DK36" s="1394"/>
      <c r="DL36" s="1394"/>
      <c r="DM36" s="41"/>
      <c r="DN36" s="41"/>
      <c r="DO36" s="41"/>
      <c r="DP36" s="41"/>
      <c r="DQ36" s="41"/>
      <c r="DR36" s="41"/>
      <c r="DS36" s="41"/>
      <c r="DT36" s="41"/>
      <c r="DU36" s="41"/>
      <c r="DV36" s="41"/>
      <c r="DW36" s="41"/>
      <c r="DX36" s="41"/>
      <c r="DY36" s="44"/>
      <c r="DZ36" s="44"/>
      <c r="EA36" s="44"/>
      <c r="EB36" s="44"/>
      <c r="EC36" s="44"/>
      <c r="ED36" s="44"/>
      <c r="EE36" s="44"/>
      <c r="EF36" s="44"/>
      <c r="EG36" s="44"/>
      <c r="EH36" s="1590"/>
      <c r="EI36" s="1590"/>
      <c r="EJ36" s="1590"/>
      <c r="EK36" s="1590"/>
      <c r="EL36" s="1590"/>
      <c r="EM36" s="1590"/>
      <c r="EN36" s="1590"/>
      <c r="EO36" s="1590"/>
      <c r="EP36" s="1590"/>
      <c r="EQ36" s="1590"/>
      <c r="ER36" s="1590"/>
      <c r="ES36" s="1590"/>
      <c r="ET36" s="1590"/>
      <c r="EU36" s="1456"/>
      <c r="EV36" s="1457"/>
      <c r="EW36" s="1498"/>
      <c r="EX36" s="1579" t="s">
        <v>108</v>
      </c>
      <c r="EY36" s="1579"/>
      <c r="EZ36" s="1579"/>
      <c r="FA36" s="1579"/>
      <c r="FB36" s="1579"/>
      <c r="FC36" s="1579"/>
      <c r="FD36" s="1579"/>
      <c r="FE36" s="1579"/>
      <c r="FF36" s="1579"/>
    </row>
    <row r="37" spans="91:162" ht="7.5" customHeight="1" x14ac:dyDescent="0.25">
      <c r="CM37" s="1450"/>
      <c r="CN37" s="1451"/>
      <c r="CO37" s="1451"/>
      <c r="CP37" s="1451"/>
      <c r="CQ37" s="1451"/>
      <c r="CR37" s="1451"/>
      <c r="CS37" s="1451"/>
      <c r="CT37" s="1451"/>
      <c r="CU37" s="1451"/>
      <c r="CV37" s="1451"/>
      <c r="CW37" s="1451"/>
      <c r="CX37" s="1451"/>
      <c r="CY37" s="1451"/>
      <c r="CZ37" s="1451"/>
      <c r="DA37" s="1451"/>
      <c r="DB37" s="1451"/>
      <c r="DC37" s="1451"/>
      <c r="DD37" s="1451"/>
      <c r="DE37" s="1451"/>
      <c r="DF37" s="1451"/>
      <c r="DG37" s="1451"/>
      <c r="DH37" s="1451"/>
      <c r="DI37" s="1451"/>
      <c r="DJ37" s="1451"/>
      <c r="DK37" s="1451"/>
      <c r="DL37" s="1451"/>
      <c r="DM37" s="42"/>
      <c r="DN37" s="42"/>
      <c r="DO37" s="42"/>
      <c r="DP37" s="42"/>
      <c r="DQ37" s="42"/>
      <c r="DR37" s="42"/>
      <c r="DS37" s="42"/>
      <c r="DT37" s="42"/>
      <c r="DU37" s="42"/>
      <c r="DV37" s="42"/>
      <c r="DW37" s="42"/>
      <c r="DX37" s="42"/>
      <c r="DY37" s="45"/>
      <c r="DZ37" s="45"/>
      <c r="EA37" s="45"/>
      <c r="EB37" s="45"/>
      <c r="EC37" s="45"/>
      <c r="ED37" s="45"/>
      <c r="EE37" s="45"/>
      <c r="EF37" s="45"/>
      <c r="EG37" s="45"/>
      <c r="EH37" s="1588"/>
      <c r="EI37" s="1588"/>
      <c r="EJ37" s="1588"/>
      <c r="EK37" s="1588"/>
      <c r="EL37" s="1588"/>
      <c r="EM37" s="1588"/>
      <c r="EN37" s="1588"/>
      <c r="EO37" s="1588"/>
      <c r="EP37" s="1588"/>
      <c r="EQ37" s="1588"/>
      <c r="ER37" s="1588"/>
      <c r="ES37" s="1588"/>
      <c r="ET37" s="1588"/>
      <c r="EU37" s="1453"/>
      <c r="EV37" s="1454"/>
      <c r="EW37" s="1589"/>
      <c r="EX37" s="1579"/>
      <c r="EY37" s="1579"/>
      <c r="EZ37" s="1579"/>
      <c r="FA37" s="1579"/>
      <c r="FB37" s="1579"/>
      <c r="FC37" s="1579"/>
      <c r="FD37" s="1579"/>
      <c r="FE37" s="1579"/>
      <c r="FF37" s="1579"/>
    </row>
    <row r="38" spans="91:162" ht="7.5" customHeight="1" x14ac:dyDescent="0.25">
      <c r="CM38" s="1450"/>
      <c r="CN38" s="1451"/>
      <c r="CO38" s="1451"/>
      <c r="CP38" s="1451"/>
      <c r="CQ38" s="1451"/>
      <c r="CR38" s="1451"/>
      <c r="CS38" s="1451"/>
      <c r="CT38" s="1451"/>
      <c r="CU38" s="1451"/>
      <c r="CV38" s="1451"/>
      <c r="CW38" s="1451"/>
      <c r="CX38" s="1451"/>
      <c r="CY38" s="1451"/>
      <c r="CZ38" s="1451"/>
      <c r="DA38" s="1451"/>
      <c r="DB38" s="1451"/>
      <c r="DC38" s="1451"/>
      <c r="DD38" s="1451"/>
      <c r="DE38" s="1451"/>
      <c r="DF38" s="1451"/>
      <c r="DG38" s="1451"/>
      <c r="DH38" s="1451"/>
      <c r="DI38" s="1451"/>
      <c r="DJ38" s="1451"/>
      <c r="DK38" s="1451"/>
      <c r="DL38" s="1451"/>
      <c r="DM38" s="42"/>
      <c r="DN38" s="42"/>
      <c r="DO38" s="42"/>
      <c r="DP38" s="42"/>
      <c r="DQ38" s="42"/>
      <c r="DR38" s="42"/>
      <c r="DS38" s="42"/>
      <c r="DT38" s="42"/>
      <c r="DU38" s="42"/>
      <c r="DV38" s="42"/>
      <c r="DW38" s="42"/>
      <c r="DX38" s="42"/>
      <c r="DY38" s="45"/>
      <c r="DZ38" s="45"/>
      <c r="EA38" s="45"/>
      <c r="EB38" s="45"/>
      <c r="EC38" s="45"/>
      <c r="ED38" s="45"/>
      <c r="EE38" s="45"/>
      <c r="EF38" s="45"/>
      <c r="EG38" s="45"/>
      <c r="EH38" s="1588"/>
      <c r="EI38" s="1588"/>
      <c r="EJ38" s="1588"/>
      <c r="EK38" s="1588"/>
      <c r="EL38" s="1588"/>
      <c r="EM38" s="1588"/>
      <c r="EN38" s="1588"/>
      <c r="EO38" s="1588"/>
      <c r="EP38" s="1588"/>
      <c r="EQ38" s="1588"/>
      <c r="ER38" s="1588"/>
      <c r="ES38" s="1588"/>
      <c r="ET38" s="1588"/>
      <c r="EU38" s="1453"/>
      <c r="EV38" s="1454"/>
      <c r="EW38" s="1589"/>
      <c r="EX38" s="1576">
        <f ca="1">SUMIF('OLD Pro Sheet'!K7:V30,"Arcana",'OLD Pro Sheet'!AB7:AD7)</f>
        <v>0</v>
      </c>
      <c r="EY38" s="1576"/>
      <c r="EZ38" s="1576"/>
      <c r="FA38" s="1576"/>
      <c r="FC38" s="1576">
        <f ca="1">SUMIF('OLD Pro Sheet'!K7:V30,"Theology",'OLD Pro Sheet'!AB7:AD7)</f>
        <v>0</v>
      </c>
      <c r="FD38" s="1576"/>
      <c r="FE38" s="1576"/>
      <c r="FF38" s="1576"/>
    </row>
    <row r="39" spans="91:162" ht="7.5" customHeight="1" x14ac:dyDescent="0.25">
      <c r="CM39" s="1393"/>
      <c r="CN39" s="1394"/>
      <c r="CO39" s="1394"/>
      <c r="CP39" s="1394"/>
      <c r="CQ39" s="1394"/>
      <c r="CR39" s="1394"/>
      <c r="CS39" s="1394"/>
      <c r="CT39" s="1394"/>
      <c r="CU39" s="1394"/>
      <c r="CV39" s="1394"/>
      <c r="CW39" s="1394"/>
      <c r="CX39" s="1394"/>
      <c r="CY39" s="1394"/>
      <c r="CZ39" s="1394"/>
      <c r="DA39" s="1394"/>
      <c r="DB39" s="1394"/>
      <c r="DC39" s="1394"/>
      <c r="DD39" s="1394"/>
      <c r="DE39" s="1394"/>
      <c r="DF39" s="1394"/>
      <c r="DG39" s="1394"/>
      <c r="DH39" s="1394"/>
      <c r="DI39" s="1394"/>
      <c r="DJ39" s="1394"/>
      <c r="DK39" s="1394"/>
      <c r="DL39" s="1394"/>
      <c r="DM39" s="41"/>
      <c r="DN39" s="41"/>
      <c r="DO39" s="41"/>
      <c r="DP39" s="41"/>
      <c r="DQ39" s="41"/>
      <c r="DR39" s="41"/>
      <c r="DS39" s="41"/>
      <c r="DT39" s="41"/>
      <c r="DU39" s="41"/>
      <c r="DV39" s="41"/>
      <c r="DW39" s="41"/>
      <c r="DX39" s="41"/>
      <c r="DY39" s="44"/>
      <c r="DZ39" s="44"/>
      <c r="EA39" s="44"/>
      <c r="EB39" s="44"/>
      <c r="EC39" s="44"/>
      <c r="ED39" s="44"/>
      <c r="EE39" s="44"/>
      <c r="EF39" s="44"/>
      <c r="EG39" s="44"/>
      <c r="EH39" s="1590"/>
      <c r="EI39" s="1590"/>
      <c r="EJ39" s="1590"/>
      <c r="EK39" s="1590"/>
      <c r="EL39" s="1590"/>
      <c r="EM39" s="1590"/>
      <c r="EN39" s="1590"/>
      <c r="EO39" s="1590"/>
      <c r="EP39" s="1590"/>
      <c r="EQ39" s="1590"/>
      <c r="ER39" s="1590"/>
      <c r="ES39" s="1590"/>
      <c r="ET39" s="1590"/>
      <c r="EU39" s="1456"/>
      <c r="EV39" s="1457"/>
      <c r="EW39" s="1498"/>
      <c r="EX39" s="1576"/>
      <c r="EY39" s="1576"/>
      <c r="EZ39" s="1576"/>
      <c r="FA39" s="1576"/>
      <c r="FC39" s="1576"/>
      <c r="FD39" s="1576"/>
      <c r="FE39" s="1576"/>
      <c r="FF39" s="1576"/>
    </row>
    <row r="40" spans="91:162" ht="7.5" customHeight="1" thickBot="1" x14ac:dyDescent="0.3">
      <c r="CM40" s="1393"/>
      <c r="CN40" s="1394"/>
      <c r="CO40" s="1394"/>
      <c r="CP40" s="1394"/>
      <c r="CQ40" s="1394"/>
      <c r="CR40" s="1394"/>
      <c r="CS40" s="1394"/>
      <c r="CT40" s="1394"/>
      <c r="CU40" s="1394"/>
      <c r="CV40" s="1394"/>
      <c r="CW40" s="1394"/>
      <c r="CX40" s="1394"/>
      <c r="CY40" s="1394"/>
      <c r="CZ40" s="1394"/>
      <c r="DA40" s="1394"/>
      <c r="DB40" s="1394"/>
      <c r="DC40" s="1394"/>
      <c r="DD40" s="1394"/>
      <c r="DE40" s="1394"/>
      <c r="DF40" s="1394"/>
      <c r="DG40" s="1394"/>
      <c r="DH40" s="1394"/>
      <c r="DI40" s="1394"/>
      <c r="DJ40" s="1394"/>
      <c r="DK40" s="1394"/>
      <c r="DL40" s="1394"/>
      <c r="DM40" s="41"/>
      <c r="DN40" s="41"/>
      <c r="DO40" s="41"/>
      <c r="DP40" s="41"/>
      <c r="DQ40" s="41"/>
      <c r="DR40" s="41"/>
      <c r="DS40" s="41"/>
      <c r="DT40" s="41"/>
      <c r="DU40" s="41"/>
      <c r="DV40" s="41"/>
      <c r="DW40" s="41"/>
      <c r="DX40" s="41"/>
      <c r="DY40" s="44"/>
      <c r="DZ40" s="44"/>
      <c r="EA40" s="44"/>
      <c r="EB40" s="44"/>
      <c r="EC40" s="44"/>
      <c r="ED40" s="44"/>
      <c r="EE40" s="44"/>
      <c r="EF40" s="44"/>
      <c r="EG40" s="44"/>
      <c r="EH40" s="1590"/>
      <c r="EI40" s="1590"/>
      <c r="EJ40" s="1590"/>
      <c r="EK40" s="1590"/>
      <c r="EL40" s="1590"/>
      <c r="EM40" s="1590"/>
      <c r="EN40" s="1590"/>
      <c r="EO40" s="1590"/>
      <c r="EP40" s="1590"/>
      <c r="EQ40" s="1590"/>
      <c r="ER40" s="1590"/>
      <c r="ES40" s="1590"/>
      <c r="ET40" s="1590"/>
      <c r="EU40" s="1456"/>
      <c r="EV40" s="1457"/>
      <c r="EW40" s="1498"/>
      <c r="EX40" s="1577"/>
      <c r="EY40" s="1577"/>
      <c r="EZ40" s="1577"/>
      <c r="FA40" s="1577"/>
      <c r="FC40" s="1577"/>
      <c r="FD40" s="1577"/>
      <c r="FE40" s="1577"/>
      <c r="FF40" s="1577"/>
    </row>
    <row r="41" spans="91:162" ht="7.5" customHeight="1" x14ac:dyDescent="0.25">
      <c r="CM41" s="1450"/>
      <c r="CN41" s="1451"/>
      <c r="CO41" s="1451"/>
      <c r="CP41" s="1451"/>
      <c r="CQ41" s="1451"/>
      <c r="CR41" s="1451"/>
      <c r="CS41" s="1451"/>
      <c r="CT41" s="1451"/>
      <c r="CU41" s="1451"/>
      <c r="CV41" s="1451"/>
      <c r="CW41" s="1451"/>
      <c r="CX41" s="1451"/>
      <c r="CY41" s="1451"/>
      <c r="CZ41" s="1451"/>
      <c r="DA41" s="1451"/>
      <c r="DB41" s="1451"/>
      <c r="DC41" s="1451"/>
      <c r="DD41" s="1451"/>
      <c r="DE41" s="1451"/>
      <c r="DF41" s="1451"/>
      <c r="DG41" s="1451"/>
      <c r="DH41" s="1451"/>
      <c r="DI41" s="1451"/>
      <c r="DJ41" s="1451"/>
      <c r="DK41" s="1451"/>
      <c r="DL41" s="1451"/>
      <c r="DM41" s="42"/>
      <c r="DN41" s="42"/>
      <c r="DO41" s="42"/>
      <c r="DP41" s="42"/>
      <c r="DQ41" s="42"/>
      <c r="DR41" s="42"/>
      <c r="DS41" s="42"/>
      <c r="DT41" s="42"/>
      <c r="DU41" s="42"/>
      <c r="DV41" s="42"/>
      <c r="DW41" s="42"/>
      <c r="DX41" s="42"/>
      <c r="DY41" s="45"/>
      <c r="DZ41" s="45"/>
      <c r="EA41" s="45"/>
      <c r="EB41" s="45"/>
      <c r="EC41" s="45"/>
      <c r="ED41" s="45"/>
      <c r="EE41" s="45"/>
      <c r="EF41" s="45"/>
      <c r="EG41" s="45"/>
      <c r="EH41" s="1588"/>
      <c r="EI41" s="1588"/>
      <c r="EJ41" s="1588"/>
      <c r="EK41" s="1588"/>
      <c r="EL41" s="1588"/>
      <c r="EM41" s="1588"/>
      <c r="EN41" s="1588"/>
      <c r="EO41" s="1588"/>
      <c r="EP41" s="1588"/>
      <c r="EQ41" s="1588"/>
      <c r="ER41" s="1588"/>
      <c r="ES41" s="1588"/>
      <c r="ET41" s="1588"/>
      <c r="EU41" s="1453"/>
      <c r="EV41" s="1454"/>
      <c r="EW41" s="1589"/>
      <c r="EX41" s="1578" t="s">
        <v>106</v>
      </c>
      <c r="EY41" s="1578"/>
      <c r="EZ41" s="1578"/>
      <c r="FA41" s="1578"/>
      <c r="FC41" s="1578" t="s">
        <v>107</v>
      </c>
      <c r="FD41" s="1578"/>
      <c r="FE41" s="1578"/>
      <c r="FF41" s="1578"/>
    </row>
    <row r="42" spans="91:162" ht="7.5" customHeight="1" x14ac:dyDescent="0.25">
      <c r="CM42" s="1450"/>
      <c r="CN42" s="1451"/>
      <c r="CO42" s="1451"/>
      <c r="CP42" s="1451"/>
      <c r="CQ42" s="1451"/>
      <c r="CR42" s="1451"/>
      <c r="CS42" s="1451"/>
      <c r="CT42" s="1451"/>
      <c r="CU42" s="1451"/>
      <c r="CV42" s="1451"/>
      <c r="CW42" s="1451"/>
      <c r="CX42" s="1451"/>
      <c r="CY42" s="1451"/>
      <c r="CZ42" s="1451"/>
      <c r="DA42" s="1451"/>
      <c r="DB42" s="1451"/>
      <c r="DC42" s="1451"/>
      <c r="DD42" s="1451"/>
      <c r="DE42" s="1451"/>
      <c r="DF42" s="1451"/>
      <c r="DG42" s="1451"/>
      <c r="DH42" s="1451"/>
      <c r="DI42" s="1451"/>
      <c r="DJ42" s="1451"/>
      <c r="DK42" s="1451"/>
      <c r="DL42" s="1451"/>
      <c r="DM42" s="42"/>
      <c r="DN42" s="42"/>
      <c r="DO42" s="42"/>
      <c r="DP42" s="42"/>
      <c r="DQ42" s="42"/>
      <c r="DR42" s="42"/>
      <c r="DS42" s="42"/>
      <c r="DT42" s="42"/>
      <c r="DU42" s="42"/>
      <c r="DV42" s="42"/>
      <c r="DW42" s="42"/>
      <c r="DX42" s="42"/>
      <c r="DY42" s="45"/>
      <c r="DZ42" s="45"/>
      <c r="EA42" s="45"/>
      <c r="EB42" s="45"/>
      <c r="EC42" s="45"/>
      <c r="ED42" s="45"/>
      <c r="EE42" s="45"/>
      <c r="EF42" s="45"/>
      <c r="EG42" s="45"/>
      <c r="EH42" s="1588"/>
      <c r="EI42" s="1588"/>
      <c r="EJ42" s="1588"/>
      <c r="EK42" s="1588"/>
      <c r="EL42" s="1588"/>
      <c r="EM42" s="1588"/>
      <c r="EN42" s="1588"/>
      <c r="EO42" s="1588"/>
      <c r="EP42" s="1588"/>
      <c r="EQ42" s="1588"/>
      <c r="ER42" s="1588"/>
      <c r="ES42" s="1588"/>
      <c r="ET42" s="1588"/>
      <c r="EU42" s="1453"/>
      <c r="EV42" s="1454"/>
      <c r="EW42" s="1589"/>
    </row>
    <row r="43" spans="91:162" ht="7.5" customHeight="1" x14ac:dyDescent="0.25">
      <c r="CM43" s="1393"/>
      <c r="CN43" s="1394"/>
      <c r="CO43" s="1394"/>
      <c r="CP43" s="1394"/>
      <c r="CQ43" s="1394"/>
      <c r="CR43" s="1394"/>
      <c r="CS43" s="1394"/>
      <c r="CT43" s="1394"/>
      <c r="CU43" s="1394"/>
      <c r="CV43" s="1394"/>
      <c r="CW43" s="1394"/>
      <c r="CX43" s="1394"/>
      <c r="CY43" s="1394"/>
      <c r="CZ43" s="1394"/>
      <c r="DA43" s="1394"/>
      <c r="DB43" s="1394"/>
      <c r="DC43" s="1394"/>
      <c r="DD43" s="1394"/>
      <c r="DE43" s="1394"/>
      <c r="DF43" s="1394"/>
      <c r="DG43" s="1394"/>
      <c r="DH43" s="1394"/>
      <c r="DI43" s="1394"/>
      <c r="DJ43" s="1394"/>
      <c r="DK43" s="1394"/>
      <c r="DL43" s="1394"/>
      <c r="DM43" s="41"/>
      <c r="DN43" s="41"/>
      <c r="DO43" s="41"/>
      <c r="DP43" s="41"/>
      <c r="DQ43" s="41"/>
      <c r="DR43" s="41"/>
      <c r="DS43" s="41"/>
      <c r="DT43" s="41"/>
      <c r="DU43" s="41"/>
      <c r="DV43" s="41"/>
      <c r="DW43" s="41"/>
      <c r="DX43" s="41"/>
      <c r="DY43" s="44"/>
      <c r="DZ43" s="44"/>
      <c r="EA43" s="44"/>
      <c r="EB43" s="44"/>
      <c r="EC43" s="44"/>
      <c r="ED43" s="44"/>
      <c r="EE43" s="44"/>
      <c r="EF43" s="44"/>
      <c r="EG43" s="44"/>
      <c r="EH43" s="1590"/>
      <c r="EI43" s="1590"/>
      <c r="EJ43" s="1590"/>
      <c r="EK43" s="1590"/>
      <c r="EL43" s="1590"/>
      <c r="EM43" s="1590"/>
      <c r="EN43" s="1590"/>
      <c r="EO43" s="1590"/>
      <c r="EP43" s="1590"/>
      <c r="EQ43" s="1590"/>
      <c r="ER43" s="1590"/>
      <c r="ES43" s="1590"/>
      <c r="ET43" s="1590"/>
      <c r="EU43" s="1456"/>
      <c r="EV43" s="1457"/>
      <c r="EW43" s="1498"/>
      <c r="EX43" s="1610">
        <f>'OLD Pro Sheet'!DM51</f>
        <v>0</v>
      </c>
      <c r="EY43" s="1610"/>
      <c r="EZ43" s="1610"/>
      <c r="FA43" s="1610"/>
      <c r="FB43" s="37"/>
      <c r="FC43" s="1610" t="e">
        <f>'OLD Pro Sheet'!#REF!</f>
        <v>#REF!</v>
      </c>
      <c r="FD43" s="1610"/>
      <c r="FE43" s="1610"/>
      <c r="FF43" s="1610"/>
    </row>
    <row r="44" spans="91:162" ht="7.5" customHeight="1" x14ac:dyDescent="0.25">
      <c r="CM44" s="1393"/>
      <c r="CN44" s="1394"/>
      <c r="CO44" s="1394"/>
      <c r="CP44" s="1394"/>
      <c r="CQ44" s="1394"/>
      <c r="CR44" s="1394"/>
      <c r="CS44" s="1394"/>
      <c r="CT44" s="1394"/>
      <c r="CU44" s="1394"/>
      <c r="CV44" s="1394"/>
      <c r="CW44" s="1394"/>
      <c r="CX44" s="1394"/>
      <c r="CY44" s="1394"/>
      <c r="CZ44" s="1394"/>
      <c r="DA44" s="1394"/>
      <c r="DB44" s="1394"/>
      <c r="DC44" s="1394"/>
      <c r="DD44" s="1394"/>
      <c r="DE44" s="1394"/>
      <c r="DF44" s="1394"/>
      <c r="DG44" s="1394"/>
      <c r="DH44" s="1394"/>
      <c r="DI44" s="1394"/>
      <c r="DJ44" s="1394"/>
      <c r="DK44" s="1394"/>
      <c r="DL44" s="1394"/>
      <c r="DM44" s="41"/>
      <c r="DN44" s="41"/>
      <c r="DO44" s="41"/>
      <c r="DP44" s="41"/>
      <c r="DQ44" s="41"/>
      <c r="DR44" s="41"/>
      <c r="DS44" s="41"/>
      <c r="DT44" s="41"/>
      <c r="DU44" s="41"/>
      <c r="DV44" s="41"/>
      <c r="DW44" s="41"/>
      <c r="DX44" s="41"/>
      <c r="DY44" s="44"/>
      <c r="DZ44" s="44"/>
      <c r="EA44" s="44"/>
      <c r="EB44" s="44"/>
      <c r="EC44" s="44"/>
      <c r="ED44" s="44"/>
      <c r="EE44" s="44"/>
      <c r="EF44" s="44"/>
      <c r="EG44" s="44"/>
      <c r="EH44" s="1590"/>
      <c r="EI44" s="1590"/>
      <c r="EJ44" s="1590"/>
      <c r="EK44" s="1590"/>
      <c r="EL44" s="1590"/>
      <c r="EM44" s="1590"/>
      <c r="EN44" s="1590"/>
      <c r="EO44" s="1590"/>
      <c r="EP44" s="1590"/>
      <c r="EQ44" s="1590"/>
      <c r="ER44" s="1590"/>
      <c r="ES44" s="1590"/>
      <c r="ET44" s="1590"/>
      <c r="EU44" s="1456"/>
      <c r="EV44" s="1457"/>
      <c r="EW44" s="1498"/>
      <c r="EX44" s="1610"/>
      <c r="EY44" s="1610"/>
      <c r="EZ44" s="1610"/>
      <c r="FA44" s="1610"/>
      <c r="FB44" s="37"/>
      <c r="FC44" s="1610"/>
      <c r="FD44" s="1610"/>
      <c r="FE44" s="1610"/>
      <c r="FF44" s="1610"/>
    </row>
    <row r="45" spans="91:162" ht="7.5" customHeight="1" thickBot="1" x14ac:dyDescent="0.3">
      <c r="CM45" s="1450"/>
      <c r="CN45" s="1451"/>
      <c r="CO45" s="1451"/>
      <c r="CP45" s="1451"/>
      <c r="CQ45" s="1451"/>
      <c r="CR45" s="1451"/>
      <c r="CS45" s="1451"/>
      <c r="CT45" s="1451"/>
      <c r="CU45" s="1451"/>
      <c r="CV45" s="1451"/>
      <c r="CW45" s="1451"/>
      <c r="CX45" s="1451"/>
      <c r="CY45" s="1451"/>
      <c r="CZ45" s="1451"/>
      <c r="DA45" s="1451"/>
      <c r="DB45" s="1451"/>
      <c r="DC45" s="1451"/>
      <c r="DD45" s="1451"/>
      <c r="DE45" s="1451"/>
      <c r="DF45" s="1451"/>
      <c r="DG45" s="1451"/>
      <c r="DH45" s="1451"/>
      <c r="DI45" s="1451"/>
      <c r="DJ45" s="1451"/>
      <c r="DK45" s="1451"/>
      <c r="DL45" s="1451"/>
      <c r="DM45" s="42"/>
      <c r="DN45" s="42"/>
      <c r="DO45" s="42"/>
      <c r="DP45" s="42"/>
      <c r="DQ45" s="42"/>
      <c r="DR45" s="42"/>
      <c r="DS45" s="42"/>
      <c r="DT45" s="42"/>
      <c r="DU45" s="42"/>
      <c r="DV45" s="42"/>
      <c r="DW45" s="42"/>
      <c r="DX45" s="42"/>
      <c r="DY45" s="45"/>
      <c r="DZ45" s="45"/>
      <c r="EA45" s="45"/>
      <c r="EB45" s="45"/>
      <c r="EC45" s="45"/>
      <c r="ED45" s="45"/>
      <c r="EE45" s="45"/>
      <c r="EF45" s="45"/>
      <c r="EG45" s="45"/>
      <c r="EH45" s="1588"/>
      <c r="EI45" s="1588"/>
      <c r="EJ45" s="1588"/>
      <c r="EK45" s="1588"/>
      <c r="EL45" s="1588"/>
      <c r="EM45" s="1588"/>
      <c r="EN45" s="1588"/>
      <c r="EO45" s="1588"/>
      <c r="EP45" s="1588"/>
      <c r="EQ45" s="1588"/>
      <c r="ER45" s="1588"/>
      <c r="ES45" s="1588"/>
      <c r="ET45" s="1588"/>
      <c r="EU45" s="1453"/>
      <c r="EV45" s="1454"/>
      <c r="EW45" s="1589"/>
      <c r="EX45" s="1611"/>
      <c r="EY45" s="1611"/>
      <c r="EZ45" s="1611"/>
      <c r="FA45" s="1611"/>
      <c r="FB45" s="37"/>
      <c r="FC45" s="1611"/>
      <c r="FD45" s="1611"/>
      <c r="FE45" s="1611"/>
      <c r="FF45" s="1611"/>
    </row>
    <row r="46" spans="91:162" ht="7.5" customHeight="1" x14ac:dyDescent="0.25">
      <c r="CM46" s="1450"/>
      <c r="CN46" s="1451"/>
      <c r="CO46" s="1451"/>
      <c r="CP46" s="1451"/>
      <c r="CQ46" s="1451"/>
      <c r="CR46" s="1451"/>
      <c r="CS46" s="1451"/>
      <c r="CT46" s="1451"/>
      <c r="CU46" s="1451"/>
      <c r="CV46" s="1451"/>
      <c r="CW46" s="1451"/>
      <c r="CX46" s="1451"/>
      <c r="CY46" s="1451"/>
      <c r="CZ46" s="1451"/>
      <c r="DA46" s="1451"/>
      <c r="DB46" s="1451"/>
      <c r="DC46" s="1451"/>
      <c r="DD46" s="1451"/>
      <c r="DE46" s="1451"/>
      <c r="DF46" s="1451"/>
      <c r="DG46" s="1451"/>
      <c r="DH46" s="1451"/>
      <c r="DI46" s="1451"/>
      <c r="DJ46" s="1451"/>
      <c r="DK46" s="1451"/>
      <c r="DL46" s="1451"/>
      <c r="DM46" s="42"/>
      <c r="DN46" s="42"/>
      <c r="DO46" s="42"/>
      <c r="DP46" s="42"/>
      <c r="DQ46" s="42"/>
      <c r="DR46" s="42"/>
      <c r="DS46" s="42"/>
      <c r="DT46" s="42"/>
      <c r="DU46" s="42"/>
      <c r="DV46" s="42"/>
      <c r="DW46" s="42"/>
      <c r="DX46" s="42"/>
      <c r="DY46" s="45"/>
      <c r="DZ46" s="45"/>
      <c r="EA46" s="45"/>
      <c r="EB46" s="45"/>
      <c r="EC46" s="45"/>
      <c r="ED46" s="45"/>
      <c r="EE46" s="45"/>
      <c r="EF46" s="45"/>
      <c r="EG46" s="45"/>
      <c r="EH46" s="1588"/>
      <c r="EI46" s="1588"/>
      <c r="EJ46" s="1588"/>
      <c r="EK46" s="1588"/>
      <c r="EL46" s="1588"/>
      <c r="EM46" s="1588"/>
      <c r="EN46" s="1588"/>
      <c r="EO46" s="1588"/>
      <c r="EP46" s="1588"/>
      <c r="EQ46" s="1588"/>
      <c r="ER46" s="1588"/>
      <c r="ES46" s="1588"/>
      <c r="ET46" s="1588"/>
      <c r="EU46" s="1453"/>
      <c r="EV46" s="1454"/>
      <c r="EW46" s="1589"/>
      <c r="EX46" s="1612" t="s">
        <v>76</v>
      </c>
      <c r="EY46" s="1612"/>
      <c r="EZ46" s="1612"/>
      <c r="FA46" s="1612"/>
      <c r="FB46" s="36"/>
      <c r="FC46" s="1612" t="s">
        <v>77</v>
      </c>
      <c r="FD46" s="1612"/>
      <c r="FE46" s="1612"/>
      <c r="FF46" s="1612"/>
    </row>
    <row r="47" spans="91:162" ht="7.5" customHeight="1" x14ac:dyDescent="0.25">
      <c r="CM47" s="1393"/>
      <c r="CN47" s="1394"/>
      <c r="CO47" s="1394"/>
      <c r="CP47" s="1394"/>
      <c r="CQ47" s="1394"/>
      <c r="CR47" s="1394"/>
      <c r="CS47" s="1394"/>
      <c r="CT47" s="1394"/>
      <c r="CU47" s="1394"/>
      <c r="CV47" s="1394"/>
      <c r="CW47" s="1394"/>
      <c r="CX47" s="1394"/>
      <c r="CY47" s="1394"/>
      <c r="CZ47" s="1394"/>
      <c r="DA47" s="1394"/>
      <c r="DB47" s="1394"/>
      <c r="DC47" s="1394"/>
      <c r="DD47" s="1394"/>
      <c r="DE47" s="1394"/>
      <c r="DF47" s="1394"/>
      <c r="DG47" s="1394"/>
      <c r="DH47" s="1394"/>
      <c r="DI47" s="1394"/>
      <c r="DJ47" s="1394"/>
      <c r="DK47" s="1394"/>
      <c r="DL47" s="1394"/>
      <c r="DM47" s="41"/>
      <c r="DN47" s="41"/>
      <c r="DO47" s="41"/>
      <c r="DP47" s="41"/>
      <c r="DQ47" s="41"/>
      <c r="DR47" s="41"/>
      <c r="DS47" s="41"/>
      <c r="DT47" s="41"/>
      <c r="DU47" s="41"/>
      <c r="DV47" s="41"/>
      <c r="DW47" s="41"/>
      <c r="DX47" s="41"/>
      <c r="DY47" s="44"/>
      <c r="DZ47" s="44"/>
      <c r="EA47" s="44"/>
      <c r="EB47" s="44"/>
      <c r="EC47" s="44"/>
      <c r="ED47" s="44"/>
      <c r="EE47" s="44"/>
      <c r="EF47" s="44"/>
      <c r="EG47" s="44"/>
      <c r="EH47" s="1590"/>
      <c r="EI47" s="1590"/>
      <c r="EJ47" s="1590"/>
      <c r="EK47" s="1590"/>
      <c r="EL47" s="1590"/>
      <c r="EM47" s="1590"/>
      <c r="EN47" s="1590"/>
      <c r="EO47" s="1590"/>
      <c r="EP47" s="1590"/>
      <c r="EQ47" s="1590"/>
      <c r="ER47" s="1590"/>
      <c r="ES47" s="1590"/>
      <c r="ET47" s="1590"/>
      <c r="EU47" s="1456"/>
      <c r="EV47" s="1457"/>
      <c r="EW47" s="1498"/>
    </row>
    <row r="48" spans="91:162" ht="7.5" customHeight="1" x14ac:dyDescent="0.25">
      <c r="CM48" s="1393"/>
      <c r="CN48" s="1394"/>
      <c r="CO48" s="1394"/>
      <c r="CP48" s="1394"/>
      <c r="CQ48" s="1394"/>
      <c r="CR48" s="1394"/>
      <c r="CS48" s="1394"/>
      <c r="CT48" s="1394"/>
      <c r="CU48" s="1394"/>
      <c r="CV48" s="1394"/>
      <c r="CW48" s="1394"/>
      <c r="CX48" s="1394"/>
      <c r="CY48" s="1394"/>
      <c r="CZ48" s="1394"/>
      <c r="DA48" s="1394"/>
      <c r="DB48" s="1394"/>
      <c r="DC48" s="1394"/>
      <c r="DD48" s="1394"/>
      <c r="DE48" s="1394"/>
      <c r="DF48" s="1394"/>
      <c r="DG48" s="1394"/>
      <c r="DH48" s="1394"/>
      <c r="DI48" s="1394"/>
      <c r="DJ48" s="1394"/>
      <c r="DK48" s="1394"/>
      <c r="DL48" s="1394"/>
      <c r="DM48" s="41"/>
      <c r="DN48" s="41"/>
      <c r="DO48" s="41"/>
      <c r="DP48" s="41"/>
      <c r="DQ48" s="41"/>
      <c r="DR48" s="41"/>
      <c r="DS48" s="41"/>
      <c r="DT48" s="41"/>
      <c r="DU48" s="41"/>
      <c r="DV48" s="41"/>
      <c r="DW48" s="41"/>
      <c r="DX48" s="41"/>
      <c r="DY48" s="44"/>
      <c r="DZ48" s="44"/>
      <c r="EA48" s="44"/>
      <c r="EB48" s="44"/>
      <c r="EC48" s="44"/>
      <c r="ED48" s="44"/>
      <c r="EE48" s="44"/>
      <c r="EF48" s="44"/>
      <c r="EG48" s="44"/>
      <c r="EH48" s="1590"/>
      <c r="EI48" s="1590"/>
      <c r="EJ48" s="1590"/>
      <c r="EK48" s="1590"/>
      <c r="EL48" s="1590"/>
      <c r="EM48" s="1590"/>
      <c r="EN48" s="1590"/>
      <c r="EO48" s="1590"/>
      <c r="EP48" s="1590"/>
      <c r="EQ48" s="1590"/>
      <c r="ER48" s="1590"/>
      <c r="ES48" s="1590"/>
      <c r="ET48" s="1590"/>
      <c r="EU48" s="1456"/>
      <c r="EV48" s="1457"/>
      <c r="EW48" s="1498"/>
    </row>
    <row r="49" spans="91:153" ht="7.5" customHeight="1" x14ac:dyDescent="0.25">
      <c r="CM49" s="1450"/>
      <c r="CN49" s="1451"/>
      <c r="CO49" s="1451"/>
      <c r="CP49" s="1451"/>
      <c r="CQ49" s="1451"/>
      <c r="CR49" s="1451"/>
      <c r="CS49" s="1451"/>
      <c r="CT49" s="1451"/>
      <c r="CU49" s="1451"/>
      <c r="CV49" s="1451"/>
      <c r="CW49" s="1451"/>
      <c r="CX49" s="1451"/>
      <c r="CY49" s="1451"/>
      <c r="CZ49" s="1451"/>
      <c r="DA49" s="1451"/>
      <c r="DB49" s="1451"/>
      <c r="DC49" s="1451"/>
      <c r="DD49" s="1451"/>
      <c r="DE49" s="1451"/>
      <c r="DF49" s="1451"/>
      <c r="DG49" s="1451"/>
      <c r="DH49" s="1451"/>
      <c r="DI49" s="1451"/>
      <c r="DJ49" s="1451"/>
      <c r="DK49" s="1451"/>
      <c r="DL49" s="1451"/>
      <c r="DM49" s="42"/>
      <c r="DN49" s="42"/>
      <c r="DO49" s="42"/>
      <c r="DP49" s="42"/>
      <c r="DQ49" s="42"/>
      <c r="DR49" s="42"/>
      <c r="DS49" s="42"/>
      <c r="DT49" s="42"/>
      <c r="DU49" s="42"/>
      <c r="DV49" s="42"/>
      <c r="DW49" s="42"/>
      <c r="DX49" s="42"/>
      <c r="DY49" s="45"/>
      <c r="DZ49" s="45"/>
      <c r="EA49" s="45"/>
      <c r="EB49" s="45"/>
      <c r="EC49" s="45"/>
      <c r="ED49" s="45"/>
      <c r="EE49" s="45"/>
      <c r="EF49" s="45"/>
      <c r="EG49" s="45"/>
      <c r="EH49" s="1588"/>
      <c r="EI49" s="1588"/>
      <c r="EJ49" s="1588"/>
      <c r="EK49" s="1588"/>
      <c r="EL49" s="1588"/>
      <c r="EM49" s="1588"/>
      <c r="EN49" s="1588"/>
      <c r="EO49" s="1588"/>
      <c r="EP49" s="1588"/>
      <c r="EQ49" s="1588"/>
      <c r="ER49" s="1588"/>
      <c r="ES49" s="1588"/>
      <c r="ET49" s="1588"/>
      <c r="EU49" s="1453"/>
      <c r="EV49" s="1454"/>
      <c r="EW49" s="1589"/>
    </row>
    <row r="50" spans="91:153" ht="7.5" customHeight="1" x14ac:dyDescent="0.25">
      <c r="CM50" s="1450"/>
      <c r="CN50" s="1451"/>
      <c r="CO50" s="1451"/>
      <c r="CP50" s="1451"/>
      <c r="CQ50" s="1451"/>
      <c r="CR50" s="1451"/>
      <c r="CS50" s="1451"/>
      <c r="CT50" s="1451"/>
      <c r="CU50" s="1451"/>
      <c r="CV50" s="1451"/>
      <c r="CW50" s="1451"/>
      <c r="CX50" s="1451"/>
      <c r="CY50" s="1451"/>
      <c r="CZ50" s="1451"/>
      <c r="DA50" s="1451"/>
      <c r="DB50" s="1451"/>
      <c r="DC50" s="1451"/>
      <c r="DD50" s="1451"/>
      <c r="DE50" s="1451"/>
      <c r="DF50" s="1451"/>
      <c r="DG50" s="1451"/>
      <c r="DH50" s="1451"/>
      <c r="DI50" s="1451"/>
      <c r="DJ50" s="1451"/>
      <c r="DK50" s="1451"/>
      <c r="DL50" s="1451"/>
      <c r="DM50" s="42"/>
      <c r="DN50" s="42"/>
      <c r="DO50" s="42"/>
      <c r="DP50" s="42"/>
      <c r="DQ50" s="42"/>
      <c r="DR50" s="42"/>
      <c r="DS50" s="42"/>
      <c r="DT50" s="42"/>
      <c r="DU50" s="42"/>
      <c r="DV50" s="42"/>
      <c r="DW50" s="42"/>
      <c r="DX50" s="42"/>
      <c r="DY50" s="45"/>
      <c r="DZ50" s="45"/>
      <c r="EA50" s="45"/>
      <c r="EB50" s="45"/>
      <c r="EC50" s="45"/>
      <c r="ED50" s="45"/>
      <c r="EE50" s="45"/>
      <c r="EF50" s="45"/>
      <c r="EG50" s="45"/>
      <c r="EH50" s="1588"/>
      <c r="EI50" s="1588"/>
      <c r="EJ50" s="1588"/>
      <c r="EK50" s="1588"/>
      <c r="EL50" s="1588"/>
      <c r="EM50" s="1588"/>
      <c r="EN50" s="1588"/>
      <c r="EO50" s="1588"/>
      <c r="EP50" s="1588"/>
      <c r="EQ50" s="1588"/>
      <c r="ER50" s="1588"/>
      <c r="ES50" s="1588"/>
      <c r="ET50" s="1588"/>
      <c r="EU50" s="1453"/>
      <c r="EV50" s="1454"/>
      <c r="EW50" s="1589"/>
    </row>
    <row r="51" spans="91:153" ht="7.5" customHeight="1" x14ac:dyDescent="0.25">
      <c r="CM51" s="1393"/>
      <c r="CN51" s="1394"/>
      <c r="CO51" s="1394"/>
      <c r="CP51" s="1394"/>
      <c r="CQ51" s="1394"/>
      <c r="CR51" s="1394"/>
      <c r="CS51" s="1394"/>
      <c r="CT51" s="1394"/>
      <c r="CU51" s="1394"/>
      <c r="CV51" s="1394"/>
      <c r="CW51" s="1394"/>
      <c r="CX51" s="1394"/>
      <c r="CY51" s="1394"/>
      <c r="CZ51" s="1394"/>
      <c r="DA51" s="1394"/>
      <c r="DB51" s="1394"/>
      <c r="DC51" s="1394"/>
      <c r="DD51" s="1394"/>
      <c r="DE51" s="1394"/>
      <c r="DF51" s="1394"/>
      <c r="DG51" s="1394"/>
      <c r="DH51" s="1394"/>
      <c r="DI51" s="1394"/>
      <c r="DJ51" s="1394"/>
      <c r="DK51" s="1394"/>
      <c r="DL51" s="1394"/>
      <c r="DM51" s="41"/>
      <c r="DN51" s="41"/>
      <c r="DO51" s="41"/>
      <c r="DP51" s="41"/>
      <c r="DQ51" s="41"/>
      <c r="DR51" s="41"/>
      <c r="DS51" s="41"/>
      <c r="DT51" s="41"/>
      <c r="DU51" s="41"/>
      <c r="DV51" s="41"/>
      <c r="DW51" s="41"/>
      <c r="DX51" s="41"/>
      <c r="DY51" s="44"/>
      <c r="DZ51" s="44"/>
      <c r="EA51" s="44"/>
      <c r="EB51" s="44"/>
      <c r="EC51" s="44"/>
      <c r="ED51" s="44"/>
      <c r="EE51" s="44"/>
      <c r="EF51" s="44"/>
      <c r="EG51" s="44"/>
      <c r="EH51" s="1590"/>
      <c r="EI51" s="1590"/>
      <c r="EJ51" s="1590"/>
      <c r="EK51" s="1590"/>
      <c r="EL51" s="1590"/>
      <c r="EM51" s="1590"/>
      <c r="EN51" s="1590"/>
      <c r="EO51" s="1590"/>
      <c r="EP51" s="1590"/>
      <c r="EQ51" s="1590"/>
      <c r="ER51" s="1590"/>
      <c r="ES51" s="1590"/>
      <c r="ET51" s="1590"/>
      <c r="EU51" s="1456"/>
      <c r="EV51" s="1457"/>
      <c r="EW51" s="1498"/>
    </row>
    <row r="52" spans="91:153" ht="7.5" customHeight="1" x14ac:dyDescent="0.25">
      <c r="CM52" s="1393"/>
      <c r="CN52" s="1394"/>
      <c r="CO52" s="1394"/>
      <c r="CP52" s="1394"/>
      <c r="CQ52" s="1394"/>
      <c r="CR52" s="1394"/>
      <c r="CS52" s="1394"/>
      <c r="CT52" s="1394"/>
      <c r="CU52" s="1394"/>
      <c r="CV52" s="1394"/>
      <c r="CW52" s="1394"/>
      <c r="CX52" s="1394"/>
      <c r="CY52" s="1394"/>
      <c r="CZ52" s="1394"/>
      <c r="DA52" s="1394"/>
      <c r="DB52" s="1394"/>
      <c r="DC52" s="1394"/>
      <c r="DD52" s="1394"/>
      <c r="DE52" s="1394"/>
      <c r="DF52" s="1394"/>
      <c r="DG52" s="1394"/>
      <c r="DH52" s="1394"/>
      <c r="DI52" s="1394"/>
      <c r="DJ52" s="1394"/>
      <c r="DK52" s="1394"/>
      <c r="DL52" s="1394"/>
      <c r="DM52" s="41"/>
      <c r="DN52" s="41"/>
      <c r="DO52" s="41"/>
      <c r="DP52" s="41"/>
      <c r="DQ52" s="41"/>
      <c r="DR52" s="41"/>
      <c r="DS52" s="41"/>
      <c r="DT52" s="41"/>
      <c r="DU52" s="41"/>
      <c r="DV52" s="41"/>
      <c r="DW52" s="41"/>
      <c r="DX52" s="41"/>
      <c r="DY52" s="44"/>
      <c r="DZ52" s="44"/>
      <c r="EA52" s="44"/>
      <c r="EB52" s="44"/>
      <c r="EC52" s="44"/>
      <c r="ED52" s="44"/>
      <c r="EE52" s="44"/>
      <c r="EF52" s="44"/>
      <c r="EG52" s="44"/>
      <c r="EH52" s="1590"/>
      <c r="EI52" s="1590"/>
      <c r="EJ52" s="1590"/>
      <c r="EK52" s="1590"/>
      <c r="EL52" s="1590"/>
      <c r="EM52" s="1590"/>
      <c r="EN52" s="1590"/>
      <c r="EO52" s="1590"/>
      <c r="EP52" s="1590"/>
      <c r="EQ52" s="1590"/>
      <c r="ER52" s="1590"/>
      <c r="ES52" s="1590"/>
      <c r="ET52" s="1590"/>
      <c r="EU52" s="1456"/>
      <c r="EV52" s="1457"/>
      <c r="EW52" s="1498"/>
    </row>
    <row r="53" spans="91:153" ht="7.5" customHeight="1" x14ac:dyDescent="0.25">
      <c r="CM53" s="1450"/>
      <c r="CN53" s="1451"/>
      <c r="CO53" s="1451"/>
      <c r="CP53" s="1451"/>
      <c r="CQ53" s="1451"/>
      <c r="CR53" s="1451"/>
      <c r="CS53" s="1451"/>
      <c r="CT53" s="1451"/>
      <c r="CU53" s="1451"/>
      <c r="CV53" s="1451"/>
      <c r="CW53" s="1451"/>
      <c r="CX53" s="1451"/>
      <c r="CY53" s="1451"/>
      <c r="CZ53" s="1451"/>
      <c r="DA53" s="1451"/>
      <c r="DB53" s="1451"/>
      <c r="DC53" s="1451"/>
      <c r="DD53" s="1451"/>
      <c r="DE53" s="1451"/>
      <c r="DF53" s="1451"/>
      <c r="DG53" s="1451"/>
      <c r="DH53" s="1451"/>
      <c r="DI53" s="1451"/>
      <c r="DJ53" s="1451"/>
      <c r="DK53" s="1451"/>
      <c r="DL53" s="1451"/>
      <c r="DM53" s="42"/>
      <c r="DN53" s="42"/>
      <c r="DO53" s="42"/>
      <c r="DP53" s="42"/>
      <c r="DQ53" s="42"/>
      <c r="DR53" s="42"/>
      <c r="DS53" s="42"/>
      <c r="DT53" s="42"/>
      <c r="DU53" s="42"/>
      <c r="DV53" s="42"/>
      <c r="DW53" s="42"/>
      <c r="DX53" s="42"/>
      <c r="DY53" s="45"/>
      <c r="DZ53" s="45"/>
      <c r="EA53" s="45"/>
      <c r="EB53" s="45"/>
      <c r="EC53" s="45"/>
      <c r="ED53" s="45"/>
      <c r="EE53" s="45"/>
      <c r="EF53" s="45"/>
      <c r="EG53" s="45"/>
      <c r="EH53" s="1588"/>
      <c r="EI53" s="1588"/>
      <c r="EJ53" s="1588"/>
      <c r="EK53" s="1588"/>
      <c r="EL53" s="1588"/>
      <c r="EM53" s="1588"/>
      <c r="EN53" s="1588"/>
      <c r="EO53" s="1588"/>
      <c r="EP53" s="1588"/>
      <c r="EQ53" s="1588"/>
      <c r="ER53" s="1588"/>
      <c r="ES53" s="1588"/>
      <c r="ET53" s="1588"/>
      <c r="EU53" s="1453"/>
      <c r="EV53" s="1454"/>
      <c r="EW53" s="1589"/>
    </row>
    <row r="54" spans="91:153" ht="7.5" customHeight="1" x14ac:dyDescent="0.25">
      <c r="CM54" s="1450"/>
      <c r="CN54" s="1451"/>
      <c r="CO54" s="1451"/>
      <c r="CP54" s="1451"/>
      <c r="CQ54" s="1451"/>
      <c r="CR54" s="1451"/>
      <c r="CS54" s="1451"/>
      <c r="CT54" s="1451"/>
      <c r="CU54" s="1451"/>
      <c r="CV54" s="1451"/>
      <c r="CW54" s="1451"/>
      <c r="CX54" s="1451"/>
      <c r="CY54" s="1451"/>
      <c r="CZ54" s="1451"/>
      <c r="DA54" s="1451"/>
      <c r="DB54" s="1451"/>
      <c r="DC54" s="1451"/>
      <c r="DD54" s="1451"/>
      <c r="DE54" s="1451"/>
      <c r="DF54" s="1451"/>
      <c r="DG54" s="1451"/>
      <c r="DH54" s="1451"/>
      <c r="DI54" s="1451"/>
      <c r="DJ54" s="1451"/>
      <c r="DK54" s="1451"/>
      <c r="DL54" s="1451"/>
      <c r="DM54" s="42"/>
      <c r="DN54" s="42"/>
      <c r="DO54" s="42"/>
      <c r="DP54" s="42"/>
      <c r="DQ54" s="42"/>
      <c r="DR54" s="42"/>
      <c r="DS54" s="42"/>
      <c r="DT54" s="42"/>
      <c r="DU54" s="42"/>
      <c r="DV54" s="42"/>
      <c r="DW54" s="42"/>
      <c r="DX54" s="42"/>
      <c r="DY54" s="45"/>
      <c r="DZ54" s="45"/>
      <c r="EA54" s="45"/>
      <c r="EB54" s="45"/>
      <c r="EC54" s="45"/>
      <c r="ED54" s="45"/>
      <c r="EE54" s="45"/>
      <c r="EF54" s="45"/>
      <c r="EG54" s="45"/>
      <c r="EH54" s="1588"/>
      <c r="EI54" s="1588"/>
      <c r="EJ54" s="1588"/>
      <c r="EK54" s="1588"/>
      <c r="EL54" s="1588"/>
      <c r="EM54" s="1588"/>
      <c r="EN54" s="1588"/>
      <c r="EO54" s="1588"/>
      <c r="EP54" s="1588"/>
      <c r="EQ54" s="1588"/>
      <c r="ER54" s="1588"/>
      <c r="ES54" s="1588"/>
      <c r="ET54" s="1588"/>
      <c r="EU54" s="1453"/>
      <c r="EV54" s="1454"/>
      <c r="EW54" s="1589"/>
    </row>
    <row r="55" spans="91:153" ht="7.5" customHeight="1" x14ac:dyDescent="0.25">
      <c r="CM55" s="1393"/>
      <c r="CN55" s="1394"/>
      <c r="CO55" s="1394"/>
      <c r="CP55" s="1394"/>
      <c r="CQ55" s="1394"/>
      <c r="CR55" s="1394"/>
      <c r="CS55" s="1394"/>
      <c r="CT55" s="1394"/>
      <c r="CU55" s="1394"/>
      <c r="CV55" s="1394"/>
      <c r="CW55" s="1394"/>
      <c r="CX55" s="1394"/>
      <c r="CY55" s="1394"/>
      <c r="CZ55" s="1394"/>
      <c r="DA55" s="1394"/>
      <c r="DB55" s="1394"/>
      <c r="DC55" s="1394"/>
      <c r="DD55" s="1394"/>
      <c r="DE55" s="1394"/>
      <c r="DF55" s="1394"/>
      <c r="DG55" s="1394"/>
      <c r="DH55" s="1394"/>
      <c r="DI55" s="1394"/>
      <c r="DJ55" s="1394"/>
      <c r="DK55" s="1394"/>
      <c r="DL55" s="1394"/>
      <c r="DM55" s="41"/>
      <c r="DN55" s="41"/>
      <c r="DO55" s="41"/>
      <c r="DP55" s="41"/>
      <c r="DQ55" s="41"/>
      <c r="DR55" s="41"/>
      <c r="DS55" s="41"/>
      <c r="DT55" s="41"/>
      <c r="DU55" s="41"/>
      <c r="DV55" s="41"/>
      <c r="DW55" s="41"/>
      <c r="DX55" s="41"/>
      <c r="DY55" s="44"/>
      <c r="DZ55" s="44"/>
      <c r="EA55" s="44"/>
      <c r="EB55" s="44"/>
      <c r="EC55" s="44"/>
      <c r="ED55" s="44"/>
      <c r="EE55" s="44"/>
      <c r="EF55" s="44"/>
      <c r="EG55" s="44"/>
      <c r="EH55" s="1590"/>
      <c r="EI55" s="1590"/>
      <c r="EJ55" s="1590"/>
      <c r="EK55" s="1590"/>
      <c r="EL55" s="1590"/>
      <c r="EM55" s="1590"/>
      <c r="EN55" s="1590"/>
      <c r="EO55" s="1590"/>
      <c r="EP55" s="1590"/>
      <c r="EQ55" s="1590"/>
      <c r="ER55" s="1590"/>
      <c r="ES55" s="1590"/>
      <c r="ET55" s="1590"/>
      <c r="EU55" s="1456"/>
      <c r="EV55" s="1457"/>
      <c r="EW55" s="1498"/>
    </row>
    <row r="56" spans="91:153" ht="7.5" customHeight="1" x14ac:dyDescent="0.25">
      <c r="CM56" s="1393"/>
      <c r="CN56" s="1394"/>
      <c r="CO56" s="1394"/>
      <c r="CP56" s="1394"/>
      <c r="CQ56" s="1394"/>
      <c r="CR56" s="1394"/>
      <c r="CS56" s="1394"/>
      <c r="CT56" s="1394"/>
      <c r="CU56" s="1394"/>
      <c r="CV56" s="1394"/>
      <c r="CW56" s="1394"/>
      <c r="CX56" s="1394"/>
      <c r="CY56" s="1394"/>
      <c r="CZ56" s="1394"/>
      <c r="DA56" s="1394"/>
      <c r="DB56" s="1394"/>
      <c r="DC56" s="1394"/>
      <c r="DD56" s="1394"/>
      <c r="DE56" s="1394"/>
      <c r="DF56" s="1394"/>
      <c r="DG56" s="1394"/>
      <c r="DH56" s="1394"/>
      <c r="DI56" s="1394"/>
      <c r="DJ56" s="1394"/>
      <c r="DK56" s="1394"/>
      <c r="DL56" s="1394"/>
      <c r="DM56" s="41"/>
      <c r="DN56" s="41"/>
      <c r="DO56" s="41"/>
      <c r="DP56" s="41"/>
      <c r="DQ56" s="41"/>
      <c r="DR56" s="41"/>
      <c r="DS56" s="41"/>
      <c r="DT56" s="41"/>
      <c r="DU56" s="41"/>
      <c r="DV56" s="41"/>
      <c r="DW56" s="41"/>
      <c r="DX56" s="41"/>
      <c r="DY56" s="44"/>
      <c r="DZ56" s="44"/>
      <c r="EA56" s="44"/>
      <c r="EB56" s="44"/>
      <c r="EC56" s="44"/>
      <c r="ED56" s="44"/>
      <c r="EE56" s="44"/>
      <c r="EF56" s="44"/>
      <c r="EG56" s="44"/>
      <c r="EH56" s="1590"/>
      <c r="EI56" s="1590"/>
      <c r="EJ56" s="1590"/>
      <c r="EK56" s="1590"/>
      <c r="EL56" s="1590"/>
      <c r="EM56" s="1590"/>
      <c r="EN56" s="1590"/>
      <c r="EO56" s="1590"/>
      <c r="EP56" s="1590"/>
      <c r="EQ56" s="1590"/>
      <c r="ER56" s="1590"/>
      <c r="ES56" s="1590"/>
      <c r="ET56" s="1590"/>
      <c r="EU56" s="1456"/>
      <c r="EV56" s="1457"/>
      <c r="EW56" s="1498"/>
    </row>
    <row r="57" spans="91:153" ht="7.5" customHeight="1" x14ac:dyDescent="0.25">
      <c r="CM57" s="1450"/>
      <c r="CN57" s="1451"/>
      <c r="CO57" s="1451"/>
      <c r="CP57" s="1451"/>
      <c r="CQ57" s="1451"/>
      <c r="CR57" s="1451"/>
      <c r="CS57" s="1451"/>
      <c r="CT57" s="1451"/>
      <c r="CU57" s="1451"/>
      <c r="CV57" s="1451"/>
      <c r="CW57" s="1451"/>
      <c r="CX57" s="1451"/>
      <c r="CY57" s="1451"/>
      <c r="CZ57" s="1451"/>
      <c r="DA57" s="1451"/>
      <c r="DB57" s="1451"/>
      <c r="DC57" s="1451"/>
      <c r="DD57" s="1451"/>
      <c r="DE57" s="1451"/>
      <c r="DF57" s="1451"/>
      <c r="DG57" s="1451"/>
      <c r="DH57" s="1451"/>
      <c r="DI57" s="1451"/>
      <c r="DJ57" s="1451"/>
      <c r="DK57" s="1451"/>
      <c r="DL57" s="1451"/>
      <c r="DM57" s="42"/>
      <c r="DN57" s="42"/>
      <c r="DO57" s="42"/>
      <c r="DP57" s="42"/>
      <c r="DQ57" s="42"/>
      <c r="DR57" s="42"/>
      <c r="DS57" s="42"/>
      <c r="DT57" s="42"/>
      <c r="DU57" s="42"/>
      <c r="DV57" s="42"/>
      <c r="DW57" s="42"/>
      <c r="DX57" s="42"/>
      <c r="DY57" s="45"/>
      <c r="DZ57" s="45"/>
      <c r="EA57" s="45"/>
      <c r="EB57" s="45"/>
      <c r="EC57" s="45"/>
      <c r="ED57" s="45"/>
      <c r="EE57" s="45"/>
      <c r="EF57" s="45"/>
      <c r="EG57" s="45"/>
      <c r="EH57" s="1588"/>
      <c r="EI57" s="1588"/>
      <c r="EJ57" s="1588"/>
      <c r="EK57" s="1588"/>
      <c r="EL57" s="1588"/>
      <c r="EM57" s="1588"/>
      <c r="EN57" s="1588"/>
      <c r="EO57" s="1588"/>
      <c r="EP57" s="1588"/>
      <c r="EQ57" s="1588"/>
      <c r="ER57" s="1588"/>
      <c r="ES57" s="1588"/>
      <c r="ET57" s="1588"/>
      <c r="EU57" s="1453"/>
      <c r="EV57" s="1454"/>
      <c r="EW57" s="1589"/>
    </row>
    <row r="58" spans="91:153" ht="7.5" customHeight="1" x14ac:dyDescent="0.25">
      <c r="CM58" s="1450"/>
      <c r="CN58" s="1451"/>
      <c r="CO58" s="1451"/>
      <c r="CP58" s="1451"/>
      <c r="CQ58" s="1451"/>
      <c r="CR58" s="1451"/>
      <c r="CS58" s="1451"/>
      <c r="CT58" s="1451"/>
      <c r="CU58" s="1451"/>
      <c r="CV58" s="1451"/>
      <c r="CW58" s="1451"/>
      <c r="CX58" s="1451"/>
      <c r="CY58" s="1451"/>
      <c r="CZ58" s="1451"/>
      <c r="DA58" s="1451"/>
      <c r="DB58" s="1451"/>
      <c r="DC58" s="1451"/>
      <c r="DD58" s="1451"/>
      <c r="DE58" s="1451"/>
      <c r="DF58" s="1451"/>
      <c r="DG58" s="1451"/>
      <c r="DH58" s="1451"/>
      <c r="DI58" s="1451"/>
      <c r="DJ58" s="1451"/>
      <c r="DK58" s="1451"/>
      <c r="DL58" s="1451"/>
      <c r="DM58" s="42"/>
      <c r="DN58" s="42"/>
      <c r="DO58" s="42"/>
      <c r="DP58" s="42"/>
      <c r="DQ58" s="42"/>
      <c r="DR58" s="42"/>
      <c r="DS58" s="42"/>
      <c r="DT58" s="42"/>
      <c r="DU58" s="42"/>
      <c r="DV58" s="42"/>
      <c r="DW58" s="42"/>
      <c r="DX58" s="42"/>
      <c r="DY58" s="45"/>
      <c r="DZ58" s="45"/>
      <c r="EA58" s="45"/>
      <c r="EB58" s="45"/>
      <c r="EC58" s="45"/>
      <c r="ED58" s="45"/>
      <c r="EE58" s="45"/>
      <c r="EF58" s="45"/>
      <c r="EG58" s="45"/>
      <c r="EH58" s="1588"/>
      <c r="EI58" s="1588"/>
      <c r="EJ58" s="1588"/>
      <c r="EK58" s="1588"/>
      <c r="EL58" s="1588"/>
      <c r="EM58" s="1588"/>
      <c r="EN58" s="1588"/>
      <c r="EO58" s="1588"/>
      <c r="EP58" s="1588"/>
      <c r="EQ58" s="1588"/>
      <c r="ER58" s="1588"/>
      <c r="ES58" s="1588"/>
      <c r="ET58" s="1588"/>
      <c r="EU58" s="1453"/>
      <c r="EV58" s="1454"/>
      <c r="EW58" s="1589"/>
    </row>
    <row r="59" spans="91:153" ht="7.5" customHeight="1" x14ac:dyDescent="0.25">
      <c r="CM59" s="1393"/>
      <c r="CN59" s="1394"/>
      <c r="CO59" s="1394"/>
      <c r="CP59" s="1394"/>
      <c r="CQ59" s="1394"/>
      <c r="CR59" s="1394"/>
      <c r="CS59" s="1394"/>
      <c r="CT59" s="1394"/>
      <c r="CU59" s="1394"/>
      <c r="CV59" s="1394"/>
      <c r="CW59" s="1394"/>
      <c r="CX59" s="1394"/>
      <c r="CY59" s="1394"/>
      <c r="CZ59" s="1394"/>
      <c r="DA59" s="1394"/>
      <c r="DB59" s="1394"/>
      <c r="DC59" s="1394"/>
      <c r="DD59" s="1394"/>
      <c r="DE59" s="1394"/>
      <c r="DF59" s="1394"/>
      <c r="DG59" s="1394"/>
      <c r="DH59" s="1394"/>
      <c r="DI59" s="1394"/>
      <c r="DJ59" s="1394"/>
      <c r="DK59" s="1394"/>
      <c r="DL59" s="1394"/>
      <c r="DM59" s="41"/>
      <c r="DN59" s="41"/>
      <c r="DO59" s="41"/>
      <c r="DP59" s="41"/>
      <c r="DQ59" s="41"/>
      <c r="DR59" s="41"/>
      <c r="DS59" s="41"/>
      <c r="DT59" s="41"/>
      <c r="DU59" s="41"/>
      <c r="DV59" s="41"/>
      <c r="DW59" s="41"/>
      <c r="DX59" s="41"/>
      <c r="DY59" s="44"/>
      <c r="DZ59" s="44"/>
      <c r="EA59" s="44"/>
      <c r="EB59" s="44"/>
      <c r="EC59" s="44"/>
      <c r="ED59" s="44"/>
      <c r="EE59" s="44"/>
      <c r="EF59" s="44"/>
      <c r="EG59" s="44"/>
      <c r="EH59" s="1590"/>
      <c r="EI59" s="1590"/>
      <c r="EJ59" s="1590"/>
      <c r="EK59" s="1590"/>
      <c r="EL59" s="1590"/>
      <c r="EM59" s="1590"/>
      <c r="EN59" s="1590"/>
      <c r="EO59" s="1590"/>
      <c r="EP59" s="1590"/>
      <c r="EQ59" s="1590"/>
      <c r="ER59" s="1590"/>
      <c r="ES59" s="1590"/>
      <c r="ET59" s="1590"/>
      <c r="EU59" s="1456"/>
      <c r="EV59" s="1457"/>
      <c r="EW59" s="1498"/>
    </row>
    <row r="60" spans="91:153" ht="7.5" customHeight="1" x14ac:dyDescent="0.25">
      <c r="CM60" s="1393"/>
      <c r="CN60" s="1394"/>
      <c r="CO60" s="1394"/>
      <c r="CP60" s="1394"/>
      <c r="CQ60" s="1394"/>
      <c r="CR60" s="1394"/>
      <c r="CS60" s="1394"/>
      <c r="CT60" s="1394"/>
      <c r="CU60" s="1394"/>
      <c r="CV60" s="1394"/>
      <c r="CW60" s="1394"/>
      <c r="CX60" s="1394"/>
      <c r="CY60" s="1394"/>
      <c r="CZ60" s="1394"/>
      <c r="DA60" s="1394"/>
      <c r="DB60" s="1394"/>
      <c r="DC60" s="1394"/>
      <c r="DD60" s="1394"/>
      <c r="DE60" s="1394"/>
      <c r="DF60" s="1394"/>
      <c r="DG60" s="1394"/>
      <c r="DH60" s="1394"/>
      <c r="DI60" s="1394"/>
      <c r="DJ60" s="1394"/>
      <c r="DK60" s="1394"/>
      <c r="DL60" s="1394"/>
      <c r="DM60" s="41"/>
      <c r="DN60" s="41"/>
      <c r="DO60" s="41"/>
      <c r="DP60" s="41"/>
      <c r="DQ60" s="41"/>
      <c r="DR60" s="41"/>
      <c r="DS60" s="41"/>
      <c r="DT60" s="41"/>
      <c r="DU60" s="41"/>
      <c r="DV60" s="41"/>
      <c r="DW60" s="41"/>
      <c r="DX60" s="41"/>
      <c r="DY60" s="44"/>
      <c r="DZ60" s="44"/>
      <c r="EA60" s="44"/>
      <c r="EB60" s="44"/>
      <c r="EC60" s="44"/>
      <c r="ED60" s="44"/>
      <c r="EE60" s="44"/>
      <c r="EF60" s="44"/>
      <c r="EG60" s="44"/>
      <c r="EH60" s="1590"/>
      <c r="EI60" s="1590"/>
      <c r="EJ60" s="1590"/>
      <c r="EK60" s="1590"/>
      <c r="EL60" s="1590"/>
      <c r="EM60" s="1590"/>
      <c r="EN60" s="1590"/>
      <c r="EO60" s="1590"/>
      <c r="EP60" s="1590"/>
      <c r="EQ60" s="1590"/>
      <c r="ER60" s="1590"/>
      <c r="ES60" s="1590"/>
      <c r="ET60" s="1590"/>
      <c r="EU60" s="1456"/>
      <c r="EV60" s="1457"/>
      <c r="EW60" s="1498"/>
    </row>
    <row r="61" spans="91:153" ht="7.5" customHeight="1" x14ac:dyDescent="0.25">
      <c r="CM61" s="1450"/>
      <c r="CN61" s="1451"/>
      <c r="CO61" s="1451"/>
      <c r="CP61" s="1451"/>
      <c r="CQ61" s="1451"/>
      <c r="CR61" s="1451"/>
      <c r="CS61" s="1451"/>
      <c r="CT61" s="1451"/>
      <c r="CU61" s="1451"/>
      <c r="CV61" s="1451"/>
      <c r="CW61" s="1451"/>
      <c r="CX61" s="1451"/>
      <c r="CY61" s="1451"/>
      <c r="CZ61" s="1451"/>
      <c r="DA61" s="1451"/>
      <c r="DB61" s="1451"/>
      <c r="DC61" s="1451"/>
      <c r="DD61" s="1451"/>
      <c r="DE61" s="1451"/>
      <c r="DF61" s="1451"/>
      <c r="DG61" s="1451"/>
      <c r="DH61" s="1451"/>
      <c r="DI61" s="1451"/>
      <c r="DJ61" s="1451"/>
      <c r="DK61" s="1451"/>
      <c r="DL61" s="1451"/>
      <c r="DM61" s="42"/>
      <c r="DN61" s="42"/>
      <c r="DO61" s="42"/>
      <c r="DP61" s="42"/>
      <c r="DQ61" s="42"/>
      <c r="DR61" s="42"/>
      <c r="DS61" s="42"/>
      <c r="DT61" s="42"/>
      <c r="DU61" s="42"/>
      <c r="DV61" s="42"/>
      <c r="DW61" s="42"/>
      <c r="DX61" s="42"/>
      <c r="DY61" s="45"/>
      <c r="DZ61" s="45"/>
      <c r="EA61" s="45"/>
      <c r="EB61" s="45"/>
      <c r="EC61" s="45"/>
      <c r="ED61" s="45"/>
      <c r="EE61" s="45"/>
      <c r="EF61" s="45"/>
      <c r="EG61" s="45"/>
      <c r="EH61" s="1588"/>
      <c r="EI61" s="1588"/>
      <c r="EJ61" s="1588"/>
      <c r="EK61" s="1588"/>
      <c r="EL61" s="1588"/>
      <c r="EM61" s="1588"/>
      <c r="EN61" s="1588"/>
      <c r="EO61" s="1588"/>
      <c r="EP61" s="1588"/>
      <c r="EQ61" s="1588"/>
      <c r="ER61" s="1588"/>
      <c r="ES61" s="1588"/>
      <c r="ET61" s="1588"/>
      <c r="EU61" s="1453"/>
      <c r="EV61" s="1454"/>
      <c r="EW61" s="1589"/>
    </row>
    <row r="62" spans="91:153" ht="7.5" customHeight="1" x14ac:dyDescent="0.25">
      <c r="CM62" s="1450"/>
      <c r="CN62" s="1451"/>
      <c r="CO62" s="1451"/>
      <c r="CP62" s="1451"/>
      <c r="CQ62" s="1451"/>
      <c r="CR62" s="1451"/>
      <c r="CS62" s="1451"/>
      <c r="CT62" s="1451"/>
      <c r="CU62" s="1451"/>
      <c r="CV62" s="1451"/>
      <c r="CW62" s="1451"/>
      <c r="CX62" s="1451"/>
      <c r="CY62" s="1451"/>
      <c r="CZ62" s="1451"/>
      <c r="DA62" s="1451"/>
      <c r="DB62" s="1451"/>
      <c r="DC62" s="1451"/>
      <c r="DD62" s="1451"/>
      <c r="DE62" s="1451"/>
      <c r="DF62" s="1451"/>
      <c r="DG62" s="1451"/>
      <c r="DH62" s="1451"/>
      <c r="DI62" s="1451"/>
      <c r="DJ62" s="1451"/>
      <c r="DK62" s="1451"/>
      <c r="DL62" s="1451"/>
      <c r="DM62" s="42"/>
      <c r="DN62" s="42"/>
      <c r="DO62" s="42"/>
      <c r="DP62" s="42"/>
      <c r="DQ62" s="42"/>
      <c r="DR62" s="42"/>
      <c r="DS62" s="42"/>
      <c r="DT62" s="42"/>
      <c r="DU62" s="42"/>
      <c r="DV62" s="42"/>
      <c r="DW62" s="42"/>
      <c r="DX62" s="42"/>
      <c r="DY62" s="45"/>
      <c r="DZ62" s="45"/>
      <c r="EA62" s="45"/>
      <c r="EB62" s="45"/>
      <c r="EC62" s="45"/>
      <c r="ED62" s="45"/>
      <c r="EE62" s="45"/>
      <c r="EF62" s="45"/>
      <c r="EG62" s="45"/>
      <c r="EH62" s="1588"/>
      <c r="EI62" s="1588"/>
      <c r="EJ62" s="1588"/>
      <c r="EK62" s="1588"/>
      <c r="EL62" s="1588"/>
      <c r="EM62" s="1588"/>
      <c r="EN62" s="1588"/>
      <c r="EO62" s="1588"/>
      <c r="EP62" s="1588"/>
      <c r="EQ62" s="1588"/>
      <c r="ER62" s="1588"/>
      <c r="ES62" s="1588"/>
      <c r="ET62" s="1588"/>
      <c r="EU62" s="1453"/>
      <c r="EV62" s="1454"/>
      <c r="EW62" s="1589"/>
    </row>
    <row r="63" spans="91:153" ht="7.5" customHeight="1" x14ac:dyDescent="0.25">
      <c r="CM63" s="1393"/>
      <c r="CN63" s="1394"/>
      <c r="CO63" s="1394"/>
      <c r="CP63" s="1394"/>
      <c r="CQ63" s="1394"/>
      <c r="CR63" s="1394"/>
      <c r="CS63" s="1394"/>
      <c r="CT63" s="1394"/>
      <c r="CU63" s="1394"/>
      <c r="CV63" s="1394"/>
      <c r="CW63" s="1394"/>
      <c r="CX63" s="1394"/>
      <c r="CY63" s="1394"/>
      <c r="CZ63" s="1394"/>
      <c r="DA63" s="1394"/>
      <c r="DB63" s="1394"/>
      <c r="DC63" s="1394"/>
      <c r="DD63" s="1394"/>
      <c r="DE63" s="1394"/>
      <c r="DF63" s="1394"/>
      <c r="DG63" s="1394"/>
      <c r="DH63" s="1394"/>
      <c r="DI63" s="1394"/>
      <c r="DJ63" s="1394"/>
      <c r="DK63" s="1394"/>
      <c r="DL63" s="1394"/>
      <c r="DM63" s="41"/>
      <c r="DN63" s="41"/>
      <c r="DO63" s="41"/>
      <c r="DP63" s="41"/>
      <c r="DQ63" s="41"/>
      <c r="DR63" s="41"/>
      <c r="DS63" s="41"/>
      <c r="DT63" s="41"/>
      <c r="DU63" s="41"/>
      <c r="DV63" s="41"/>
      <c r="DW63" s="41"/>
      <c r="DX63" s="41"/>
      <c r="DY63" s="44"/>
      <c r="DZ63" s="44"/>
      <c r="EA63" s="44"/>
      <c r="EB63" s="44"/>
      <c r="EC63" s="44"/>
      <c r="ED63" s="44"/>
      <c r="EE63" s="44"/>
      <c r="EF63" s="44"/>
      <c r="EG63" s="44"/>
      <c r="EH63" s="1590"/>
      <c r="EI63" s="1590"/>
      <c r="EJ63" s="1590"/>
      <c r="EK63" s="1590"/>
      <c r="EL63" s="1590"/>
      <c r="EM63" s="1590"/>
      <c r="EN63" s="1590"/>
      <c r="EO63" s="1590"/>
      <c r="EP63" s="1590"/>
      <c r="EQ63" s="1590"/>
      <c r="ER63" s="1590"/>
      <c r="ES63" s="1590"/>
      <c r="ET63" s="1590"/>
      <c r="EU63" s="1456"/>
      <c r="EV63" s="1457"/>
      <c r="EW63" s="1498"/>
    </row>
    <row r="64" spans="91:153" ht="7.5" customHeight="1" x14ac:dyDescent="0.25">
      <c r="CM64" s="1393"/>
      <c r="CN64" s="1394"/>
      <c r="CO64" s="1394"/>
      <c r="CP64" s="1394"/>
      <c r="CQ64" s="1394"/>
      <c r="CR64" s="1394"/>
      <c r="CS64" s="1394"/>
      <c r="CT64" s="1394"/>
      <c r="CU64" s="1394"/>
      <c r="CV64" s="1394"/>
      <c r="CW64" s="1394"/>
      <c r="CX64" s="1394"/>
      <c r="CY64" s="1394"/>
      <c r="CZ64" s="1394"/>
      <c r="DA64" s="1394"/>
      <c r="DB64" s="1394"/>
      <c r="DC64" s="1394"/>
      <c r="DD64" s="1394"/>
      <c r="DE64" s="1394"/>
      <c r="DF64" s="1394"/>
      <c r="DG64" s="1394"/>
      <c r="DH64" s="1394"/>
      <c r="DI64" s="1394"/>
      <c r="DJ64" s="1394"/>
      <c r="DK64" s="1394"/>
      <c r="DL64" s="1394"/>
      <c r="DM64" s="41"/>
      <c r="DN64" s="41"/>
      <c r="DO64" s="41"/>
      <c r="DP64" s="41"/>
      <c r="DQ64" s="41"/>
      <c r="DR64" s="41"/>
      <c r="DS64" s="41"/>
      <c r="DT64" s="41"/>
      <c r="DU64" s="41"/>
      <c r="DV64" s="41"/>
      <c r="DW64" s="41"/>
      <c r="DX64" s="41"/>
      <c r="DY64" s="44"/>
      <c r="DZ64" s="44"/>
      <c r="EA64" s="44"/>
      <c r="EB64" s="44"/>
      <c r="EC64" s="44"/>
      <c r="ED64" s="44"/>
      <c r="EE64" s="44"/>
      <c r="EF64" s="44"/>
      <c r="EG64" s="44"/>
      <c r="EH64" s="1590"/>
      <c r="EI64" s="1590"/>
      <c r="EJ64" s="1590"/>
      <c r="EK64" s="1590"/>
      <c r="EL64" s="1590"/>
      <c r="EM64" s="1590"/>
      <c r="EN64" s="1590"/>
      <c r="EO64" s="1590"/>
      <c r="EP64" s="1590"/>
      <c r="EQ64" s="1590"/>
      <c r="ER64" s="1590"/>
      <c r="ES64" s="1590"/>
      <c r="ET64" s="1590"/>
      <c r="EU64" s="1456"/>
      <c r="EV64" s="1457"/>
      <c r="EW64" s="1498"/>
    </row>
    <row r="65" spans="91:170" ht="7.5" customHeight="1" x14ac:dyDescent="0.25">
      <c r="CM65" s="1450"/>
      <c r="CN65" s="1451"/>
      <c r="CO65" s="1451"/>
      <c r="CP65" s="1451"/>
      <c r="CQ65" s="1451"/>
      <c r="CR65" s="1451"/>
      <c r="CS65" s="1451"/>
      <c r="CT65" s="1451"/>
      <c r="CU65" s="1451"/>
      <c r="CV65" s="1451"/>
      <c r="CW65" s="1451"/>
      <c r="CX65" s="1451"/>
      <c r="CY65" s="1451"/>
      <c r="CZ65" s="1451"/>
      <c r="DA65" s="1451"/>
      <c r="DB65" s="1451"/>
      <c r="DC65" s="1451"/>
      <c r="DD65" s="1451"/>
      <c r="DE65" s="1451"/>
      <c r="DF65" s="1451"/>
      <c r="DG65" s="1451"/>
      <c r="DH65" s="1451"/>
      <c r="DI65" s="1451"/>
      <c r="DJ65" s="1451"/>
      <c r="DK65" s="1451"/>
      <c r="DL65" s="1451"/>
      <c r="DM65" s="42"/>
      <c r="DN65" s="42"/>
      <c r="DO65" s="42"/>
      <c r="DP65" s="42"/>
      <c r="DQ65" s="42"/>
      <c r="DR65" s="42"/>
      <c r="DS65" s="42"/>
      <c r="DT65" s="42"/>
      <c r="DU65" s="42"/>
      <c r="DV65" s="42"/>
      <c r="DW65" s="42"/>
      <c r="DX65" s="42"/>
      <c r="DY65" s="45"/>
      <c r="DZ65" s="45"/>
      <c r="EA65" s="45"/>
      <c r="EB65" s="45"/>
      <c r="EC65" s="45"/>
      <c r="ED65" s="45"/>
      <c r="EE65" s="45"/>
      <c r="EF65" s="45"/>
      <c r="EG65" s="45"/>
      <c r="EH65" s="1588"/>
      <c r="EI65" s="1588"/>
      <c r="EJ65" s="1588"/>
      <c r="EK65" s="1588"/>
      <c r="EL65" s="1588"/>
      <c r="EM65" s="1588"/>
      <c r="EN65" s="1588"/>
      <c r="EO65" s="1588"/>
      <c r="EP65" s="1588"/>
      <c r="EQ65" s="1588"/>
      <c r="ER65" s="1588"/>
      <c r="ES65" s="1588"/>
      <c r="ET65" s="1588"/>
      <c r="EU65" s="1453"/>
      <c r="EV65" s="1454"/>
      <c r="EW65" s="1589"/>
    </row>
    <row r="66" spans="91:170" ht="7.5" customHeight="1" x14ac:dyDescent="0.25">
      <c r="CM66" s="1450"/>
      <c r="CN66" s="1451"/>
      <c r="CO66" s="1451"/>
      <c r="CP66" s="1451"/>
      <c r="CQ66" s="1451"/>
      <c r="CR66" s="1451"/>
      <c r="CS66" s="1451"/>
      <c r="CT66" s="1451"/>
      <c r="CU66" s="1451"/>
      <c r="CV66" s="1451"/>
      <c r="CW66" s="1451"/>
      <c r="CX66" s="1451"/>
      <c r="CY66" s="1451"/>
      <c r="CZ66" s="1451"/>
      <c r="DA66" s="1451"/>
      <c r="DB66" s="1451"/>
      <c r="DC66" s="1451"/>
      <c r="DD66" s="1451"/>
      <c r="DE66" s="1451"/>
      <c r="DF66" s="1451"/>
      <c r="DG66" s="1451"/>
      <c r="DH66" s="1451"/>
      <c r="DI66" s="1451"/>
      <c r="DJ66" s="1451"/>
      <c r="DK66" s="1451"/>
      <c r="DL66" s="1451"/>
      <c r="DM66" s="42"/>
      <c r="DN66" s="42"/>
      <c r="DO66" s="42"/>
      <c r="DP66" s="42"/>
      <c r="DQ66" s="42"/>
      <c r="DR66" s="42"/>
      <c r="DS66" s="42"/>
      <c r="DT66" s="42"/>
      <c r="DU66" s="42"/>
      <c r="DV66" s="42"/>
      <c r="DW66" s="42"/>
      <c r="DX66" s="42"/>
      <c r="DY66" s="45"/>
      <c r="DZ66" s="45"/>
      <c r="EA66" s="45"/>
      <c r="EB66" s="45"/>
      <c r="EC66" s="45"/>
      <c r="ED66" s="45"/>
      <c r="EE66" s="45"/>
      <c r="EF66" s="45"/>
      <c r="EG66" s="45"/>
      <c r="EH66" s="1588"/>
      <c r="EI66" s="1588"/>
      <c r="EJ66" s="1588"/>
      <c r="EK66" s="1588"/>
      <c r="EL66" s="1588"/>
      <c r="EM66" s="1588"/>
      <c r="EN66" s="1588"/>
      <c r="EO66" s="1588"/>
      <c r="EP66" s="1588"/>
      <c r="EQ66" s="1588"/>
      <c r="ER66" s="1588"/>
      <c r="ES66" s="1588"/>
      <c r="ET66" s="1588"/>
      <c r="EU66" s="1453"/>
      <c r="EV66" s="1454"/>
      <c r="EW66" s="1589"/>
    </row>
    <row r="67" spans="91:170" ht="7.5" customHeight="1" x14ac:dyDescent="0.25">
      <c r="CM67" s="1393"/>
      <c r="CN67" s="1394"/>
      <c r="CO67" s="1394"/>
      <c r="CP67" s="1394"/>
      <c r="CQ67" s="1394"/>
      <c r="CR67" s="1394"/>
      <c r="CS67" s="1394"/>
      <c r="CT67" s="1394"/>
      <c r="CU67" s="1394"/>
      <c r="CV67" s="1394"/>
      <c r="CW67" s="1394"/>
      <c r="CX67" s="1394"/>
      <c r="CY67" s="1394"/>
      <c r="CZ67" s="1394"/>
      <c r="DA67" s="1394"/>
      <c r="DB67" s="1394"/>
      <c r="DC67" s="1394"/>
      <c r="DD67" s="1394"/>
      <c r="DE67" s="1394"/>
      <c r="DF67" s="1394"/>
      <c r="DG67" s="1394"/>
      <c r="DH67" s="1394"/>
      <c r="DI67" s="1394"/>
      <c r="DJ67" s="1394"/>
      <c r="DK67" s="1394"/>
      <c r="DL67" s="1394"/>
      <c r="DM67" s="41"/>
      <c r="DN67" s="41"/>
      <c r="DO67" s="41"/>
      <c r="DP67" s="41"/>
      <c r="DQ67" s="41"/>
      <c r="DR67" s="41"/>
      <c r="DS67" s="41"/>
      <c r="DT67" s="41"/>
      <c r="DU67" s="41"/>
      <c r="DV67" s="41"/>
      <c r="DW67" s="41"/>
      <c r="DX67" s="41"/>
      <c r="DY67" s="44"/>
      <c r="DZ67" s="44"/>
      <c r="EA67" s="44"/>
      <c r="EB67" s="44"/>
      <c r="EC67" s="44"/>
      <c r="ED67" s="44"/>
      <c r="EE67" s="44"/>
      <c r="EF67" s="44"/>
      <c r="EG67" s="44"/>
      <c r="EH67" s="1590"/>
      <c r="EI67" s="1590"/>
      <c r="EJ67" s="1590"/>
      <c r="EK67" s="1590"/>
      <c r="EL67" s="1590"/>
      <c r="EM67" s="1590"/>
      <c r="EN67" s="1590"/>
      <c r="EO67" s="1590"/>
      <c r="EP67" s="1590"/>
      <c r="EQ67" s="1590"/>
      <c r="ER67" s="1590"/>
      <c r="ES67" s="1590"/>
      <c r="ET67" s="1590"/>
      <c r="EU67" s="1456"/>
      <c r="EV67" s="1457"/>
      <c r="EW67" s="1498"/>
    </row>
    <row r="68" spans="91:170" ht="7.5" customHeight="1" x14ac:dyDescent="0.25">
      <c r="CM68" s="1393"/>
      <c r="CN68" s="1394"/>
      <c r="CO68" s="1394"/>
      <c r="CP68" s="1394"/>
      <c r="CQ68" s="1394"/>
      <c r="CR68" s="1394"/>
      <c r="CS68" s="1394"/>
      <c r="CT68" s="1394"/>
      <c r="CU68" s="1394"/>
      <c r="CV68" s="1394"/>
      <c r="CW68" s="1394"/>
      <c r="CX68" s="1394"/>
      <c r="CY68" s="1394"/>
      <c r="CZ68" s="1394"/>
      <c r="DA68" s="1394"/>
      <c r="DB68" s="1394"/>
      <c r="DC68" s="1394"/>
      <c r="DD68" s="1394"/>
      <c r="DE68" s="1394"/>
      <c r="DF68" s="1394"/>
      <c r="DG68" s="1394"/>
      <c r="DH68" s="1394"/>
      <c r="DI68" s="1394"/>
      <c r="DJ68" s="1394"/>
      <c r="DK68" s="1394"/>
      <c r="DL68" s="1394"/>
      <c r="DM68" s="41"/>
      <c r="DN68" s="41"/>
      <c r="DO68" s="41"/>
      <c r="DP68" s="41"/>
      <c r="DQ68" s="41"/>
      <c r="DR68" s="41"/>
      <c r="DS68" s="41"/>
      <c r="DT68" s="41"/>
      <c r="DU68" s="41"/>
      <c r="DV68" s="41"/>
      <c r="DW68" s="41"/>
      <c r="DX68" s="41"/>
      <c r="DY68" s="44"/>
      <c r="DZ68" s="44"/>
      <c r="EA68" s="44"/>
      <c r="EB68" s="44"/>
      <c r="EC68" s="44"/>
      <c r="ED68" s="44"/>
      <c r="EE68" s="44"/>
      <c r="EF68" s="44"/>
      <c r="EG68" s="44"/>
      <c r="EH68" s="1590"/>
      <c r="EI68" s="1590"/>
      <c r="EJ68" s="1590"/>
      <c r="EK68" s="1590"/>
      <c r="EL68" s="1590"/>
      <c r="EM68" s="1590"/>
      <c r="EN68" s="1590"/>
      <c r="EO68" s="1590"/>
      <c r="EP68" s="1590"/>
      <c r="EQ68" s="1590"/>
      <c r="ER68" s="1590"/>
      <c r="ES68" s="1590"/>
      <c r="ET68" s="1590"/>
      <c r="EU68" s="1456"/>
      <c r="EV68" s="1457"/>
      <c r="EW68" s="1498"/>
    </row>
    <row r="69" spans="91:170" ht="7.5" customHeight="1" x14ac:dyDescent="0.25">
      <c r="CM69" s="1450"/>
      <c r="CN69" s="1451"/>
      <c r="CO69" s="1451"/>
      <c r="CP69" s="1451"/>
      <c r="CQ69" s="1451"/>
      <c r="CR69" s="1451"/>
      <c r="CS69" s="1451"/>
      <c r="CT69" s="1451"/>
      <c r="CU69" s="1451"/>
      <c r="CV69" s="1451"/>
      <c r="CW69" s="1451"/>
      <c r="CX69" s="1451"/>
      <c r="CY69" s="1451"/>
      <c r="CZ69" s="1451"/>
      <c r="DA69" s="1451"/>
      <c r="DB69" s="1451"/>
      <c r="DC69" s="1451"/>
      <c r="DD69" s="1451"/>
      <c r="DE69" s="1451"/>
      <c r="DF69" s="1451"/>
      <c r="DG69" s="1451"/>
      <c r="DH69" s="1451"/>
      <c r="DI69" s="1451"/>
      <c r="DJ69" s="1451"/>
      <c r="DK69" s="1451"/>
      <c r="DL69" s="1451"/>
      <c r="DM69" s="45"/>
      <c r="DN69" s="45"/>
      <c r="DO69" s="45"/>
      <c r="DP69" s="45"/>
      <c r="DQ69" s="45"/>
      <c r="DR69" s="45"/>
      <c r="DS69" s="45"/>
      <c r="DT69" s="45"/>
      <c r="DU69" s="45"/>
      <c r="DV69" s="45"/>
      <c r="DW69" s="45"/>
      <c r="DX69" s="45"/>
      <c r="DY69" s="45"/>
      <c r="DZ69" s="45"/>
      <c r="EA69" s="45"/>
      <c r="EB69" s="45"/>
      <c r="EC69" s="45"/>
      <c r="ED69" s="45"/>
      <c r="EE69" s="45"/>
      <c r="EF69" s="45"/>
      <c r="EG69" s="45"/>
      <c r="EH69" s="1588"/>
      <c r="EI69" s="1588"/>
      <c r="EJ69" s="1588"/>
      <c r="EK69" s="1588"/>
      <c r="EL69" s="1588"/>
      <c r="EM69" s="1588"/>
      <c r="EN69" s="1588"/>
      <c r="EO69" s="1588"/>
      <c r="EP69" s="1588"/>
      <c r="EQ69" s="1588"/>
      <c r="ER69" s="1588"/>
      <c r="ES69" s="1588"/>
      <c r="ET69" s="1588"/>
      <c r="EU69" s="1453"/>
      <c r="EV69" s="1454"/>
      <c r="EW69" s="1589"/>
    </row>
    <row r="70" spans="91:170" ht="7.5" customHeight="1" x14ac:dyDescent="0.25">
      <c r="CM70" s="1450"/>
      <c r="CN70" s="1451"/>
      <c r="CO70" s="1451"/>
      <c r="CP70" s="1451"/>
      <c r="CQ70" s="1451"/>
      <c r="CR70" s="1451"/>
      <c r="CS70" s="1451"/>
      <c r="CT70" s="1451"/>
      <c r="CU70" s="1451"/>
      <c r="CV70" s="1451"/>
      <c r="CW70" s="1451"/>
      <c r="CX70" s="1451"/>
      <c r="CY70" s="1451"/>
      <c r="CZ70" s="1451"/>
      <c r="DA70" s="1451"/>
      <c r="DB70" s="1451"/>
      <c r="DC70" s="1451"/>
      <c r="DD70" s="1451"/>
      <c r="DE70" s="1451"/>
      <c r="DF70" s="1451"/>
      <c r="DG70" s="1451"/>
      <c r="DH70" s="1451"/>
      <c r="DI70" s="1451"/>
      <c r="DJ70" s="1451"/>
      <c r="DK70" s="1451"/>
      <c r="DL70" s="1451"/>
      <c r="DM70" s="45"/>
      <c r="DN70" s="45"/>
      <c r="DO70" s="45"/>
      <c r="DP70" s="45"/>
      <c r="DQ70" s="45"/>
      <c r="DR70" s="45"/>
      <c r="DS70" s="45"/>
      <c r="DT70" s="45"/>
      <c r="DU70" s="45"/>
      <c r="DV70" s="45"/>
      <c r="DW70" s="45"/>
      <c r="DX70" s="45"/>
      <c r="DY70" s="45"/>
      <c r="DZ70" s="45"/>
      <c r="EA70" s="45"/>
      <c r="EB70" s="45"/>
      <c r="EC70" s="45"/>
      <c r="ED70" s="45"/>
      <c r="EE70" s="45"/>
      <c r="EF70" s="45"/>
      <c r="EG70" s="45"/>
      <c r="EH70" s="1588"/>
      <c r="EI70" s="1588"/>
      <c r="EJ70" s="1588"/>
      <c r="EK70" s="1588"/>
      <c r="EL70" s="1588"/>
      <c r="EM70" s="1588"/>
      <c r="EN70" s="1588"/>
      <c r="EO70" s="1588"/>
      <c r="EP70" s="1588"/>
      <c r="EQ70" s="1588"/>
      <c r="ER70" s="1588"/>
      <c r="ES70" s="1588"/>
      <c r="ET70" s="1588"/>
      <c r="EU70" s="1453"/>
      <c r="EV70" s="1454"/>
      <c r="EW70" s="1589"/>
    </row>
    <row r="71" spans="91:170" ht="7.5" customHeight="1" x14ac:dyDescent="0.25">
      <c r="CM71" s="1393"/>
      <c r="CN71" s="1394"/>
      <c r="CO71" s="1394"/>
      <c r="CP71" s="1394"/>
      <c r="CQ71" s="1394"/>
      <c r="CR71" s="1394"/>
      <c r="CS71" s="1394"/>
      <c r="CT71" s="1394"/>
      <c r="CU71" s="1394"/>
      <c r="CV71" s="1394"/>
      <c r="CW71" s="1394"/>
      <c r="CX71" s="1394"/>
      <c r="CY71" s="1394"/>
      <c r="CZ71" s="1394"/>
      <c r="DA71" s="1394"/>
      <c r="DB71" s="1394"/>
      <c r="DC71" s="1394"/>
      <c r="DD71" s="1394"/>
      <c r="DE71" s="1394"/>
      <c r="DF71" s="1394"/>
      <c r="DG71" s="1394"/>
      <c r="DH71" s="1394"/>
      <c r="DI71" s="1394"/>
      <c r="DJ71" s="1394"/>
      <c r="DK71" s="1394"/>
      <c r="DL71" s="1394"/>
      <c r="DM71" s="44"/>
      <c r="DN71" s="44"/>
      <c r="DO71" s="44"/>
      <c r="DP71" s="44"/>
      <c r="DQ71" s="44"/>
      <c r="DR71" s="44"/>
      <c r="DS71" s="44"/>
      <c r="DT71" s="44"/>
      <c r="DU71" s="44"/>
      <c r="DV71" s="44"/>
      <c r="DW71" s="44"/>
      <c r="DX71" s="44"/>
      <c r="DY71" s="44"/>
      <c r="DZ71" s="44"/>
      <c r="EA71" s="44"/>
      <c r="EB71" s="44"/>
      <c r="EC71" s="44"/>
      <c r="ED71" s="44"/>
      <c r="EE71" s="44"/>
      <c r="EF71" s="44"/>
      <c r="EG71" s="44"/>
      <c r="EH71" s="1590"/>
      <c r="EI71" s="1590"/>
      <c r="EJ71" s="1590"/>
      <c r="EK71" s="1590"/>
      <c r="EL71" s="1590"/>
      <c r="EM71" s="1590"/>
      <c r="EN71" s="1590"/>
      <c r="EO71" s="1590"/>
      <c r="EP71" s="1590"/>
      <c r="EQ71" s="1590"/>
      <c r="ER71" s="1590"/>
      <c r="ES71" s="1590"/>
      <c r="ET71" s="1590"/>
      <c r="EU71" s="1456"/>
      <c r="EV71" s="1457"/>
      <c r="EW71" s="1498"/>
    </row>
    <row r="72" spans="91:170" ht="7.5" customHeight="1" x14ac:dyDescent="0.25">
      <c r="CM72" s="1393"/>
      <c r="CN72" s="1394"/>
      <c r="CO72" s="1394"/>
      <c r="CP72" s="1394"/>
      <c r="CQ72" s="1394"/>
      <c r="CR72" s="1394"/>
      <c r="CS72" s="1394"/>
      <c r="CT72" s="1394"/>
      <c r="CU72" s="1394"/>
      <c r="CV72" s="1394"/>
      <c r="CW72" s="1394"/>
      <c r="CX72" s="1394"/>
      <c r="CY72" s="1394"/>
      <c r="CZ72" s="1394"/>
      <c r="DA72" s="1394"/>
      <c r="DB72" s="1394"/>
      <c r="DC72" s="1394"/>
      <c r="DD72" s="1394"/>
      <c r="DE72" s="1394"/>
      <c r="DF72" s="1394"/>
      <c r="DG72" s="1394"/>
      <c r="DH72" s="1394"/>
      <c r="DI72" s="1394"/>
      <c r="DJ72" s="1394"/>
      <c r="DK72" s="1394"/>
      <c r="DL72" s="1394"/>
      <c r="DM72" s="44"/>
      <c r="DN72" s="44"/>
      <c r="DO72" s="44"/>
      <c r="DP72" s="44"/>
      <c r="DQ72" s="44"/>
      <c r="DR72" s="44"/>
      <c r="DS72" s="44"/>
      <c r="DT72" s="44"/>
      <c r="DU72" s="44"/>
      <c r="DV72" s="44"/>
      <c r="DW72" s="44"/>
      <c r="DX72" s="44"/>
      <c r="DY72" s="44"/>
      <c r="DZ72" s="44"/>
      <c r="EA72" s="44"/>
      <c r="EB72" s="44"/>
      <c r="EC72" s="44"/>
      <c r="ED72" s="44"/>
      <c r="EE72" s="44"/>
      <c r="EF72" s="44"/>
      <c r="EG72" s="44"/>
      <c r="EH72" s="1590"/>
      <c r="EI72" s="1590"/>
      <c r="EJ72" s="1590"/>
      <c r="EK72" s="1590"/>
      <c r="EL72" s="1590"/>
      <c r="EM72" s="1590"/>
      <c r="EN72" s="1590"/>
      <c r="EO72" s="1590"/>
      <c r="EP72" s="1590"/>
      <c r="EQ72" s="1590"/>
      <c r="ER72" s="1590"/>
      <c r="ES72" s="1590"/>
      <c r="ET72" s="1590"/>
      <c r="EU72" s="1456"/>
      <c r="EV72" s="1457"/>
      <c r="EW72" s="1498"/>
    </row>
    <row r="73" spans="91:170" ht="7.5" customHeight="1" x14ac:dyDescent="0.25">
      <c r="CM73" s="1450"/>
      <c r="CN73" s="1451"/>
      <c r="CO73" s="1451"/>
      <c r="CP73" s="1451"/>
      <c r="CQ73" s="1451"/>
      <c r="CR73" s="1451"/>
      <c r="CS73" s="1451"/>
      <c r="CT73" s="1451"/>
      <c r="CU73" s="1451"/>
      <c r="CV73" s="1451"/>
      <c r="CW73" s="1451"/>
      <c r="CX73" s="1451"/>
      <c r="CY73" s="1451"/>
      <c r="CZ73" s="1451"/>
      <c r="DA73" s="1451"/>
      <c r="DB73" s="1451"/>
      <c r="DC73" s="1451"/>
      <c r="DD73" s="1451"/>
      <c r="DE73" s="1451"/>
      <c r="DF73" s="1451"/>
      <c r="DG73" s="1451"/>
      <c r="DH73" s="1451"/>
      <c r="DI73" s="1451"/>
      <c r="DJ73" s="1451"/>
      <c r="DK73" s="1451"/>
      <c r="DL73" s="1451"/>
      <c r="DM73" s="45"/>
      <c r="DN73" s="45"/>
      <c r="DO73" s="45"/>
      <c r="DP73" s="45"/>
      <c r="DQ73" s="45"/>
      <c r="DR73" s="45"/>
      <c r="DS73" s="45"/>
      <c r="DT73" s="45"/>
      <c r="DU73" s="45"/>
      <c r="DV73" s="45"/>
      <c r="DW73" s="45"/>
      <c r="DX73" s="45"/>
      <c r="DY73" s="45"/>
      <c r="DZ73" s="45"/>
      <c r="EA73" s="45"/>
      <c r="EB73" s="45"/>
      <c r="EC73" s="45"/>
      <c r="ED73" s="45"/>
      <c r="EE73" s="45"/>
      <c r="EF73" s="45"/>
      <c r="EG73" s="45"/>
      <c r="EH73" s="1588"/>
      <c r="EI73" s="1588"/>
      <c r="EJ73" s="1588"/>
      <c r="EK73" s="1588"/>
      <c r="EL73" s="1588"/>
      <c r="EM73" s="1588"/>
      <c r="EN73" s="1588"/>
      <c r="EO73" s="1588"/>
      <c r="EP73" s="1588"/>
      <c r="EQ73" s="1588"/>
      <c r="ER73" s="1588"/>
      <c r="ES73" s="1588"/>
      <c r="ET73" s="1588"/>
      <c r="EU73" s="1453"/>
      <c r="EV73" s="1454"/>
      <c r="EW73" s="1589"/>
    </row>
    <row r="74" spans="91:170" ht="7.5" customHeight="1" x14ac:dyDescent="0.25">
      <c r="CM74" s="1450"/>
      <c r="CN74" s="1451"/>
      <c r="CO74" s="1451"/>
      <c r="CP74" s="1451"/>
      <c r="CQ74" s="1451"/>
      <c r="CR74" s="1451"/>
      <c r="CS74" s="1451"/>
      <c r="CT74" s="1451"/>
      <c r="CU74" s="1451"/>
      <c r="CV74" s="1451"/>
      <c r="CW74" s="1451"/>
      <c r="CX74" s="1451"/>
      <c r="CY74" s="1451"/>
      <c r="CZ74" s="1451"/>
      <c r="DA74" s="1451"/>
      <c r="DB74" s="1451"/>
      <c r="DC74" s="1451"/>
      <c r="DD74" s="1451"/>
      <c r="DE74" s="1451"/>
      <c r="DF74" s="1451"/>
      <c r="DG74" s="1451"/>
      <c r="DH74" s="1451"/>
      <c r="DI74" s="1451"/>
      <c r="DJ74" s="1451"/>
      <c r="DK74" s="1451"/>
      <c r="DL74" s="1451"/>
      <c r="DM74" s="45"/>
      <c r="DN74" s="45"/>
      <c r="DO74" s="45"/>
      <c r="DP74" s="45"/>
      <c r="DQ74" s="45"/>
      <c r="DR74" s="45"/>
      <c r="DS74" s="45"/>
      <c r="DT74" s="45"/>
      <c r="DU74" s="45"/>
      <c r="DV74" s="45"/>
      <c r="DW74" s="45"/>
      <c r="DX74" s="45"/>
      <c r="DY74" s="45"/>
      <c r="DZ74" s="45"/>
      <c r="EA74" s="45"/>
      <c r="EB74" s="45"/>
      <c r="EC74" s="45"/>
      <c r="ED74" s="45"/>
      <c r="EE74" s="45"/>
      <c r="EF74" s="45"/>
      <c r="EG74" s="45"/>
      <c r="EH74" s="1588"/>
      <c r="EI74" s="1588"/>
      <c r="EJ74" s="1588"/>
      <c r="EK74" s="1588"/>
      <c r="EL74" s="1588"/>
      <c r="EM74" s="1588"/>
      <c r="EN74" s="1588"/>
      <c r="EO74" s="1588"/>
      <c r="EP74" s="1588"/>
      <c r="EQ74" s="1588"/>
      <c r="ER74" s="1588"/>
      <c r="ES74" s="1588"/>
      <c r="ET74" s="1588"/>
      <c r="EU74" s="1453"/>
      <c r="EV74" s="1454"/>
      <c r="EW74" s="1589"/>
    </row>
    <row r="75" spans="91:170" ht="7.5" customHeight="1" x14ac:dyDescent="0.25">
      <c r="CM75" s="1393"/>
      <c r="CN75" s="1394"/>
      <c r="CO75" s="1394"/>
      <c r="CP75" s="1394"/>
      <c r="CQ75" s="1394"/>
      <c r="CR75" s="1394"/>
      <c r="CS75" s="1394"/>
      <c r="CT75" s="1394"/>
      <c r="CU75" s="1394"/>
      <c r="CV75" s="1394"/>
      <c r="CW75" s="1394"/>
      <c r="CX75" s="1394"/>
      <c r="CY75" s="1394"/>
      <c r="CZ75" s="1394"/>
      <c r="DA75" s="1394"/>
      <c r="DB75" s="1394"/>
      <c r="DC75" s="1394"/>
      <c r="DD75" s="1394"/>
      <c r="DE75" s="1394"/>
      <c r="DF75" s="1394"/>
      <c r="DG75" s="1394"/>
      <c r="DH75" s="1394"/>
      <c r="DI75" s="1394"/>
      <c r="DJ75" s="1394"/>
      <c r="DK75" s="1394"/>
      <c r="DL75" s="1394"/>
      <c r="DM75" s="44"/>
      <c r="DN75" s="44"/>
      <c r="DO75" s="44"/>
      <c r="DP75" s="44"/>
      <c r="DQ75" s="44"/>
      <c r="DR75" s="44"/>
      <c r="DS75" s="44"/>
      <c r="DT75" s="44"/>
      <c r="DU75" s="44"/>
      <c r="DV75" s="44"/>
      <c r="DW75" s="44"/>
      <c r="DX75" s="44"/>
      <c r="DY75" s="44"/>
      <c r="DZ75" s="44"/>
      <c r="EA75" s="44"/>
      <c r="EB75" s="44"/>
      <c r="EC75" s="44"/>
      <c r="ED75" s="44"/>
      <c r="EE75" s="44"/>
      <c r="EF75" s="44"/>
      <c r="EG75" s="44"/>
      <c r="EH75" s="1590"/>
      <c r="EI75" s="1590"/>
      <c r="EJ75" s="1590"/>
      <c r="EK75" s="1590"/>
      <c r="EL75" s="1590"/>
      <c r="EM75" s="1590"/>
      <c r="EN75" s="1590"/>
      <c r="EO75" s="1590"/>
      <c r="EP75" s="1590"/>
      <c r="EQ75" s="1590"/>
      <c r="ER75" s="1590"/>
      <c r="ES75" s="1590"/>
      <c r="ET75" s="1590"/>
      <c r="EU75" s="1456"/>
      <c r="EV75" s="1457"/>
      <c r="EW75" s="1498"/>
    </row>
    <row r="76" spans="91:170" ht="7.5" customHeight="1" x14ac:dyDescent="0.25">
      <c r="CM76" s="1393"/>
      <c r="CN76" s="1394"/>
      <c r="CO76" s="1394"/>
      <c r="CP76" s="1394"/>
      <c r="CQ76" s="1394"/>
      <c r="CR76" s="1394"/>
      <c r="CS76" s="1394"/>
      <c r="CT76" s="1394"/>
      <c r="CU76" s="1394"/>
      <c r="CV76" s="1394"/>
      <c r="CW76" s="1394"/>
      <c r="CX76" s="1394"/>
      <c r="CY76" s="1394"/>
      <c r="CZ76" s="1394"/>
      <c r="DA76" s="1394"/>
      <c r="DB76" s="1394"/>
      <c r="DC76" s="1394"/>
      <c r="DD76" s="1394"/>
      <c r="DE76" s="1394"/>
      <c r="DF76" s="1394"/>
      <c r="DG76" s="1394"/>
      <c r="DH76" s="1394"/>
      <c r="DI76" s="1394"/>
      <c r="DJ76" s="1394"/>
      <c r="DK76" s="1394"/>
      <c r="DL76" s="1394"/>
      <c r="DM76" s="44"/>
      <c r="DN76" s="44"/>
      <c r="DO76" s="44"/>
      <c r="DP76" s="44"/>
      <c r="DQ76" s="44"/>
      <c r="DR76" s="44"/>
      <c r="DS76" s="44"/>
      <c r="DT76" s="44"/>
      <c r="DU76" s="44"/>
      <c r="DV76" s="44"/>
      <c r="DW76" s="44"/>
      <c r="DX76" s="44"/>
      <c r="DY76" s="44"/>
      <c r="DZ76" s="44"/>
      <c r="EA76" s="44"/>
      <c r="EB76" s="44"/>
      <c r="EC76" s="44"/>
      <c r="ED76" s="44"/>
      <c r="EE76" s="44"/>
      <c r="EF76" s="44"/>
      <c r="EG76" s="44"/>
      <c r="EH76" s="1590"/>
      <c r="EI76" s="1590"/>
      <c r="EJ76" s="1590"/>
      <c r="EK76" s="1590"/>
      <c r="EL76" s="1590"/>
      <c r="EM76" s="1590"/>
      <c r="EN76" s="1590"/>
      <c r="EO76" s="1590"/>
      <c r="EP76" s="1590"/>
      <c r="EQ76" s="1590"/>
      <c r="ER76" s="1590"/>
      <c r="ES76" s="1590"/>
      <c r="ET76" s="1590"/>
      <c r="EU76" s="1456"/>
      <c r="EV76" s="1457"/>
      <c r="EW76" s="1498"/>
    </row>
    <row r="77" spans="91:170" ht="7.5" customHeight="1" thickBot="1" x14ac:dyDescent="0.3">
      <c r="CM77" s="1450"/>
      <c r="CN77" s="1451"/>
      <c r="CO77" s="1451"/>
      <c r="CP77" s="1451"/>
      <c r="CQ77" s="1451"/>
      <c r="CR77" s="1451"/>
      <c r="CS77" s="1451"/>
      <c r="CT77" s="1451"/>
      <c r="CU77" s="1451"/>
      <c r="CV77" s="1451"/>
      <c r="CW77" s="1451"/>
      <c r="CX77" s="1451"/>
      <c r="CY77" s="1451"/>
      <c r="CZ77" s="1451"/>
      <c r="DA77" s="1451"/>
      <c r="DB77" s="1451"/>
      <c r="DC77" s="1451"/>
      <c r="DD77" s="1451"/>
      <c r="DE77" s="1451"/>
      <c r="DF77" s="1451"/>
      <c r="DG77" s="1451"/>
      <c r="DH77" s="1451"/>
      <c r="DI77" s="1451"/>
      <c r="DJ77" s="1451"/>
      <c r="DK77" s="1451"/>
      <c r="DL77" s="1451"/>
      <c r="DM77" s="45"/>
      <c r="DN77" s="45"/>
      <c r="DO77" s="45"/>
      <c r="DP77" s="45"/>
      <c r="DQ77" s="45"/>
      <c r="DR77" s="45"/>
      <c r="DS77" s="45"/>
      <c r="DT77" s="45"/>
      <c r="DU77" s="45"/>
      <c r="DV77" s="45"/>
      <c r="DW77" s="45"/>
      <c r="DX77" s="45"/>
      <c r="DY77" s="45"/>
      <c r="DZ77" s="45"/>
      <c r="EA77" s="45"/>
      <c r="EB77" s="45"/>
      <c r="EC77" s="45"/>
      <c r="ED77" s="45"/>
      <c r="EE77" s="45"/>
      <c r="EF77" s="45"/>
      <c r="EG77" s="45"/>
      <c r="EH77" s="1588"/>
      <c r="EI77" s="1588"/>
      <c r="EJ77" s="1588"/>
      <c r="EK77" s="1588"/>
      <c r="EL77" s="1588"/>
      <c r="EM77" s="1588"/>
      <c r="EN77" s="1588"/>
      <c r="EO77" s="1588"/>
      <c r="EP77" s="1588"/>
      <c r="EQ77" s="1588"/>
      <c r="ER77" s="1588"/>
      <c r="ES77" s="1588"/>
      <c r="ET77" s="1588"/>
      <c r="EU77" s="1453"/>
      <c r="EV77" s="1454"/>
      <c r="EW77" s="1589"/>
    </row>
    <row r="78" spans="91:170" ht="7.5" customHeight="1" x14ac:dyDescent="0.25">
      <c r="CM78" s="1450"/>
      <c r="CN78" s="1451"/>
      <c r="CO78" s="1451"/>
      <c r="CP78" s="1451"/>
      <c r="CQ78" s="1451"/>
      <c r="CR78" s="1451"/>
      <c r="CS78" s="1451"/>
      <c r="CT78" s="1451"/>
      <c r="CU78" s="1451"/>
      <c r="CV78" s="1451"/>
      <c r="CW78" s="1451"/>
      <c r="CX78" s="1451"/>
      <c r="CY78" s="1451"/>
      <c r="CZ78" s="1451"/>
      <c r="DA78" s="1451"/>
      <c r="DB78" s="1451"/>
      <c r="DC78" s="1451"/>
      <c r="DD78" s="1451"/>
      <c r="DE78" s="1451"/>
      <c r="DF78" s="1451"/>
      <c r="DG78" s="1451"/>
      <c r="DH78" s="1451"/>
      <c r="DI78" s="1451"/>
      <c r="DJ78" s="1451"/>
      <c r="DK78" s="1451"/>
      <c r="DL78" s="1451"/>
      <c r="DM78" s="45"/>
      <c r="DN78" s="45"/>
      <c r="DO78" s="45"/>
      <c r="DP78" s="45"/>
      <c r="DQ78" s="45"/>
      <c r="DR78" s="45"/>
      <c r="DS78" s="45"/>
      <c r="DT78" s="45"/>
      <c r="DU78" s="45"/>
      <c r="DV78" s="45"/>
      <c r="DW78" s="45"/>
      <c r="DX78" s="45"/>
      <c r="DY78" s="45"/>
      <c r="DZ78" s="45"/>
      <c r="EA78" s="45"/>
      <c r="EB78" s="45"/>
      <c r="EC78" s="45"/>
      <c r="ED78" s="45"/>
      <c r="EE78" s="45"/>
      <c r="EF78" s="45"/>
      <c r="EG78" s="45"/>
      <c r="EH78" s="1588"/>
      <c r="EI78" s="1588"/>
      <c r="EJ78" s="1588"/>
      <c r="EK78" s="1588"/>
      <c r="EL78" s="1588"/>
      <c r="EM78" s="1588"/>
      <c r="EN78" s="1588"/>
      <c r="EO78" s="1588"/>
      <c r="EP78" s="1588"/>
      <c r="EQ78" s="1588"/>
      <c r="ER78" s="1588"/>
      <c r="ES78" s="1588"/>
      <c r="ET78" s="1588"/>
      <c r="EU78" s="1453"/>
      <c r="EV78" s="1454"/>
      <c r="EW78" s="1589"/>
      <c r="EZ78" s="1580" t="e">
        <f>'OLD Pro Sheet'!BW1</f>
        <v>#REF!</v>
      </c>
      <c r="FA78" s="1580"/>
      <c r="FB78" s="1580"/>
      <c r="FC78" s="1580"/>
      <c r="FD78" s="1580"/>
      <c r="FE78" s="1028" t="str">
        <f>'OLD Pro Sheet'!CB1</f>
        <v>5*CON + 3*CNV</v>
      </c>
      <c r="FF78" s="1028"/>
      <c r="FG78" s="1028"/>
      <c r="FH78" s="1028"/>
      <c r="FI78" s="1028"/>
      <c r="FJ78" s="1028"/>
      <c r="FK78" s="1028"/>
      <c r="FL78" s="1028"/>
      <c r="FM78" s="1028"/>
      <c r="FN78" s="1028"/>
    </row>
    <row r="79" spans="91:170" ht="7.5" customHeight="1" x14ac:dyDescent="0.25">
      <c r="CM79" s="1393"/>
      <c r="CN79" s="1394"/>
      <c r="CO79" s="1394"/>
      <c r="CP79" s="1394"/>
      <c r="CQ79" s="1394"/>
      <c r="CR79" s="1394"/>
      <c r="CS79" s="1394"/>
      <c r="CT79" s="1394"/>
      <c r="CU79" s="1394"/>
      <c r="CV79" s="1394"/>
      <c r="CW79" s="1394"/>
      <c r="CX79" s="1394"/>
      <c r="CY79" s="1394"/>
      <c r="CZ79" s="1394"/>
      <c r="DA79" s="1394"/>
      <c r="DB79" s="1394"/>
      <c r="DC79" s="1394"/>
      <c r="DD79" s="1394"/>
      <c r="DE79" s="1394"/>
      <c r="DF79" s="1394"/>
      <c r="DG79" s="1394"/>
      <c r="DH79" s="1394"/>
      <c r="DI79" s="1394"/>
      <c r="DJ79" s="1394"/>
      <c r="DK79" s="1394"/>
      <c r="DL79" s="1394"/>
      <c r="DM79" s="44"/>
      <c r="DN79" s="44"/>
      <c r="DO79" s="44"/>
      <c r="DP79" s="44"/>
      <c r="DQ79" s="44"/>
      <c r="DR79" s="44"/>
      <c r="DS79" s="44"/>
      <c r="DT79" s="44"/>
      <c r="DU79" s="44"/>
      <c r="DV79" s="44"/>
      <c r="DW79" s="44"/>
      <c r="DX79" s="44"/>
      <c r="DY79" s="44"/>
      <c r="DZ79" s="44"/>
      <c r="EA79" s="44"/>
      <c r="EB79" s="44"/>
      <c r="EC79" s="44"/>
      <c r="ED79" s="44"/>
      <c r="EE79" s="44"/>
      <c r="EF79" s="44"/>
      <c r="EG79" s="44"/>
      <c r="EH79" s="1590"/>
      <c r="EI79" s="1590"/>
      <c r="EJ79" s="1590"/>
      <c r="EK79" s="1590"/>
      <c r="EL79" s="1590"/>
      <c r="EM79" s="1590"/>
      <c r="EN79" s="1590"/>
      <c r="EO79" s="1590"/>
      <c r="EP79" s="1590"/>
      <c r="EQ79" s="1590"/>
      <c r="ER79" s="1590"/>
      <c r="ES79" s="1590"/>
      <c r="ET79" s="1590"/>
      <c r="EU79" s="1456"/>
      <c r="EV79" s="1457"/>
      <c r="EW79" s="1498"/>
      <c r="EZ79" s="1581"/>
      <c r="FA79" s="1581"/>
      <c r="FB79" s="1581"/>
      <c r="FC79" s="1581"/>
      <c r="FD79" s="1581"/>
      <c r="FE79" s="1029"/>
      <c r="FF79" s="1029"/>
      <c r="FG79" s="1029"/>
      <c r="FH79" s="1029"/>
      <c r="FI79" s="1029"/>
      <c r="FJ79" s="1029"/>
      <c r="FK79" s="1029"/>
      <c r="FL79" s="1029"/>
      <c r="FM79" s="1029"/>
      <c r="FN79" s="1029"/>
    </row>
    <row r="80" spans="91:170" ht="7.5" customHeight="1" x14ac:dyDescent="0.25">
      <c r="CM80" s="1393"/>
      <c r="CN80" s="1394"/>
      <c r="CO80" s="1394"/>
      <c r="CP80" s="1394"/>
      <c r="CQ80" s="1394"/>
      <c r="CR80" s="1394"/>
      <c r="CS80" s="1394"/>
      <c r="CT80" s="1394"/>
      <c r="CU80" s="1394"/>
      <c r="CV80" s="1394"/>
      <c r="CW80" s="1394"/>
      <c r="CX80" s="1394"/>
      <c r="CY80" s="1394"/>
      <c r="CZ80" s="1394"/>
      <c r="DA80" s="1394"/>
      <c r="DB80" s="1394"/>
      <c r="DC80" s="1394"/>
      <c r="DD80" s="1394"/>
      <c r="DE80" s="1394"/>
      <c r="DF80" s="1394"/>
      <c r="DG80" s="1394"/>
      <c r="DH80" s="1394"/>
      <c r="DI80" s="1394"/>
      <c r="DJ80" s="1394"/>
      <c r="DK80" s="1394"/>
      <c r="DL80" s="1394"/>
      <c r="DM80" s="44"/>
      <c r="DN80" s="44"/>
      <c r="DO80" s="44"/>
      <c r="DP80" s="44"/>
      <c r="DQ80" s="44"/>
      <c r="DR80" s="44"/>
      <c r="DS80" s="44"/>
      <c r="DT80" s="44"/>
      <c r="DU80" s="44"/>
      <c r="DV80" s="44"/>
      <c r="DW80" s="44"/>
      <c r="DX80" s="44"/>
      <c r="DY80" s="44"/>
      <c r="DZ80" s="44"/>
      <c r="EA80" s="44"/>
      <c r="EB80" s="44"/>
      <c r="EC80" s="44"/>
      <c r="ED80" s="44"/>
      <c r="EE80" s="44"/>
      <c r="EF80" s="44"/>
      <c r="EG80" s="44"/>
      <c r="EH80" s="1590"/>
      <c r="EI80" s="1590"/>
      <c r="EJ80" s="1590"/>
      <c r="EK80" s="1590"/>
      <c r="EL80" s="1590"/>
      <c r="EM80" s="1590"/>
      <c r="EN80" s="1590"/>
      <c r="EO80" s="1590"/>
      <c r="EP80" s="1590"/>
      <c r="EQ80" s="1590"/>
      <c r="ER80" s="1590"/>
      <c r="ES80" s="1590"/>
      <c r="ET80" s="1590"/>
      <c r="EU80" s="1456"/>
      <c r="EV80" s="1457"/>
      <c r="EW80" s="1498"/>
      <c r="EZ80" s="1581"/>
      <c r="FA80" s="1581"/>
      <c r="FB80" s="1581"/>
      <c r="FC80" s="1581"/>
      <c r="FD80" s="1581"/>
      <c r="FE80" s="1583" t="s">
        <v>16</v>
      </c>
      <c r="FF80" s="1583"/>
      <c r="FG80" s="1583"/>
      <c r="FH80" s="1583"/>
      <c r="FI80" s="1583"/>
      <c r="FJ80" s="1583"/>
      <c r="FK80" s="1583"/>
      <c r="FL80" s="1583"/>
      <c r="FM80" s="1583"/>
      <c r="FN80" s="1583"/>
    </row>
    <row r="81" spans="91:170" ht="7.5" customHeight="1" thickBot="1" x14ac:dyDescent="0.3">
      <c r="CM81" s="1450"/>
      <c r="CN81" s="1451"/>
      <c r="CO81" s="1451"/>
      <c r="CP81" s="1451"/>
      <c r="CQ81" s="1451"/>
      <c r="CR81" s="1451"/>
      <c r="CS81" s="1451"/>
      <c r="CT81" s="1451"/>
      <c r="CU81" s="1451"/>
      <c r="CV81" s="1451"/>
      <c r="CW81" s="1451"/>
      <c r="CX81" s="1451"/>
      <c r="CY81" s="1451"/>
      <c r="CZ81" s="1451"/>
      <c r="DA81" s="1451"/>
      <c r="DB81" s="1451"/>
      <c r="DC81" s="1451"/>
      <c r="DD81" s="1451"/>
      <c r="DE81" s="1451"/>
      <c r="DF81" s="1451"/>
      <c r="DG81" s="1451"/>
      <c r="DH81" s="1451"/>
      <c r="DI81" s="1451"/>
      <c r="DJ81" s="1451"/>
      <c r="DK81" s="1451"/>
      <c r="DL81" s="1451"/>
      <c r="DM81" s="45"/>
      <c r="DN81" s="45"/>
      <c r="DO81" s="45"/>
      <c r="DP81" s="45"/>
      <c r="DQ81" s="45"/>
      <c r="DR81" s="45"/>
      <c r="DS81" s="45"/>
      <c r="DT81" s="45"/>
      <c r="DU81" s="45"/>
      <c r="DV81" s="45"/>
      <c r="DW81" s="45"/>
      <c r="DX81" s="45"/>
      <c r="DY81" s="45"/>
      <c r="DZ81" s="45"/>
      <c r="EA81" s="45"/>
      <c r="EB81" s="45"/>
      <c r="EC81" s="45"/>
      <c r="ED81" s="45"/>
      <c r="EE81" s="45"/>
      <c r="EF81" s="45"/>
      <c r="EG81" s="45"/>
      <c r="EH81" s="1588"/>
      <c r="EI81" s="1588"/>
      <c r="EJ81" s="1588"/>
      <c r="EK81" s="1588"/>
      <c r="EL81" s="1588"/>
      <c r="EM81" s="1588"/>
      <c r="EN81" s="1588"/>
      <c r="EO81" s="1588"/>
      <c r="EP81" s="1588"/>
      <c r="EQ81" s="1588"/>
      <c r="ER81" s="1588"/>
      <c r="ES81" s="1588"/>
      <c r="ET81" s="1588"/>
      <c r="EU81" s="1453"/>
      <c r="EV81" s="1454"/>
      <c r="EW81" s="1589"/>
      <c r="EZ81" s="1582"/>
      <c r="FA81" s="1582"/>
      <c r="FB81" s="1582"/>
      <c r="FC81" s="1582"/>
      <c r="FD81" s="1582"/>
      <c r="FE81" s="1583"/>
      <c r="FF81" s="1583"/>
      <c r="FG81" s="1583"/>
      <c r="FH81" s="1583"/>
      <c r="FI81" s="1583"/>
      <c r="FJ81" s="1583"/>
      <c r="FK81" s="1583"/>
      <c r="FL81" s="1583"/>
      <c r="FM81" s="1583"/>
      <c r="FN81" s="1583"/>
    </row>
    <row r="82" spans="91:170" ht="7.5" customHeight="1" x14ac:dyDescent="0.25">
      <c r="CM82" s="1450"/>
      <c r="CN82" s="1451"/>
      <c r="CO82" s="1451"/>
      <c r="CP82" s="1451"/>
      <c r="CQ82" s="1451"/>
      <c r="CR82" s="1451"/>
      <c r="CS82" s="1451"/>
      <c r="CT82" s="1451"/>
      <c r="CU82" s="1451"/>
      <c r="CV82" s="1451"/>
      <c r="CW82" s="1451"/>
      <c r="CX82" s="1451"/>
      <c r="CY82" s="1451"/>
      <c r="CZ82" s="1451"/>
      <c r="DA82" s="1451"/>
      <c r="DB82" s="1451"/>
      <c r="DC82" s="1451"/>
      <c r="DD82" s="1451"/>
      <c r="DE82" s="1451"/>
      <c r="DF82" s="1451"/>
      <c r="DG82" s="1451"/>
      <c r="DH82" s="1451"/>
      <c r="DI82" s="1451"/>
      <c r="DJ82" s="1451"/>
      <c r="DK82" s="1451"/>
      <c r="DL82" s="1451"/>
      <c r="DM82" s="45"/>
      <c r="DN82" s="45"/>
      <c r="DO82" s="45"/>
      <c r="DP82" s="45"/>
      <c r="DQ82" s="45"/>
      <c r="DR82" s="45"/>
      <c r="DS82" s="45"/>
      <c r="DT82" s="45"/>
      <c r="DU82" s="45"/>
      <c r="DV82" s="45"/>
      <c r="DW82" s="45"/>
      <c r="DX82" s="45"/>
      <c r="DY82" s="45"/>
      <c r="DZ82" s="45"/>
      <c r="EA82" s="45"/>
      <c r="EB82" s="45"/>
      <c r="EC82" s="45"/>
      <c r="ED82" s="45"/>
      <c r="EE82" s="45"/>
      <c r="EF82" s="45"/>
      <c r="EG82" s="45"/>
      <c r="EH82" s="1588"/>
      <c r="EI82" s="1588"/>
      <c r="EJ82" s="1588"/>
      <c r="EK82" s="1588"/>
      <c r="EL82" s="1588"/>
      <c r="EM82" s="1588"/>
      <c r="EN82" s="1588"/>
      <c r="EO82" s="1588"/>
      <c r="EP82" s="1588"/>
      <c r="EQ82" s="1588"/>
      <c r="ER82" s="1588"/>
      <c r="ES82" s="1588"/>
      <c r="ET82" s="1588"/>
      <c r="EU82" s="1453"/>
      <c r="EV82" s="1454"/>
      <c r="EW82" s="1589"/>
      <c r="EZ82" s="1584" t="e">
        <f>'OLD Pro Sheet'!BW5</f>
        <v>#REF!</v>
      </c>
      <c r="FA82" s="1584"/>
      <c r="FB82" s="1584"/>
      <c r="FC82" s="1584"/>
      <c r="FD82" s="1584"/>
      <c r="FE82" s="1583"/>
      <c r="FF82" s="1583"/>
      <c r="FG82" s="1583"/>
      <c r="FH82" s="1583"/>
      <c r="FI82" s="1583"/>
      <c r="FJ82" s="1583"/>
      <c r="FK82" s="1583"/>
      <c r="FL82" s="1583"/>
      <c r="FM82" s="1583"/>
      <c r="FN82" s="1583"/>
    </row>
    <row r="83" spans="91:170" ht="7.5" customHeight="1" thickBot="1" x14ac:dyDescent="0.3">
      <c r="CM83" s="1393"/>
      <c r="CN83" s="1394"/>
      <c r="CO83" s="1394"/>
      <c r="CP83" s="1394"/>
      <c r="CQ83" s="1394"/>
      <c r="CR83" s="1394"/>
      <c r="CS83" s="1394"/>
      <c r="CT83" s="1394"/>
      <c r="CU83" s="1394"/>
      <c r="CV83" s="1394"/>
      <c r="CW83" s="1394"/>
      <c r="CX83" s="1394"/>
      <c r="CY83" s="1394"/>
      <c r="CZ83" s="1394"/>
      <c r="DA83" s="1394"/>
      <c r="DB83" s="1394"/>
      <c r="DC83" s="1394"/>
      <c r="DD83" s="1394"/>
      <c r="DE83" s="1394"/>
      <c r="DF83" s="1394"/>
      <c r="DG83" s="1394"/>
      <c r="DH83" s="1394"/>
      <c r="DI83" s="1394"/>
      <c r="DJ83" s="1394"/>
      <c r="DK83" s="1394"/>
      <c r="DL83" s="1394"/>
      <c r="DM83" s="44"/>
      <c r="DN83" s="44"/>
      <c r="DO83" s="44"/>
      <c r="DP83" s="44"/>
      <c r="DQ83" s="44"/>
      <c r="DR83" s="44"/>
      <c r="DS83" s="44"/>
      <c r="DT83" s="44"/>
      <c r="DU83" s="44"/>
      <c r="DV83" s="44"/>
      <c r="DW83" s="44"/>
      <c r="DX83" s="44"/>
      <c r="DY83" s="44"/>
      <c r="DZ83" s="44"/>
      <c r="EA83" s="44"/>
      <c r="EB83" s="44"/>
      <c r="EC83" s="44"/>
      <c r="ED83" s="44"/>
      <c r="EE83" s="44"/>
      <c r="EF83" s="44"/>
      <c r="EG83" s="44"/>
      <c r="EH83" s="1590"/>
      <c r="EI83" s="1590"/>
      <c r="EJ83" s="1590"/>
      <c r="EK83" s="1590"/>
      <c r="EL83" s="1590"/>
      <c r="EM83" s="1590"/>
      <c r="EN83" s="1590"/>
      <c r="EO83" s="1590"/>
      <c r="EP83" s="1590"/>
      <c r="EQ83" s="1590"/>
      <c r="ER83" s="1590"/>
      <c r="ES83" s="1590"/>
      <c r="ET83" s="1590"/>
      <c r="EU83" s="1456"/>
      <c r="EV83" s="1457"/>
      <c r="EW83" s="1498"/>
      <c r="EZ83" s="1585"/>
      <c r="FA83" s="1585"/>
      <c r="FB83" s="1585"/>
      <c r="FC83" s="1585"/>
      <c r="FD83" s="1585"/>
      <c r="FE83" s="1586" t="e">
        <f>'OLD Pro Sheet'!CB6</f>
        <v>#REF!</v>
      </c>
      <c r="FF83" s="1586"/>
      <c r="FG83" s="1586"/>
      <c r="FH83" s="1586"/>
      <c r="FI83" s="1586"/>
      <c r="FJ83" s="1586"/>
      <c r="FK83" s="1586"/>
      <c r="FL83" s="1586"/>
      <c r="FM83" s="1586"/>
      <c r="FN83" s="1586"/>
    </row>
    <row r="84" spans="91:170" ht="7.5" customHeight="1" thickBot="1" x14ac:dyDescent="0.3">
      <c r="CM84" s="1393"/>
      <c r="CN84" s="1394"/>
      <c r="CO84" s="1394"/>
      <c r="CP84" s="1394"/>
      <c r="CQ84" s="1394"/>
      <c r="CR84" s="1394"/>
      <c r="CS84" s="1394"/>
      <c r="CT84" s="1394"/>
      <c r="CU84" s="1394"/>
      <c r="CV84" s="1394"/>
      <c r="CW84" s="1394"/>
      <c r="CX84" s="1394"/>
      <c r="CY84" s="1394"/>
      <c r="CZ84" s="1394"/>
      <c r="DA84" s="1394"/>
      <c r="DB84" s="1394"/>
      <c r="DC84" s="1394"/>
      <c r="DD84" s="1394"/>
      <c r="DE84" s="1394"/>
      <c r="DF84" s="1394"/>
      <c r="DG84" s="1394"/>
      <c r="DH84" s="1394"/>
      <c r="DI84" s="1394"/>
      <c r="DJ84" s="1394"/>
      <c r="DK84" s="1394"/>
      <c r="DL84" s="1394"/>
      <c r="DM84" s="44"/>
      <c r="DN84" s="44"/>
      <c r="DO84" s="44"/>
      <c r="DP84" s="44"/>
      <c r="DQ84" s="44"/>
      <c r="DR84" s="44"/>
      <c r="DS84" s="44"/>
      <c r="DT84" s="44"/>
      <c r="DU84" s="44"/>
      <c r="DV84" s="44"/>
      <c r="DW84" s="44"/>
      <c r="DX84" s="44"/>
      <c r="DY84" s="44"/>
      <c r="DZ84" s="44"/>
      <c r="EA84" s="44"/>
      <c r="EB84" s="44"/>
      <c r="EC84" s="44"/>
      <c r="ED84" s="44"/>
      <c r="EE84" s="44"/>
      <c r="EF84" s="44"/>
      <c r="EG84" s="44"/>
      <c r="EH84" s="1590"/>
      <c r="EI84" s="1590"/>
      <c r="EJ84" s="1590"/>
      <c r="EK84" s="1590"/>
      <c r="EL84" s="1590"/>
      <c r="EM84" s="1590"/>
      <c r="EN84" s="1590"/>
      <c r="EO84" s="1590"/>
      <c r="EP84" s="1590"/>
      <c r="EQ84" s="1590"/>
      <c r="ER84" s="1590"/>
      <c r="ES84" s="1590"/>
      <c r="ET84" s="1590"/>
      <c r="EU84" s="1456"/>
      <c r="EV84" s="1457"/>
      <c r="EW84" s="1498"/>
      <c r="EZ84" s="1036" t="s">
        <v>79</v>
      </c>
      <c r="FA84" s="1036"/>
      <c r="FB84" s="1036"/>
      <c r="FC84" s="1036"/>
      <c r="FD84" s="1036"/>
      <c r="FE84" s="1587"/>
      <c r="FF84" s="1587"/>
      <c r="FG84" s="1587"/>
      <c r="FH84" s="1587"/>
      <c r="FI84" s="1587"/>
      <c r="FJ84" s="1587"/>
      <c r="FK84" s="1587"/>
      <c r="FL84" s="1587"/>
      <c r="FM84" s="1587"/>
      <c r="FN84" s="1587"/>
    </row>
    <row r="85" spans="91:170" ht="7.5" customHeight="1" thickBot="1" x14ac:dyDescent="0.3">
      <c r="CM85" s="1450"/>
      <c r="CN85" s="1451"/>
      <c r="CO85" s="1451"/>
      <c r="CP85" s="1451"/>
      <c r="CQ85" s="1451"/>
      <c r="CR85" s="1451"/>
      <c r="CS85" s="1451"/>
      <c r="CT85" s="1451"/>
      <c r="CU85" s="1451"/>
      <c r="CV85" s="1451"/>
      <c r="CW85" s="1451"/>
      <c r="CX85" s="1451"/>
      <c r="CY85" s="1451"/>
      <c r="CZ85" s="1451"/>
      <c r="DA85" s="1451"/>
      <c r="DB85" s="1451"/>
      <c r="DC85" s="1451"/>
      <c r="DD85" s="1451"/>
      <c r="DE85" s="1451"/>
      <c r="DF85" s="1451"/>
      <c r="DG85" s="1451"/>
      <c r="DH85" s="1451"/>
      <c r="DI85" s="1451"/>
      <c r="DJ85" s="1451"/>
      <c r="DK85" s="1451"/>
      <c r="DL85" s="1451"/>
      <c r="DM85" s="45"/>
      <c r="DN85" s="45"/>
      <c r="DO85" s="45"/>
      <c r="DP85" s="45"/>
      <c r="DQ85" s="45"/>
      <c r="DR85" s="45"/>
      <c r="DS85" s="45"/>
      <c r="DT85" s="45"/>
      <c r="DU85" s="45"/>
      <c r="DV85" s="45"/>
      <c r="DW85" s="45"/>
      <c r="DX85" s="45"/>
      <c r="DY85" s="45"/>
      <c r="DZ85" s="45"/>
      <c r="EA85" s="45"/>
      <c r="EB85" s="45"/>
      <c r="EC85" s="45"/>
      <c r="ED85" s="45"/>
      <c r="EE85" s="45"/>
      <c r="EF85" s="45"/>
      <c r="EG85" s="45"/>
      <c r="EH85" s="1588"/>
      <c r="EI85" s="1588"/>
      <c r="EJ85" s="1588"/>
      <c r="EK85" s="1588"/>
      <c r="EL85" s="1588"/>
      <c r="EM85" s="1588"/>
      <c r="EN85" s="1588"/>
      <c r="EO85" s="1588"/>
      <c r="EP85" s="1588"/>
      <c r="EQ85" s="1588"/>
      <c r="ER85" s="1588"/>
      <c r="ES85" s="1588"/>
      <c r="ET85" s="1588"/>
      <c r="EU85" s="1453"/>
      <c r="EV85" s="1454"/>
      <c r="EW85" s="1589"/>
      <c r="EZ85" s="227"/>
      <c r="FA85" s="227"/>
      <c r="FB85" s="227"/>
      <c r="FC85" s="227"/>
      <c r="FD85" s="227"/>
      <c r="FE85" s="39"/>
      <c r="FF85" s="39"/>
      <c r="FG85" s="39"/>
      <c r="FH85" s="39"/>
      <c r="FI85" s="39"/>
      <c r="FJ85" s="39"/>
      <c r="FK85" s="39"/>
      <c r="FL85" s="39"/>
      <c r="FM85" s="39"/>
      <c r="FN85" s="39"/>
    </row>
    <row r="86" spans="91:170" ht="7.5" customHeight="1" x14ac:dyDescent="0.25">
      <c r="CM86" s="1450"/>
      <c r="CN86" s="1451"/>
      <c r="CO86" s="1451"/>
      <c r="CP86" s="1451"/>
      <c r="CQ86" s="1451"/>
      <c r="CR86" s="1451"/>
      <c r="CS86" s="1451"/>
      <c r="CT86" s="1451"/>
      <c r="CU86" s="1451"/>
      <c r="CV86" s="1451"/>
      <c r="CW86" s="1451"/>
      <c r="CX86" s="1451"/>
      <c r="CY86" s="1451"/>
      <c r="CZ86" s="1451"/>
      <c r="DA86" s="1451"/>
      <c r="DB86" s="1451"/>
      <c r="DC86" s="1451"/>
      <c r="DD86" s="1451"/>
      <c r="DE86" s="1451"/>
      <c r="DF86" s="1451"/>
      <c r="DG86" s="1451"/>
      <c r="DH86" s="1451"/>
      <c r="DI86" s="1451"/>
      <c r="DJ86" s="1451"/>
      <c r="DK86" s="1451"/>
      <c r="DL86" s="1451"/>
      <c r="DM86" s="45"/>
      <c r="DN86" s="45"/>
      <c r="DO86" s="45"/>
      <c r="DP86" s="45"/>
      <c r="DQ86" s="45"/>
      <c r="DR86" s="45"/>
      <c r="DS86" s="45"/>
      <c r="DT86" s="45"/>
      <c r="DU86" s="45"/>
      <c r="DV86" s="45"/>
      <c r="DW86" s="45"/>
      <c r="DX86" s="45"/>
      <c r="DY86" s="45"/>
      <c r="DZ86" s="45"/>
      <c r="EA86" s="45"/>
      <c r="EB86" s="45"/>
      <c r="EC86" s="45"/>
      <c r="ED86" s="45"/>
      <c r="EE86" s="45"/>
      <c r="EF86" s="45"/>
      <c r="EG86" s="45"/>
      <c r="EH86" s="1588"/>
      <c r="EI86" s="1588"/>
      <c r="EJ86" s="1588"/>
      <c r="EK86" s="1588"/>
      <c r="EL86" s="1588"/>
      <c r="EM86" s="1588"/>
      <c r="EN86" s="1588"/>
      <c r="EO86" s="1588"/>
      <c r="EP86" s="1588"/>
      <c r="EQ86" s="1588"/>
      <c r="ER86" s="1588"/>
      <c r="ES86" s="1588"/>
      <c r="ET86" s="1588"/>
      <c r="EU86" s="1453"/>
      <c r="EV86" s="1454"/>
      <c r="EW86" s="1589"/>
      <c r="EZ86" s="1591" t="e">
        <f>'OLD Pro Sheet'!BW9</f>
        <v>#REF!</v>
      </c>
      <c r="FA86" s="1592"/>
      <c r="FB86" s="1592"/>
      <c r="FC86" s="1592"/>
      <c r="FD86" s="1592"/>
      <c r="FE86" s="1030" t="str">
        <f>'OLD Pro Sheet'!CB9</f>
        <v>5*FOC + 3*CNV</v>
      </c>
      <c r="FF86" s="1030"/>
      <c r="FG86" s="1030"/>
      <c r="FH86" s="1030"/>
      <c r="FI86" s="1030"/>
      <c r="FJ86" s="1030"/>
      <c r="FK86" s="1030"/>
      <c r="FL86" s="1030"/>
      <c r="FM86" s="1030"/>
      <c r="FN86" s="1030"/>
    </row>
    <row r="87" spans="91:170" ht="7.5" customHeight="1" x14ac:dyDescent="0.25">
      <c r="CM87" s="1393"/>
      <c r="CN87" s="1394"/>
      <c r="CO87" s="1394"/>
      <c r="CP87" s="1394"/>
      <c r="CQ87" s="1394"/>
      <c r="CR87" s="1394"/>
      <c r="CS87" s="1394"/>
      <c r="CT87" s="1394"/>
      <c r="CU87" s="1394"/>
      <c r="CV87" s="1394"/>
      <c r="CW87" s="1394"/>
      <c r="CX87" s="1394"/>
      <c r="CY87" s="1394"/>
      <c r="CZ87" s="1394"/>
      <c r="DA87" s="1394"/>
      <c r="DB87" s="1394"/>
      <c r="DC87" s="1394"/>
      <c r="DD87" s="1394"/>
      <c r="DE87" s="1394"/>
      <c r="DF87" s="1394"/>
      <c r="DG87" s="1394"/>
      <c r="DH87" s="1394"/>
      <c r="DI87" s="1394"/>
      <c r="DJ87" s="1394"/>
      <c r="DK87" s="1394"/>
      <c r="DL87" s="1394"/>
      <c r="DM87" s="44"/>
      <c r="DN87" s="44"/>
      <c r="DO87" s="44"/>
      <c r="DP87" s="44"/>
      <c r="DQ87" s="44"/>
      <c r="DR87" s="44"/>
      <c r="DS87" s="44"/>
      <c r="DT87" s="44"/>
      <c r="DU87" s="44"/>
      <c r="DV87" s="44"/>
      <c r="DW87" s="44"/>
      <c r="DX87" s="44"/>
      <c r="DY87" s="44"/>
      <c r="DZ87" s="44"/>
      <c r="EA87" s="44"/>
      <c r="EB87" s="44"/>
      <c r="EC87" s="44"/>
      <c r="ED87" s="44"/>
      <c r="EE87" s="44"/>
      <c r="EF87" s="44"/>
      <c r="EG87" s="44"/>
      <c r="EH87" s="1590"/>
      <c r="EI87" s="1590"/>
      <c r="EJ87" s="1590"/>
      <c r="EK87" s="1590"/>
      <c r="EL87" s="1590"/>
      <c r="EM87" s="1590"/>
      <c r="EN87" s="1590"/>
      <c r="EO87" s="1590"/>
      <c r="EP87" s="1590"/>
      <c r="EQ87" s="1590"/>
      <c r="ER87" s="1590"/>
      <c r="ES87" s="1590"/>
      <c r="ET87" s="1590"/>
      <c r="EU87" s="1456"/>
      <c r="EV87" s="1457"/>
      <c r="EW87" s="1498"/>
      <c r="EZ87" s="1593"/>
      <c r="FA87" s="1593"/>
      <c r="FB87" s="1593"/>
      <c r="FC87" s="1593"/>
      <c r="FD87" s="1593"/>
      <c r="FE87" s="1031"/>
      <c r="FF87" s="1031"/>
      <c r="FG87" s="1031"/>
      <c r="FH87" s="1031"/>
      <c r="FI87" s="1031"/>
      <c r="FJ87" s="1031"/>
      <c r="FK87" s="1031"/>
      <c r="FL87" s="1031"/>
      <c r="FM87" s="1031"/>
      <c r="FN87" s="1031"/>
    </row>
    <row r="88" spans="91:170" ht="7.5" customHeight="1" x14ac:dyDescent="0.25">
      <c r="CM88" s="1393"/>
      <c r="CN88" s="1394"/>
      <c r="CO88" s="1394"/>
      <c r="CP88" s="1394"/>
      <c r="CQ88" s="1394"/>
      <c r="CR88" s="1394"/>
      <c r="CS88" s="1394"/>
      <c r="CT88" s="1394"/>
      <c r="CU88" s="1394"/>
      <c r="CV88" s="1394"/>
      <c r="CW88" s="1394"/>
      <c r="CX88" s="1394"/>
      <c r="CY88" s="1394"/>
      <c r="CZ88" s="1394"/>
      <c r="DA88" s="1394"/>
      <c r="DB88" s="1394"/>
      <c r="DC88" s="1394"/>
      <c r="DD88" s="1394"/>
      <c r="DE88" s="1394"/>
      <c r="DF88" s="1394"/>
      <c r="DG88" s="1394"/>
      <c r="DH88" s="1394"/>
      <c r="DI88" s="1394"/>
      <c r="DJ88" s="1394"/>
      <c r="DK88" s="1394"/>
      <c r="DL88" s="1394"/>
      <c r="DM88" s="44"/>
      <c r="DN88" s="44"/>
      <c r="DO88" s="44"/>
      <c r="DP88" s="44"/>
      <c r="DQ88" s="44"/>
      <c r="DR88" s="44"/>
      <c r="DS88" s="44"/>
      <c r="DT88" s="44"/>
      <c r="DU88" s="44"/>
      <c r="DV88" s="44"/>
      <c r="DW88" s="44"/>
      <c r="DX88" s="44"/>
      <c r="DY88" s="44"/>
      <c r="DZ88" s="44"/>
      <c r="EA88" s="44"/>
      <c r="EB88" s="44"/>
      <c r="EC88" s="44"/>
      <c r="ED88" s="44"/>
      <c r="EE88" s="44"/>
      <c r="EF88" s="44"/>
      <c r="EG88" s="44"/>
      <c r="EH88" s="1590"/>
      <c r="EI88" s="1590"/>
      <c r="EJ88" s="1590"/>
      <c r="EK88" s="1590"/>
      <c r="EL88" s="1590"/>
      <c r="EM88" s="1590"/>
      <c r="EN88" s="1590"/>
      <c r="EO88" s="1590"/>
      <c r="EP88" s="1590"/>
      <c r="EQ88" s="1590"/>
      <c r="ER88" s="1590"/>
      <c r="ES88" s="1590"/>
      <c r="ET88" s="1590"/>
      <c r="EU88" s="1456"/>
      <c r="EV88" s="1457"/>
      <c r="EW88" s="1498"/>
      <c r="EZ88" s="1593"/>
      <c r="FA88" s="1593"/>
      <c r="FB88" s="1593"/>
      <c r="FC88" s="1593"/>
      <c r="FD88" s="1593"/>
      <c r="FE88" s="1595" t="s">
        <v>21</v>
      </c>
      <c r="FF88" s="1595"/>
      <c r="FG88" s="1595"/>
      <c r="FH88" s="1595"/>
      <c r="FI88" s="1595"/>
      <c r="FJ88" s="1595"/>
      <c r="FK88" s="1595"/>
      <c r="FL88" s="1595"/>
      <c r="FM88" s="1595"/>
      <c r="FN88" s="1595"/>
    </row>
    <row r="89" spans="91:170" ht="7.5" customHeight="1" thickBot="1" x14ac:dyDescent="0.3">
      <c r="CM89" s="1450"/>
      <c r="CN89" s="1451"/>
      <c r="CO89" s="1451"/>
      <c r="CP89" s="1451"/>
      <c r="CQ89" s="1451"/>
      <c r="CR89" s="1451"/>
      <c r="CS89" s="1451"/>
      <c r="CT89" s="1451"/>
      <c r="CU89" s="1451"/>
      <c r="CV89" s="1451"/>
      <c r="CW89" s="1451"/>
      <c r="CX89" s="1451"/>
      <c r="CY89" s="1451"/>
      <c r="CZ89" s="1451"/>
      <c r="DA89" s="1451"/>
      <c r="DB89" s="1451"/>
      <c r="DC89" s="1451"/>
      <c r="DD89" s="1451"/>
      <c r="DE89" s="1451"/>
      <c r="DF89" s="1451"/>
      <c r="DG89" s="1451"/>
      <c r="DH89" s="1451"/>
      <c r="DI89" s="1451"/>
      <c r="DJ89" s="1451"/>
      <c r="DK89" s="1451"/>
      <c r="DL89" s="1451"/>
      <c r="DM89" s="45"/>
      <c r="DN89" s="45"/>
      <c r="DO89" s="45"/>
      <c r="DP89" s="45"/>
      <c r="DQ89" s="45"/>
      <c r="DR89" s="45"/>
      <c r="DS89" s="45"/>
      <c r="DT89" s="45"/>
      <c r="DU89" s="45"/>
      <c r="DV89" s="45"/>
      <c r="DW89" s="45"/>
      <c r="DX89" s="45"/>
      <c r="DY89" s="45"/>
      <c r="DZ89" s="45"/>
      <c r="EA89" s="45"/>
      <c r="EB89" s="45"/>
      <c r="EC89" s="45"/>
      <c r="ED89" s="45"/>
      <c r="EE89" s="45"/>
      <c r="EF89" s="45"/>
      <c r="EG89" s="45"/>
      <c r="EH89" s="1588"/>
      <c r="EI89" s="1588"/>
      <c r="EJ89" s="1588"/>
      <c r="EK89" s="1588"/>
      <c r="EL89" s="1588"/>
      <c r="EM89" s="1588"/>
      <c r="EN89" s="1588"/>
      <c r="EO89" s="1588"/>
      <c r="EP89" s="1588"/>
      <c r="EQ89" s="1588"/>
      <c r="ER89" s="1588"/>
      <c r="ES89" s="1588"/>
      <c r="ET89" s="1588"/>
      <c r="EU89" s="1453"/>
      <c r="EV89" s="1454"/>
      <c r="EW89" s="1589"/>
      <c r="EZ89" s="1594"/>
      <c r="FA89" s="1594"/>
      <c r="FB89" s="1594"/>
      <c r="FC89" s="1594"/>
      <c r="FD89" s="1594"/>
      <c r="FE89" s="1595"/>
      <c r="FF89" s="1595"/>
      <c r="FG89" s="1595"/>
      <c r="FH89" s="1595"/>
      <c r="FI89" s="1595"/>
      <c r="FJ89" s="1595"/>
      <c r="FK89" s="1595"/>
      <c r="FL89" s="1595"/>
      <c r="FM89" s="1595"/>
      <c r="FN89" s="1595"/>
    </row>
    <row r="90" spans="91:170" ht="7.5" customHeight="1" x14ac:dyDescent="0.25">
      <c r="CM90" s="1450"/>
      <c r="CN90" s="1451"/>
      <c r="CO90" s="1451"/>
      <c r="CP90" s="1451"/>
      <c r="CQ90" s="1451"/>
      <c r="CR90" s="1451"/>
      <c r="CS90" s="1451"/>
      <c r="CT90" s="1451"/>
      <c r="CU90" s="1451"/>
      <c r="CV90" s="1451"/>
      <c r="CW90" s="1451"/>
      <c r="CX90" s="1451"/>
      <c r="CY90" s="1451"/>
      <c r="CZ90" s="1451"/>
      <c r="DA90" s="1451"/>
      <c r="DB90" s="1451"/>
      <c r="DC90" s="1451"/>
      <c r="DD90" s="1451"/>
      <c r="DE90" s="1451"/>
      <c r="DF90" s="1451"/>
      <c r="DG90" s="1451"/>
      <c r="DH90" s="1451"/>
      <c r="DI90" s="1451"/>
      <c r="DJ90" s="1451"/>
      <c r="DK90" s="1451"/>
      <c r="DL90" s="1451"/>
      <c r="DM90" s="45"/>
      <c r="DN90" s="45"/>
      <c r="DO90" s="45"/>
      <c r="DP90" s="45"/>
      <c r="DQ90" s="45"/>
      <c r="DR90" s="45"/>
      <c r="DS90" s="45"/>
      <c r="DT90" s="45"/>
      <c r="DU90" s="45"/>
      <c r="DV90" s="45"/>
      <c r="DW90" s="45"/>
      <c r="DX90" s="45"/>
      <c r="DY90" s="45"/>
      <c r="DZ90" s="45"/>
      <c r="EA90" s="45"/>
      <c r="EB90" s="45"/>
      <c r="EC90" s="45"/>
      <c r="ED90" s="45"/>
      <c r="EE90" s="45"/>
      <c r="EF90" s="45"/>
      <c r="EG90" s="45"/>
      <c r="EH90" s="1588"/>
      <c r="EI90" s="1588"/>
      <c r="EJ90" s="1588"/>
      <c r="EK90" s="1588"/>
      <c r="EL90" s="1588"/>
      <c r="EM90" s="1588"/>
      <c r="EN90" s="1588"/>
      <c r="EO90" s="1588"/>
      <c r="EP90" s="1588"/>
      <c r="EQ90" s="1588"/>
      <c r="ER90" s="1588"/>
      <c r="ES90" s="1588"/>
      <c r="ET90" s="1588"/>
      <c r="EU90" s="1453"/>
      <c r="EV90" s="1454"/>
      <c r="EW90" s="1589"/>
      <c r="EZ90" s="1596" t="e">
        <f>'OLD Pro Sheet'!BW13</f>
        <v>#REF!</v>
      </c>
      <c r="FA90" s="1596"/>
      <c r="FB90" s="1596"/>
      <c r="FC90" s="1596"/>
      <c r="FD90" s="1596"/>
      <c r="FE90" s="1595"/>
      <c r="FF90" s="1595"/>
      <c r="FG90" s="1595"/>
      <c r="FH90" s="1595"/>
      <c r="FI90" s="1595"/>
      <c r="FJ90" s="1595"/>
      <c r="FK90" s="1595"/>
      <c r="FL90" s="1595"/>
      <c r="FM90" s="1595"/>
      <c r="FN90" s="1595"/>
    </row>
    <row r="91" spans="91:170" ht="7.5" customHeight="1" thickBot="1" x14ac:dyDescent="0.3">
      <c r="CM91" s="1393"/>
      <c r="CN91" s="1394"/>
      <c r="CO91" s="1394"/>
      <c r="CP91" s="1394"/>
      <c r="CQ91" s="1394"/>
      <c r="CR91" s="1394"/>
      <c r="CS91" s="1394"/>
      <c r="CT91" s="1394"/>
      <c r="CU91" s="1394"/>
      <c r="CV91" s="1394"/>
      <c r="CW91" s="1394"/>
      <c r="CX91" s="1394"/>
      <c r="CY91" s="1394"/>
      <c r="CZ91" s="1394"/>
      <c r="DA91" s="1394"/>
      <c r="DB91" s="1394"/>
      <c r="DC91" s="1394"/>
      <c r="DD91" s="1394"/>
      <c r="DE91" s="1394"/>
      <c r="DF91" s="1394"/>
      <c r="DG91" s="1394"/>
      <c r="DH91" s="1394"/>
      <c r="DI91" s="1394"/>
      <c r="DJ91" s="1394"/>
      <c r="DK91" s="1394"/>
      <c r="DL91" s="1394"/>
      <c r="DM91" s="44"/>
      <c r="DN91" s="44"/>
      <c r="DO91" s="44"/>
      <c r="DP91" s="44"/>
      <c r="DQ91" s="44"/>
      <c r="DR91" s="44"/>
      <c r="DS91" s="44"/>
      <c r="DT91" s="44"/>
      <c r="DU91" s="44"/>
      <c r="DV91" s="44"/>
      <c r="DW91" s="44"/>
      <c r="DX91" s="44"/>
      <c r="DY91" s="44"/>
      <c r="DZ91" s="44"/>
      <c r="EA91" s="44"/>
      <c r="EB91" s="44"/>
      <c r="EC91" s="44"/>
      <c r="ED91" s="44"/>
      <c r="EE91" s="44"/>
      <c r="EF91" s="44"/>
      <c r="EG91" s="44"/>
      <c r="EH91" s="1590"/>
      <c r="EI91" s="1590"/>
      <c r="EJ91" s="1590"/>
      <c r="EK91" s="1590"/>
      <c r="EL91" s="1590"/>
      <c r="EM91" s="1590"/>
      <c r="EN91" s="1590"/>
      <c r="EO91" s="1590"/>
      <c r="EP91" s="1590"/>
      <c r="EQ91" s="1590"/>
      <c r="ER91" s="1590"/>
      <c r="ES91" s="1590"/>
      <c r="ET91" s="1590"/>
      <c r="EU91" s="1456"/>
      <c r="EV91" s="1457"/>
      <c r="EW91" s="1498"/>
      <c r="EZ91" s="1597"/>
      <c r="FA91" s="1597"/>
      <c r="FB91" s="1597"/>
      <c r="FC91" s="1597"/>
      <c r="FD91" s="1597"/>
      <c r="FE91" s="1595"/>
      <c r="FF91" s="1595"/>
      <c r="FG91" s="1595"/>
      <c r="FH91" s="1595"/>
      <c r="FI91" s="1595"/>
      <c r="FJ91" s="1595"/>
      <c r="FK91" s="1595"/>
      <c r="FL91" s="1595"/>
      <c r="FM91" s="1595"/>
      <c r="FN91" s="1595"/>
    </row>
    <row r="92" spans="91:170" ht="7.5" customHeight="1" thickBot="1" x14ac:dyDescent="0.3">
      <c r="CM92" s="1393"/>
      <c r="CN92" s="1394"/>
      <c r="CO92" s="1394"/>
      <c r="CP92" s="1394"/>
      <c r="CQ92" s="1394"/>
      <c r="CR92" s="1394"/>
      <c r="CS92" s="1394"/>
      <c r="CT92" s="1394"/>
      <c r="CU92" s="1394"/>
      <c r="CV92" s="1394"/>
      <c r="CW92" s="1394"/>
      <c r="CX92" s="1394"/>
      <c r="CY92" s="1394"/>
      <c r="CZ92" s="1394"/>
      <c r="DA92" s="1394"/>
      <c r="DB92" s="1394"/>
      <c r="DC92" s="1394"/>
      <c r="DD92" s="1394"/>
      <c r="DE92" s="1394"/>
      <c r="DF92" s="1394"/>
      <c r="DG92" s="1394"/>
      <c r="DH92" s="1394"/>
      <c r="DI92" s="1394"/>
      <c r="DJ92" s="1394"/>
      <c r="DK92" s="1394"/>
      <c r="DL92" s="1394"/>
      <c r="DM92" s="44"/>
      <c r="DN92" s="44"/>
      <c r="DO92" s="44"/>
      <c r="DP92" s="44"/>
      <c r="DQ92" s="44"/>
      <c r="DR92" s="44"/>
      <c r="DS92" s="44"/>
      <c r="DT92" s="44"/>
      <c r="DU92" s="44"/>
      <c r="DV92" s="44"/>
      <c r="DW92" s="44"/>
      <c r="DX92" s="44"/>
      <c r="DY92" s="44"/>
      <c r="DZ92" s="44"/>
      <c r="EA92" s="44"/>
      <c r="EB92" s="44"/>
      <c r="EC92" s="44"/>
      <c r="ED92" s="44"/>
      <c r="EE92" s="44"/>
      <c r="EF92" s="44"/>
      <c r="EG92" s="44"/>
      <c r="EH92" s="1590"/>
      <c r="EI92" s="1590"/>
      <c r="EJ92" s="1590"/>
      <c r="EK92" s="1590"/>
      <c r="EL92" s="1590"/>
      <c r="EM92" s="1590"/>
      <c r="EN92" s="1590"/>
      <c r="EO92" s="1590"/>
      <c r="EP92" s="1590"/>
      <c r="EQ92" s="1590"/>
      <c r="ER92" s="1590"/>
      <c r="ES92" s="1590"/>
      <c r="ET92" s="1590"/>
      <c r="EU92" s="1456"/>
      <c r="EV92" s="1457"/>
      <c r="EW92" s="1498"/>
      <c r="EZ92" s="1027" t="s">
        <v>78</v>
      </c>
      <c r="FA92" s="1027"/>
      <c r="FB92" s="1027"/>
      <c r="FC92" s="1027"/>
      <c r="FD92" s="1027"/>
      <c r="FE92" s="1598"/>
      <c r="FF92" s="1598"/>
      <c r="FG92" s="1598"/>
      <c r="FH92" s="1598"/>
      <c r="FI92" s="1598"/>
      <c r="FJ92" s="1598"/>
      <c r="FK92" s="1598"/>
      <c r="FL92" s="1598"/>
      <c r="FM92" s="1598"/>
      <c r="FN92" s="1598"/>
    </row>
    <row r="93" spans="91:170" ht="7.5" customHeight="1" x14ac:dyDescent="0.25">
      <c r="CM93" s="1450"/>
      <c r="CN93" s="1451"/>
      <c r="CO93" s="1451"/>
      <c r="CP93" s="1451"/>
      <c r="CQ93" s="1451"/>
      <c r="CR93" s="1451"/>
      <c r="CS93" s="1451"/>
      <c r="CT93" s="1451"/>
      <c r="CU93" s="1451"/>
      <c r="CV93" s="1451"/>
      <c r="CW93" s="1451"/>
      <c r="CX93" s="1451"/>
      <c r="CY93" s="1451"/>
      <c r="CZ93" s="1451"/>
      <c r="DA93" s="1451"/>
      <c r="DB93" s="1451"/>
      <c r="DC93" s="1451"/>
      <c r="DD93" s="1451"/>
      <c r="DE93" s="1451"/>
      <c r="DF93" s="1451"/>
      <c r="DG93" s="1451"/>
      <c r="DH93" s="1451"/>
      <c r="DI93" s="1451"/>
      <c r="DJ93" s="1451"/>
      <c r="DK93" s="1451"/>
      <c r="DL93" s="1451"/>
      <c r="DM93" s="45"/>
      <c r="DN93" s="45"/>
      <c r="DO93" s="45"/>
      <c r="DP93" s="45"/>
      <c r="DQ93" s="45"/>
      <c r="DR93" s="45"/>
      <c r="DS93" s="45"/>
      <c r="DT93" s="45"/>
      <c r="DU93" s="45"/>
      <c r="DV93" s="45"/>
      <c r="DW93" s="45"/>
      <c r="DX93" s="45"/>
      <c r="DY93" s="45"/>
      <c r="DZ93" s="45"/>
      <c r="EA93" s="45"/>
      <c r="EB93" s="45"/>
      <c r="EC93" s="45"/>
      <c r="ED93" s="45"/>
      <c r="EE93" s="45"/>
      <c r="EF93" s="45"/>
      <c r="EG93" s="45"/>
      <c r="EH93" s="1588"/>
      <c r="EI93" s="1588"/>
      <c r="EJ93" s="1588"/>
      <c r="EK93" s="1588"/>
      <c r="EL93" s="1588"/>
      <c r="EM93" s="1588"/>
      <c r="EN93" s="1588"/>
      <c r="EO93" s="1588"/>
      <c r="EP93" s="1588"/>
      <c r="EQ93" s="1588"/>
      <c r="ER93" s="1588"/>
      <c r="ES93" s="1588"/>
      <c r="ET93" s="1588"/>
      <c r="EU93" s="1453"/>
      <c r="EV93" s="1454"/>
      <c r="EW93" s="1589"/>
    </row>
    <row r="94" spans="91:170" ht="7.5" customHeight="1" x14ac:dyDescent="0.25">
      <c r="CM94" s="1450"/>
      <c r="CN94" s="1451"/>
      <c r="CO94" s="1451"/>
      <c r="CP94" s="1451"/>
      <c r="CQ94" s="1451"/>
      <c r="CR94" s="1451"/>
      <c r="CS94" s="1451"/>
      <c r="CT94" s="1451"/>
      <c r="CU94" s="1451"/>
      <c r="CV94" s="1451"/>
      <c r="CW94" s="1451"/>
      <c r="CX94" s="1451"/>
      <c r="CY94" s="1451"/>
      <c r="CZ94" s="1451"/>
      <c r="DA94" s="1451"/>
      <c r="DB94" s="1451"/>
      <c r="DC94" s="1451"/>
      <c r="DD94" s="1451"/>
      <c r="DE94" s="1451"/>
      <c r="DF94" s="1451"/>
      <c r="DG94" s="1451"/>
      <c r="DH94" s="1451"/>
      <c r="DI94" s="1451"/>
      <c r="DJ94" s="1451"/>
      <c r="DK94" s="1451"/>
      <c r="DL94" s="1451"/>
      <c r="DM94" s="45"/>
      <c r="DN94" s="45"/>
      <c r="DO94" s="45"/>
      <c r="DP94" s="45"/>
      <c r="DQ94" s="45"/>
      <c r="DR94" s="45"/>
      <c r="DS94" s="45"/>
      <c r="DT94" s="45"/>
      <c r="DU94" s="45"/>
      <c r="DV94" s="45"/>
      <c r="DW94" s="45"/>
      <c r="DX94" s="45"/>
      <c r="DY94" s="45"/>
      <c r="DZ94" s="45"/>
      <c r="EA94" s="45"/>
      <c r="EB94" s="45"/>
      <c r="EC94" s="45"/>
      <c r="ED94" s="45"/>
      <c r="EE94" s="45"/>
      <c r="EF94" s="45"/>
      <c r="EG94" s="45"/>
      <c r="EH94" s="1588"/>
      <c r="EI94" s="1588"/>
      <c r="EJ94" s="1588"/>
      <c r="EK94" s="1588"/>
      <c r="EL94" s="1588"/>
      <c r="EM94" s="1588"/>
      <c r="EN94" s="1588"/>
      <c r="EO94" s="1588"/>
      <c r="EP94" s="1588"/>
      <c r="EQ94" s="1588"/>
      <c r="ER94" s="1588"/>
      <c r="ES94" s="1588"/>
      <c r="ET94" s="1588"/>
      <c r="EU94" s="1453"/>
      <c r="EV94" s="1454"/>
      <c r="EW94" s="1589"/>
    </row>
  </sheetData>
  <mergeCells count="214">
    <mergeCell ref="EX43:FA45"/>
    <mergeCell ref="FC43:FF45"/>
    <mergeCell ref="EX46:FA46"/>
    <mergeCell ref="FC46:FF46"/>
    <mergeCell ref="CM3:CY4"/>
    <mergeCell ref="CZ3:DL4"/>
    <mergeCell ref="EH3:ET4"/>
    <mergeCell ref="EU3:EW4"/>
    <mergeCell ref="CM5:CY6"/>
    <mergeCell ref="CZ5:DL6"/>
    <mergeCell ref="EH5:ET6"/>
    <mergeCell ref="EU5:EW6"/>
    <mergeCell ref="EU11:EW12"/>
    <mergeCell ref="CM13:CY14"/>
    <mergeCell ref="CZ13:DL14"/>
    <mergeCell ref="EH13:ET14"/>
    <mergeCell ref="EU13:EW14"/>
    <mergeCell ref="EU7:EW8"/>
    <mergeCell ref="EU9:EW10"/>
    <mergeCell ref="CM19:CY20"/>
    <mergeCell ref="CZ19:DL20"/>
    <mergeCell ref="EH19:ET20"/>
    <mergeCell ref="EU19:EW20"/>
    <mergeCell ref="CM21:CY22"/>
    <mergeCell ref="CM1:CY2"/>
    <mergeCell ref="DE1:DH2"/>
    <mergeCell ref="DJ1:DM1"/>
    <mergeCell ref="DO1:DR1"/>
    <mergeCell ref="DY1:EK2"/>
    <mergeCell ref="EL1:EN2"/>
    <mergeCell ref="CM11:CY12"/>
    <mergeCell ref="CZ11:DL12"/>
    <mergeCell ref="EH11:ET12"/>
    <mergeCell ref="CM7:CY8"/>
    <mergeCell ref="CZ7:DL8"/>
    <mergeCell ref="EH7:ET8"/>
    <mergeCell ref="CM9:CY10"/>
    <mergeCell ref="CZ9:DL10"/>
    <mergeCell ref="EH9:ET10"/>
    <mergeCell ref="EP1:ER2"/>
    <mergeCell ref="EO1:EO2"/>
    <mergeCell ref="CZ21:DL22"/>
    <mergeCell ref="EH21:ET22"/>
    <mergeCell ref="EU21:EW22"/>
    <mergeCell ref="CM15:CY16"/>
    <mergeCell ref="CZ15:DL16"/>
    <mergeCell ref="EH15:ET16"/>
    <mergeCell ref="EU15:EW16"/>
    <mergeCell ref="CM17:CY18"/>
    <mergeCell ref="CZ17:DL18"/>
    <mergeCell ref="EH17:ET18"/>
    <mergeCell ref="EU17:EW18"/>
    <mergeCell ref="CM27:CY28"/>
    <mergeCell ref="CZ27:DL28"/>
    <mergeCell ref="EH27:ET28"/>
    <mergeCell ref="EU27:EW28"/>
    <mergeCell ref="CM29:CY30"/>
    <mergeCell ref="CZ29:DL30"/>
    <mergeCell ref="EH29:ET30"/>
    <mergeCell ref="EU29:EW30"/>
    <mergeCell ref="CM23:CY24"/>
    <mergeCell ref="CZ23:DL24"/>
    <mergeCell ref="EH23:ET24"/>
    <mergeCell ref="EU23:EW24"/>
    <mergeCell ref="CM25:CY26"/>
    <mergeCell ref="CZ25:DL26"/>
    <mergeCell ref="EH25:ET26"/>
    <mergeCell ref="EU25:EW26"/>
    <mergeCell ref="CM35:CY36"/>
    <mergeCell ref="CZ35:DL36"/>
    <mergeCell ref="EH35:ET36"/>
    <mergeCell ref="EU35:EW36"/>
    <mergeCell ref="CM37:CY38"/>
    <mergeCell ref="CZ37:DL38"/>
    <mergeCell ref="EH37:ET38"/>
    <mergeCell ref="EU37:EW38"/>
    <mergeCell ref="CM31:CY32"/>
    <mergeCell ref="CZ31:DL32"/>
    <mergeCell ref="EH31:ET32"/>
    <mergeCell ref="EU31:EW32"/>
    <mergeCell ref="CM33:CY34"/>
    <mergeCell ref="CZ33:DL34"/>
    <mergeCell ref="EH33:ET34"/>
    <mergeCell ref="EU33:EW34"/>
    <mergeCell ref="CM43:CY44"/>
    <mergeCell ref="CZ43:DL44"/>
    <mergeCell ref="EH43:ET44"/>
    <mergeCell ref="EU43:EW44"/>
    <mergeCell ref="CM45:CY46"/>
    <mergeCell ref="CZ45:DL46"/>
    <mergeCell ref="EH45:ET46"/>
    <mergeCell ref="EU45:EW46"/>
    <mergeCell ref="CM39:CY40"/>
    <mergeCell ref="CZ39:DL40"/>
    <mergeCell ref="EH39:ET40"/>
    <mergeCell ref="EU39:EW40"/>
    <mergeCell ref="CM41:CY42"/>
    <mergeCell ref="CZ41:DL42"/>
    <mergeCell ref="EH41:ET42"/>
    <mergeCell ref="EU41:EW42"/>
    <mergeCell ref="CM51:CY52"/>
    <mergeCell ref="CZ51:DL52"/>
    <mergeCell ref="EH51:ET52"/>
    <mergeCell ref="EU51:EW52"/>
    <mergeCell ref="CM53:CY54"/>
    <mergeCell ref="CZ53:DL54"/>
    <mergeCell ref="EH53:ET54"/>
    <mergeCell ref="EU53:EW54"/>
    <mergeCell ref="CM47:CY48"/>
    <mergeCell ref="CZ47:DL48"/>
    <mergeCell ref="EH47:ET48"/>
    <mergeCell ref="EU47:EW48"/>
    <mergeCell ref="CM49:CY50"/>
    <mergeCell ref="CZ49:DL50"/>
    <mergeCell ref="EH49:ET50"/>
    <mergeCell ref="EU49:EW50"/>
    <mergeCell ref="CM59:CY60"/>
    <mergeCell ref="CZ59:DL60"/>
    <mergeCell ref="EH59:ET60"/>
    <mergeCell ref="EU59:EW60"/>
    <mergeCell ref="CM61:CY62"/>
    <mergeCell ref="CZ61:DL62"/>
    <mergeCell ref="EH61:ET62"/>
    <mergeCell ref="EU61:EW62"/>
    <mergeCell ref="CM55:CY56"/>
    <mergeCell ref="CZ55:DL56"/>
    <mergeCell ref="EH55:ET56"/>
    <mergeCell ref="EU55:EW56"/>
    <mergeCell ref="CM57:CY58"/>
    <mergeCell ref="CZ57:DL58"/>
    <mergeCell ref="EH57:ET58"/>
    <mergeCell ref="EU57:EW58"/>
    <mergeCell ref="CM67:CY68"/>
    <mergeCell ref="CZ67:DL68"/>
    <mergeCell ref="EH67:ET68"/>
    <mergeCell ref="EU67:EW68"/>
    <mergeCell ref="EU69:EW70"/>
    <mergeCell ref="EU71:EW72"/>
    <mergeCell ref="CM63:CY64"/>
    <mergeCell ref="CZ63:DL64"/>
    <mergeCell ref="EH63:ET64"/>
    <mergeCell ref="EU63:EW64"/>
    <mergeCell ref="CM65:CY66"/>
    <mergeCell ref="CZ65:DL66"/>
    <mergeCell ref="EH65:ET66"/>
    <mergeCell ref="EU65:EW66"/>
    <mergeCell ref="CM69:CY70"/>
    <mergeCell ref="CZ69:DL70"/>
    <mergeCell ref="EH69:ET70"/>
    <mergeCell ref="CM93:CY94"/>
    <mergeCell ref="CZ93:DL94"/>
    <mergeCell ref="EH93:ET94"/>
    <mergeCell ref="EU93:EW94"/>
    <mergeCell ref="EH83:ET84"/>
    <mergeCell ref="EU83:EW84"/>
    <mergeCell ref="CM85:CY86"/>
    <mergeCell ref="CZ85:DL86"/>
    <mergeCell ref="EH85:ET86"/>
    <mergeCell ref="EU85:EW86"/>
    <mergeCell ref="CM87:CY88"/>
    <mergeCell ref="CZ87:DL88"/>
    <mergeCell ref="EH87:ET88"/>
    <mergeCell ref="EU87:EW88"/>
    <mergeCell ref="EZ86:FD89"/>
    <mergeCell ref="FE86:FN87"/>
    <mergeCell ref="FE88:FN90"/>
    <mergeCell ref="EZ90:FD91"/>
    <mergeCell ref="FE91:FN92"/>
    <mergeCell ref="EZ92:FD92"/>
    <mergeCell ref="EZ84:FD84"/>
    <mergeCell ref="CM89:CY90"/>
    <mergeCell ref="CZ89:DL90"/>
    <mergeCell ref="CM83:CY84"/>
    <mergeCell ref="CZ83:DL84"/>
    <mergeCell ref="CM81:CY82"/>
    <mergeCell ref="CZ81:DL82"/>
    <mergeCell ref="EH89:ET90"/>
    <mergeCell ref="EU89:EW90"/>
    <mergeCell ref="CM91:CY92"/>
    <mergeCell ref="CZ91:DL92"/>
    <mergeCell ref="EH91:ET92"/>
    <mergeCell ref="EU91:EW92"/>
    <mergeCell ref="CM73:CY74"/>
    <mergeCell ref="CZ73:DL74"/>
    <mergeCell ref="EH73:ET74"/>
    <mergeCell ref="EU73:EW74"/>
    <mergeCell ref="CM75:CY76"/>
    <mergeCell ref="CZ75:DL76"/>
    <mergeCell ref="EH75:ET76"/>
    <mergeCell ref="EU75:EW76"/>
    <mergeCell ref="A1:AO3"/>
    <mergeCell ref="EX38:FA40"/>
    <mergeCell ref="EX41:FA41"/>
    <mergeCell ref="FC38:FF40"/>
    <mergeCell ref="FC41:FF41"/>
    <mergeCell ref="EX36:FF37"/>
    <mergeCell ref="EZ78:FD81"/>
    <mergeCell ref="FE78:FN79"/>
    <mergeCell ref="FE80:FN82"/>
    <mergeCell ref="EZ82:FD83"/>
    <mergeCell ref="FE83:FN84"/>
    <mergeCell ref="CM77:CY78"/>
    <mergeCell ref="CZ77:DL78"/>
    <mergeCell ref="EH77:ET78"/>
    <mergeCell ref="EU77:EW78"/>
    <mergeCell ref="CM79:CY80"/>
    <mergeCell ref="CZ79:DL80"/>
    <mergeCell ref="EH79:ET80"/>
    <mergeCell ref="EU79:EW80"/>
    <mergeCell ref="EH81:ET82"/>
    <mergeCell ref="EU81:EW82"/>
    <mergeCell ref="CM71:CY72"/>
    <mergeCell ref="CZ71:DL72"/>
    <mergeCell ref="EH71:ET72"/>
  </mergeCells>
  <conditionalFormatting sqref="EZ82">
    <cfRule type="expression" dxfId="116" priority="6">
      <formula>ISNUMBER($FC$79)</formula>
    </cfRule>
  </conditionalFormatting>
  <conditionalFormatting sqref="EZ86 EZ78">
    <cfRule type="cellIs" dxfId="115" priority="5" stopIfTrue="1" operator="equal">
      <formula>"Max"</formula>
    </cfRule>
  </conditionalFormatting>
  <conditionalFormatting sqref="EZ90:FD91">
    <cfRule type="expression" dxfId="114" priority="4" stopIfTrue="1">
      <formula>ISNUMBER($FC$87)</formula>
    </cfRule>
  </conditionalFormatting>
  <conditionalFormatting sqref="EX38">
    <cfRule type="cellIs" dxfId="113" priority="3" stopIfTrue="1" operator="between">
      <formula>0</formula>
      <formula>1000000</formula>
    </cfRule>
  </conditionalFormatting>
  <conditionalFormatting sqref="FC38">
    <cfRule type="cellIs" dxfId="112" priority="2" stopIfTrue="1" operator="between">
      <formula>0</formula>
      <formula>1000000</formula>
    </cfRule>
  </conditionalFormatting>
  <conditionalFormatting sqref="EX43 FC43">
    <cfRule type="cellIs" dxfId="111" priority="1" stopIfTrue="1" operator="between">
      <formula>0</formula>
      <formula>1000000</formula>
    </cfRule>
  </conditionalFormatting>
  <pageMargins left="0.5" right="0.5" top="0.5" bottom="0.5" header="0.3" footer="0.3"/>
  <pageSetup orientation="landscape" horizontalDpi="4294967293" verticalDpi="0"/>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rgb="FFCCFF99"/>
  </sheetPr>
  <dimension ref="A1:FF152"/>
  <sheetViews>
    <sheetView showGridLines="0" topLeftCell="AE1" zoomScale="140" zoomScaleNormal="140" zoomScalePageLayoutView="140" workbookViewId="0">
      <selection activeCell="AO25" sqref="AO25:AS26"/>
    </sheetView>
  </sheetViews>
  <sheetFormatPr defaultColWidth="1.42578125" defaultRowHeight="7.5" customHeight="1" x14ac:dyDescent="0.25"/>
  <cols>
    <col min="1" max="16384" width="1.42578125" style="119"/>
  </cols>
  <sheetData>
    <row r="1" spans="1:146" ht="7.5" customHeight="1" x14ac:dyDescent="0.25">
      <c r="A1" s="1695"/>
      <c r="B1" s="1695"/>
      <c r="C1" s="1695"/>
      <c r="D1" s="1695"/>
      <c r="E1" s="1695"/>
      <c r="F1" s="1695"/>
      <c r="G1" s="1695"/>
      <c r="H1" s="1695"/>
      <c r="I1" s="1695"/>
      <c r="J1" s="1695"/>
      <c r="K1" s="1695"/>
      <c r="L1" s="1695"/>
      <c r="M1" s="1695"/>
      <c r="N1" s="1695"/>
      <c r="O1" s="1695"/>
      <c r="P1" s="1695"/>
      <c r="Q1" s="158"/>
      <c r="R1" s="1697"/>
      <c r="S1" s="1697"/>
      <c r="T1" s="1697"/>
      <c r="U1" s="1697"/>
      <c r="V1" s="1697"/>
      <c r="W1" s="1697"/>
      <c r="X1" s="1697"/>
      <c r="Y1" s="1697"/>
      <c r="Z1" s="159"/>
      <c r="AA1" s="159"/>
      <c r="AB1" s="160"/>
      <c r="AC1" s="1697"/>
      <c r="AD1" s="1697"/>
      <c r="AE1" s="1697"/>
      <c r="AF1" s="1697"/>
      <c r="AG1" s="1697"/>
      <c r="AH1" s="1697"/>
      <c r="AI1" s="1697"/>
      <c r="AJ1" s="1697"/>
      <c r="AK1" s="1697"/>
      <c r="AL1" s="1697"/>
      <c r="AN1" s="1686"/>
      <c r="AO1" s="1686"/>
      <c r="AP1" s="1686"/>
      <c r="AQ1" s="1686"/>
      <c r="AR1" s="1686"/>
      <c r="AS1" s="1686"/>
      <c r="AT1" s="17"/>
      <c r="AU1" s="1686"/>
      <c r="AV1" s="1686"/>
      <c r="AW1" s="1686"/>
      <c r="AX1" s="1686"/>
      <c r="AY1" s="1686"/>
      <c r="AZ1" s="1686"/>
      <c r="BB1" s="987" t="s">
        <v>510</v>
      </c>
      <c r="BC1" s="987"/>
      <c r="BD1" s="987"/>
      <c r="BE1" s="987"/>
      <c r="BF1" s="987"/>
      <c r="BG1" s="987"/>
      <c r="BH1" s="987"/>
      <c r="BI1" s="987"/>
      <c r="BJ1" s="987"/>
      <c r="BK1" s="987"/>
      <c r="BL1" s="987"/>
      <c r="BM1" s="987"/>
      <c r="BN1" s="987"/>
      <c r="BO1" s="987"/>
      <c r="BP1" s="987"/>
      <c r="BQ1" s="987"/>
      <c r="BR1" s="987"/>
      <c r="BS1" s="987"/>
      <c r="BT1" s="987"/>
      <c r="BU1" s="987"/>
      <c r="BV1" s="161"/>
      <c r="BW1" s="1688" t="s">
        <v>195</v>
      </c>
      <c r="BX1" s="1688"/>
      <c r="BY1" s="1688"/>
      <c r="BZ1" s="1688"/>
      <c r="CA1" s="1688"/>
      <c r="CB1" s="1691" t="s">
        <v>511</v>
      </c>
      <c r="CC1" s="1691"/>
      <c r="CD1" s="1691"/>
      <c r="CE1" s="1691"/>
      <c r="CF1" s="1691"/>
      <c r="CG1" s="1691"/>
      <c r="CH1" s="1691"/>
      <c r="CI1" s="1691"/>
      <c r="CJ1" s="1691"/>
      <c r="CK1" s="1691"/>
    </row>
    <row r="2" spans="1:146" ht="7.5" customHeight="1" x14ac:dyDescent="0.25">
      <c r="A2" s="1696"/>
      <c r="B2" s="1696"/>
      <c r="C2" s="1696"/>
      <c r="D2" s="1696"/>
      <c r="E2" s="1696"/>
      <c r="F2" s="1696"/>
      <c r="G2" s="1696"/>
      <c r="H2" s="1696"/>
      <c r="I2" s="1696"/>
      <c r="J2" s="1696"/>
      <c r="K2" s="1696"/>
      <c r="L2" s="1696"/>
      <c r="M2" s="1696"/>
      <c r="N2" s="1696"/>
      <c r="O2" s="1696"/>
      <c r="P2" s="1696"/>
      <c r="Q2" s="160"/>
      <c r="R2" s="1698"/>
      <c r="S2" s="1698"/>
      <c r="T2" s="1698"/>
      <c r="U2" s="1698"/>
      <c r="V2" s="1698"/>
      <c r="W2" s="1698"/>
      <c r="X2" s="1698"/>
      <c r="Y2" s="1698"/>
      <c r="Z2" s="162"/>
      <c r="AA2" s="162"/>
      <c r="AB2" s="160"/>
      <c r="AC2" s="1698"/>
      <c r="AD2" s="1698"/>
      <c r="AE2" s="1698"/>
      <c r="AF2" s="1698"/>
      <c r="AG2" s="1698"/>
      <c r="AH2" s="1698"/>
      <c r="AI2" s="1698"/>
      <c r="AJ2" s="1698"/>
      <c r="AK2" s="1698"/>
      <c r="AL2" s="1698"/>
      <c r="AN2" s="1687"/>
      <c r="AO2" s="1687"/>
      <c r="AP2" s="1687"/>
      <c r="AQ2" s="1687"/>
      <c r="AR2" s="1687"/>
      <c r="AS2" s="1687"/>
      <c r="AT2" s="17"/>
      <c r="AU2" s="1687"/>
      <c r="AV2" s="1687"/>
      <c r="AW2" s="1687"/>
      <c r="AX2" s="1687"/>
      <c r="AY2" s="1687"/>
      <c r="AZ2" s="1687"/>
      <c r="BB2" s="988"/>
      <c r="BC2" s="988"/>
      <c r="BD2" s="988"/>
      <c r="BE2" s="988"/>
      <c r="BF2" s="988"/>
      <c r="BG2" s="988"/>
      <c r="BH2" s="988"/>
      <c r="BI2" s="988"/>
      <c r="BJ2" s="988"/>
      <c r="BK2" s="988"/>
      <c r="BL2" s="988"/>
      <c r="BM2" s="988"/>
      <c r="BN2" s="988"/>
      <c r="BO2" s="988"/>
      <c r="BP2" s="988"/>
      <c r="BQ2" s="988"/>
      <c r="BR2" s="988"/>
      <c r="BS2" s="988"/>
      <c r="BT2" s="988"/>
      <c r="BU2" s="988"/>
      <c r="BV2" s="161"/>
      <c r="BW2" s="1689"/>
      <c r="BX2" s="1689"/>
      <c r="BY2" s="1689"/>
      <c r="BZ2" s="1689"/>
      <c r="CA2" s="1689"/>
      <c r="CB2" s="1692"/>
      <c r="CC2" s="1692"/>
      <c r="CD2" s="1692"/>
      <c r="CE2" s="1692"/>
      <c r="CF2" s="1692"/>
      <c r="CG2" s="1692"/>
      <c r="CH2" s="1692"/>
      <c r="CI2" s="1692"/>
      <c r="CJ2" s="1692"/>
      <c r="CK2" s="1692"/>
    </row>
    <row r="3" spans="1:146" ht="7.5" customHeight="1" x14ac:dyDescent="0.25">
      <c r="A3" s="1693" t="s">
        <v>55</v>
      </c>
      <c r="B3" s="1693"/>
      <c r="C3" s="1693"/>
      <c r="D3" s="1693"/>
      <c r="E3" s="1693"/>
      <c r="F3" s="1693"/>
      <c r="G3" s="1693"/>
      <c r="H3" s="1693"/>
      <c r="I3" s="1693"/>
      <c r="J3" s="1693"/>
      <c r="K3" s="1693"/>
      <c r="L3" s="1693"/>
      <c r="M3" s="1693"/>
      <c r="N3" s="1693"/>
      <c r="O3" s="1693"/>
      <c r="P3" s="1693"/>
      <c r="Q3" s="163"/>
      <c r="R3" s="1694" t="s">
        <v>19</v>
      </c>
      <c r="S3" s="1694"/>
      <c r="T3" s="1694"/>
      <c r="U3" s="1694"/>
      <c r="V3" s="1694"/>
      <c r="W3" s="1694"/>
      <c r="X3" s="1694"/>
      <c r="Y3" s="1694"/>
      <c r="Z3" s="1694"/>
      <c r="AA3" s="1694"/>
      <c r="AB3" s="163"/>
      <c r="AC3" s="1693" t="s">
        <v>50</v>
      </c>
      <c r="AD3" s="1693"/>
      <c r="AE3" s="1693"/>
      <c r="AF3" s="1693"/>
      <c r="AG3" s="1693"/>
      <c r="AH3" s="1693"/>
      <c r="AI3" s="1693"/>
      <c r="AJ3" s="1693"/>
      <c r="AK3" s="1693"/>
      <c r="AL3" s="1693"/>
      <c r="AN3" s="1693" t="s">
        <v>82</v>
      </c>
      <c r="AO3" s="1693"/>
      <c r="AP3" s="1693"/>
      <c r="AQ3" s="1693"/>
      <c r="AR3" s="1693"/>
      <c r="AS3" s="1693"/>
      <c r="AT3" s="17"/>
      <c r="AU3" s="1693" t="s">
        <v>100</v>
      </c>
      <c r="AV3" s="1693"/>
      <c r="AW3" s="1693"/>
      <c r="AX3" s="1693"/>
      <c r="AY3" s="1693"/>
      <c r="AZ3" s="1693"/>
      <c r="BB3" s="999" t="s">
        <v>34</v>
      </c>
      <c r="BC3" s="1626"/>
      <c r="BD3" s="1626"/>
      <c r="BE3" s="1626"/>
      <c r="BF3" s="1627"/>
      <c r="BG3" s="999" t="s">
        <v>440</v>
      </c>
      <c r="BH3" s="1626"/>
      <c r="BI3" s="1626"/>
      <c r="BJ3" s="1626"/>
      <c r="BK3" s="1627"/>
      <c r="BL3" s="999" t="s">
        <v>17</v>
      </c>
      <c r="BM3" s="1626"/>
      <c r="BN3" s="1626"/>
      <c r="BO3" s="1626"/>
      <c r="BP3" s="1627"/>
      <c r="BQ3" s="999" t="s">
        <v>46</v>
      </c>
      <c r="BR3" s="1626"/>
      <c r="BS3" s="1626"/>
      <c r="BT3" s="1626"/>
      <c r="BU3" s="1627"/>
      <c r="BV3" s="164"/>
      <c r="BW3" s="1689"/>
      <c r="BX3" s="1689"/>
      <c r="BY3" s="1689"/>
      <c r="BZ3" s="1689"/>
      <c r="CA3" s="1689"/>
      <c r="CB3" s="1685" t="s">
        <v>16</v>
      </c>
      <c r="CC3" s="1685"/>
      <c r="CD3" s="1685"/>
      <c r="CE3" s="1685"/>
      <c r="CF3" s="1685"/>
      <c r="CG3" s="1685"/>
      <c r="CH3" s="1685"/>
      <c r="CI3" s="1685"/>
      <c r="CJ3" s="1685"/>
      <c r="CK3" s="1685"/>
      <c r="CP3" s="17"/>
      <c r="CQ3" s="17"/>
      <c r="CR3" s="17"/>
      <c r="CS3" s="17"/>
      <c r="CT3" s="17"/>
      <c r="CU3" s="17"/>
      <c r="CV3" s="17"/>
      <c r="CW3" s="17"/>
      <c r="CX3" s="17"/>
      <c r="CY3" s="17"/>
      <c r="CZ3" s="17"/>
      <c r="DA3" s="17"/>
      <c r="DB3" s="17"/>
      <c r="DC3" s="17"/>
      <c r="DD3" s="17"/>
      <c r="DE3" s="17"/>
      <c r="DF3" s="17"/>
      <c r="DG3" s="17"/>
      <c r="DH3" s="17"/>
      <c r="DI3" s="17"/>
      <c r="DJ3" s="17"/>
      <c r="DK3" s="17"/>
      <c r="DL3" s="17"/>
      <c r="DM3" s="17"/>
      <c r="DN3" s="17"/>
      <c r="DO3" s="17"/>
      <c r="DP3" s="17"/>
      <c r="DQ3" s="17"/>
      <c r="DR3" s="17"/>
      <c r="DS3" s="17"/>
      <c r="DT3" s="17"/>
      <c r="DU3" s="17"/>
      <c r="DV3" s="17"/>
      <c r="DW3" s="17"/>
      <c r="DX3" s="17"/>
      <c r="DY3" s="17"/>
      <c r="DZ3" s="17"/>
      <c r="EA3" s="17"/>
      <c r="EB3" s="17"/>
      <c r="EC3" s="17"/>
      <c r="ED3" s="17"/>
      <c r="EE3" s="17"/>
      <c r="EF3" s="17"/>
      <c r="EG3" s="17"/>
      <c r="EH3" s="17"/>
      <c r="EI3" s="17"/>
      <c r="EJ3" s="17"/>
      <c r="EK3" s="17"/>
      <c r="EL3" s="17"/>
      <c r="EM3" s="17"/>
      <c r="EN3" s="17"/>
      <c r="EO3" s="17"/>
      <c r="EP3" s="17"/>
    </row>
    <row r="4" spans="1:146" ht="7.5" customHeight="1" thickBot="1" x14ac:dyDescent="0.3">
      <c r="A4" s="1686"/>
      <c r="B4" s="1686"/>
      <c r="C4" s="1686"/>
      <c r="D4" s="1686"/>
      <c r="E4" s="1686"/>
      <c r="F4" s="1686"/>
      <c r="G4" s="1686"/>
      <c r="H4" s="1686"/>
      <c r="I4" s="1686"/>
      <c r="J4" s="1686"/>
      <c r="K4" s="180"/>
      <c r="L4" s="180"/>
      <c r="M4" s="180"/>
      <c r="N4" s="180"/>
      <c r="O4" s="180"/>
      <c r="P4" s="180"/>
      <c r="AI4" s="160"/>
      <c r="AO4" s="17"/>
      <c r="AP4" s="17"/>
      <c r="AQ4" s="17"/>
      <c r="AR4" s="17"/>
      <c r="AS4" s="17"/>
      <c r="AT4" s="17"/>
      <c r="AU4" s="17"/>
      <c r="AV4" s="17"/>
      <c r="AW4" s="17"/>
      <c r="AX4" s="17"/>
      <c r="AY4" s="17"/>
      <c r="AZ4" s="17"/>
      <c r="BB4" s="1628"/>
      <c r="BC4" s="1629"/>
      <c r="BD4" s="1629"/>
      <c r="BE4" s="1629"/>
      <c r="BF4" s="1630"/>
      <c r="BG4" s="1628"/>
      <c r="BH4" s="1629"/>
      <c r="BI4" s="1629"/>
      <c r="BJ4" s="1629"/>
      <c r="BK4" s="1630"/>
      <c r="BL4" s="1628"/>
      <c r="BM4" s="1629"/>
      <c r="BN4" s="1629"/>
      <c r="BO4" s="1629"/>
      <c r="BP4" s="1630"/>
      <c r="BQ4" s="1628"/>
      <c r="BR4" s="1629"/>
      <c r="BS4" s="1629"/>
      <c r="BT4" s="1629"/>
      <c r="BU4" s="1630"/>
      <c r="BV4" s="164"/>
      <c r="BW4" s="1690"/>
      <c r="BX4" s="1690"/>
      <c r="BY4" s="1690"/>
      <c r="BZ4" s="1690"/>
      <c r="CA4" s="1690"/>
      <c r="CB4" s="1685"/>
      <c r="CC4" s="1685"/>
      <c r="CD4" s="1685"/>
      <c r="CE4" s="1685"/>
      <c r="CF4" s="1685"/>
      <c r="CG4" s="1685"/>
      <c r="CH4" s="1685"/>
      <c r="CI4" s="1685"/>
      <c r="CJ4" s="1685"/>
      <c r="CK4" s="1685"/>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row>
    <row r="5" spans="1:146" ht="7.5" customHeight="1" x14ac:dyDescent="0.25">
      <c r="A5" s="1687"/>
      <c r="B5" s="1687"/>
      <c r="C5" s="1687"/>
      <c r="D5" s="1687"/>
      <c r="E5" s="1687"/>
      <c r="F5" s="1687"/>
      <c r="G5" s="1687"/>
      <c r="H5" s="1687"/>
      <c r="I5" s="1687"/>
      <c r="J5" s="1687"/>
      <c r="K5" s="17"/>
      <c r="L5" s="1679" t="s">
        <v>449</v>
      </c>
      <c r="M5" s="1679"/>
      <c r="N5" s="1679"/>
      <c r="O5" s="1679"/>
      <c r="P5" s="1679"/>
      <c r="Q5" s="1679"/>
      <c r="R5" s="1679"/>
      <c r="S5" s="1679"/>
      <c r="T5" s="1679"/>
      <c r="U5" s="1679"/>
      <c r="V5" s="1679"/>
      <c r="W5" s="1679"/>
      <c r="X5" s="1679"/>
      <c r="Y5" s="1679"/>
      <c r="Z5" s="1679" t="s">
        <v>0</v>
      </c>
      <c r="AA5" s="1679"/>
      <c r="AB5" s="1679"/>
      <c r="AC5" s="1679"/>
      <c r="AD5" s="1681"/>
      <c r="AE5" s="1683" t="s">
        <v>450</v>
      </c>
      <c r="AF5" s="1683"/>
      <c r="AG5" s="1683"/>
      <c r="AH5" s="1683"/>
      <c r="AI5" s="1683"/>
      <c r="AJ5" s="1683" t="s">
        <v>451</v>
      </c>
      <c r="AK5" s="1683"/>
      <c r="AL5" s="1683"/>
      <c r="AM5" s="1683"/>
      <c r="AN5" s="1679"/>
      <c r="AO5" s="1679" t="s">
        <v>441</v>
      </c>
      <c r="AP5" s="1679"/>
      <c r="AQ5" s="1679"/>
      <c r="AR5" s="1679"/>
      <c r="AS5" s="1679"/>
      <c r="AT5" s="1679"/>
      <c r="AU5" s="1679" t="s">
        <v>452</v>
      </c>
      <c r="AV5" s="1679"/>
      <c r="AW5" s="1679"/>
      <c r="AX5" s="1679"/>
      <c r="AY5" s="1679"/>
      <c r="AZ5" s="1679"/>
      <c r="BB5" s="992"/>
      <c r="BC5" s="993"/>
      <c r="BD5" s="993"/>
      <c r="BE5" s="993"/>
      <c r="BF5" s="994"/>
      <c r="BG5" s="992"/>
      <c r="BH5" s="993"/>
      <c r="BI5" s="993"/>
      <c r="BJ5" s="993"/>
      <c r="BK5" s="994"/>
      <c r="BL5" s="992"/>
      <c r="BM5" s="993"/>
      <c r="BN5" s="993"/>
      <c r="BO5" s="993"/>
      <c r="BP5" s="994"/>
      <c r="BQ5" s="992"/>
      <c r="BR5" s="993"/>
      <c r="BS5" s="993"/>
      <c r="BT5" s="993"/>
      <c r="BU5" s="994"/>
      <c r="BV5" s="164"/>
      <c r="BW5" s="1706"/>
      <c r="BX5" s="1706"/>
      <c r="BY5" s="1706"/>
      <c r="BZ5" s="1706"/>
      <c r="CA5" s="1706"/>
      <c r="CB5" s="1685"/>
      <c r="CC5" s="1685"/>
      <c r="CD5" s="1685"/>
      <c r="CE5" s="1685"/>
      <c r="CF5" s="1685"/>
      <c r="CG5" s="1685"/>
      <c r="CH5" s="1685"/>
      <c r="CI5" s="1685"/>
      <c r="CJ5" s="1685"/>
      <c r="CK5" s="1685"/>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row>
    <row r="6" spans="1:146" ht="7.5" customHeight="1" thickBot="1" x14ac:dyDescent="0.3">
      <c r="A6" s="1708" t="s">
        <v>26</v>
      </c>
      <c r="B6" s="1708"/>
      <c r="C6" s="1708"/>
      <c r="D6" s="1708"/>
      <c r="E6" s="1708"/>
      <c r="F6" s="1708"/>
      <c r="G6" s="1708"/>
      <c r="H6" s="1708"/>
      <c r="I6" s="1708"/>
      <c r="J6" s="1708"/>
      <c r="K6" s="17"/>
      <c r="L6" s="1680"/>
      <c r="M6" s="1680"/>
      <c r="N6" s="1680"/>
      <c r="O6" s="1680"/>
      <c r="P6" s="1680"/>
      <c r="Q6" s="1680"/>
      <c r="R6" s="1680"/>
      <c r="S6" s="1680"/>
      <c r="T6" s="1680"/>
      <c r="U6" s="1680"/>
      <c r="V6" s="1680"/>
      <c r="W6" s="1680"/>
      <c r="X6" s="1680"/>
      <c r="Y6" s="1680"/>
      <c r="Z6" s="1680"/>
      <c r="AA6" s="1680"/>
      <c r="AB6" s="1680"/>
      <c r="AC6" s="1680"/>
      <c r="AD6" s="1682"/>
      <c r="AE6" s="1684"/>
      <c r="AF6" s="1684"/>
      <c r="AG6" s="1684"/>
      <c r="AH6" s="1684"/>
      <c r="AI6" s="1684"/>
      <c r="AJ6" s="1684"/>
      <c r="AK6" s="1684"/>
      <c r="AL6" s="1684"/>
      <c r="AM6" s="1684"/>
      <c r="AN6" s="1680"/>
      <c r="AO6" s="1680"/>
      <c r="AP6" s="1680"/>
      <c r="AQ6" s="1680"/>
      <c r="AR6" s="1680"/>
      <c r="AS6" s="1680"/>
      <c r="AT6" s="1680"/>
      <c r="AU6" s="1680"/>
      <c r="AV6" s="1680"/>
      <c r="AW6" s="1680"/>
      <c r="AX6" s="1680"/>
      <c r="AY6" s="1680"/>
      <c r="AZ6" s="1680"/>
      <c r="BB6" s="995"/>
      <c r="BC6" s="1631"/>
      <c r="BD6" s="1631"/>
      <c r="BE6" s="1631"/>
      <c r="BF6" s="1632"/>
      <c r="BG6" s="995"/>
      <c r="BH6" s="1631"/>
      <c r="BI6" s="1631"/>
      <c r="BJ6" s="1631"/>
      <c r="BK6" s="1632"/>
      <c r="BL6" s="995"/>
      <c r="BM6" s="1631"/>
      <c r="BN6" s="1631"/>
      <c r="BO6" s="1631"/>
      <c r="BP6" s="1632"/>
      <c r="BQ6" s="995"/>
      <c r="BR6" s="1631"/>
      <c r="BS6" s="1631"/>
      <c r="BT6" s="1631"/>
      <c r="BU6" s="1632"/>
      <c r="BV6" s="164"/>
      <c r="BW6" s="1707"/>
      <c r="BX6" s="1707"/>
      <c r="BY6" s="1707"/>
      <c r="BZ6" s="1707"/>
      <c r="CA6" s="1707"/>
      <c r="CB6" s="1699" t="s">
        <v>448</v>
      </c>
      <c r="CC6" s="1699"/>
      <c r="CD6" s="1699"/>
      <c r="CE6" s="1699"/>
      <c r="CF6" s="1699"/>
      <c r="CG6" s="1699"/>
      <c r="CH6" s="1699"/>
      <c r="CI6" s="1699"/>
      <c r="CJ6" s="1699"/>
      <c r="CK6" s="1699"/>
      <c r="CP6" s="17"/>
      <c r="CQ6" s="17"/>
      <c r="CR6" s="17"/>
      <c r="CS6" s="17"/>
      <c r="CT6" s="17"/>
      <c r="CU6" s="17"/>
      <c r="CV6" s="17"/>
      <c r="CW6" s="17"/>
      <c r="CX6" s="17"/>
      <c r="CY6" s="17"/>
      <c r="CZ6" s="17"/>
      <c r="DA6" s="17"/>
      <c r="DB6" s="17"/>
      <c r="DC6" s="17"/>
      <c r="DD6" s="17"/>
      <c r="DE6" s="17"/>
      <c r="DF6" s="17"/>
      <c r="DG6" s="17"/>
      <c r="DH6" s="17"/>
      <c r="DI6" s="17"/>
      <c r="DJ6" s="17"/>
      <c r="DK6" s="17"/>
      <c r="DL6" s="17"/>
      <c r="DM6" s="17"/>
      <c r="DN6" s="17"/>
      <c r="DO6" s="17"/>
      <c r="DP6" s="17"/>
      <c r="DQ6" s="17"/>
      <c r="DR6" s="17"/>
      <c r="DS6" s="17"/>
      <c r="DT6" s="17"/>
      <c r="DU6" s="17"/>
      <c r="DV6" s="17"/>
      <c r="DW6" s="17"/>
      <c r="DX6" s="17"/>
      <c r="DY6" s="17"/>
      <c r="DZ6" s="17"/>
      <c r="EA6" s="17"/>
      <c r="EB6" s="17"/>
      <c r="EC6" s="17"/>
      <c r="ED6" s="17"/>
      <c r="EE6" s="17"/>
      <c r="EF6" s="17"/>
      <c r="EG6" s="17"/>
      <c r="EH6" s="17"/>
      <c r="EI6" s="17"/>
      <c r="EJ6" s="17"/>
      <c r="EK6" s="17"/>
      <c r="EL6" s="17"/>
      <c r="EM6" s="17"/>
      <c r="EN6" s="17"/>
      <c r="EO6" s="17"/>
      <c r="EP6" s="17"/>
    </row>
    <row r="7" spans="1:146" ht="7.5" customHeight="1" thickBot="1" x14ac:dyDescent="0.3">
      <c r="A7" s="1701"/>
      <c r="B7" s="1701"/>
      <c r="C7" s="1702" t="s">
        <v>0</v>
      </c>
      <c r="D7" s="1702"/>
      <c r="E7" s="1702"/>
      <c r="F7" s="1702"/>
      <c r="H7" s="1704" t="s">
        <v>20</v>
      </c>
      <c r="I7" s="1704"/>
      <c r="J7" s="1704"/>
      <c r="L7" s="1716"/>
      <c r="M7" s="1717"/>
      <c r="N7" s="1717"/>
      <c r="O7" s="1717"/>
      <c r="P7" s="1717"/>
      <c r="Q7" s="1717"/>
      <c r="R7" s="1717"/>
      <c r="S7" s="1717"/>
      <c r="T7" s="1717"/>
      <c r="U7" s="1717"/>
      <c r="V7" s="1717"/>
      <c r="W7" s="1717"/>
      <c r="X7" s="1717"/>
      <c r="Y7" s="1717"/>
      <c r="Z7" s="1717"/>
      <c r="AA7" s="1717"/>
      <c r="AB7" s="1717"/>
      <c r="AC7" s="1717"/>
      <c r="AD7" s="1718"/>
      <c r="AE7" s="1719"/>
      <c r="AF7" s="1720"/>
      <c r="AG7" s="1720"/>
      <c r="AH7" s="1721"/>
      <c r="AI7" s="1722"/>
      <c r="AJ7" s="1719"/>
      <c r="AK7" s="1720"/>
      <c r="AL7" s="1720"/>
      <c r="AM7" s="1721"/>
      <c r="AN7" s="1712"/>
      <c r="AO7" s="1713"/>
      <c r="AP7" s="1713"/>
      <c r="AQ7" s="1713"/>
      <c r="AR7" s="1713"/>
      <c r="AS7" s="1713"/>
      <c r="AT7" s="1714"/>
      <c r="AU7" s="1713"/>
      <c r="AV7" s="1713"/>
      <c r="AW7" s="1713"/>
      <c r="AX7" s="1713"/>
      <c r="AY7" s="1713"/>
      <c r="AZ7" s="1715"/>
      <c r="BB7" s="998"/>
      <c r="BC7" s="998"/>
      <c r="BD7" s="998"/>
      <c r="BE7" s="998"/>
      <c r="BF7" s="998"/>
      <c r="BG7" s="294"/>
      <c r="BH7" s="294"/>
      <c r="BI7" s="294"/>
      <c r="BJ7" s="294"/>
      <c r="BK7" s="295"/>
      <c r="BL7" s="39"/>
      <c r="BM7" s="39"/>
      <c r="BN7" s="39"/>
      <c r="BO7" s="39"/>
      <c r="BP7" s="39"/>
      <c r="BQ7" s="1066"/>
      <c r="BR7" s="1066"/>
      <c r="BS7" s="1066"/>
      <c r="BT7" s="1066"/>
      <c r="BU7" s="1066"/>
      <c r="BV7" s="164"/>
      <c r="BW7" s="1709" t="s">
        <v>79</v>
      </c>
      <c r="BX7" s="1710"/>
      <c r="BY7" s="1710"/>
      <c r="BZ7" s="1710"/>
      <c r="CA7" s="1710"/>
      <c r="CB7" s="1700"/>
      <c r="CC7" s="1700"/>
      <c r="CD7" s="1700"/>
      <c r="CE7" s="1700"/>
      <c r="CF7" s="1700"/>
      <c r="CG7" s="1700"/>
      <c r="CH7" s="1700"/>
      <c r="CI7" s="1700"/>
      <c r="CJ7" s="1700"/>
      <c r="CK7" s="1700"/>
      <c r="CP7" s="17"/>
      <c r="CQ7" s="17"/>
      <c r="CR7" s="17"/>
      <c r="CS7" s="17"/>
      <c r="CT7" s="17"/>
      <c r="CU7" s="17"/>
      <c r="CV7" s="17"/>
      <c r="CW7" s="17"/>
      <c r="CX7" s="17"/>
      <c r="CY7" s="17"/>
      <c r="CZ7" s="17"/>
      <c r="DA7" s="17"/>
      <c r="DB7" s="17"/>
      <c r="DC7" s="17"/>
      <c r="DD7" s="17"/>
      <c r="DE7" s="17"/>
      <c r="DF7" s="17"/>
      <c r="DG7" s="17"/>
      <c r="DH7" s="17"/>
      <c r="DI7" s="17"/>
      <c r="DJ7" s="17"/>
      <c r="DK7" s="17"/>
      <c r="DL7" s="17"/>
      <c r="DM7" s="17"/>
      <c r="DN7" s="17"/>
      <c r="DO7" s="17"/>
      <c r="DP7" s="17"/>
      <c r="DQ7" s="17"/>
      <c r="DR7" s="17"/>
      <c r="DS7" s="17"/>
      <c r="DT7" s="17"/>
      <c r="DU7" s="17"/>
      <c r="DV7" s="17"/>
      <c r="DW7" s="17"/>
      <c r="DX7" s="17"/>
      <c r="DY7" s="17"/>
      <c r="DZ7" s="17"/>
      <c r="EA7" s="17"/>
      <c r="EB7" s="17"/>
      <c r="EC7" s="17"/>
      <c r="ED7" s="17"/>
      <c r="EE7" s="17"/>
      <c r="EF7" s="17"/>
      <c r="EG7" s="17"/>
      <c r="EH7" s="17"/>
      <c r="EI7" s="17"/>
      <c r="EJ7" s="17"/>
      <c r="EK7" s="17"/>
      <c r="EL7" s="17"/>
      <c r="EM7" s="17"/>
      <c r="EN7" s="17"/>
      <c r="EO7" s="17"/>
      <c r="EP7" s="17"/>
    </row>
    <row r="8" spans="1:146" ht="7.5" customHeight="1" thickTop="1" thickBot="1" x14ac:dyDescent="0.3">
      <c r="A8" s="1701"/>
      <c r="B8" s="1701"/>
      <c r="C8" s="1703"/>
      <c r="D8" s="1703"/>
      <c r="E8" s="1703"/>
      <c r="F8" s="1703"/>
      <c r="H8" s="1705"/>
      <c r="I8" s="1705"/>
      <c r="J8" s="1705"/>
      <c r="L8" s="1672"/>
      <c r="M8" s="1673"/>
      <c r="N8" s="1673"/>
      <c r="O8" s="1673"/>
      <c r="P8" s="1673"/>
      <c r="Q8" s="1673"/>
      <c r="R8" s="1673"/>
      <c r="S8" s="1673"/>
      <c r="T8" s="1673"/>
      <c r="U8" s="1673"/>
      <c r="V8" s="1673"/>
      <c r="W8" s="1673"/>
      <c r="X8" s="1673"/>
      <c r="Y8" s="1673"/>
      <c r="Z8" s="1673"/>
      <c r="AA8" s="1673"/>
      <c r="AB8" s="1673"/>
      <c r="AC8" s="1673"/>
      <c r="AD8" s="1674"/>
      <c r="AE8" s="1675"/>
      <c r="AF8" s="1676"/>
      <c r="AG8" s="1676"/>
      <c r="AH8" s="1677"/>
      <c r="AI8" s="1678"/>
      <c r="AJ8" s="1675"/>
      <c r="AK8" s="1676"/>
      <c r="AL8" s="1676"/>
      <c r="AM8" s="1677"/>
      <c r="AN8" s="1668"/>
      <c r="AO8" s="1669"/>
      <c r="AP8" s="1669"/>
      <c r="AQ8" s="1669"/>
      <c r="AR8" s="1669"/>
      <c r="AS8" s="1669"/>
      <c r="AT8" s="1670"/>
      <c r="AU8" s="1669"/>
      <c r="AV8" s="1669"/>
      <c r="AW8" s="1669"/>
      <c r="AX8" s="1669"/>
      <c r="AY8" s="1669"/>
      <c r="AZ8" s="1671"/>
      <c r="BB8" s="1177"/>
      <c r="BC8" s="1052"/>
      <c r="BD8" s="1052"/>
      <c r="BE8" s="1052"/>
      <c r="BF8" s="1052"/>
      <c r="BG8" s="1052"/>
      <c r="BH8" s="1052"/>
      <c r="BI8" s="1052"/>
      <c r="BJ8" s="1052"/>
      <c r="BK8" s="1053"/>
      <c r="BL8" s="1051"/>
      <c r="BM8" s="1052"/>
      <c r="BN8" s="1052"/>
      <c r="BO8" s="1052"/>
      <c r="BP8" s="1052"/>
      <c r="BQ8" s="1052"/>
      <c r="BR8" s="1052"/>
      <c r="BS8" s="1052"/>
      <c r="BT8" s="1052"/>
      <c r="BU8" s="1634"/>
      <c r="BV8" s="164"/>
      <c r="BW8" s="1711"/>
      <c r="BX8" s="1711"/>
      <c r="BY8" s="1711"/>
      <c r="BZ8" s="1711"/>
      <c r="CA8" s="1711"/>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row>
    <row r="9" spans="1:146" ht="7.5" customHeight="1" thickTop="1" x14ac:dyDescent="0.25">
      <c r="L9" s="1672"/>
      <c r="M9" s="1673"/>
      <c r="N9" s="1673"/>
      <c r="O9" s="1673"/>
      <c r="P9" s="1673"/>
      <c r="Q9" s="1673"/>
      <c r="R9" s="1673"/>
      <c r="S9" s="1673"/>
      <c r="T9" s="1673"/>
      <c r="U9" s="1673"/>
      <c r="V9" s="1673"/>
      <c r="W9" s="1673"/>
      <c r="X9" s="1673"/>
      <c r="Y9" s="1673"/>
      <c r="Z9" s="1673"/>
      <c r="AA9" s="1673"/>
      <c r="AB9" s="1673"/>
      <c r="AC9" s="1673"/>
      <c r="AD9" s="1674"/>
      <c r="AE9" s="1675"/>
      <c r="AF9" s="1676"/>
      <c r="AG9" s="1676"/>
      <c r="AH9" s="1677"/>
      <c r="AI9" s="1678"/>
      <c r="AJ9" s="1675"/>
      <c r="AK9" s="1676"/>
      <c r="AL9" s="1676"/>
      <c r="AM9" s="1677"/>
      <c r="AN9" s="1668"/>
      <c r="AO9" s="1669"/>
      <c r="AP9" s="1669"/>
      <c r="AQ9" s="1669"/>
      <c r="AR9" s="1669"/>
      <c r="AS9" s="1669"/>
      <c r="AT9" s="1670"/>
      <c r="AU9" s="1669"/>
      <c r="AV9" s="1669"/>
      <c r="AW9" s="1669"/>
      <c r="AX9" s="1669"/>
      <c r="AY9" s="1669"/>
      <c r="AZ9" s="1671"/>
      <c r="BB9" s="1633"/>
      <c r="BC9" s="1058"/>
      <c r="BD9" s="1058"/>
      <c r="BE9" s="1058"/>
      <c r="BF9" s="1058"/>
      <c r="BG9" s="1058"/>
      <c r="BH9" s="1058"/>
      <c r="BI9" s="1058"/>
      <c r="BJ9" s="1058"/>
      <c r="BK9" s="1059"/>
      <c r="BL9" s="1057"/>
      <c r="BM9" s="1058"/>
      <c r="BN9" s="1058"/>
      <c r="BO9" s="1058"/>
      <c r="BP9" s="1058"/>
      <c r="BQ9" s="1058"/>
      <c r="BR9" s="1058"/>
      <c r="BS9" s="1058"/>
      <c r="BT9" s="1058"/>
      <c r="BU9" s="1635"/>
      <c r="BV9" s="164"/>
      <c r="BW9" s="1730" t="s">
        <v>195</v>
      </c>
      <c r="BX9" s="1731"/>
      <c r="BY9" s="1731"/>
      <c r="BZ9" s="1731"/>
      <c r="CA9" s="1731"/>
      <c r="CB9" s="1734" t="s">
        <v>512</v>
      </c>
      <c r="CC9" s="1734"/>
      <c r="CD9" s="1734"/>
      <c r="CE9" s="1734"/>
      <c r="CF9" s="1734"/>
      <c r="CG9" s="1734"/>
      <c r="CH9" s="1734"/>
      <c r="CI9" s="1734"/>
      <c r="CJ9" s="1734"/>
      <c r="CK9" s="1734"/>
      <c r="CP9" s="17"/>
      <c r="CQ9" s="17"/>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c r="ED9" s="17"/>
      <c r="EE9" s="17"/>
      <c r="EF9" s="17"/>
      <c r="EG9" s="17"/>
      <c r="EH9" s="17"/>
      <c r="EI9" s="17"/>
      <c r="EJ9" s="17"/>
      <c r="EK9" s="17"/>
      <c r="EL9" s="17"/>
      <c r="EM9" s="17"/>
      <c r="EN9" s="17"/>
      <c r="EO9" s="17"/>
      <c r="EP9" s="17"/>
    </row>
    <row r="10" spans="1:146" ht="7.5" customHeight="1" thickBot="1" x14ac:dyDescent="0.3">
      <c r="A10" s="1727" t="s">
        <v>1</v>
      </c>
      <c r="B10" s="1727"/>
      <c r="C10" s="1727"/>
      <c r="D10" s="1736"/>
      <c r="E10" s="1736"/>
      <c r="F10" s="1736"/>
      <c r="G10" s="120"/>
      <c r="H10" s="1736"/>
      <c r="I10" s="1737"/>
      <c r="J10" s="1737"/>
      <c r="L10" s="1672"/>
      <c r="M10" s="1673"/>
      <c r="N10" s="1673"/>
      <c r="O10" s="1673"/>
      <c r="P10" s="1673"/>
      <c r="Q10" s="1673"/>
      <c r="R10" s="1673"/>
      <c r="S10" s="1673"/>
      <c r="T10" s="1673"/>
      <c r="U10" s="1673"/>
      <c r="V10" s="1673"/>
      <c r="W10" s="1673"/>
      <c r="X10" s="1673"/>
      <c r="Y10" s="1673"/>
      <c r="Z10" s="1673"/>
      <c r="AA10" s="1673"/>
      <c r="AB10" s="1673"/>
      <c r="AC10" s="1673"/>
      <c r="AD10" s="1674"/>
      <c r="AE10" s="1675"/>
      <c r="AF10" s="1676"/>
      <c r="AG10" s="1676"/>
      <c r="AH10" s="1677"/>
      <c r="AI10" s="1678"/>
      <c r="AJ10" s="1675"/>
      <c r="AK10" s="1676"/>
      <c r="AL10" s="1676"/>
      <c r="AM10" s="1677"/>
      <c r="AN10" s="1668"/>
      <c r="AO10" s="1669"/>
      <c r="AP10" s="1669"/>
      <c r="AQ10" s="1669"/>
      <c r="AR10" s="1669"/>
      <c r="AS10" s="1669"/>
      <c r="AT10" s="1670"/>
      <c r="AU10" s="1669"/>
      <c r="AV10" s="1669"/>
      <c r="AW10" s="1669"/>
      <c r="AX10" s="1669"/>
      <c r="AY10" s="1669"/>
      <c r="AZ10" s="1671"/>
      <c r="BB10" s="1636"/>
      <c r="BC10" s="1637"/>
      <c r="BD10" s="1637"/>
      <c r="BE10" s="1637"/>
      <c r="BF10" s="1637"/>
      <c r="BG10" s="1637"/>
      <c r="BH10" s="1637"/>
      <c r="BI10" s="1637"/>
      <c r="BJ10" s="1637"/>
      <c r="BK10" s="1638"/>
      <c r="BL10" s="1639"/>
      <c r="BM10" s="1640"/>
      <c r="BN10" s="1640"/>
      <c r="BO10" s="1640"/>
      <c r="BP10" s="1640"/>
      <c r="BQ10" s="1640"/>
      <c r="BR10" s="1640"/>
      <c r="BS10" s="1640"/>
      <c r="BT10" s="1640"/>
      <c r="BU10" s="1641"/>
      <c r="BV10" s="164"/>
      <c r="BW10" s="1732"/>
      <c r="BX10" s="1732"/>
      <c r="BY10" s="1732"/>
      <c r="BZ10" s="1732"/>
      <c r="CA10" s="1732"/>
      <c r="CB10" s="1735"/>
      <c r="CC10" s="1735"/>
      <c r="CD10" s="1735"/>
      <c r="CE10" s="1735"/>
      <c r="CF10" s="1735"/>
      <c r="CG10" s="1735"/>
      <c r="CH10" s="1735"/>
      <c r="CI10" s="1735"/>
      <c r="CJ10" s="1735"/>
      <c r="CK10" s="1735"/>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row>
    <row r="11" spans="1:146" ht="7.5" customHeight="1" thickBot="1" x14ac:dyDescent="0.3">
      <c r="A11" s="1728"/>
      <c r="B11" s="1728"/>
      <c r="C11" s="1728"/>
      <c r="D11" s="1729"/>
      <c r="E11" s="1729"/>
      <c r="F11" s="1729"/>
      <c r="G11" s="120"/>
      <c r="H11" s="1737"/>
      <c r="I11" s="1737"/>
      <c r="J11" s="1737"/>
      <c r="L11" s="1672"/>
      <c r="M11" s="1673"/>
      <c r="N11" s="1673"/>
      <c r="O11" s="1673"/>
      <c r="P11" s="1673"/>
      <c r="Q11" s="1673"/>
      <c r="R11" s="1673"/>
      <c r="S11" s="1673"/>
      <c r="T11" s="1673"/>
      <c r="U11" s="1673"/>
      <c r="V11" s="1673"/>
      <c r="W11" s="1673"/>
      <c r="X11" s="1673"/>
      <c r="Y11" s="1673"/>
      <c r="Z11" s="1673"/>
      <c r="AA11" s="1673"/>
      <c r="AB11" s="1673"/>
      <c r="AC11" s="1673"/>
      <c r="AD11" s="1674"/>
      <c r="AE11" s="1675"/>
      <c r="AF11" s="1676"/>
      <c r="AG11" s="1676"/>
      <c r="AH11" s="1677"/>
      <c r="AI11" s="1678"/>
      <c r="AJ11" s="1675"/>
      <c r="AK11" s="1676"/>
      <c r="AL11" s="1676"/>
      <c r="AM11" s="1677"/>
      <c r="AN11" s="1668"/>
      <c r="AO11" s="1669"/>
      <c r="AP11" s="1669"/>
      <c r="AQ11" s="1669"/>
      <c r="AR11" s="1669"/>
      <c r="AS11" s="1669"/>
      <c r="AT11" s="1670"/>
      <c r="AU11" s="1669"/>
      <c r="AV11" s="1669"/>
      <c r="AW11" s="1669"/>
      <c r="AX11" s="1669"/>
      <c r="AY11" s="1669"/>
      <c r="AZ11" s="1671"/>
      <c r="BB11" s="1633"/>
      <c r="BC11" s="1058"/>
      <c r="BD11" s="1058"/>
      <c r="BE11" s="1058"/>
      <c r="BF11" s="1058"/>
      <c r="BG11" s="1058"/>
      <c r="BH11" s="1058"/>
      <c r="BI11" s="1058"/>
      <c r="BJ11" s="1058"/>
      <c r="BK11" s="1059"/>
      <c r="BL11" s="1057"/>
      <c r="BM11" s="1058"/>
      <c r="BN11" s="1058"/>
      <c r="BO11" s="1058"/>
      <c r="BP11" s="1058"/>
      <c r="BQ11" s="1058"/>
      <c r="BR11" s="1058"/>
      <c r="BS11" s="1058"/>
      <c r="BT11" s="1058"/>
      <c r="BU11" s="1635"/>
      <c r="BV11" s="164"/>
      <c r="BW11" s="1732"/>
      <c r="BX11" s="1732"/>
      <c r="BY11" s="1732"/>
      <c r="BZ11" s="1732"/>
      <c r="CA11" s="1732"/>
      <c r="CB11" s="1723" t="s">
        <v>21</v>
      </c>
      <c r="CC11" s="1723"/>
      <c r="CD11" s="1723"/>
      <c r="CE11" s="1723"/>
      <c r="CF11" s="1723"/>
      <c r="CG11" s="1723"/>
      <c r="CH11" s="1723"/>
      <c r="CI11" s="1723"/>
      <c r="CJ11" s="1723"/>
      <c r="CK11" s="1723"/>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c r="DO11" s="17"/>
      <c r="DP11" s="17"/>
      <c r="DQ11" s="17"/>
      <c r="DR11" s="17"/>
      <c r="DS11" s="17"/>
      <c r="DT11" s="17"/>
      <c r="DU11" s="17"/>
      <c r="DV11" s="17"/>
      <c r="DW11" s="17"/>
      <c r="DX11" s="17"/>
      <c r="DY11" s="17"/>
      <c r="DZ11" s="17"/>
      <c r="EA11" s="17"/>
      <c r="EB11" s="17"/>
      <c r="EC11" s="17"/>
      <c r="ED11" s="17"/>
      <c r="EE11" s="17"/>
      <c r="EF11" s="17"/>
      <c r="EG11" s="17"/>
      <c r="EH11" s="17"/>
      <c r="EI11" s="17"/>
      <c r="EJ11" s="17"/>
      <c r="EK11" s="17"/>
      <c r="EL11" s="17"/>
      <c r="EM11" s="17"/>
      <c r="EN11" s="17"/>
      <c r="EO11" s="17"/>
      <c r="EP11" s="17"/>
    </row>
    <row r="12" spans="1:146" ht="7.5" customHeight="1" thickBot="1" x14ac:dyDescent="0.3">
      <c r="A12" s="1725"/>
      <c r="B12" s="1726"/>
      <c r="C12" s="1726"/>
      <c r="D12" s="1729"/>
      <c r="E12" s="1729"/>
      <c r="F12" s="1729"/>
      <c r="G12" s="120">
        <v>20</v>
      </c>
      <c r="H12" s="1738"/>
      <c r="I12" s="1738"/>
      <c r="J12" s="1738"/>
      <c r="L12" s="1672"/>
      <c r="M12" s="1673"/>
      <c r="N12" s="1673"/>
      <c r="O12" s="1673"/>
      <c r="P12" s="1673"/>
      <c r="Q12" s="1673"/>
      <c r="R12" s="1673"/>
      <c r="S12" s="1673"/>
      <c r="T12" s="1673"/>
      <c r="U12" s="1673"/>
      <c r="V12" s="1673"/>
      <c r="W12" s="1673"/>
      <c r="X12" s="1673"/>
      <c r="Y12" s="1673"/>
      <c r="Z12" s="1673"/>
      <c r="AA12" s="1673"/>
      <c r="AB12" s="1673"/>
      <c r="AC12" s="1673"/>
      <c r="AD12" s="1674"/>
      <c r="AE12" s="1675"/>
      <c r="AF12" s="1676"/>
      <c r="AG12" s="1676"/>
      <c r="AH12" s="1677"/>
      <c r="AI12" s="1678"/>
      <c r="AJ12" s="1675"/>
      <c r="AK12" s="1676"/>
      <c r="AL12" s="1676"/>
      <c r="AM12" s="1677"/>
      <c r="AN12" s="1668"/>
      <c r="AO12" s="1669"/>
      <c r="AP12" s="1669"/>
      <c r="AQ12" s="1669"/>
      <c r="AR12" s="1669"/>
      <c r="AS12" s="1669"/>
      <c r="AT12" s="1670"/>
      <c r="AU12" s="1669"/>
      <c r="AV12" s="1669"/>
      <c r="AW12" s="1669"/>
      <c r="AX12" s="1669"/>
      <c r="AY12" s="1669"/>
      <c r="AZ12" s="1671"/>
      <c r="BB12" s="1636"/>
      <c r="BC12" s="1637"/>
      <c r="BD12" s="1637"/>
      <c r="BE12" s="1637"/>
      <c r="BF12" s="1637"/>
      <c r="BG12" s="1637"/>
      <c r="BH12" s="1637"/>
      <c r="BI12" s="1637"/>
      <c r="BJ12" s="1637"/>
      <c r="BK12" s="1638"/>
      <c r="BL12" s="1639"/>
      <c r="BM12" s="1640"/>
      <c r="BN12" s="1640"/>
      <c r="BO12" s="1640"/>
      <c r="BP12" s="1640"/>
      <c r="BQ12" s="1640"/>
      <c r="BR12" s="1640"/>
      <c r="BS12" s="1640"/>
      <c r="BT12" s="1640"/>
      <c r="BU12" s="1641"/>
      <c r="BV12" s="164"/>
      <c r="BW12" s="1733"/>
      <c r="BX12" s="1733"/>
      <c r="BY12" s="1733"/>
      <c r="BZ12" s="1733"/>
      <c r="CA12" s="1733"/>
      <c r="CB12" s="1723"/>
      <c r="CC12" s="1723"/>
      <c r="CD12" s="1723"/>
      <c r="CE12" s="1723"/>
      <c r="CF12" s="1723"/>
      <c r="CG12" s="1723"/>
      <c r="CH12" s="1723"/>
      <c r="CI12" s="1723"/>
      <c r="CJ12" s="1723"/>
      <c r="CK12" s="1723"/>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c r="DS12" s="17"/>
      <c r="DT12" s="17"/>
      <c r="DU12" s="17"/>
      <c r="DV12" s="17"/>
      <c r="DW12" s="17"/>
      <c r="DX12" s="17"/>
      <c r="DY12" s="17"/>
      <c r="DZ12" s="17"/>
      <c r="EA12" s="17"/>
      <c r="EB12" s="17"/>
      <c r="EC12" s="17"/>
      <c r="ED12" s="17"/>
      <c r="EE12" s="17"/>
      <c r="EF12" s="17"/>
      <c r="EG12" s="17"/>
      <c r="EH12" s="17"/>
      <c r="EI12" s="17"/>
      <c r="EJ12" s="17"/>
      <c r="EK12" s="17"/>
      <c r="EL12" s="17"/>
      <c r="EM12" s="17"/>
      <c r="EN12" s="17"/>
      <c r="EO12" s="17"/>
      <c r="EP12" s="17"/>
    </row>
    <row r="13" spans="1:146" ht="7.5" customHeight="1" thickBot="1" x14ac:dyDescent="0.3">
      <c r="A13" s="1727" t="s">
        <v>2</v>
      </c>
      <c r="B13" s="1727"/>
      <c r="C13" s="1727"/>
      <c r="D13" s="1729"/>
      <c r="E13" s="1729"/>
      <c r="F13" s="1729"/>
      <c r="G13" s="167"/>
      <c r="H13" s="1729"/>
      <c r="I13" s="1729"/>
      <c r="J13" s="1729"/>
      <c r="L13" s="1672"/>
      <c r="M13" s="1673"/>
      <c r="N13" s="1673"/>
      <c r="O13" s="1673"/>
      <c r="P13" s="1673"/>
      <c r="Q13" s="1673"/>
      <c r="R13" s="1673"/>
      <c r="S13" s="1673"/>
      <c r="T13" s="1673"/>
      <c r="U13" s="1673"/>
      <c r="V13" s="1673"/>
      <c r="W13" s="1673"/>
      <c r="X13" s="1673"/>
      <c r="Y13" s="1673"/>
      <c r="Z13" s="1673"/>
      <c r="AA13" s="1673"/>
      <c r="AB13" s="1673"/>
      <c r="AC13" s="1673"/>
      <c r="AD13" s="1674"/>
      <c r="AE13" s="1675"/>
      <c r="AF13" s="1676"/>
      <c r="AG13" s="1676"/>
      <c r="AH13" s="1677"/>
      <c r="AI13" s="1678"/>
      <c r="AJ13" s="1675"/>
      <c r="AK13" s="1676"/>
      <c r="AL13" s="1676"/>
      <c r="AM13" s="1677"/>
      <c r="AN13" s="1668"/>
      <c r="AO13" s="1669"/>
      <c r="AP13" s="1669"/>
      <c r="AQ13" s="1669"/>
      <c r="AR13" s="1669"/>
      <c r="AS13" s="1669"/>
      <c r="AT13" s="1670"/>
      <c r="AU13" s="1669"/>
      <c r="AV13" s="1669"/>
      <c r="AW13" s="1669"/>
      <c r="AX13" s="1669"/>
      <c r="AY13" s="1669"/>
      <c r="AZ13" s="1671"/>
      <c r="BB13" s="1633"/>
      <c r="BC13" s="1058"/>
      <c r="BD13" s="1058"/>
      <c r="BE13" s="1058"/>
      <c r="BF13" s="1058"/>
      <c r="BG13" s="1058"/>
      <c r="BH13" s="1058"/>
      <c r="BI13" s="1058"/>
      <c r="BJ13" s="1058"/>
      <c r="BK13" s="1059"/>
      <c r="BL13" s="1057"/>
      <c r="BM13" s="1058"/>
      <c r="BN13" s="1058"/>
      <c r="BO13" s="1058"/>
      <c r="BP13" s="1058"/>
      <c r="BQ13" s="1058"/>
      <c r="BR13" s="1058"/>
      <c r="BS13" s="1058"/>
      <c r="BT13" s="1058"/>
      <c r="BU13" s="1635"/>
      <c r="BV13" s="164"/>
      <c r="BW13" s="1739"/>
      <c r="BX13" s="1739"/>
      <c r="BY13" s="1739"/>
      <c r="BZ13" s="1739"/>
      <c r="CA13" s="1739"/>
      <c r="CB13" s="1723"/>
      <c r="CC13" s="1723"/>
      <c r="CD13" s="1723"/>
      <c r="CE13" s="1723"/>
      <c r="CF13" s="1723"/>
      <c r="CG13" s="1723"/>
      <c r="CH13" s="1723"/>
      <c r="CI13" s="1723"/>
      <c r="CJ13" s="1723"/>
      <c r="CK13" s="1723"/>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c r="DV13" s="17"/>
      <c r="DW13" s="17"/>
      <c r="DX13" s="17"/>
      <c r="DY13" s="17"/>
      <c r="DZ13" s="17"/>
      <c r="EA13" s="17"/>
      <c r="EB13" s="17"/>
      <c r="EC13" s="17"/>
      <c r="ED13" s="17"/>
      <c r="EE13" s="17"/>
      <c r="EF13" s="17"/>
      <c r="EG13" s="17"/>
      <c r="EH13" s="17"/>
      <c r="EI13" s="17"/>
      <c r="EJ13" s="17"/>
      <c r="EK13" s="17"/>
      <c r="EL13" s="17"/>
      <c r="EM13" s="17"/>
      <c r="EN13" s="17"/>
      <c r="EO13" s="17"/>
      <c r="EP13" s="17"/>
    </row>
    <row r="14" spans="1:146" ht="7.5" customHeight="1" thickBot="1" x14ac:dyDescent="0.3">
      <c r="A14" s="1728"/>
      <c r="B14" s="1728"/>
      <c r="C14" s="1728"/>
      <c r="D14" s="1729"/>
      <c r="E14" s="1729"/>
      <c r="F14" s="1729"/>
      <c r="G14" s="167"/>
      <c r="H14" s="1729"/>
      <c r="I14" s="1729"/>
      <c r="J14" s="1729"/>
      <c r="L14" s="1672"/>
      <c r="M14" s="1673"/>
      <c r="N14" s="1673"/>
      <c r="O14" s="1673"/>
      <c r="P14" s="1673"/>
      <c r="Q14" s="1673"/>
      <c r="R14" s="1673"/>
      <c r="S14" s="1673"/>
      <c r="T14" s="1673"/>
      <c r="U14" s="1673"/>
      <c r="V14" s="1673"/>
      <c r="W14" s="1673"/>
      <c r="X14" s="1673"/>
      <c r="Y14" s="1673"/>
      <c r="Z14" s="1673"/>
      <c r="AA14" s="1673"/>
      <c r="AB14" s="1673"/>
      <c r="AC14" s="1673"/>
      <c r="AD14" s="1674"/>
      <c r="AE14" s="1675"/>
      <c r="AF14" s="1676"/>
      <c r="AG14" s="1676"/>
      <c r="AH14" s="1677"/>
      <c r="AI14" s="1678"/>
      <c r="AJ14" s="1675"/>
      <c r="AK14" s="1676"/>
      <c r="AL14" s="1676"/>
      <c r="AM14" s="1677"/>
      <c r="AN14" s="1668"/>
      <c r="AO14" s="1669"/>
      <c r="AP14" s="1669"/>
      <c r="AQ14" s="1669"/>
      <c r="AR14" s="1669"/>
      <c r="AS14" s="1669"/>
      <c r="AT14" s="1670"/>
      <c r="AU14" s="1669"/>
      <c r="AV14" s="1669"/>
      <c r="AW14" s="1669"/>
      <c r="AX14" s="1669"/>
      <c r="AY14" s="1669"/>
      <c r="AZ14" s="1671"/>
      <c r="BB14" s="1636"/>
      <c r="BC14" s="1637"/>
      <c r="BD14" s="1637"/>
      <c r="BE14" s="1637"/>
      <c r="BF14" s="1637"/>
      <c r="BG14" s="1637"/>
      <c r="BH14" s="1637"/>
      <c r="BI14" s="1637"/>
      <c r="BJ14" s="1637"/>
      <c r="BK14" s="1638"/>
      <c r="BL14" s="1639"/>
      <c r="BM14" s="1640"/>
      <c r="BN14" s="1640"/>
      <c r="BO14" s="1640"/>
      <c r="BP14" s="1640"/>
      <c r="BQ14" s="1640"/>
      <c r="BR14" s="1640"/>
      <c r="BS14" s="1640"/>
      <c r="BT14" s="1640"/>
      <c r="BU14" s="1641"/>
      <c r="BV14" s="164"/>
      <c r="BW14" s="1740"/>
      <c r="BX14" s="1740"/>
      <c r="BY14" s="1740"/>
      <c r="BZ14" s="1740"/>
      <c r="CA14" s="1740"/>
      <c r="CB14" s="1723"/>
      <c r="CC14" s="1723"/>
      <c r="CD14" s="1723"/>
      <c r="CE14" s="1723"/>
      <c r="CF14" s="1723"/>
      <c r="CG14" s="1723"/>
      <c r="CH14" s="1723"/>
      <c r="CI14" s="1723"/>
      <c r="CJ14" s="1723"/>
      <c r="CK14" s="1723"/>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c r="DO14" s="17"/>
      <c r="DP14" s="17"/>
      <c r="DQ14" s="17"/>
      <c r="DR14" s="17"/>
      <c r="DS14" s="17"/>
      <c r="DT14" s="17"/>
      <c r="DU14" s="17"/>
      <c r="DV14" s="17"/>
      <c r="DW14" s="17"/>
      <c r="DX14" s="17"/>
      <c r="DY14" s="17"/>
      <c r="DZ14" s="17"/>
      <c r="EA14" s="17"/>
      <c r="EB14" s="17"/>
      <c r="EC14" s="17"/>
      <c r="ED14" s="17"/>
      <c r="EE14" s="17"/>
      <c r="EF14" s="17"/>
      <c r="EG14" s="17"/>
      <c r="EH14" s="17"/>
      <c r="EI14" s="17"/>
      <c r="EJ14" s="17"/>
      <c r="EK14" s="17"/>
      <c r="EL14" s="17"/>
      <c r="EM14" s="17"/>
      <c r="EN14" s="17"/>
      <c r="EO14" s="17"/>
      <c r="EP14" s="17"/>
    </row>
    <row r="15" spans="1:146" ht="7.5" customHeight="1" thickBot="1" x14ac:dyDescent="0.3">
      <c r="A15" s="1741"/>
      <c r="B15" s="1741"/>
      <c r="C15" s="1741"/>
      <c r="D15" s="1729"/>
      <c r="E15" s="1729"/>
      <c r="F15" s="1729"/>
      <c r="G15" s="167">
        <v>30</v>
      </c>
      <c r="H15" s="1729"/>
      <c r="I15" s="1729"/>
      <c r="J15" s="1729"/>
      <c r="L15" s="1672"/>
      <c r="M15" s="1673"/>
      <c r="N15" s="1673"/>
      <c r="O15" s="1673"/>
      <c r="P15" s="1673"/>
      <c r="Q15" s="1673"/>
      <c r="R15" s="1673"/>
      <c r="S15" s="1673"/>
      <c r="T15" s="1673"/>
      <c r="U15" s="1673"/>
      <c r="V15" s="1673"/>
      <c r="W15" s="1673"/>
      <c r="X15" s="1673"/>
      <c r="Y15" s="1673"/>
      <c r="Z15" s="1673"/>
      <c r="AA15" s="1673"/>
      <c r="AB15" s="1673"/>
      <c r="AC15" s="1673"/>
      <c r="AD15" s="1674"/>
      <c r="AE15" s="1675"/>
      <c r="AF15" s="1676"/>
      <c r="AG15" s="1676"/>
      <c r="AH15" s="1677"/>
      <c r="AI15" s="1678"/>
      <c r="AJ15" s="1675"/>
      <c r="AK15" s="1676"/>
      <c r="AL15" s="1676"/>
      <c r="AM15" s="1677"/>
      <c r="AN15" s="1668"/>
      <c r="AO15" s="1669"/>
      <c r="AP15" s="1669"/>
      <c r="AQ15" s="1669"/>
      <c r="AR15" s="1669"/>
      <c r="AS15" s="1669"/>
      <c r="AT15" s="1670"/>
      <c r="AU15" s="1669"/>
      <c r="AV15" s="1669"/>
      <c r="AW15" s="1669"/>
      <c r="AX15" s="1669"/>
      <c r="AY15" s="1669"/>
      <c r="AZ15" s="1671"/>
      <c r="BB15" s="1633"/>
      <c r="BC15" s="1058"/>
      <c r="BD15" s="1058"/>
      <c r="BE15" s="1058"/>
      <c r="BF15" s="1058"/>
      <c r="BG15" s="1058"/>
      <c r="BH15" s="1058"/>
      <c r="BI15" s="1058"/>
      <c r="BJ15" s="1058"/>
      <c r="BK15" s="1059"/>
      <c r="BL15" s="1057"/>
      <c r="BM15" s="1058"/>
      <c r="BN15" s="1058"/>
      <c r="BO15" s="1058"/>
      <c r="BP15" s="1058"/>
      <c r="BQ15" s="1058"/>
      <c r="BR15" s="1058"/>
      <c r="BS15" s="1058"/>
      <c r="BT15" s="1058"/>
      <c r="BU15" s="1635"/>
      <c r="BV15" s="164"/>
      <c r="BW15" s="1742" t="s">
        <v>78</v>
      </c>
      <c r="BX15" s="1742"/>
      <c r="BY15" s="1742"/>
      <c r="BZ15" s="1742"/>
      <c r="CA15" s="1742"/>
      <c r="CB15" s="1724"/>
      <c r="CC15" s="1724"/>
      <c r="CD15" s="1724"/>
      <c r="CE15" s="1724"/>
      <c r="CF15" s="1724"/>
      <c r="CG15" s="1724"/>
      <c r="CH15" s="1724"/>
      <c r="CI15" s="1724"/>
      <c r="CJ15" s="1724"/>
      <c r="CK15" s="1724"/>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c r="DO15" s="17"/>
      <c r="DP15" s="17"/>
      <c r="DQ15" s="17"/>
      <c r="DR15" s="17"/>
      <c r="DS15" s="17"/>
      <c r="DT15" s="17"/>
      <c r="DU15" s="17"/>
      <c r="DV15" s="17"/>
      <c r="DW15" s="17"/>
      <c r="DX15" s="17"/>
      <c r="DY15" s="17"/>
      <c r="DZ15" s="17"/>
      <c r="EA15" s="17"/>
      <c r="EB15" s="17"/>
      <c r="EC15" s="17"/>
      <c r="ED15" s="17"/>
      <c r="EE15" s="17"/>
      <c r="EF15" s="17"/>
      <c r="EG15" s="17"/>
      <c r="EH15" s="17"/>
      <c r="EI15" s="17"/>
      <c r="EJ15" s="17"/>
      <c r="EK15" s="17"/>
      <c r="EL15" s="17"/>
      <c r="EM15" s="17"/>
      <c r="EN15" s="17"/>
      <c r="EO15" s="17"/>
      <c r="EP15" s="17"/>
    </row>
    <row r="16" spans="1:146" ht="7.5" customHeight="1" thickBot="1" x14ac:dyDescent="0.3">
      <c r="A16" s="1727" t="s">
        <v>3</v>
      </c>
      <c r="B16" s="1727"/>
      <c r="C16" s="1727"/>
      <c r="D16" s="1729"/>
      <c r="E16" s="1729"/>
      <c r="F16" s="1729"/>
      <c r="G16" s="167"/>
      <c r="H16" s="1729"/>
      <c r="I16" s="1729"/>
      <c r="J16" s="1729"/>
      <c r="L16" s="1672"/>
      <c r="M16" s="1673"/>
      <c r="N16" s="1673"/>
      <c r="O16" s="1673"/>
      <c r="P16" s="1673"/>
      <c r="Q16" s="1673"/>
      <c r="R16" s="1673"/>
      <c r="S16" s="1673"/>
      <c r="T16" s="1673"/>
      <c r="U16" s="1673"/>
      <c r="V16" s="1673"/>
      <c r="W16" s="1673"/>
      <c r="X16" s="1673"/>
      <c r="Y16" s="1673"/>
      <c r="Z16" s="1673"/>
      <c r="AA16" s="1673"/>
      <c r="AB16" s="1673"/>
      <c r="AC16" s="1673"/>
      <c r="AD16" s="1674"/>
      <c r="AE16" s="1675"/>
      <c r="AF16" s="1676"/>
      <c r="AG16" s="1676"/>
      <c r="AH16" s="1677"/>
      <c r="AI16" s="1678"/>
      <c r="AJ16" s="1675"/>
      <c r="AK16" s="1676"/>
      <c r="AL16" s="1676"/>
      <c r="AM16" s="1677"/>
      <c r="AN16" s="1668"/>
      <c r="AO16" s="1669"/>
      <c r="AP16" s="1669"/>
      <c r="AQ16" s="1669"/>
      <c r="AR16" s="1669"/>
      <c r="AS16" s="1669"/>
      <c r="AT16" s="1670"/>
      <c r="AU16" s="1669"/>
      <c r="AV16" s="1669"/>
      <c r="AW16" s="1669"/>
      <c r="AX16" s="1669"/>
      <c r="AY16" s="1669"/>
      <c r="AZ16" s="1671"/>
      <c r="BG16"/>
      <c r="BH16"/>
      <c r="BI16"/>
      <c r="BJ16"/>
      <c r="BK16"/>
      <c r="BL16"/>
      <c r="BM16"/>
      <c r="BN16"/>
      <c r="BO16"/>
      <c r="BP16"/>
      <c r="BQ16"/>
      <c r="BR16"/>
      <c r="BS16"/>
      <c r="BT16"/>
      <c r="BU16"/>
      <c r="BV16" s="164"/>
      <c r="BW16" s="17"/>
      <c r="BX16" s="17"/>
      <c r="BY16" s="17"/>
      <c r="BZ16" s="17"/>
      <c r="CA16" s="17"/>
      <c r="CB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c r="DO16" s="17"/>
      <c r="DP16" s="17"/>
      <c r="DQ16" s="17"/>
      <c r="DR16" s="17"/>
      <c r="DS16" s="17"/>
      <c r="DT16" s="17"/>
      <c r="DU16" s="17"/>
      <c r="DV16" s="17"/>
      <c r="DW16" s="17"/>
      <c r="DX16" s="17"/>
      <c r="DY16" s="17"/>
      <c r="DZ16" s="17"/>
      <c r="EA16" s="17"/>
      <c r="EB16" s="17"/>
      <c r="EC16" s="17"/>
      <c r="ED16" s="17"/>
      <c r="EE16" s="17"/>
      <c r="EF16" s="17"/>
      <c r="EG16" s="17"/>
      <c r="EH16" s="17"/>
      <c r="EI16" s="17"/>
      <c r="EJ16" s="17"/>
      <c r="EK16" s="17"/>
      <c r="EL16" s="17"/>
      <c r="EM16" s="17"/>
      <c r="EN16" s="17"/>
      <c r="EO16" s="17"/>
      <c r="EP16" s="17"/>
    </row>
    <row r="17" spans="1:146" ht="7.5" customHeight="1" thickBot="1" x14ac:dyDescent="0.3">
      <c r="A17" s="1728"/>
      <c r="B17" s="1728"/>
      <c r="C17" s="1728"/>
      <c r="D17" s="1729"/>
      <c r="E17" s="1729"/>
      <c r="F17" s="1729"/>
      <c r="G17" s="167"/>
      <c r="H17" s="1729"/>
      <c r="I17" s="1729"/>
      <c r="J17" s="1729"/>
      <c r="L17" s="1672"/>
      <c r="M17" s="1673"/>
      <c r="N17" s="1673"/>
      <c r="O17" s="1673"/>
      <c r="P17" s="1673"/>
      <c r="Q17" s="1673"/>
      <c r="R17" s="1673"/>
      <c r="S17" s="1673"/>
      <c r="T17" s="1673"/>
      <c r="U17" s="1673"/>
      <c r="V17" s="1673"/>
      <c r="W17" s="1673"/>
      <c r="X17" s="1673"/>
      <c r="Y17" s="1673"/>
      <c r="Z17" s="1673"/>
      <c r="AA17" s="1673"/>
      <c r="AB17" s="1673"/>
      <c r="AC17" s="1673"/>
      <c r="AD17" s="1674"/>
      <c r="AE17" s="1675"/>
      <c r="AF17" s="1676"/>
      <c r="AG17" s="1676"/>
      <c r="AH17" s="1677"/>
      <c r="AI17" s="1678"/>
      <c r="AJ17" s="1675"/>
      <c r="AK17" s="1676"/>
      <c r="AL17" s="1676"/>
      <c r="AM17" s="1677"/>
      <c r="AN17" s="1668"/>
      <c r="AO17" s="1669"/>
      <c r="AP17" s="1669"/>
      <c r="AQ17" s="1669"/>
      <c r="AR17" s="1669"/>
      <c r="AS17" s="1669"/>
      <c r="AT17" s="1670"/>
      <c r="AU17" s="1669"/>
      <c r="AV17" s="1669"/>
      <c r="AW17" s="1669"/>
      <c r="AX17" s="1669"/>
      <c r="AY17" s="1669"/>
      <c r="AZ17" s="1671"/>
      <c r="BG17"/>
      <c r="BH17"/>
      <c r="BI17"/>
      <c r="BJ17"/>
      <c r="BK17"/>
      <c r="BL17"/>
      <c r="BM17"/>
      <c r="BN17"/>
      <c r="BO17"/>
      <c r="BP17"/>
      <c r="BQ17"/>
      <c r="BR17"/>
      <c r="BS17"/>
      <c r="BT17"/>
      <c r="BU17"/>
      <c r="BV17" s="164"/>
      <c r="BW17" s="1743" t="s">
        <v>506</v>
      </c>
      <c r="BX17" s="1744"/>
      <c r="BY17" s="1744"/>
      <c r="BZ17" s="1745"/>
      <c r="CA17" s="1749" t="s">
        <v>81</v>
      </c>
      <c r="CB17" s="1749"/>
      <c r="CC17" s="1749"/>
      <c r="CD17" s="1749"/>
      <c r="CE17" s="1749"/>
      <c r="CF17" s="1749"/>
      <c r="CG17" s="1749"/>
      <c r="CH17" s="1749"/>
      <c r="CI17" s="1749"/>
      <c r="CJ17" s="1749"/>
      <c r="CK17" s="1750"/>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c r="DO17" s="17"/>
      <c r="DP17" s="17"/>
      <c r="DQ17" s="17"/>
      <c r="DR17" s="17"/>
      <c r="DS17" s="17"/>
      <c r="DT17" s="17"/>
      <c r="DU17" s="17"/>
      <c r="DV17" s="17"/>
      <c r="DW17" s="17"/>
      <c r="DX17" s="17"/>
      <c r="DY17" s="17"/>
      <c r="DZ17" s="17"/>
      <c r="EA17" s="17"/>
      <c r="EB17" s="17"/>
      <c r="EC17" s="17"/>
      <c r="ED17" s="17"/>
      <c r="EE17" s="17"/>
      <c r="EF17" s="17"/>
      <c r="EG17" s="17"/>
      <c r="EH17" s="17"/>
      <c r="EI17" s="17"/>
      <c r="EJ17" s="17"/>
      <c r="EK17" s="17"/>
      <c r="EL17" s="17"/>
      <c r="EM17" s="17"/>
      <c r="EN17" s="17"/>
      <c r="EO17" s="17"/>
      <c r="EP17" s="17"/>
    </row>
    <row r="18" spans="1:146" ht="7.5" customHeight="1" thickBot="1" x14ac:dyDescent="0.3">
      <c r="A18" s="1785"/>
      <c r="B18" s="1741"/>
      <c r="C18" s="1741"/>
      <c r="D18" s="1729"/>
      <c r="E18" s="1729"/>
      <c r="F18" s="1729"/>
      <c r="G18" s="167">
        <v>25</v>
      </c>
      <c r="H18" s="1729"/>
      <c r="I18" s="1729"/>
      <c r="J18" s="1729"/>
      <c r="L18" s="1672"/>
      <c r="M18" s="1673"/>
      <c r="N18" s="1673"/>
      <c r="O18" s="1673"/>
      <c r="P18" s="1673"/>
      <c r="Q18" s="1673"/>
      <c r="R18" s="1673"/>
      <c r="S18" s="1673"/>
      <c r="T18" s="1673"/>
      <c r="U18" s="1673"/>
      <c r="V18" s="1673"/>
      <c r="W18" s="1673"/>
      <c r="X18" s="1673"/>
      <c r="Y18" s="1673"/>
      <c r="Z18" s="1673"/>
      <c r="AA18" s="1673"/>
      <c r="AB18" s="1673"/>
      <c r="AC18" s="1673"/>
      <c r="AD18" s="1674"/>
      <c r="AE18" s="1675"/>
      <c r="AF18" s="1676"/>
      <c r="AG18" s="1676"/>
      <c r="AH18" s="1677"/>
      <c r="AI18" s="1678"/>
      <c r="AJ18" s="1675"/>
      <c r="AK18" s="1676"/>
      <c r="AL18" s="1676"/>
      <c r="AM18" s="1677"/>
      <c r="AN18" s="1668"/>
      <c r="AO18" s="1669"/>
      <c r="AP18" s="1669"/>
      <c r="AQ18" s="1669"/>
      <c r="AR18" s="1669"/>
      <c r="AS18" s="1669"/>
      <c r="AT18" s="1670"/>
      <c r="AU18" s="1669"/>
      <c r="AV18" s="1669"/>
      <c r="AW18" s="1669"/>
      <c r="AX18" s="1669"/>
      <c r="AY18" s="1669"/>
      <c r="AZ18" s="1671"/>
      <c r="BG18"/>
      <c r="BH18"/>
      <c r="BI18"/>
      <c r="BJ18"/>
      <c r="BK18"/>
      <c r="BL18"/>
      <c r="BM18"/>
      <c r="BN18"/>
      <c r="BO18"/>
      <c r="BP18"/>
      <c r="BQ18"/>
      <c r="BR18"/>
      <c r="BS18"/>
      <c r="BT18"/>
      <c r="BU18"/>
      <c r="BV18" s="164"/>
      <c r="BW18" s="1746"/>
      <c r="BX18" s="1747"/>
      <c r="BY18" s="1747"/>
      <c r="BZ18" s="1748"/>
      <c r="CA18" s="1751"/>
      <c r="CB18" s="1751"/>
      <c r="CC18" s="1751"/>
      <c r="CD18" s="1751"/>
      <c r="CE18" s="1751"/>
      <c r="CF18" s="1751"/>
      <c r="CG18" s="1751"/>
      <c r="CH18" s="1751"/>
      <c r="CI18" s="1751"/>
      <c r="CJ18" s="1751"/>
      <c r="CK18" s="1752"/>
      <c r="CP18" s="17"/>
      <c r="CQ18" s="17"/>
      <c r="CR18" s="17"/>
      <c r="CS18" s="17"/>
      <c r="CT18" s="17"/>
      <c r="CU18" s="17"/>
      <c r="CV18" s="17"/>
      <c r="CW18" s="17"/>
      <c r="CX18" s="17"/>
      <c r="CY18" s="17"/>
      <c r="CZ18" s="17"/>
      <c r="DA18" s="17"/>
      <c r="DB18" s="17"/>
      <c r="DC18" s="17"/>
      <c r="DD18" s="17"/>
      <c r="DE18" s="17"/>
      <c r="DF18" s="17"/>
      <c r="DG18" s="17"/>
      <c r="DH18" s="17"/>
      <c r="DI18" s="17"/>
      <c r="DJ18" s="17"/>
      <c r="DK18" s="17"/>
      <c r="DL18" s="17"/>
      <c r="DM18" s="17"/>
      <c r="DN18" s="17"/>
      <c r="DO18" s="17"/>
      <c r="DP18" s="17"/>
      <c r="DQ18" s="17"/>
      <c r="DR18" s="17"/>
      <c r="DS18" s="17"/>
      <c r="DT18" s="17"/>
      <c r="DU18" s="17"/>
      <c r="DV18" s="17"/>
      <c r="DW18" s="17"/>
      <c r="DX18" s="17"/>
      <c r="DY18" s="17"/>
      <c r="DZ18" s="17"/>
      <c r="EA18" s="17"/>
      <c r="EB18" s="17"/>
      <c r="EC18" s="17"/>
      <c r="ED18" s="17"/>
      <c r="EE18" s="17"/>
      <c r="EF18" s="17"/>
      <c r="EG18" s="17"/>
      <c r="EH18" s="17"/>
      <c r="EI18" s="17"/>
      <c r="EJ18" s="17"/>
      <c r="EK18" s="17"/>
      <c r="EL18" s="17"/>
      <c r="EM18" s="17"/>
      <c r="EN18" s="17"/>
      <c r="EO18" s="17"/>
      <c r="EP18" s="17"/>
    </row>
    <row r="19" spans="1:146" ht="7.5" customHeight="1" thickBot="1" x14ac:dyDescent="0.3">
      <c r="A19" s="168"/>
      <c r="B19" s="168"/>
      <c r="C19" s="168"/>
      <c r="G19" s="120"/>
      <c r="L19" s="1672"/>
      <c r="M19" s="1673"/>
      <c r="N19" s="1673"/>
      <c r="O19" s="1673"/>
      <c r="P19" s="1673"/>
      <c r="Q19" s="1673"/>
      <c r="R19" s="1673"/>
      <c r="S19" s="1673"/>
      <c r="T19" s="1673"/>
      <c r="U19" s="1673"/>
      <c r="V19" s="1673"/>
      <c r="W19" s="1673"/>
      <c r="X19" s="1673"/>
      <c r="Y19" s="1673"/>
      <c r="Z19" s="1673"/>
      <c r="AA19" s="1673"/>
      <c r="AB19" s="1673"/>
      <c r="AC19" s="1673"/>
      <c r="AD19" s="1674"/>
      <c r="AE19" s="1675"/>
      <c r="AF19" s="1676"/>
      <c r="AG19" s="1676"/>
      <c r="AH19" s="1677"/>
      <c r="AI19" s="1678"/>
      <c r="AJ19" s="1675"/>
      <c r="AK19" s="1676"/>
      <c r="AL19" s="1676"/>
      <c r="AM19" s="1677"/>
      <c r="AN19" s="1668"/>
      <c r="AO19" s="1669"/>
      <c r="AP19" s="1669"/>
      <c r="AQ19" s="1669"/>
      <c r="AR19" s="1669"/>
      <c r="AS19" s="1669"/>
      <c r="AT19" s="1670"/>
      <c r="AU19" s="1669"/>
      <c r="AV19" s="1669"/>
      <c r="AW19" s="1669"/>
      <c r="AX19" s="1669"/>
      <c r="AY19" s="1669"/>
      <c r="AZ19" s="1671"/>
      <c r="BV19" s="164"/>
      <c r="CP19" s="17"/>
      <c r="CQ19" s="17"/>
      <c r="CR19" s="17"/>
      <c r="CS19" s="17"/>
      <c r="CT19" s="17"/>
      <c r="CU19" s="17"/>
      <c r="CV19" s="17"/>
      <c r="CW19" s="17"/>
      <c r="CX19" s="17"/>
      <c r="CY19" s="17"/>
      <c r="CZ19" s="17"/>
      <c r="DA19" s="17"/>
      <c r="DB19" s="17"/>
      <c r="DC19" s="17"/>
      <c r="DD19" s="17"/>
      <c r="DE19" s="17"/>
      <c r="DF19" s="17"/>
      <c r="DG19" s="17"/>
      <c r="DH19" s="17"/>
      <c r="DI19" s="17"/>
      <c r="DJ19" s="17"/>
      <c r="DK19" s="17"/>
      <c r="DL19" s="17"/>
      <c r="DM19" s="17"/>
      <c r="DN19" s="17"/>
      <c r="DO19" s="17"/>
      <c r="DP19" s="17"/>
      <c r="DQ19" s="17"/>
      <c r="DR19" s="17"/>
      <c r="DS19" s="17"/>
      <c r="DT19" s="17"/>
      <c r="DU19" s="17"/>
      <c r="DV19" s="17"/>
      <c r="DW19" s="17"/>
      <c r="DX19" s="17"/>
      <c r="DY19" s="17"/>
      <c r="DZ19" s="17"/>
      <c r="EA19" s="17"/>
      <c r="EB19" s="17"/>
      <c r="EC19" s="17"/>
      <c r="ED19" s="17"/>
      <c r="EE19" s="17"/>
      <c r="EF19" s="17"/>
      <c r="EG19" s="17"/>
      <c r="EH19" s="17"/>
      <c r="EI19" s="17"/>
      <c r="EJ19" s="17"/>
      <c r="EK19" s="17"/>
      <c r="EL19" s="17"/>
      <c r="EM19" s="17"/>
      <c r="EN19" s="17"/>
      <c r="EO19" s="17"/>
      <c r="EP19" s="17"/>
    </row>
    <row r="20" spans="1:146" ht="7.5" customHeight="1" thickBot="1" x14ac:dyDescent="0.3">
      <c r="A20" s="1779" t="s">
        <v>4</v>
      </c>
      <c r="B20" s="1779"/>
      <c r="C20" s="1779"/>
      <c r="D20" s="1781"/>
      <c r="E20" s="1781"/>
      <c r="F20" s="1781"/>
      <c r="G20" s="169"/>
      <c r="H20" s="1783"/>
      <c r="I20" s="1783"/>
      <c r="J20" s="1783"/>
      <c r="L20" s="1672"/>
      <c r="M20" s="1673"/>
      <c r="N20" s="1673"/>
      <c r="O20" s="1673"/>
      <c r="P20" s="1673"/>
      <c r="Q20" s="1673"/>
      <c r="R20" s="1673"/>
      <c r="S20" s="1673"/>
      <c r="T20" s="1673"/>
      <c r="U20" s="1673"/>
      <c r="V20" s="1673"/>
      <c r="W20" s="1673"/>
      <c r="X20" s="1673"/>
      <c r="Y20" s="1673"/>
      <c r="Z20" s="1673"/>
      <c r="AA20" s="1673"/>
      <c r="AB20" s="1673"/>
      <c r="AC20" s="1673"/>
      <c r="AD20" s="1674"/>
      <c r="AE20" s="1675"/>
      <c r="AF20" s="1676"/>
      <c r="AG20" s="1676"/>
      <c r="AH20" s="1677"/>
      <c r="AI20" s="1678"/>
      <c r="AJ20" s="1675"/>
      <c r="AK20" s="1676"/>
      <c r="AL20" s="1676"/>
      <c r="AM20" s="1677"/>
      <c r="AN20" s="1668"/>
      <c r="AO20" s="1669"/>
      <c r="AP20" s="1669"/>
      <c r="AQ20" s="1669"/>
      <c r="AR20" s="1669"/>
      <c r="AS20" s="1669"/>
      <c r="AT20" s="1670"/>
      <c r="AU20" s="1669"/>
      <c r="AV20" s="1669"/>
      <c r="AW20" s="1669"/>
      <c r="AX20" s="1669"/>
      <c r="AY20" s="1669"/>
      <c r="AZ20" s="1671"/>
      <c r="BB20" s="968"/>
      <c r="BC20" s="969"/>
      <c r="BD20" s="970"/>
      <c r="BE20" s="1757" t="s">
        <v>57</v>
      </c>
      <c r="BF20" s="1758"/>
      <c r="BG20" s="1758"/>
      <c r="BH20" s="1758"/>
      <c r="BI20" s="1758"/>
      <c r="BJ20" s="1758"/>
      <c r="BK20" s="1759"/>
      <c r="BL20" s="1763" t="s">
        <v>59</v>
      </c>
      <c r="BM20" s="1763"/>
      <c r="BN20" s="1763"/>
      <c r="BO20" s="1763"/>
      <c r="BP20" s="1763"/>
      <c r="BQ20" s="1763"/>
      <c r="BR20" s="1764"/>
      <c r="BS20" s="1767"/>
      <c r="BT20" s="1768"/>
      <c r="BU20" s="1769"/>
      <c r="BV20" s="164"/>
      <c r="BW20" s="1753" t="s">
        <v>76</v>
      </c>
      <c r="BX20" s="1749"/>
      <c r="BY20" s="1749"/>
      <c r="BZ20" s="1749"/>
      <c r="CA20" s="1749"/>
      <c r="CB20" s="1749"/>
      <c r="CC20" s="1749"/>
      <c r="CD20" s="1749"/>
      <c r="CE20" s="1749"/>
      <c r="CF20" s="1749"/>
      <c r="CG20" s="1754"/>
      <c r="CH20" s="1773" t="s">
        <v>507</v>
      </c>
      <c r="CI20" s="1774"/>
      <c r="CJ20" s="1774"/>
      <c r="CK20" s="1775"/>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c r="DO20" s="17"/>
      <c r="DP20" s="17"/>
      <c r="DQ20" s="17"/>
      <c r="DR20" s="17"/>
      <c r="DS20" s="17"/>
      <c r="DT20" s="17"/>
      <c r="DU20" s="17"/>
      <c r="DV20" s="17"/>
      <c r="DW20" s="17"/>
      <c r="DX20" s="17"/>
      <c r="DY20" s="17"/>
      <c r="DZ20" s="17"/>
      <c r="EA20" s="17"/>
      <c r="EB20" s="17"/>
      <c r="EC20" s="17"/>
      <c r="ED20" s="17"/>
      <c r="EE20" s="17"/>
      <c r="EF20" s="17"/>
      <c r="EG20" s="17"/>
      <c r="EH20" s="17"/>
      <c r="EI20" s="17"/>
      <c r="EJ20" s="17"/>
      <c r="EK20" s="17"/>
      <c r="EL20" s="17"/>
      <c r="EM20" s="17"/>
      <c r="EN20" s="17"/>
      <c r="EO20" s="17"/>
      <c r="EP20" s="17"/>
    </row>
    <row r="21" spans="1:146" ht="7.5" customHeight="1" thickBot="1" x14ac:dyDescent="0.3">
      <c r="A21" s="1780"/>
      <c r="B21" s="1780"/>
      <c r="C21" s="1780"/>
      <c r="D21" s="1781"/>
      <c r="E21" s="1781"/>
      <c r="F21" s="1781"/>
      <c r="G21" s="169"/>
      <c r="H21" s="1784"/>
      <c r="I21" s="1784"/>
      <c r="J21" s="1784"/>
      <c r="L21" s="1672"/>
      <c r="M21" s="1673"/>
      <c r="N21" s="1673"/>
      <c r="O21" s="1673"/>
      <c r="P21" s="1673"/>
      <c r="Q21" s="1673"/>
      <c r="R21" s="1673"/>
      <c r="S21" s="1673"/>
      <c r="T21" s="1673"/>
      <c r="U21" s="1673"/>
      <c r="V21" s="1673"/>
      <c r="W21" s="1673"/>
      <c r="X21" s="1673"/>
      <c r="Y21" s="1673"/>
      <c r="Z21" s="1673"/>
      <c r="AA21" s="1673"/>
      <c r="AB21" s="1673"/>
      <c r="AC21" s="1673"/>
      <c r="AD21" s="1674"/>
      <c r="AE21" s="1675"/>
      <c r="AF21" s="1676"/>
      <c r="AG21" s="1676"/>
      <c r="AH21" s="1677"/>
      <c r="AI21" s="1678"/>
      <c r="AJ21" s="1675"/>
      <c r="AK21" s="1676"/>
      <c r="AL21" s="1676"/>
      <c r="AM21" s="1677"/>
      <c r="AN21" s="1668"/>
      <c r="AO21" s="1669"/>
      <c r="AP21" s="1669"/>
      <c r="AQ21" s="1669"/>
      <c r="AR21" s="1669"/>
      <c r="AS21" s="1669"/>
      <c r="AT21" s="1670"/>
      <c r="AU21" s="1669"/>
      <c r="AV21" s="1669"/>
      <c r="AW21" s="1669"/>
      <c r="AX21" s="1669"/>
      <c r="AY21" s="1669"/>
      <c r="AZ21" s="1671"/>
      <c r="BB21" s="968"/>
      <c r="BC21" s="969"/>
      <c r="BD21" s="970"/>
      <c r="BE21" s="1760"/>
      <c r="BF21" s="1761"/>
      <c r="BG21" s="1761"/>
      <c r="BH21" s="1761"/>
      <c r="BI21" s="1761"/>
      <c r="BJ21" s="1761"/>
      <c r="BK21" s="1762"/>
      <c r="BL21" s="1765"/>
      <c r="BM21" s="1765"/>
      <c r="BN21" s="1765"/>
      <c r="BO21" s="1765"/>
      <c r="BP21" s="1765"/>
      <c r="BQ21" s="1765"/>
      <c r="BR21" s="1766"/>
      <c r="BS21" s="1770"/>
      <c r="BT21" s="1771"/>
      <c r="BU21" s="1772"/>
      <c r="BV21" s="164"/>
      <c r="BW21" s="1755"/>
      <c r="BX21" s="1751"/>
      <c r="BY21" s="1751"/>
      <c r="BZ21" s="1751"/>
      <c r="CA21" s="1751"/>
      <c r="CB21" s="1751"/>
      <c r="CC21" s="1751"/>
      <c r="CD21" s="1751"/>
      <c r="CE21" s="1751"/>
      <c r="CF21" s="1751"/>
      <c r="CG21" s="1756"/>
      <c r="CH21" s="1776"/>
      <c r="CI21" s="1777"/>
      <c r="CJ21" s="1777"/>
      <c r="CK21" s="1778"/>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c r="DO21" s="17"/>
      <c r="DP21" s="17"/>
      <c r="DQ21" s="17"/>
      <c r="DR21" s="17"/>
      <c r="DS21" s="17"/>
      <c r="DT21" s="17"/>
      <c r="DU21" s="17"/>
      <c r="DV21" s="17"/>
      <c r="DW21" s="17"/>
      <c r="DX21" s="17"/>
      <c r="DY21" s="17"/>
      <c r="DZ21" s="17"/>
      <c r="EA21" s="17"/>
      <c r="EB21" s="17"/>
      <c r="EC21" s="17"/>
      <c r="ED21" s="17"/>
      <c r="EE21" s="17"/>
      <c r="EF21" s="17"/>
      <c r="EG21" s="17"/>
      <c r="EH21" s="17"/>
      <c r="EI21" s="17"/>
      <c r="EJ21" s="17"/>
      <c r="EK21" s="17"/>
      <c r="EL21" s="17"/>
      <c r="EM21" s="17"/>
      <c r="EN21" s="17"/>
      <c r="EO21" s="17"/>
      <c r="EP21" s="17"/>
    </row>
    <row r="22" spans="1:146" ht="7.5" customHeight="1" thickBot="1" x14ac:dyDescent="0.3">
      <c r="A22" s="1803"/>
      <c r="B22" s="1804"/>
      <c r="C22" s="1804"/>
      <c r="D22" s="1782"/>
      <c r="E22" s="1782"/>
      <c r="F22" s="1782"/>
      <c r="G22" s="169">
        <v>15</v>
      </c>
      <c r="H22" s="1784"/>
      <c r="I22" s="1784"/>
      <c r="J22" s="1784"/>
      <c r="L22" s="1672"/>
      <c r="M22" s="1673"/>
      <c r="N22" s="1673"/>
      <c r="O22" s="1673"/>
      <c r="P22" s="1673"/>
      <c r="Q22" s="1673"/>
      <c r="R22" s="1673"/>
      <c r="S22" s="1673"/>
      <c r="T22" s="1673"/>
      <c r="U22" s="1673"/>
      <c r="V22" s="1673"/>
      <c r="W22" s="1673"/>
      <c r="X22" s="1673"/>
      <c r="Y22" s="1673"/>
      <c r="Z22" s="1673"/>
      <c r="AA22" s="1673"/>
      <c r="AB22" s="1673"/>
      <c r="AC22" s="1673"/>
      <c r="AD22" s="1674"/>
      <c r="AE22" s="1675"/>
      <c r="AF22" s="1676"/>
      <c r="AG22" s="1676"/>
      <c r="AH22" s="1677"/>
      <c r="AI22" s="1678"/>
      <c r="AJ22" s="1675"/>
      <c r="AK22" s="1676"/>
      <c r="AL22" s="1676"/>
      <c r="AM22" s="1677"/>
      <c r="AN22" s="1668"/>
      <c r="AO22" s="1669"/>
      <c r="AP22" s="1669"/>
      <c r="AQ22" s="1669"/>
      <c r="AR22" s="1669"/>
      <c r="AS22" s="1669"/>
      <c r="AT22" s="1670"/>
      <c r="AU22" s="1669"/>
      <c r="AV22" s="1669"/>
      <c r="AW22" s="1669"/>
      <c r="AX22" s="1669"/>
      <c r="AY22" s="1669"/>
      <c r="AZ22" s="1671"/>
      <c r="BB22" s="968"/>
      <c r="BC22" s="969"/>
      <c r="BD22" s="970"/>
      <c r="BE22" s="1792" t="s">
        <v>58</v>
      </c>
      <c r="BF22" s="1793"/>
      <c r="BG22" s="1793"/>
      <c r="BH22" s="1793"/>
      <c r="BI22" s="1793"/>
      <c r="BJ22" s="1793"/>
      <c r="BK22" s="1794"/>
      <c r="BL22" s="1798" t="s">
        <v>514</v>
      </c>
      <c r="BM22" s="1798"/>
      <c r="BN22" s="1798"/>
      <c r="BO22" s="1798"/>
      <c r="BP22" s="1798"/>
      <c r="BQ22" s="1798"/>
      <c r="BR22" s="1799"/>
      <c r="BS22" s="1767"/>
      <c r="BT22" s="1768"/>
      <c r="BU22" s="1769"/>
      <c r="BV22" s="164"/>
      <c r="BW22" s="1786" t="s">
        <v>77</v>
      </c>
      <c r="BX22" s="1787"/>
      <c r="BY22" s="1787"/>
      <c r="BZ22" s="1787"/>
      <c r="CA22" s="1787"/>
      <c r="CB22" s="1787"/>
      <c r="CC22" s="1787"/>
      <c r="CD22" s="1787"/>
      <c r="CE22" s="1787"/>
      <c r="CF22" s="1787"/>
      <c r="CG22" s="1788"/>
      <c r="CH22" s="1773" t="s">
        <v>513</v>
      </c>
      <c r="CI22" s="1774"/>
      <c r="CJ22" s="1774"/>
      <c r="CK22" s="1775"/>
      <c r="CP22" s="17"/>
      <c r="CQ22" s="17"/>
      <c r="CR22" s="17"/>
      <c r="CS22" s="17"/>
      <c r="CT22" s="17"/>
      <c r="CU22" s="17"/>
      <c r="CV22" s="17"/>
      <c r="CW22" s="17"/>
      <c r="CX22" s="17"/>
      <c r="CY22" s="17"/>
      <c r="CZ22" s="17"/>
      <c r="DA22" s="17"/>
      <c r="DB22" s="17"/>
      <c r="DC22" s="17"/>
      <c r="DD22" s="17"/>
      <c r="DE22" s="17"/>
      <c r="DF22" s="17"/>
      <c r="DG22" s="17"/>
      <c r="DH22" s="17"/>
      <c r="DI22" s="17"/>
      <c r="DJ22" s="17"/>
      <c r="DK22" s="17"/>
      <c r="DL22" s="17"/>
      <c r="DM22" s="17"/>
      <c r="DN22" s="17"/>
      <c r="DO22" s="17"/>
      <c r="DP22" s="17"/>
      <c r="DQ22" s="17"/>
      <c r="DR22" s="17"/>
      <c r="DS22" s="17"/>
      <c r="DT22" s="17"/>
      <c r="DU22" s="17"/>
      <c r="DV22" s="17"/>
      <c r="DW22" s="17"/>
      <c r="DX22" s="17"/>
      <c r="DY22" s="17"/>
      <c r="DZ22" s="17"/>
      <c r="EA22" s="17"/>
      <c r="EB22" s="17"/>
      <c r="EC22" s="17"/>
      <c r="ED22" s="17"/>
      <c r="EE22" s="17"/>
      <c r="EF22" s="17"/>
      <c r="EG22" s="17"/>
      <c r="EH22" s="17"/>
      <c r="EI22" s="17"/>
      <c r="EJ22" s="17"/>
      <c r="EK22" s="17"/>
      <c r="EL22" s="17"/>
      <c r="EM22" s="17"/>
      <c r="EN22" s="17"/>
      <c r="EO22" s="17"/>
      <c r="EP22" s="17"/>
    </row>
    <row r="23" spans="1:146" ht="7.5" customHeight="1" thickBot="1" x14ac:dyDescent="0.3">
      <c r="A23" s="1779" t="s">
        <v>5</v>
      </c>
      <c r="B23" s="1779"/>
      <c r="C23" s="1779"/>
      <c r="D23" s="1802"/>
      <c r="E23" s="1802"/>
      <c r="F23" s="1802"/>
      <c r="G23" s="169"/>
      <c r="H23" s="1784"/>
      <c r="I23" s="1784"/>
      <c r="J23" s="1784"/>
      <c r="L23" s="1672"/>
      <c r="M23" s="1673"/>
      <c r="N23" s="1673"/>
      <c r="O23" s="1673"/>
      <c r="P23" s="1673"/>
      <c r="Q23" s="1673"/>
      <c r="R23" s="1673"/>
      <c r="S23" s="1673"/>
      <c r="T23" s="1673"/>
      <c r="U23" s="1673"/>
      <c r="V23" s="1673"/>
      <c r="W23" s="1673"/>
      <c r="X23" s="1673"/>
      <c r="Y23" s="1673"/>
      <c r="Z23" s="1673"/>
      <c r="AA23" s="1673"/>
      <c r="AB23" s="1673"/>
      <c r="AC23" s="1673"/>
      <c r="AD23" s="1674"/>
      <c r="AE23" s="1675"/>
      <c r="AF23" s="1676"/>
      <c r="AG23" s="1676"/>
      <c r="AH23" s="1677"/>
      <c r="AI23" s="1678"/>
      <c r="AJ23" s="1675"/>
      <c r="AK23" s="1676"/>
      <c r="AL23" s="1676"/>
      <c r="AM23" s="1677"/>
      <c r="AN23" s="1668"/>
      <c r="AO23" s="1669"/>
      <c r="AP23" s="1669"/>
      <c r="AQ23" s="1669"/>
      <c r="AR23" s="1669"/>
      <c r="AS23" s="1669"/>
      <c r="AT23" s="1670"/>
      <c r="AU23" s="1669"/>
      <c r="AV23" s="1669"/>
      <c r="AW23" s="1669"/>
      <c r="AX23" s="1669"/>
      <c r="AY23" s="1669"/>
      <c r="AZ23" s="1671"/>
      <c r="BB23" s="968"/>
      <c r="BC23" s="969"/>
      <c r="BD23" s="970"/>
      <c r="BE23" s="1795"/>
      <c r="BF23" s="1796"/>
      <c r="BG23" s="1796"/>
      <c r="BH23" s="1796"/>
      <c r="BI23" s="1796"/>
      <c r="BJ23" s="1796"/>
      <c r="BK23" s="1797"/>
      <c r="BL23" s="1800"/>
      <c r="BM23" s="1800"/>
      <c r="BN23" s="1800"/>
      <c r="BO23" s="1800"/>
      <c r="BP23" s="1800"/>
      <c r="BQ23" s="1800"/>
      <c r="BR23" s="1801"/>
      <c r="BS23" s="1770"/>
      <c r="BT23" s="1771"/>
      <c r="BU23" s="1772"/>
      <c r="BV23" s="164"/>
      <c r="BW23" s="1789"/>
      <c r="BX23" s="1790"/>
      <c r="BY23" s="1790"/>
      <c r="BZ23" s="1790"/>
      <c r="CA23" s="1790"/>
      <c r="CB23" s="1790"/>
      <c r="CC23" s="1790"/>
      <c r="CD23" s="1790"/>
      <c r="CE23" s="1790"/>
      <c r="CF23" s="1790"/>
      <c r="CG23" s="1791"/>
      <c r="CH23" s="1776"/>
      <c r="CI23" s="1777"/>
      <c r="CJ23" s="1777"/>
      <c r="CK23" s="1778"/>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row>
    <row r="24" spans="1:146" ht="7.5" customHeight="1" thickBot="1" x14ac:dyDescent="0.3">
      <c r="A24" s="1780"/>
      <c r="B24" s="1780"/>
      <c r="C24" s="1780"/>
      <c r="D24" s="1781"/>
      <c r="E24" s="1781"/>
      <c r="F24" s="1781"/>
      <c r="G24" s="169"/>
      <c r="H24" s="1784"/>
      <c r="I24" s="1784"/>
      <c r="J24" s="1784"/>
      <c r="L24" s="1672"/>
      <c r="M24" s="1673"/>
      <c r="N24" s="1673"/>
      <c r="O24" s="1673"/>
      <c r="P24" s="1673"/>
      <c r="Q24" s="1673"/>
      <c r="R24" s="1673"/>
      <c r="S24" s="1673"/>
      <c r="T24" s="1673"/>
      <c r="U24" s="1673"/>
      <c r="V24" s="1673"/>
      <c r="W24" s="1673"/>
      <c r="X24" s="1673"/>
      <c r="Y24" s="1673"/>
      <c r="Z24" s="1673"/>
      <c r="AA24" s="1673"/>
      <c r="AB24" s="1673"/>
      <c r="AC24" s="1673"/>
      <c r="AD24" s="1674"/>
      <c r="AE24" s="1675"/>
      <c r="AF24" s="1676"/>
      <c r="AG24" s="1676"/>
      <c r="AH24" s="1677"/>
      <c r="AI24" s="1678"/>
      <c r="AJ24" s="1675"/>
      <c r="AK24" s="1676"/>
      <c r="AL24" s="1676"/>
      <c r="AM24" s="1677"/>
      <c r="AN24" s="1668"/>
      <c r="AO24" s="1669"/>
      <c r="AP24" s="1669"/>
      <c r="AQ24" s="1669"/>
      <c r="AR24" s="1669"/>
      <c r="AS24" s="1669"/>
      <c r="AT24" s="1670"/>
      <c r="AU24" s="1669"/>
      <c r="AV24" s="1669"/>
      <c r="AW24" s="1669"/>
      <c r="AX24" s="1669"/>
      <c r="AY24" s="1669"/>
      <c r="AZ24" s="1671"/>
      <c r="CL24" s="129"/>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c r="DO24" s="17"/>
      <c r="DP24" s="17"/>
      <c r="DQ24" s="17"/>
      <c r="DR24" s="17"/>
      <c r="DS24" s="17"/>
      <c r="DT24" s="17"/>
      <c r="DU24" s="17"/>
      <c r="DV24" s="17"/>
      <c r="DW24" s="17"/>
      <c r="DX24" s="17"/>
      <c r="DY24" s="17"/>
      <c r="DZ24" s="17"/>
      <c r="EA24" s="17"/>
      <c r="EB24" s="17"/>
      <c r="EC24" s="17"/>
      <c r="ED24" s="17"/>
      <c r="EE24" s="17"/>
      <c r="EF24" s="17"/>
      <c r="EG24" s="17"/>
      <c r="EH24" s="17"/>
      <c r="EI24" s="17"/>
      <c r="EJ24" s="17"/>
      <c r="EK24" s="17"/>
      <c r="EL24" s="17"/>
      <c r="EM24" s="17"/>
      <c r="EN24" s="17"/>
      <c r="EO24" s="17"/>
      <c r="EP24" s="17"/>
    </row>
    <row r="25" spans="1:146" ht="7.5" customHeight="1" thickBot="1" x14ac:dyDescent="0.3">
      <c r="A25" s="1805"/>
      <c r="B25" s="1805"/>
      <c r="C25" s="1805"/>
      <c r="D25" s="1782"/>
      <c r="E25" s="1782"/>
      <c r="F25" s="1782"/>
      <c r="G25" s="169">
        <v>15</v>
      </c>
      <c r="H25" s="1784"/>
      <c r="I25" s="1784"/>
      <c r="J25" s="1784"/>
      <c r="L25" s="1672"/>
      <c r="M25" s="1673"/>
      <c r="N25" s="1673"/>
      <c r="O25" s="1673"/>
      <c r="P25" s="1673"/>
      <c r="Q25" s="1673"/>
      <c r="R25" s="1673"/>
      <c r="S25" s="1673"/>
      <c r="T25" s="1673"/>
      <c r="U25" s="1673"/>
      <c r="V25" s="1673"/>
      <c r="W25" s="1673"/>
      <c r="X25" s="1673"/>
      <c r="Y25" s="1673"/>
      <c r="Z25" s="1673"/>
      <c r="AA25" s="1673"/>
      <c r="AB25" s="1673"/>
      <c r="AC25" s="1673"/>
      <c r="AD25" s="1674"/>
      <c r="AE25" s="1675"/>
      <c r="AF25" s="1676"/>
      <c r="AG25" s="1676"/>
      <c r="AH25" s="1677"/>
      <c r="AI25" s="1678"/>
      <c r="AJ25" s="1675"/>
      <c r="AK25" s="1676"/>
      <c r="AL25" s="1676"/>
      <c r="AM25" s="1677"/>
      <c r="AN25" s="1668"/>
      <c r="AO25" s="1669"/>
      <c r="AP25" s="1669"/>
      <c r="AQ25" s="1669"/>
      <c r="AR25" s="1669"/>
      <c r="AS25" s="1669"/>
      <c r="AT25" s="1670"/>
      <c r="AU25" s="1669"/>
      <c r="AV25" s="1669"/>
      <c r="AW25" s="1669"/>
      <c r="AX25" s="1669"/>
      <c r="AY25" s="1669"/>
      <c r="AZ25" s="1671"/>
      <c r="BB25" s="1806" t="s">
        <v>87</v>
      </c>
      <c r="BC25" s="1807"/>
      <c r="BD25" s="1807"/>
      <c r="BE25" s="1807"/>
      <c r="BF25" s="1807"/>
      <c r="BG25" s="1807"/>
      <c r="BH25" s="1807"/>
      <c r="BI25" s="1807"/>
      <c r="BJ25" s="1807"/>
      <c r="BK25" s="1807"/>
      <c r="BL25" s="1807"/>
      <c r="BM25" s="1807"/>
      <c r="BN25" s="1807"/>
      <c r="BO25" s="1807"/>
      <c r="BP25" s="1807"/>
      <c r="BQ25" s="1807"/>
      <c r="BR25" s="1807"/>
      <c r="BS25" s="1807"/>
      <c r="BT25" s="1807"/>
      <c r="BU25" s="1807"/>
      <c r="BV25" s="1807"/>
      <c r="BW25" s="1807"/>
      <c r="BX25" s="1807"/>
      <c r="BY25" s="1807"/>
      <c r="BZ25" s="1807"/>
      <c r="CA25" s="1807"/>
      <c r="CB25" s="1807"/>
      <c r="CC25" s="1807"/>
      <c r="CD25" s="1807"/>
      <c r="CE25" s="1807"/>
      <c r="CF25" s="1807"/>
      <c r="CG25" s="1807"/>
      <c r="CH25" s="1807"/>
      <c r="CI25" s="1807"/>
      <c r="CJ25" s="1807"/>
      <c r="CK25" s="1808"/>
      <c r="CL25" s="38"/>
      <c r="CM25" s="38"/>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7"/>
      <c r="DZ25" s="17"/>
      <c r="EA25" s="17"/>
      <c r="EB25" s="17"/>
      <c r="EC25" s="17"/>
      <c r="ED25" s="17"/>
      <c r="EE25" s="17"/>
      <c r="EF25" s="17"/>
      <c r="EG25" s="17"/>
      <c r="EH25" s="17"/>
      <c r="EI25" s="17"/>
      <c r="EJ25" s="17"/>
      <c r="EK25" s="17"/>
      <c r="EL25" s="17"/>
      <c r="EM25" s="17"/>
      <c r="EN25" s="17"/>
      <c r="EO25" s="17"/>
      <c r="EP25" s="17"/>
    </row>
    <row r="26" spans="1:146" ht="7.5" customHeight="1" thickBot="1" x14ac:dyDescent="0.3">
      <c r="A26" s="1779" t="s">
        <v>6</v>
      </c>
      <c r="B26" s="1779"/>
      <c r="C26" s="1779"/>
      <c r="D26" s="1802"/>
      <c r="E26" s="1802"/>
      <c r="F26" s="1802"/>
      <c r="G26" s="169"/>
      <c r="H26" s="1784"/>
      <c r="I26" s="1784"/>
      <c r="J26" s="1784"/>
      <c r="L26" s="1672"/>
      <c r="M26" s="1673"/>
      <c r="N26" s="1673"/>
      <c r="O26" s="1673"/>
      <c r="P26" s="1673"/>
      <c r="Q26" s="1673"/>
      <c r="R26" s="1673"/>
      <c r="S26" s="1673"/>
      <c r="T26" s="1673"/>
      <c r="U26" s="1673"/>
      <c r="V26" s="1673"/>
      <c r="W26" s="1673"/>
      <c r="X26" s="1673"/>
      <c r="Y26" s="1673"/>
      <c r="Z26" s="1673"/>
      <c r="AA26" s="1673"/>
      <c r="AB26" s="1673"/>
      <c r="AC26" s="1673"/>
      <c r="AD26" s="1674"/>
      <c r="AE26" s="1675"/>
      <c r="AF26" s="1676"/>
      <c r="AG26" s="1676"/>
      <c r="AH26" s="1677"/>
      <c r="AI26" s="1678"/>
      <c r="AJ26" s="1675"/>
      <c r="AK26" s="1676"/>
      <c r="AL26" s="1676"/>
      <c r="AM26" s="1677"/>
      <c r="AN26" s="1668"/>
      <c r="AO26" s="1669"/>
      <c r="AP26" s="1669"/>
      <c r="AQ26" s="1669"/>
      <c r="AR26" s="1669"/>
      <c r="AS26" s="1669"/>
      <c r="AT26" s="1670"/>
      <c r="AU26" s="1669"/>
      <c r="AV26" s="1669"/>
      <c r="AW26" s="1669"/>
      <c r="AX26" s="1669"/>
      <c r="AY26" s="1669"/>
      <c r="AZ26" s="1671"/>
      <c r="BB26" s="1809"/>
      <c r="BC26" s="1810"/>
      <c r="BD26" s="1810"/>
      <c r="BE26" s="1810"/>
      <c r="BF26" s="1810"/>
      <c r="BG26" s="1810"/>
      <c r="BH26" s="1810"/>
      <c r="BI26" s="1810"/>
      <c r="BJ26" s="1810"/>
      <c r="BK26" s="1810"/>
      <c r="BL26" s="1810"/>
      <c r="BM26" s="1810"/>
      <c r="BN26" s="1810"/>
      <c r="BO26" s="1810"/>
      <c r="BP26" s="1810"/>
      <c r="BQ26" s="1810"/>
      <c r="BR26" s="1810"/>
      <c r="BS26" s="1810"/>
      <c r="BT26" s="1810"/>
      <c r="BU26" s="1810"/>
      <c r="BV26" s="1810"/>
      <c r="BW26" s="1810"/>
      <c r="BX26" s="1810"/>
      <c r="BY26" s="1810"/>
      <c r="BZ26" s="1810"/>
      <c r="CA26" s="1810"/>
      <c r="CB26" s="1810"/>
      <c r="CC26" s="1810"/>
      <c r="CD26" s="1810"/>
      <c r="CE26" s="1810"/>
      <c r="CF26" s="1810"/>
      <c r="CG26" s="1810"/>
      <c r="CH26" s="1810"/>
      <c r="CI26" s="1810"/>
      <c r="CJ26" s="1810"/>
      <c r="CK26" s="1811"/>
      <c r="CP26" s="17"/>
      <c r="CQ26" s="17"/>
      <c r="CR26" s="17"/>
      <c r="CS26" s="17"/>
      <c r="CT26" s="17"/>
      <c r="CU26" s="17"/>
      <c r="CV26" s="17"/>
      <c r="CW26" s="17"/>
      <c r="CX26" s="17"/>
      <c r="CY26" s="17"/>
      <c r="CZ26" s="17"/>
      <c r="DA26" s="17"/>
      <c r="DB26" s="17"/>
      <c r="DC26" s="17"/>
      <c r="DD26" s="17"/>
      <c r="DE26" s="17"/>
      <c r="DF26" s="17"/>
      <c r="DG26" s="17"/>
      <c r="DH26" s="17"/>
      <c r="DI26" s="17"/>
      <c r="DJ26" s="17"/>
      <c r="DK26" s="17"/>
      <c r="DL26" s="17"/>
      <c r="DM26" s="17"/>
      <c r="DN26" s="17"/>
      <c r="DO26" s="17"/>
      <c r="DP26" s="17"/>
      <c r="DQ26" s="17"/>
      <c r="DR26" s="17"/>
      <c r="DS26" s="17"/>
      <c r="DT26" s="17"/>
      <c r="DU26" s="17"/>
      <c r="DV26" s="17"/>
      <c r="DW26" s="17"/>
      <c r="DX26" s="17"/>
      <c r="DY26" s="17"/>
      <c r="DZ26" s="17"/>
      <c r="EA26" s="17"/>
      <c r="EB26" s="17"/>
      <c r="EC26" s="17"/>
      <c r="ED26" s="17"/>
      <c r="EE26" s="17"/>
      <c r="EF26" s="17"/>
      <c r="EG26" s="17"/>
      <c r="EH26" s="17"/>
      <c r="EI26" s="17"/>
      <c r="EJ26" s="17"/>
      <c r="EK26" s="17"/>
      <c r="EL26" s="17"/>
      <c r="EM26" s="17"/>
      <c r="EN26" s="17"/>
      <c r="EO26" s="17"/>
      <c r="EP26" s="17"/>
    </row>
    <row r="27" spans="1:146" ht="7.5" customHeight="1" thickBot="1" x14ac:dyDescent="0.3">
      <c r="A27" s="1780"/>
      <c r="B27" s="1780"/>
      <c r="C27" s="1780"/>
      <c r="D27" s="1781"/>
      <c r="E27" s="1781"/>
      <c r="F27" s="1781"/>
      <c r="G27" s="169"/>
      <c r="H27" s="1784"/>
      <c r="I27" s="1784"/>
      <c r="J27" s="1784"/>
      <c r="L27" s="1672"/>
      <c r="M27" s="1673"/>
      <c r="N27" s="1673"/>
      <c r="O27" s="1673"/>
      <c r="P27" s="1673"/>
      <c r="Q27" s="1673"/>
      <c r="R27" s="1673"/>
      <c r="S27" s="1673"/>
      <c r="T27" s="1673"/>
      <c r="U27" s="1673"/>
      <c r="V27" s="1673"/>
      <c r="W27" s="1673"/>
      <c r="X27" s="1673"/>
      <c r="Y27" s="1673"/>
      <c r="Z27" s="1673"/>
      <c r="AA27" s="1673"/>
      <c r="AB27" s="1673"/>
      <c r="AC27" s="1673"/>
      <c r="AD27" s="1674"/>
      <c r="AE27" s="1675"/>
      <c r="AF27" s="1676"/>
      <c r="AG27" s="1676"/>
      <c r="AH27" s="1677"/>
      <c r="AI27" s="1678"/>
      <c r="AJ27" s="1675"/>
      <c r="AK27" s="1676"/>
      <c r="AL27" s="1676"/>
      <c r="AM27" s="1677"/>
      <c r="AN27" s="1668"/>
      <c r="AO27" s="1669"/>
      <c r="AP27" s="1669"/>
      <c r="AQ27" s="1669"/>
      <c r="AR27" s="1669"/>
      <c r="AS27" s="1669"/>
      <c r="AT27" s="1670"/>
      <c r="AU27" s="1669"/>
      <c r="AV27" s="1669"/>
      <c r="AW27" s="1669"/>
      <c r="AX27" s="1669"/>
      <c r="AY27" s="1669"/>
      <c r="AZ27" s="1671"/>
      <c r="BB27" s="586" t="s">
        <v>85</v>
      </c>
      <c r="BC27" s="587"/>
      <c r="BD27" s="587"/>
      <c r="BE27" s="40"/>
      <c r="BF27" s="40"/>
      <c r="BG27" s="40"/>
      <c r="BH27" s="40"/>
      <c r="BI27" s="40"/>
      <c r="BJ27" s="40"/>
      <c r="BK27" s="40"/>
      <c r="BL27" s="40"/>
      <c r="BM27" s="40"/>
      <c r="BN27" s="40"/>
      <c r="BO27" s="170"/>
      <c r="BP27" s="170"/>
      <c r="BQ27" s="170"/>
      <c r="BR27" s="170"/>
      <c r="BS27" s="171"/>
      <c r="BT27" s="121" t="s">
        <v>89</v>
      </c>
      <c r="BU27" s="121"/>
      <c r="BV27" s="121"/>
      <c r="BW27" s="121"/>
      <c r="BX27" s="122"/>
      <c r="BY27" s="122"/>
      <c r="BZ27" s="122"/>
      <c r="CA27" s="122"/>
      <c r="CB27" s="123"/>
      <c r="CC27" s="182" t="s">
        <v>88</v>
      </c>
      <c r="CD27" s="124"/>
      <c r="CE27" s="124"/>
      <c r="CF27" s="124"/>
      <c r="CG27" s="124"/>
      <c r="CH27" s="124"/>
      <c r="CI27" s="124"/>
      <c r="CJ27" s="125"/>
      <c r="CK27" s="126"/>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c r="DO27" s="17"/>
      <c r="DP27" s="17"/>
      <c r="DQ27" s="17"/>
      <c r="DR27" s="17"/>
      <c r="DS27" s="17"/>
      <c r="DT27" s="17"/>
      <c r="DU27" s="17"/>
      <c r="DV27" s="17"/>
      <c r="DW27" s="17"/>
      <c r="DX27" s="17"/>
      <c r="DY27" s="17"/>
      <c r="DZ27" s="17"/>
      <c r="EA27" s="17"/>
      <c r="EB27" s="17"/>
      <c r="EC27" s="17"/>
      <c r="ED27" s="17"/>
      <c r="EE27" s="17"/>
      <c r="EF27" s="17"/>
      <c r="EG27" s="17"/>
      <c r="EH27" s="17"/>
      <c r="EI27" s="17"/>
      <c r="EJ27" s="17"/>
      <c r="EK27" s="17"/>
      <c r="EL27" s="17"/>
      <c r="EM27" s="17"/>
      <c r="EN27" s="17"/>
      <c r="EO27" s="17"/>
      <c r="EP27" s="17"/>
    </row>
    <row r="28" spans="1:146" ht="7.5" customHeight="1" thickBot="1" x14ac:dyDescent="0.3">
      <c r="A28" s="1805"/>
      <c r="B28" s="1805"/>
      <c r="C28" s="1805"/>
      <c r="D28" s="1812"/>
      <c r="E28" s="1812"/>
      <c r="F28" s="1812"/>
      <c r="G28" s="169">
        <v>20</v>
      </c>
      <c r="H28" s="1784"/>
      <c r="I28" s="1784"/>
      <c r="J28" s="1784"/>
      <c r="L28" s="1672"/>
      <c r="M28" s="1673"/>
      <c r="N28" s="1673"/>
      <c r="O28" s="1673"/>
      <c r="P28" s="1673"/>
      <c r="Q28" s="1673"/>
      <c r="R28" s="1673"/>
      <c r="S28" s="1673"/>
      <c r="T28" s="1673"/>
      <c r="U28" s="1673"/>
      <c r="V28" s="1673"/>
      <c r="W28" s="1673"/>
      <c r="X28" s="1673"/>
      <c r="Y28" s="1673"/>
      <c r="Z28" s="1673"/>
      <c r="AA28" s="1673"/>
      <c r="AB28" s="1673"/>
      <c r="AC28" s="1673"/>
      <c r="AD28" s="1674"/>
      <c r="AE28" s="1675"/>
      <c r="AF28" s="1676"/>
      <c r="AG28" s="1676"/>
      <c r="AH28" s="1677"/>
      <c r="AI28" s="1678"/>
      <c r="AJ28" s="1675"/>
      <c r="AK28" s="1676"/>
      <c r="AL28" s="1676"/>
      <c r="AM28" s="1677"/>
      <c r="AN28" s="1668"/>
      <c r="AO28" s="1669"/>
      <c r="AP28" s="1669"/>
      <c r="AQ28" s="1669"/>
      <c r="AR28" s="1669"/>
      <c r="AS28" s="1669"/>
      <c r="AT28" s="1670"/>
      <c r="AU28" s="1669"/>
      <c r="AV28" s="1669"/>
      <c r="AW28" s="1669"/>
      <c r="AX28" s="1669"/>
      <c r="AY28" s="1669"/>
      <c r="AZ28" s="1671"/>
      <c r="BB28" s="1813"/>
      <c r="BC28" s="1814"/>
      <c r="BD28" s="1814"/>
      <c r="BE28" s="1814"/>
      <c r="BF28" s="1814"/>
      <c r="BG28" s="1814"/>
      <c r="BH28" s="1814"/>
      <c r="BI28" s="1814"/>
      <c r="BJ28" s="1814"/>
      <c r="BK28" s="1814"/>
      <c r="BL28" s="1814"/>
      <c r="BM28" s="1814"/>
      <c r="BN28" s="1814"/>
      <c r="BO28" s="1814"/>
      <c r="BP28" s="1814"/>
      <c r="BQ28" s="1814"/>
      <c r="BR28" s="1814"/>
      <c r="BS28" s="1815"/>
      <c r="BT28" s="1819"/>
      <c r="BU28" s="1820"/>
      <c r="BV28" s="1820"/>
      <c r="BW28" s="1820"/>
      <c r="BX28" s="1820"/>
      <c r="BY28" s="1820"/>
      <c r="BZ28" s="1820"/>
      <c r="CA28" s="1820"/>
      <c r="CB28" s="1821"/>
      <c r="CC28" s="1825"/>
      <c r="CD28" s="1826"/>
      <c r="CE28" s="1826"/>
      <c r="CF28" s="1826"/>
      <c r="CG28" s="1826"/>
      <c r="CH28" s="1826"/>
      <c r="CI28" s="1826"/>
      <c r="CJ28" s="1827"/>
      <c r="CK28" s="12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c r="DO28" s="17"/>
      <c r="DP28" s="17"/>
      <c r="DQ28" s="17"/>
      <c r="DR28" s="17"/>
      <c r="DS28" s="17"/>
      <c r="DT28" s="17"/>
      <c r="DU28" s="17"/>
      <c r="DV28" s="17"/>
      <c r="DW28" s="17"/>
      <c r="DX28" s="17"/>
      <c r="DY28" s="17"/>
      <c r="DZ28" s="17"/>
      <c r="EA28" s="17"/>
      <c r="EB28" s="17"/>
      <c r="EC28" s="17"/>
      <c r="ED28" s="17"/>
      <c r="EE28" s="17"/>
      <c r="EF28" s="17"/>
      <c r="EG28" s="17"/>
      <c r="EH28" s="17"/>
      <c r="EI28" s="17"/>
      <c r="EJ28" s="17"/>
      <c r="EK28" s="17"/>
      <c r="EL28" s="17"/>
      <c r="EM28" s="17"/>
      <c r="EN28" s="17"/>
      <c r="EO28" s="17"/>
      <c r="EP28" s="17"/>
    </row>
    <row r="29" spans="1:146" ht="7.5" customHeight="1" x14ac:dyDescent="0.25">
      <c r="A29" s="168"/>
      <c r="B29" s="168"/>
      <c r="C29" s="168"/>
      <c r="G29" s="120"/>
      <c r="L29" s="1672"/>
      <c r="M29" s="1673"/>
      <c r="N29" s="1673"/>
      <c r="O29" s="1673"/>
      <c r="P29" s="1673"/>
      <c r="Q29" s="1673"/>
      <c r="R29" s="1673"/>
      <c r="S29" s="1673"/>
      <c r="T29" s="1673"/>
      <c r="U29" s="1673"/>
      <c r="V29" s="1673"/>
      <c r="W29" s="1673"/>
      <c r="X29" s="1673"/>
      <c r="Y29" s="1673"/>
      <c r="Z29" s="1673"/>
      <c r="AA29" s="1673"/>
      <c r="AB29" s="1673"/>
      <c r="AC29" s="1673"/>
      <c r="AD29" s="1674"/>
      <c r="AE29" s="1675"/>
      <c r="AF29" s="1676"/>
      <c r="AG29" s="1676"/>
      <c r="AH29" s="1677"/>
      <c r="AI29" s="1678"/>
      <c r="AJ29" s="1675"/>
      <c r="AK29" s="1676"/>
      <c r="AL29" s="1676"/>
      <c r="AM29" s="1677"/>
      <c r="AN29" s="1668"/>
      <c r="AO29" s="1669"/>
      <c r="AP29" s="1669"/>
      <c r="AQ29" s="1669"/>
      <c r="AR29" s="1669"/>
      <c r="AS29" s="1669"/>
      <c r="AT29" s="1670"/>
      <c r="AU29" s="1669"/>
      <c r="AV29" s="1669"/>
      <c r="AW29" s="1669"/>
      <c r="AX29" s="1669"/>
      <c r="AY29" s="1669"/>
      <c r="AZ29" s="1671"/>
      <c r="BB29" s="1816"/>
      <c r="BC29" s="1817"/>
      <c r="BD29" s="1817"/>
      <c r="BE29" s="1817"/>
      <c r="BF29" s="1817"/>
      <c r="BG29" s="1817"/>
      <c r="BH29" s="1817"/>
      <c r="BI29" s="1817"/>
      <c r="BJ29" s="1817"/>
      <c r="BK29" s="1817"/>
      <c r="BL29" s="1817"/>
      <c r="BM29" s="1817"/>
      <c r="BN29" s="1817"/>
      <c r="BO29" s="1817"/>
      <c r="BP29" s="1817"/>
      <c r="BQ29" s="1817"/>
      <c r="BR29" s="1817"/>
      <c r="BS29" s="1818"/>
      <c r="BT29" s="1822"/>
      <c r="BU29" s="1823"/>
      <c r="BV29" s="1823"/>
      <c r="BW29" s="1823"/>
      <c r="BX29" s="1823"/>
      <c r="BY29" s="1823"/>
      <c r="BZ29" s="1823"/>
      <c r="CA29" s="1823"/>
      <c r="CB29" s="1824"/>
      <c r="CC29" s="1828"/>
      <c r="CD29" s="1829"/>
      <c r="CE29" s="1829"/>
      <c r="CF29" s="1829"/>
      <c r="CG29" s="1829"/>
      <c r="CH29" s="1829"/>
      <c r="CI29" s="1829"/>
      <c r="CJ29" s="1830"/>
      <c r="CK29" s="12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row>
    <row r="30" spans="1:146" ht="7.5" customHeight="1" thickBot="1" x14ac:dyDescent="0.3">
      <c r="A30" s="1847" t="s">
        <v>7</v>
      </c>
      <c r="B30" s="1847"/>
      <c r="C30" s="1847"/>
      <c r="D30" s="1850"/>
      <c r="E30" s="1850"/>
      <c r="F30" s="1850"/>
      <c r="G30" s="172"/>
      <c r="H30" s="1853"/>
      <c r="I30" s="1853"/>
      <c r="J30" s="1853"/>
      <c r="L30" s="1672"/>
      <c r="M30" s="1673"/>
      <c r="N30" s="1673"/>
      <c r="O30" s="1673"/>
      <c r="P30" s="1673"/>
      <c r="Q30" s="1673"/>
      <c r="R30" s="1673"/>
      <c r="S30" s="1673"/>
      <c r="T30" s="1673"/>
      <c r="U30" s="1673"/>
      <c r="V30" s="1673"/>
      <c r="W30" s="1673"/>
      <c r="X30" s="1673"/>
      <c r="Y30" s="1673"/>
      <c r="Z30" s="1673"/>
      <c r="AA30" s="1673"/>
      <c r="AB30" s="1673"/>
      <c r="AC30" s="1673"/>
      <c r="AD30" s="1674"/>
      <c r="AE30" s="1675"/>
      <c r="AF30" s="1676"/>
      <c r="AG30" s="1676"/>
      <c r="AH30" s="1677"/>
      <c r="AI30" s="1678"/>
      <c r="AJ30" s="1675"/>
      <c r="AK30" s="1676"/>
      <c r="AL30" s="1676"/>
      <c r="AM30" s="1677"/>
      <c r="AN30" s="1668"/>
      <c r="AO30" s="1669"/>
      <c r="AP30" s="1669"/>
      <c r="AQ30" s="1669"/>
      <c r="AR30" s="1669"/>
      <c r="AS30" s="1669"/>
      <c r="AT30" s="1670"/>
      <c r="AU30" s="1669"/>
      <c r="AV30" s="1669"/>
      <c r="AW30" s="1669"/>
      <c r="AX30" s="1669"/>
      <c r="AY30" s="1669"/>
      <c r="AZ30" s="1671"/>
      <c r="BB30" s="1854" t="s">
        <v>86</v>
      </c>
      <c r="BC30" s="1855"/>
      <c r="BD30" s="1855"/>
      <c r="BE30" s="1855"/>
      <c r="BF30" s="1855"/>
      <c r="BG30" s="1855"/>
      <c r="CD30" s="1831" t="s">
        <v>91</v>
      </c>
      <c r="CE30" s="1831"/>
      <c r="CF30" s="1831"/>
      <c r="CG30" s="1831"/>
      <c r="CK30" s="173"/>
      <c r="CP30" s="17"/>
      <c r="CQ30" s="17"/>
      <c r="CR30" s="17"/>
      <c r="CS30" s="17"/>
      <c r="CT30" s="17"/>
      <c r="CU30" s="17"/>
      <c r="CV30" s="17"/>
      <c r="CW30" s="17"/>
      <c r="CX30" s="17"/>
      <c r="CY30" s="17"/>
      <c r="CZ30" s="17"/>
      <c r="DA30" s="17"/>
      <c r="DB30" s="17"/>
      <c r="DC30" s="17"/>
      <c r="DD30" s="17"/>
      <c r="DE30" s="17"/>
      <c r="DF30" s="17"/>
      <c r="DG30" s="17"/>
      <c r="DH30" s="17"/>
      <c r="DI30" s="17"/>
      <c r="DJ30" s="17"/>
      <c r="DK30" s="17"/>
      <c r="DL30" s="17"/>
      <c r="DM30" s="17"/>
      <c r="DN30" s="17"/>
      <c r="DO30" s="17"/>
      <c r="DP30" s="17"/>
      <c r="DQ30" s="17"/>
      <c r="DR30" s="17"/>
      <c r="DS30" s="17"/>
      <c r="DT30" s="17"/>
      <c r="DU30" s="17"/>
      <c r="DV30" s="17"/>
      <c r="DW30" s="17"/>
      <c r="DX30" s="17"/>
      <c r="DY30" s="17"/>
      <c r="DZ30" s="17"/>
      <c r="EA30" s="17"/>
      <c r="EB30" s="17"/>
      <c r="EC30" s="17"/>
      <c r="ED30" s="17"/>
      <c r="EE30" s="17"/>
      <c r="EF30" s="17"/>
      <c r="EG30" s="17"/>
      <c r="EH30" s="17"/>
      <c r="EI30" s="17"/>
      <c r="EJ30" s="17"/>
      <c r="EK30" s="17"/>
      <c r="EL30" s="17"/>
      <c r="EM30" s="17"/>
      <c r="EN30" s="17"/>
      <c r="EO30" s="17"/>
      <c r="EP30" s="17"/>
    </row>
    <row r="31" spans="1:146" ht="7.5" customHeight="1" thickBot="1" x14ac:dyDescent="0.3">
      <c r="A31" s="1848"/>
      <c r="B31" s="1848"/>
      <c r="C31" s="1848"/>
      <c r="D31" s="1850"/>
      <c r="E31" s="1850"/>
      <c r="F31" s="1850"/>
      <c r="G31" s="172"/>
      <c r="H31" s="1852"/>
      <c r="I31" s="1852"/>
      <c r="J31" s="1852"/>
      <c r="L31" s="1672"/>
      <c r="M31" s="1673"/>
      <c r="N31" s="1673"/>
      <c r="O31" s="1673"/>
      <c r="P31" s="1673"/>
      <c r="Q31" s="1673"/>
      <c r="R31" s="1673"/>
      <c r="S31" s="1673"/>
      <c r="T31" s="1673"/>
      <c r="U31" s="1673"/>
      <c r="V31" s="1673"/>
      <c r="W31" s="1673"/>
      <c r="X31" s="1673"/>
      <c r="Y31" s="1673"/>
      <c r="Z31" s="1673"/>
      <c r="AA31" s="1673"/>
      <c r="AB31" s="1673"/>
      <c r="AC31" s="1673"/>
      <c r="AD31" s="1674"/>
      <c r="AE31" s="1675"/>
      <c r="AF31" s="1676"/>
      <c r="AG31" s="1676"/>
      <c r="AH31" s="1677"/>
      <c r="AI31" s="1678"/>
      <c r="AJ31" s="1675"/>
      <c r="AK31" s="1676"/>
      <c r="AL31" s="1676"/>
      <c r="AM31" s="1677"/>
      <c r="AN31" s="1668"/>
      <c r="AO31" s="1669"/>
      <c r="AP31" s="1669"/>
      <c r="AQ31" s="1669"/>
      <c r="AR31" s="1669"/>
      <c r="AS31" s="1669"/>
      <c r="AT31" s="1670"/>
      <c r="AU31" s="1669"/>
      <c r="AV31" s="1669"/>
      <c r="AW31" s="1669"/>
      <c r="AX31" s="1669"/>
      <c r="AY31" s="1669"/>
      <c r="AZ31" s="1671"/>
      <c r="BB31" s="1832"/>
      <c r="BC31" s="1833"/>
      <c r="BD31" s="1833"/>
      <c r="BE31" s="1833"/>
      <c r="BF31" s="1833"/>
      <c r="BG31" s="1833"/>
      <c r="BH31" s="1833"/>
      <c r="BI31" s="1833"/>
      <c r="BJ31" s="1833"/>
      <c r="BK31" s="1833"/>
      <c r="BL31" s="1833"/>
      <c r="BM31" s="1833"/>
      <c r="BN31" s="1833"/>
      <c r="BO31" s="1833"/>
      <c r="BP31" s="1833"/>
      <c r="BQ31" s="1833"/>
      <c r="BR31" s="1833"/>
      <c r="BS31" s="1833"/>
      <c r="BT31" s="1833"/>
      <c r="BU31" s="1833"/>
      <c r="BV31" s="1833"/>
      <c r="BW31" s="1833"/>
      <c r="BX31" s="1833"/>
      <c r="BY31" s="1833"/>
      <c r="BZ31" s="1833"/>
      <c r="CA31" s="1833"/>
      <c r="CB31" s="1833"/>
      <c r="CC31" s="1836"/>
      <c r="CD31" s="1837"/>
      <c r="CE31" s="1837"/>
      <c r="CF31" s="1837"/>
      <c r="CG31" s="1837"/>
      <c r="CH31" s="1837"/>
      <c r="CI31" s="1837"/>
      <c r="CJ31" s="1838"/>
      <c r="CK31" s="183"/>
      <c r="CP31" s="17"/>
      <c r="CQ31" s="17"/>
      <c r="CR31" s="17"/>
      <c r="CS31" s="17"/>
      <c r="CT31" s="17"/>
      <c r="CU31" s="17"/>
      <c r="CV31" s="17"/>
      <c r="CW31" s="17"/>
      <c r="CX31" s="17"/>
      <c r="CY31" s="17"/>
      <c r="CZ31" s="17"/>
      <c r="DA31" s="17"/>
      <c r="DB31" s="17"/>
      <c r="DC31" s="17"/>
      <c r="DD31" s="17"/>
      <c r="DE31" s="17"/>
      <c r="DF31" s="17"/>
      <c r="DG31" s="17"/>
      <c r="DH31" s="17"/>
      <c r="DI31" s="17"/>
      <c r="DJ31" s="17"/>
      <c r="DK31" s="17"/>
      <c r="DL31" s="17"/>
      <c r="DM31" s="17"/>
      <c r="DN31" s="17"/>
      <c r="DO31" s="17"/>
      <c r="DP31" s="17"/>
      <c r="DQ31" s="17"/>
      <c r="DR31" s="17"/>
      <c r="DS31" s="17"/>
      <c r="DT31" s="17"/>
      <c r="DU31" s="17"/>
      <c r="DV31" s="17"/>
      <c r="DW31" s="17"/>
      <c r="DX31" s="17"/>
      <c r="DY31" s="17"/>
      <c r="DZ31" s="17"/>
      <c r="EA31" s="17"/>
      <c r="EB31" s="17"/>
      <c r="EC31" s="17"/>
      <c r="ED31" s="17"/>
      <c r="EE31" s="17"/>
      <c r="EF31" s="17"/>
      <c r="EG31" s="17"/>
      <c r="EH31" s="17"/>
      <c r="EI31" s="17"/>
      <c r="EJ31" s="17"/>
      <c r="EK31" s="17"/>
      <c r="EL31" s="17"/>
      <c r="EM31" s="17"/>
      <c r="EN31" s="17"/>
      <c r="EO31" s="17"/>
      <c r="EP31" s="17"/>
    </row>
    <row r="32" spans="1:146" ht="7.5" customHeight="1" thickBot="1" x14ac:dyDescent="0.3">
      <c r="A32" s="1845"/>
      <c r="B32" s="1846"/>
      <c r="C32" s="1846"/>
      <c r="D32" s="1851"/>
      <c r="E32" s="1851"/>
      <c r="F32" s="1851"/>
      <c r="G32" s="172">
        <v>15</v>
      </c>
      <c r="H32" s="1852"/>
      <c r="I32" s="1852"/>
      <c r="J32" s="1852"/>
      <c r="L32" s="1672"/>
      <c r="M32" s="1673"/>
      <c r="N32" s="1673"/>
      <c r="O32" s="1673"/>
      <c r="P32" s="1673"/>
      <c r="Q32" s="1673"/>
      <c r="R32" s="1673"/>
      <c r="S32" s="1673"/>
      <c r="T32" s="1673"/>
      <c r="U32" s="1673"/>
      <c r="V32" s="1673"/>
      <c r="W32" s="1673"/>
      <c r="X32" s="1673"/>
      <c r="Y32" s="1673"/>
      <c r="Z32" s="1673"/>
      <c r="AA32" s="1673"/>
      <c r="AB32" s="1673"/>
      <c r="AC32" s="1673"/>
      <c r="AD32" s="1674"/>
      <c r="AE32" s="1675"/>
      <c r="AF32" s="1676"/>
      <c r="AG32" s="1676"/>
      <c r="AH32" s="1677"/>
      <c r="AI32" s="1678"/>
      <c r="AJ32" s="1675"/>
      <c r="AK32" s="1676"/>
      <c r="AL32" s="1676"/>
      <c r="AM32" s="1677"/>
      <c r="AN32" s="1668"/>
      <c r="AO32" s="1669"/>
      <c r="AP32" s="1669"/>
      <c r="AQ32" s="1669"/>
      <c r="AR32" s="1669"/>
      <c r="AS32" s="1669"/>
      <c r="AT32" s="1670"/>
      <c r="AU32" s="1669"/>
      <c r="AV32" s="1669"/>
      <c r="AW32" s="1669"/>
      <c r="AX32" s="1669"/>
      <c r="AY32" s="1669"/>
      <c r="AZ32" s="1671"/>
      <c r="BB32" s="1832"/>
      <c r="BC32" s="1833"/>
      <c r="BD32" s="1833"/>
      <c r="BE32" s="1833"/>
      <c r="BF32" s="1833"/>
      <c r="BG32" s="1833"/>
      <c r="BH32" s="1833"/>
      <c r="BI32" s="1833"/>
      <c r="BJ32" s="1833"/>
      <c r="BK32" s="1833"/>
      <c r="BL32" s="1833"/>
      <c r="BM32" s="1833"/>
      <c r="BN32" s="1833"/>
      <c r="BO32" s="1833"/>
      <c r="BP32" s="1833"/>
      <c r="BQ32" s="1833"/>
      <c r="BR32" s="1833"/>
      <c r="BS32" s="1833"/>
      <c r="BT32" s="1833"/>
      <c r="BU32" s="1833"/>
      <c r="BV32" s="1833"/>
      <c r="BW32" s="1833"/>
      <c r="BX32" s="1833"/>
      <c r="BY32" s="1833"/>
      <c r="BZ32" s="1833"/>
      <c r="CA32" s="1833"/>
      <c r="CB32" s="1833"/>
      <c r="CC32" s="1839"/>
      <c r="CD32" s="1840"/>
      <c r="CE32" s="1840"/>
      <c r="CF32" s="1840"/>
      <c r="CG32" s="1840"/>
      <c r="CH32" s="1840"/>
      <c r="CI32" s="1840"/>
      <c r="CJ32" s="1841"/>
      <c r="CK32" s="183"/>
      <c r="CP32" s="17"/>
      <c r="CQ32" s="17"/>
      <c r="CR32" s="17"/>
      <c r="CS32" s="17"/>
      <c r="CT32" s="17"/>
      <c r="CU32" s="17"/>
      <c r="CV32" s="17"/>
      <c r="CW32" s="17"/>
      <c r="CX32" s="17"/>
      <c r="CY32" s="17"/>
      <c r="CZ32" s="17"/>
      <c r="DA32" s="17"/>
      <c r="DB32" s="17"/>
      <c r="DC32" s="17"/>
      <c r="DD32" s="17"/>
      <c r="DE32" s="17"/>
      <c r="DF32" s="17"/>
      <c r="DG32" s="17"/>
      <c r="DH32" s="17"/>
      <c r="DI32" s="17"/>
      <c r="DJ32" s="17"/>
      <c r="DK32" s="17"/>
      <c r="DL32" s="17"/>
      <c r="DM32" s="17"/>
      <c r="DN32" s="17"/>
      <c r="DO32" s="17"/>
      <c r="DP32" s="17"/>
      <c r="DQ32" s="17"/>
      <c r="DR32" s="17"/>
      <c r="DS32" s="17"/>
      <c r="DT32" s="17"/>
      <c r="DU32" s="17"/>
      <c r="DV32" s="17"/>
      <c r="DW32" s="17"/>
      <c r="DX32" s="17"/>
      <c r="DY32" s="17"/>
      <c r="DZ32" s="17"/>
      <c r="EA32" s="17"/>
      <c r="EB32" s="17"/>
      <c r="EC32" s="17"/>
      <c r="ED32" s="17"/>
      <c r="EE32" s="17"/>
      <c r="EF32" s="17"/>
      <c r="EG32" s="17"/>
      <c r="EH32" s="17"/>
      <c r="EI32" s="17"/>
      <c r="EJ32" s="17"/>
      <c r="EK32" s="17"/>
      <c r="EL32" s="17"/>
      <c r="EM32" s="17"/>
      <c r="EN32" s="17"/>
      <c r="EO32" s="17"/>
      <c r="EP32" s="17"/>
    </row>
    <row r="33" spans="1:162" ht="7.5" customHeight="1" thickBot="1" x14ac:dyDescent="0.3">
      <c r="A33" s="1847" t="s">
        <v>8</v>
      </c>
      <c r="B33" s="1847"/>
      <c r="C33" s="1847"/>
      <c r="D33" s="1849"/>
      <c r="E33" s="1849"/>
      <c r="F33" s="1849"/>
      <c r="G33" s="172"/>
      <c r="H33" s="1852"/>
      <c r="I33" s="1852"/>
      <c r="J33" s="1852"/>
      <c r="L33" s="1672"/>
      <c r="M33" s="1673"/>
      <c r="N33" s="1673"/>
      <c r="O33" s="1673"/>
      <c r="P33" s="1673"/>
      <c r="Q33" s="1673"/>
      <c r="R33" s="1673"/>
      <c r="S33" s="1673"/>
      <c r="T33" s="1673"/>
      <c r="U33" s="1673"/>
      <c r="V33" s="1673"/>
      <c r="W33" s="1673"/>
      <c r="X33" s="1673"/>
      <c r="Y33" s="1673"/>
      <c r="Z33" s="1673"/>
      <c r="AA33" s="1673"/>
      <c r="AB33" s="1673"/>
      <c r="AC33" s="1673"/>
      <c r="AD33" s="1674"/>
      <c r="AE33" s="1675"/>
      <c r="AF33" s="1676"/>
      <c r="AG33" s="1676"/>
      <c r="AH33" s="1677"/>
      <c r="AI33" s="1678"/>
      <c r="AJ33" s="1675"/>
      <c r="AK33" s="1676"/>
      <c r="AL33" s="1676"/>
      <c r="AM33" s="1677"/>
      <c r="AN33" s="1668"/>
      <c r="AO33" s="1669"/>
      <c r="AP33" s="1669"/>
      <c r="AQ33" s="1669"/>
      <c r="AR33" s="1669"/>
      <c r="AS33" s="1669"/>
      <c r="AT33" s="1670"/>
      <c r="AU33" s="1669"/>
      <c r="AV33" s="1669"/>
      <c r="AW33" s="1669"/>
      <c r="AX33" s="1669"/>
      <c r="AY33" s="1669"/>
      <c r="AZ33" s="1671"/>
      <c r="BB33" s="1832"/>
      <c r="BC33" s="1833"/>
      <c r="BD33" s="1833"/>
      <c r="BE33" s="1833"/>
      <c r="BF33" s="1833"/>
      <c r="BG33" s="1833"/>
      <c r="BH33" s="1833"/>
      <c r="BI33" s="1833"/>
      <c r="BJ33" s="1833"/>
      <c r="BK33" s="1833"/>
      <c r="BL33" s="1833"/>
      <c r="BM33" s="1833"/>
      <c r="BN33" s="1833"/>
      <c r="BO33" s="1833"/>
      <c r="BP33" s="1833"/>
      <c r="BQ33" s="1833"/>
      <c r="BR33" s="1833"/>
      <c r="BS33" s="1833"/>
      <c r="BT33" s="1833"/>
      <c r="BU33" s="1833"/>
      <c r="BV33" s="1833"/>
      <c r="BW33" s="1833"/>
      <c r="BX33" s="1833"/>
      <c r="BY33" s="1833"/>
      <c r="BZ33" s="1833"/>
      <c r="CA33" s="1833"/>
      <c r="CB33" s="1833"/>
      <c r="CC33" s="1842"/>
      <c r="CD33" s="1843"/>
      <c r="CE33" s="1843"/>
      <c r="CF33" s="1843"/>
      <c r="CG33" s="1843"/>
      <c r="CH33" s="1843"/>
      <c r="CI33" s="1843"/>
      <c r="CJ33" s="1844"/>
      <c r="CK33" s="183"/>
      <c r="CP33" s="17"/>
      <c r="CQ33" s="17"/>
      <c r="CR33" s="17"/>
      <c r="CS33" s="17"/>
      <c r="CT33" s="17"/>
      <c r="CU33" s="17"/>
      <c r="CV33" s="17"/>
      <c r="CW33" s="17"/>
      <c r="CX33" s="17"/>
      <c r="CY33" s="17"/>
      <c r="CZ33" s="17"/>
      <c r="DA33" s="17"/>
      <c r="DB33" s="17"/>
      <c r="DC33" s="17"/>
      <c r="DD33" s="17"/>
      <c r="DE33" s="17"/>
      <c r="DF33" s="17"/>
      <c r="DG33" s="17"/>
      <c r="DH33" s="17"/>
      <c r="DI33" s="17"/>
      <c r="DJ33" s="17"/>
      <c r="DK33" s="17"/>
      <c r="DL33" s="17"/>
      <c r="DM33" s="17"/>
      <c r="DN33" s="17"/>
      <c r="DO33" s="17"/>
      <c r="DP33" s="17"/>
      <c r="DQ33" s="17"/>
      <c r="DR33" s="17"/>
      <c r="DS33" s="17"/>
      <c r="DT33" s="17"/>
      <c r="DU33" s="17"/>
      <c r="DV33" s="17"/>
      <c r="DW33" s="17"/>
      <c r="DX33" s="17"/>
      <c r="DY33" s="17"/>
      <c r="DZ33" s="17"/>
      <c r="EA33" s="17"/>
      <c r="EB33" s="17"/>
      <c r="EC33" s="17"/>
      <c r="ED33" s="17"/>
      <c r="EE33" s="17"/>
      <c r="EF33" s="17"/>
      <c r="EG33" s="17"/>
      <c r="EH33" s="17"/>
      <c r="EI33" s="17"/>
      <c r="EJ33" s="17"/>
      <c r="EK33" s="17"/>
      <c r="EL33" s="17"/>
      <c r="EM33" s="17"/>
      <c r="EN33" s="17"/>
      <c r="EO33" s="17"/>
      <c r="EP33" s="17"/>
    </row>
    <row r="34" spans="1:162" ht="7.5" customHeight="1" thickBot="1" x14ac:dyDescent="0.3">
      <c r="A34" s="1848"/>
      <c r="B34" s="1848"/>
      <c r="C34" s="1848"/>
      <c r="D34" s="1850"/>
      <c r="E34" s="1850"/>
      <c r="F34" s="1850"/>
      <c r="G34" s="172"/>
      <c r="H34" s="1852"/>
      <c r="I34" s="1852"/>
      <c r="J34" s="1852"/>
      <c r="L34" s="1672"/>
      <c r="M34" s="1673"/>
      <c r="N34" s="1673"/>
      <c r="O34" s="1673"/>
      <c r="P34" s="1673"/>
      <c r="Q34" s="1673"/>
      <c r="R34" s="1673"/>
      <c r="S34" s="1673"/>
      <c r="T34" s="1673"/>
      <c r="U34" s="1673"/>
      <c r="V34" s="1673"/>
      <c r="W34" s="1673"/>
      <c r="X34" s="1673"/>
      <c r="Y34" s="1673"/>
      <c r="Z34" s="1673"/>
      <c r="AA34" s="1673"/>
      <c r="AB34" s="1673"/>
      <c r="AC34" s="1673"/>
      <c r="AD34" s="1674"/>
      <c r="AE34" s="1675"/>
      <c r="AF34" s="1676"/>
      <c r="AG34" s="1676"/>
      <c r="AH34" s="1677"/>
      <c r="AI34" s="1678"/>
      <c r="AJ34" s="1675"/>
      <c r="AK34" s="1676"/>
      <c r="AL34" s="1676"/>
      <c r="AM34" s="1677"/>
      <c r="AN34" s="1668"/>
      <c r="AO34" s="1669"/>
      <c r="AP34" s="1669"/>
      <c r="AQ34" s="1669"/>
      <c r="AR34" s="1669"/>
      <c r="AS34" s="1669"/>
      <c r="AT34" s="1670"/>
      <c r="AU34" s="1669"/>
      <c r="AV34" s="1669"/>
      <c r="AW34" s="1669"/>
      <c r="AX34" s="1669"/>
      <c r="AY34" s="1669"/>
      <c r="AZ34" s="1671"/>
      <c r="BB34" s="1832"/>
      <c r="BC34" s="1833"/>
      <c r="BD34" s="1833"/>
      <c r="BE34" s="1833"/>
      <c r="BF34" s="1833"/>
      <c r="BG34" s="1833"/>
      <c r="BH34" s="1833"/>
      <c r="BI34" s="1833"/>
      <c r="BJ34" s="1833"/>
      <c r="BK34" s="1833"/>
      <c r="BL34" s="1833"/>
      <c r="BM34" s="1833"/>
      <c r="BN34" s="1833"/>
      <c r="BO34" s="1833"/>
      <c r="BP34" s="1833"/>
      <c r="BQ34" s="1833"/>
      <c r="BR34" s="1833"/>
      <c r="BS34" s="1833"/>
      <c r="BT34" s="1833"/>
      <c r="BU34" s="1833"/>
      <c r="BV34" s="1833"/>
      <c r="BW34" s="1833"/>
      <c r="BX34" s="1833"/>
      <c r="BY34" s="1833"/>
      <c r="BZ34" s="1833"/>
      <c r="CA34" s="1833"/>
      <c r="CB34" s="1833"/>
      <c r="CC34" s="129"/>
      <c r="CD34" s="1856" t="s">
        <v>90</v>
      </c>
      <c r="CE34" s="1856"/>
      <c r="CF34" s="1856"/>
      <c r="CG34" s="1856"/>
      <c r="CH34" s="1856"/>
      <c r="CI34" s="1856"/>
      <c r="CJ34" s="1856"/>
      <c r="CK34" s="184"/>
      <c r="CP34" s="17"/>
      <c r="CQ34" s="17"/>
      <c r="CR34" s="17"/>
      <c r="CS34" s="17"/>
      <c r="CT34" s="17"/>
      <c r="CU34" s="17"/>
      <c r="CV34" s="17"/>
      <c r="CW34" s="17"/>
      <c r="CX34" s="17"/>
      <c r="CY34" s="17"/>
      <c r="CZ34" s="17"/>
      <c r="DA34" s="17"/>
      <c r="DB34" s="17"/>
      <c r="DC34" s="17"/>
      <c r="DD34" s="17"/>
      <c r="DE34" s="17"/>
      <c r="DF34" s="17"/>
      <c r="DG34" s="17"/>
      <c r="DH34" s="17"/>
      <c r="DI34" s="17"/>
      <c r="DJ34" s="17"/>
      <c r="DK34" s="17"/>
      <c r="DL34" s="17"/>
      <c r="DM34" s="17"/>
      <c r="DN34" s="17"/>
      <c r="DO34" s="17"/>
      <c r="DP34" s="17"/>
      <c r="DQ34" s="17"/>
      <c r="DR34" s="17"/>
      <c r="DS34" s="17"/>
      <c r="DT34" s="17"/>
      <c r="DU34" s="17"/>
      <c r="DV34" s="17"/>
      <c r="DW34" s="17"/>
      <c r="DX34" s="17"/>
      <c r="DY34" s="17"/>
      <c r="DZ34" s="17"/>
      <c r="EA34" s="17"/>
      <c r="EB34" s="17"/>
      <c r="EC34" s="17"/>
      <c r="ED34" s="17"/>
      <c r="EE34" s="17"/>
      <c r="EF34" s="17"/>
      <c r="EG34" s="17"/>
      <c r="EH34" s="17"/>
      <c r="EI34" s="17"/>
      <c r="EJ34" s="17"/>
      <c r="EK34" s="17"/>
      <c r="EL34" s="17"/>
      <c r="EM34" s="17"/>
      <c r="EN34" s="17"/>
      <c r="EO34" s="17"/>
      <c r="EP34" s="17"/>
    </row>
    <row r="35" spans="1:162" ht="7.5" customHeight="1" thickBot="1" x14ac:dyDescent="0.3">
      <c r="A35" s="1857"/>
      <c r="B35" s="1857"/>
      <c r="C35" s="1857"/>
      <c r="D35" s="1851"/>
      <c r="E35" s="1851"/>
      <c r="F35" s="1851"/>
      <c r="G35" s="172">
        <v>20</v>
      </c>
      <c r="H35" s="1852"/>
      <c r="I35" s="1852"/>
      <c r="J35" s="1852"/>
      <c r="L35" s="1672"/>
      <c r="M35" s="1673"/>
      <c r="N35" s="1673"/>
      <c r="O35" s="1673"/>
      <c r="P35" s="1673"/>
      <c r="Q35" s="1673"/>
      <c r="R35" s="1673"/>
      <c r="S35" s="1673"/>
      <c r="T35" s="1673"/>
      <c r="U35" s="1673"/>
      <c r="V35" s="1673"/>
      <c r="W35" s="1673"/>
      <c r="X35" s="1673"/>
      <c r="Y35" s="1673"/>
      <c r="Z35" s="1673"/>
      <c r="AA35" s="1673"/>
      <c r="AB35" s="1673"/>
      <c r="AC35" s="1673"/>
      <c r="AD35" s="1674"/>
      <c r="AE35" s="1675"/>
      <c r="AF35" s="1676"/>
      <c r="AG35" s="1676"/>
      <c r="AH35" s="1677"/>
      <c r="AI35" s="1678"/>
      <c r="AJ35" s="1675"/>
      <c r="AK35" s="1676"/>
      <c r="AL35" s="1676"/>
      <c r="AM35" s="1677"/>
      <c r="AN35" s="1668"/>
      <c r="AO35" s="1669"/>
      <c r="AP35" s="1669"/>
      <c r="AQ35" s="1669"/>
      <c r="AR35" s="1669"/>
      <c r="AS35" s="1669"/>
      <c r="AT35" s="1670"/>
      <c r="AU35" s="1669"/>
      <c r="AV35" s="1669"/>
      <c r="AW35" s="1669"/>
      <c r="AX35" s="1669"/>
      <c r="AY35" s="1669"/>
      <c r="AZ35" s="1671"/>
      <c r="BB35" s="1832"/>
      <c r="BC35" s="1833"/>
      <c r="BD35" s="1833"/>
      <c r="BE35" s="1833"/>
      <c r="BF35" s="1833"/>
      <c r="BG35" s="1833"/>
      <c r="BH35" s="1833"/>
      <c r="BI35" s="1833"/>
      <c r="BJ35" s="1833"/>
      <c r="BK35" s="1833"/>
      <c r="BL35" s="1833"/>
      <c r="BM35" s="1833"/>
      <c r="BN35" s="1833"/>
      <c r="BO35" s="1833"/>
      <c r="BP35" s="1833"/>
      <c r="BQ35" s="1833"/>
      <c r="BR35" s="1833"/>
      <c r="BS35" s="1833"/>
      <c r="BT35" s="1833"/>
      <c r="BU35" s="1833"/>
      <c r="BV35" s="1833"/>
      <c r="BW35" s="1833"/>
      <c r="BX35" s="1833"/>
      <c r="BY35" s="1833"/>
      <c r="BZ35" s="1833"/>
      <c r="CA35" s="1833"/>
      <c r="CB35" s="1833"/>
      <c r="CC35" s="1836"/>
      <c r="CD35" s="1837"/>
      <c r="CE35" s="1837"/>
      <c r="CF35" s="1837"/>
      <c r="CG35" s="1837"/>
      <c r="CH35" s="1837"/>
      <c r="CI35" s="1837"/>
      <c r="CJ35" s="1838"/>
      <c r="CK35" s="184"/>
      <c r="CP35" s="17"/>
      <c r="CQ35" s="17"/>
      <c r="CR35" s="17"/>
      <c r="CS35" s="17"/>
      <c r="CT35" s="17"/>
      <c r="CU35" s="17"/>
      <c r="CV35" s="17"/>
      <c r="CW35" s="17"/>
      <c r="CX35" s="17"/>
      <c r="CY35" s="17"/>
      <c r="CZ35" s="17"/>
      <c r="DA35" s="17"/>
      <c r="DB35" s="17"/>
      <c r="DC35" s="17"/>
      <c r="DD35" s="17"/>
      <c r="DE35" s="17"/>
      <c r="DF35" s="17"/>
      <c r="DG35" s="17"/>
      <c r="DH35" s="17"/>
      <c r="DI35" s="17"/>
      <c r="DJ35" s="17"/>
      <c r="DK35" s="17"/>
      <c r="DL35" s="17"/>
      <c r="DM35" s="17"/>
      <c r="DN35" s="17"/>
      <c r="DO35" s="17"/>
      <c r="DP35" s="17"/>
      <c r="DQ35" s="17"/>
      <c r="DR35" s="17"/>
      <c r="DS35" s="17"/>
      <c r="DT35" s="17"/>
      <c r="DU35" s="17"/>
      <c r="DV35" s="17"/>
      <c r="DW35" s="17"/>
      <c r="DX35" s="17"/>
      <c r="DY35" s="17"/>
      <c r="DZ35" s="17"/>
      <c r="EA35" s="17"/>
      <c r="EB35" s="17"/>
      <c r="EC35" s="17"/>
      <c r="ED35" s="17"/>
      <c r="EE35" s="17"/>
      <c r="EF35" s="17"/>
      <c r="EG35" s="17"/>
      <c r="EH35" s="17"/>
      <c r="EI35" s="17"/>
      <c r="EJ35" s="17"/>
      <c r="EK35" s="17"/>
      <c r="EL35" s="17"/>
      <c r="EM35" s="17"/>
      <c r="EN35" s="17"/>
      <c r="EO35" s="17"/>
      <c r="EP35" s="17"/>
    </row>
    <row r="36" spans="1:162" ht="7.5" customHeight="1" thickBot="1" x14ac:dyDescent="0.3">
      <c r="A36" s="1847" t="s">
        <v>9</v>
      </c>
      <c r="B36" s="1847"/>
      <c r="C36" s="1847"/>
      <c r="D36" s="1849"/>
      <c r="E36" s="1849"/>
      <c r="F36" s="1849"/>
      <c r="G36" s="172"/>
      <c r="H36" s="1852"/>
      <c r="I36" s="1852"/>
      <c r="J36" s="1852"/>
      <c r="L36" s="1672"/>
      <c r="M36" s="1673"/>
      <c r="N36" s="1673"/>
      <c r="O36" s="1673"/>
      <c r="P36" s="1673"/>
      <c r="Q36" s="1673"/>
      <c r="R36" s="1673"/>
      <c r="S36" s="1673"/>
      <c r="T36" s="1673"/>
      <c r="U36" s="1673"/>
      <c r="V36" s="1673"/>
      <c r="W36" s="1673"/>
      <c r="X36" s="1673"/>
      <c r="Y36" s="1673"/>
      <c r="Z36" s="1673"/>
      <c r="AA36" s="1673"/>
      <c r="AB36" s="1673"/>
      <c r="AC36" s="1673"/>
      <c r="AD36" s="1674"/>
      <c r="AE36" s="1675"/>
      <c r="AF36" s="1676"/>
      <c r="AG36" s="1676"/>
      <c r="AH36" s="1677"/>
      <c r="AI36" s="1678"/>
      <c r="AJ36" s="1675"/>
      <c r="AK36" s="1676"/>
      <c r="AL36" s="1676"/>
      <c r="AM36" s="1677"/>
      <c r="AN36" s="1668"/>
      <c r="AO36" s="1669"/>
      <c r="AP36" s="1669"/>
      <c r="AQ36" s="1669"/>
      <c r="AR36" s="1669"/>
      <c r="AS36" s="1669"/>
      <c r="AT36" s="1670"/>
      <c r="AU36" s="1669"/>
      <c r="AV36" s="1669"/>
      <c r="AW36" s="1669"/>
      <c r="AX36" s="1669"/>
      <c r="AY36" s="1669"/>
      <c r="AZ36" s="1671"/>
      <c r="BB36" s="1832"/>
      <c r="BC36" s="1833"/>
      <c r="BD36" s="1833"/>
      <c r="BE36" s="1833"/>
      <c r="BF36" s="1833"/>
      <c r="BG36" s="1833"/>
      <c r="BH36" s="1833"/>
      <c r="BI36" s="1833"/>
      <c r="BJ36" s="1833"/>
      <c r="BK36" s="1833"/>
      <c r="BL36" s="1833"/>
      <c r="BM36" s="1833"/>
      <c r="BN36" s="1833"/>
      <c r="BO36" s="1833"/>
      <c r="BP36" s="1833"/>
      <c r="BQ36" s="1833"/>
      <c r="BR36" s="1833"/>
      <c r="BS36" s="1833"/>
      <c r="BT36" s="1833"/>
      <c r="BU36" s="1833"/>
      <c r="BV36" s="1833"/>
      <c r="BW36" s="1833"/>
      <c r="BX36" s="1833"/>
      <c r="BY36" s="1833"/>
      <c r="BZ36" s="1833"/>
      <c r="CA36" s="1833"/>
      <c r="CB36" s="1833"/>
      <c r="CC36" s="1839"/>
      <c r="CD36" s="1840"/>
      <c r="CE36" s="1840"/>
      <c r="CF36" s="1840"/>
      <c r="CG36" s="1840"/>
      <c r="CH36" s="1840"/>
      <c r="CI36" s="1840"/>
      <c r="CJ36" s="1841"/>
      <c r="CK36" s="181"/>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c r="DO36" s="17"/>
      <c r="DP36" s="17"/>
      <c r="DQ36" s="17"/>
      <c r="DR36" s="17"/>
      <c r="DS36" s="17"/>
      <c r="DT36" s="17"/>
      <c r="DU36" s="17"/>
      <c r="DV36" s="17"/>
      <c r="DW36" s="17"/>
      <c r="DX36" s="17"/>
      <c r="DY36" s="17"/>
      <c r="DZ36" s="17"/>
      <c r="EA36" s="17"/>
      <c r="EB36" s="17"/>
      <c r="EC36" s="17"/>
      <c r="ED36" s="17"/>
      <c r="EE36" s="17"/>
      <c r="EF36" s="17"/>
      <c r="EG36" s="17"/>
      <c r="EH36" s="17"/>
      <c r="EI36" s="17"/>
      <c r="EJ36" s="17"/>
      <c r="EK36" s="17"/>
      <c r="EL36" s="17"/>
      <c r="EM36" s="17"/>
      <c r="EN36" s="17"/>
      <c r="EO36" s="17"/>
      <c r="EP36" s="17"/>
    </row>
    <row r="37" spans="1:162" ht="7.5" customHeight="1" thickBot="1" x14ac:dyDescent="0.3">
      <c r="A37" s="1848"/>
      <c r="B37" s="1848"/>
      <c r="C37" s="1848"/>
      <c r="D37" s="1850"/>
      <c r="E37" s="1850"/>
      <c r="F37" s="1850"/>
      <c r="G37" s="172"/>
      <c r="H37" s="1852"/>
      <c r="I37" s="1852"/>
      <c r="J37" s="1852"/>
      <c r="L37" s="1672"/>
      <c r="M37" s="1673"/>
      <c r="N37" s="1673"/>
      <c r="O37" s="1673"/>
      <c r="P37" s="1673"/>
      <c r="Q37" s="1673"/>
      <c r="R37" s="1673"/>
      <c r="S37" s="1673"/>
      <c r="T37" s="1673"/>
      <c r="U37" s="1673"/>
      <c r="V37" s="1673"/>
      <c r="W37" s="1673"/>
      <c r="X37" s="1673"/>
      <c r="Y37" s="1673"/>
      <c r="Z37" s="1673"/>
      <c r="AA37" s="1673"/>
      <c r="AB37" s="1673"/>
      <c r="AC37" s="1673"/>
      <c r="AD37" s="1674"/>
      <c r="AE37" s="1675"/>
      <c r="AF37" s="1676"/>
      <c r="AG37" s="1676"/>
      <c r="AH37" s="1677"/>
      <c r="AI37" s="1678"/>
      <c r="AJ37" s="1675"/>
      <c r="AK37" s="1676"/>
      <c r="AL37" s="1676"/>
      <c r="AM37" s="1677"/>
      <c r="AN37" s="1668"/>
      <c r="AO37" s="1669"/>
      <c r="AP37" s="1669"/>
      <c r="AQ37" s="1669"/>
      <c r="AR37" s="1669"/>
      <c r="AS37" s="1669"/>
      <c r="AT37" s="1670"/>
      <c r="AU37" s="1669"/>
      <c r="AV37" s="1669"/>
      <c r="AW37" s="1669"/>
      <c r="AX37" s="1669"/>
      <c r="AY37" s="1669"/>
      <c r="AZ37" s="1671"/>
      <c r="BB37" s="1832"/>
      <c r="BC37" s="1833"/>
      <c r="BD37" s="1833"/>
      <c r="BE37" s="1833"/>
      <c r="BF37" s="1833"/>
      <c r="BG37" s="1833"/>
      <c r="BH37" s="1833"/>
      <c r="BI37" s="1833"/>
      <c r="BJ37" s="1833"/>
      <c r="BK37" s="1833"/>
      <c r="BL37" s="1833"/>
      <c r="BM37" s="1833"/>
      <c r="BN37" s="1833"/>
      <c r="BO37" s="1833"/>
      <c r="BP37" s="1833"/>
      <c r="BQ37" s="1833"/>
      <c r="BR37" s="1833"/>
      <c r="BS37" s="1833"/>
      <c r="BT37" s="1833"/>
      <c r="BU37" s="1833"/>
      <c r="BV37" s="1833"/>
      <c r="BW37" s="1833"/>
      <c r="BX37" s="1833"/>
      <c r="BY37" s="1833"/>
      <c r="BZ37" s="1833"/>
      <c r="CA37" s="1833"/>
      <c r="CB37" s="1833"/>
      <c r="CC37" s="1842"/>
      <c r="CD37" s="1843"/>
      <c r="CE37" s="1843"/>
      <c r="CF37" s="1843"/>
      <c r="CG37" s="1843"/>
      <c r="CH37" s="1843"/>
      <c r="CI37" s="1843"/>
      <c r="CJ37" s="1844"/>
      <c r="CK37" s="181"/>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c r="ED37" s="17"/>
      <c r="EE37" s="17"/>
      <c r="EF37" s="17"/>
      <c r="EG37" s="17"/>
      <c r="EH37" s="17"/>
      <c r="EI37" s="17"/>
      <c r="EJ37" s="17"/>
      <c r="EK37" s="17"/>
      <c r="EL37" s="17"/>
      <c r="EM37" s="17"/>
      <c r="EN37" s="17"/>
      <c r="EO37" s="17"/>
      <c r="EP37" s="17"/>
    </row>
    <row r="38" spans="1:162" ht="7.5" customHeight="1" thickBot="1" x14ac:dyDescent="0.3">
      <c r="A38" s="1846"/>
      <c r="B38" s="1846"/>
      <c r="C38" s="1846"/>
      <c r="D38" s="1851"/>
      <c r="E38" s="1851"/>
      <c r="F38" s="1851"/>
      <c r="G38" s="172">
        <v>10</v>
      </c>
      <c r="H38" s="1852"/>
      <c r="I38" s="1852"/>
      <c r="J38" s="1852"/>
      <c r="L38" s="1672"/>
      <c r="M38" s="1673"/>
      <c r="N38" s="1673"/>
      <c r="O38" s="1673"/>
      <c r="P38" s="1673"/>
      <c r="Q38" s="1673"/>
      <c r="R38" s="1673"/>
      <c r="S38" s="1673"/>
      <c r="T38" s="1673"/>
      <c r="U38" s="1673"/>
      <c r="V38" s="1673"/>
      <c r="W38" s="1673"/>
      <c r="X38" s="1673"/>
      <c r="Y38" s="1673"/>
      <c r="Z38" s="1673"/>
      <c r="AA38" s="1673"/>
      <c r="AB38" s="1673"/>
      <c r="AC38" s="1673"/>
      <c r="AD38" s="1674"/>
      <c r="AE38" s="1675"/>
      <c r="AF38" s="1676"/>
      <c r="AG38" s="1676"/>
      <c r="AH38" s="1677"/>
      <c r="AI38" s="1678"/>
      <c r="AJ38" s="1675"/>
      <c r="AK38" s="1676"/>
      <c r="AL38" s="1676"/>
      <c r="AM38" s="1677"/>
      <c r="AN38" s="1668"/>
      <c r="AO38" s="1669"/>
      <c r="AP38" s="1669"/>
      <c r="AQ38" s="1669"/>
      <c r="AR38" s="1669"/>
      <c r="AS38" s="1669"/>
      <c r="AT38" s="1670"/>
      <c r="AU38" s="1669"/>
      <c r="AV38" s="1669"/>
      <c r="AW38" s="1669"/>
      <c r="AX38" s="1669"/>
      <c r="AY38" s="1669"/>
      <c r="AZ38" s="1671"/>
      <c r="BB38" s="1834"/>
      <c r="BC38" s="1835"/>
      <c r="BD38" s="1835"/>
      <c r="BE38" s="1835"/>
      <c r="BF38" s="1835"/>
      <c r="BG38" s="1835"/>
      <c r="BH38" s="1835"/>
      <c r="BI38" s="1835"/>
      <c r="BJ38" s="1835"/>
      <c r="BK38" s="1835"/>
      <c r="BL38" s="1835"/>
      <c r="BM38" s="1835"/>
      <c r="BN38" s="1835"/>
      <c r="BO38" s="1835"/>
      <c r="BP38" s="1835"/>
      <c r="BQ38" s="1835"/>
      <c r="BR38" s="1835"/>
      <c r="BS38" s="1835"/>
      <c r="BT38" s="1835"/>
      <c r="BU38" s="1835"/>
      <c r="BV38" s="1835"/>
      <c r="BW38" s="1835"/>
      <c r="BX38" s="1835"/>
      <c r="BY38" s="1835"/>
      <c r="BZ38" s="1835"/>
      <c r="CA38" s="1835"/>
      <c r="CB38" s="1835"/>
      <c r="CC38" s="185"/>
      <c r="CD38" s="185"/>
      <c r="CE38" s="185"/>
      <c r="CF38" s="185"/>
      <c r="CG38" s="185"/>
      <c r="CH38" s="185"/>
      <c r="CI38" s="185"/>
      <c r="CJ38" s="185"/>
      <c r="CK38" s="186"/>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c r="EH38" s="17"/>
      <c r="EI38" s="17"/>
      <c r="EJ38" s="17"/>
      <c r="EK38" s="17"/>
      <c r="EL38" s="17"/>
      <c r="EM38" s="17"/>
      <c r="EN38" s="17"/>
      <c r="EO38" s="17"/>
      <c r="EP38" s="17"/>
    </row>
    <row r="39" spans="1:162" ht="7.5" customHeight="1" x14ac:dyDescent="0.25">
      <c r="A39" s="168"/>
      <c r="B39" s="168"/>
      <c r="C39" s="168"/>
      <c r="L39" s="1672"/>
      <c r="M39" s="1673"/>
      <c r="N39" s="1673"/>
      <c r="O39" s="1673"/>
      <c r="P39" s="1673"/>
      <c r="Q39" s="1673"/>
      <c r="R39" s="1673"/>
      <c r="S39" s="1673"/>
      <c r="T39" s="1673"/>
      <c r="U39" s="1673"/>
      <c r="V39" s="1673"/>
      <c r="W39" s="1673"/>
      <c r="X39" s="1673"/>
      <c r="Y39" s="1673"/>
      <c r="Z39" s="1673"/>
      <c r="AA39" s="1673"/>
      <c r="AB39" s="1673"/>
      <c r="AC39" s="1673"/>
      <c r="AD39" s="1674"/>
      <c r="AE39" s="1675"/>
      <c r="AF39" s="1676"/>
      <c r="AG39" s="1676"/>
      <c r="AH39" s="1677"/>
      <c r="AI39" s="1678"/>
      <c r="AJ39" s="1675"/>
      <c r="AK39" s="1676"/>
      <c r="AL39" s="1676"/>
      <c r="AM39" s="1677"/>
      <c r="AN39" s="1668"/>
      <c r="AO39" s="1669"/>
      <c r="AP39" s="1669"/>
      <c r="AQ39" s="1669"/>
      <c r="AR39" s="1669"/>
      <c r="AS39" s="1669"/>
      <c r="AT39" s="1670"/>
      <c r="AU39" s="1669"/>
      <c r="AV39" s="1669"/>
      <c r="AW39" s="1669"/>
      <c r="AX39" s="1669"/>
      <c r="AY39" s="1669"/>
      <c r="AZ39" s="1671"/>
      <c r="BB39" s="586" t="s">
        <v>85</v>
      </c>
      <c r="BC39" s="587"/>
      <c r="BD39" s="587"/>
      <c r="BE39" s="40"/>
      <c r="BF39" s="40"/>
      <c r="BG39" s="40"/>
      <c r="BH39" s="40"/>
      <c r="BI39" s="40"/>
      <c r="BJ39" s="40"/>
      <c r="BK39" s="40"/>
      <c r="BL39" s="40"/>
      <c r="BM39" s="40"/>
      <c r="BN39" s="40"/>
      <c r="BO39" s="170"/>
      <c r="BP39" s="170"/>
      <c r="BQ39" s="170"/>
      <c r="BR39" s="170"/>
      <c r="BS39" s="171"/>
      <c r="BT39" s="121" t="s">
        <v>89</v>
      </c>
      <c r="BU39" s="121"/>
      <c r="BV39" s="121"/>
      <c r="BW39" s="121"/>
      <c r="BX39" s="122"/>
      <c r="BY39" s="122"/>
      <c r="BZ39" s="122"/>
      <c r="CA39" s="122"/>
      <c r="CB39" s="123"/>
      <c r="CC39" s="182" t="s">
        <v>88</v>
      </c>
      <c r="CD39" s="124"/>
      <c r="CE39" s="124"/>
      <c r="CF39" s="124"/>
      <c r="CG39" s="124"/>
      <c r="CH39" s="124"/>
      <c r="CI39" s="124"/>
      <c r="CJ39" s="125"/>
      <c r="CK39" s="126"/>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c r="EH39" s="17"/>
      <c r="EI39" s="17"/>
      <c r="EJ39" s="17"/>
      <c r="EK39" s="17"/>
      <c r="EL39" s="17"/>
      <c r="EM39" s="17"/>
      <c r="EN39" s="17"/>
      <c r="EO39" s="17"/>
      <c r="EP39" s="17"/>
    </row>
    <row r="40" spans="1:162" ht="7.5" customHeight="1" x14ac:dyDescent="0.25">
      <c r="A40" s="1198" t="s">
        <v>442</v>
      </c>
      <c r="B40" s="1198"/>
      <c r="C40" s="1198"/>
      <c r="D40" s="1198"/>
      <c r="E40" s="1198"/>
      <c r="F40" s="1198"/>
      <c r="G40" s="1198"/>
      <c r="H40" s="1198"/>
      <c r="I40" s="1198"/>
      <c r="J40" s="1198"/>
      <c r="K40" s="17"/>
      <c r="L40" s="1672"/>
      <c r="M40" s="1673"/>
      <c r="N40" s="1673"/>
      <c r="O40" s="1673"/>
      <c r="P40" s="1673"/>
      <c r="Q40" s="1673"/>
      <c r="R40" s="1673"/>
      <c r="S40" s="1673"/>
      <c r="T40" s="1673"/>
      <c r="U40" s="1673"/>
      <c r="V40" s="1673"/>
      <c r="W40" s="1673"/>
      <c r="X40" s="1673"/>
      <c r="Y40" s="1673"/>
      <c r="Z40" s="1673"/>
      <c r="AA40" s="1673"/>
      <c r="AB40" s="1673"/>
      <c r="AC40" s="1673"/>
      <c r="AD40" s="1674"/>
      <c r="AE40" s="1675"/>
      <c r="AF40" s="1676"/>
      <c r="AG40" s="1676"/>
      <c r="AH40" s="1677"/>
      <c r="AI40" s="1678"/>
      <c r="AJ40" s="1675"/>
      <c r="AK40" s="1676"/>
      <c r="AL40" s="1676"/>
      <c r="AM40" s="1677"/>
      <c r="AN40" s="1668"/>
      <c r="AO40" s="1669"/>
      <c r="AP40" s="1669"/>
      <c r="AQ40" s="1669"/>
      <c r="AR40" s="1669"/>
      <c r="AS40" s="1669"/>
      <c r="AT40" s="1670"/>
      <c r="AU40" s="1669"/>
      <c r="AV40" s="1669"/>
      <c r="AW40" s="1669"/>
      <c r="AX40" s="1669"/>
      <c r="AY40" s="1669"/>
      <c r="AZ40" s="1671"/>
      <c r="BB40" s="1813"/>
      <c r="BC40" s="1814"/>
      <c r="BD40" s="1814"/>
      <c r="BE40" s="1814"/>
      <c r="BF40" s="1814"/>
      <c r="BG40" s="1814"/>
      <c r="BH40" s="1814"/>
      <c r="BI40" s="1814"/>
      <c r="BJ40" s="1814"/>
      <c r="BK40" s="1814"/>
      <c r="BL40" s="1814"/>
      <c r="BM40" s="1814"/>
      <c r="BN40" s="1814"/>
      <c r="BO40" s="1814"/>
      <c r="BP40" s="1814"/>
      <c r="BQ40" s="1814"/>
      <c r="BR40" s="1814"/>
      <c r="BS40" s="1815"/>
      <c r="BT40" s="1819"/>
      <c r="BU40" s="1820"/>
      <c r="BV40" s="1820"/>
      <c r="BW40" s="1820"/>
      <c r="BX40" s="1820"/>
      <c r="BY40" s="1820"/>
      <c r="BZ40" s="1820"/>
      <c r="CA40" s="1820"/>
      <c r="CB40" s="1821"/>
      <c r="CC40" s="1825"/>
      <c r="CD40" s="1826"/>
      <c r="CE40" s="1826"/>
      <c r="CF40" s="1826"/>
      <c r="CG40" s="1826"/>
      <c r="CH40" s="1826"/>
      <c r="CI40" s="1826"/>
      <c r="CJ40" s="1827"/>
      <c r="CK40" s="12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c r="EH40" s="17"/>
      <c r="EI40" s="17"/>
      <c r="EJ40" s="17"/>
      <c r="EK40" s="17"/>
      <c r="EL40" s="17"/>
      <c r="EM40" s="17"/>
      <c r="EN40" s="17"/>
      <c r="EO40" s="17"/>
      <c r="EP40" s="17"/>
    </row>
    <row r="41" spans="1:162" ht="7.5" customHeight="1" thickBot="1" x14ac:dyDescent="0.3">
      <c r="A41" s="1198"/>
      <c r="B41" s="1198"/>
      <c r="C41" s="1198"/>
      <c r="D41" s="1198"/>
      <c r="E41" s="1198"/>
      <c r="F41" s="1198"/>
      <c r="G41" s="1198"/>
      <c r="H41" s="1198"/>
      <c r="I41" s="1198"/>
      <c r="J41" s="1198"/>
      <c r="K41" s="17"/>
      <c r="L41" s="1672"/>
      <c r="M41" s="1673"/>
      <c r="N41" s="1673"/>
      <c r="O41" s="1673"/>
      <c r="P41" s="1673"/>
      <c r="Q41" s="1673"/>
      <c r="R41" s="1673"/>
      <c r="S41" s="1673"/>
      <c r="T41" s="1673"/>
      <c r="U41" s="1673"/>
      <c r="V41" s="1673"/>
      <c r="W41" s="1673"/>
      <c r="X41" s="1673"/>
      <c r="Y41" s="1673"/>
      <c r="Z41" s="1673"/>
      <c r="AA41" s="1673"/>
      <c r="AB41" s="1673"/>
      <c r="AC41" s="1673"/>
      <c r="AD41" s="1674"/>
      <c r="AE41" s="1675"/>
      <c r="AF41" s="1676"/>
      <c r="AG41" s="1676"/>
      <c r="AH41" s="1677"/>
      <c r="AI41" s="1678"/>
      <c r="AJ41" s="1675"/>
      <c r="AK41" s="1676"/>
      <c r="AL41" s="1676"/>
      <c r="AM41" s="1677"/>
      <c r="AN41" s="1668"/>
      <c r="AO41" s="1669"/>
      <c r="AP41" s="1669"/>
      <c r="AQ41" s="1669"/>
      <c r="AR41" s="1669"/>
      <c r="AS41" s="1669"/>
      <c r="AT41" s="1670"/>
      <c r="AU41" s="1669"/>
      <c r="AV41" s="1669"/>
      <c r="AW41" s="1669"/>
      <c r="AX41" s="1669"/>
      <c r="AY41" s="1669"/>
      <c r="AZ41" s="1671"/>
      <c r="BB41" s="1816"/>
      <c r="BC41" s="1817"/>
      <c r="BD41" s="1817"/>
      <c r="BE41" s="1817"/>
      <c r="BF41" s="1817"/>
      <c r="BG41" s="1817"/>
      <c r="BH41" s="1817"/>
      <c r="BI41" s="1817"/>
      <c r="BJ41" s="1817"/>
      <c r="BK41" s="1817"/>
      <c r="BL41" s="1817"/>
      <c r="BM41" s="1817"/>
      <c r="BN41" s="1817"/>
      <c r="BO41" s="1817"/>
      <c r="BP41" s="1817"/>
      <c r="BQ41" s="1817"/>
      <c r="BR41" s="1817"/>
      <c r="BS41" s="1818"/>
      <c r="BT41" s="1822"/>
      <c r="BU41" s="1823"/>
      <c r="BV41" s="1823"/>
      <c r="BW41" s="1823"/>
      <c r="BX41" s="1823"/>
      <c r="BY41" s="1823"/>
      <c r="BZ41" s="1823"/>
      <c r="CA41" s="1823"/>
      <c r="CB41" s="1824"/>
      <c r="CC41" s="1828"/>
      <c r="CD41" s="1829"/>
      <c r="CE41" s="1829"/>
      <c r="CF41" s="1829"/>
      <c r="CG41" s="1829"/>
      <c r="CH41" s="1829"/>
      <c r="CI41" s="1829"/>
      <c r="CJ41" s="1830"/>
      <c r="CK41" s="12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c r="EH41" s="17"/>
      <c r="EI41" s="17"/>
      <c r="EJ41" s="17"/>
      <c r="EK41" s="17"/>
      <c r="EL41" s="17"/>
      <c r="EM41" s="17"/>
      <c r="EN41" s="17"/>
      <c r="EO41" s="17"/>
      <c r="EP41" s="17"/>
    </row>
    <row r="42" spans="1:162" ht="7.5" customHeight="1" x14ac:dyDescent="0.25">
      <c r="A42" s="1199"/>
      <c r="B42" s="1199"/>
      <c r="C42" s="1199"/>
      <c r="D42" s="1199"/>
      <c r="E42" s="1199"/>
      <c r="F42" s="1199"/>
      <c r="G42" s="1199"/>
      <c r="H42" s="1199"/>
      <c r="I42" s="1199"/>
      <c r="J42" s="1199"/>
      <c r="K42" s="17"/>
      <c r="L42" s="1672"/>
      <c r="M42" s="1673"/>
      <c r="N42" s="1673"/>
      <c r="O42" s="1673"/>
      <c r="P42" s="1673"/>
      <c r="Q42" s="1673"/>
      <c r="R42" s="1673"/>
      <c r="S42" s="1673"/>
      <c r="T42" s="1673"/>
      <c r="U42" s="1673"/>
      <c r="V42" s="1673"/>
      <c r="W42" s="1673"/>
      <c r="X42" s="1673"/>
      <c r="Y42" s="1673"/>
      <c r="Z42" s="1673"/>
      <c r="AA42" s="1673"/>
      <c r="AB42" s="1673"/>
      <c r="AC42" s="1673"/>
      <c r="AD42" s="1674"/>
      <c r="AE42" s="1675"/>
      <c r="AF42" s="1676"/>
      <c r="AG42" s="1676"/>
      <c r="AH42" s="1677"/>
      <c r="AI42" s="1678"/>
      <c r="AJ42" s="1675"/>
      <c r="AK42" s="1676"/>
      <c r="AL42" s="1676"/>
      <c r="AM42" s="1677"/>
      <c r="AN42" s="1668"/>
      <c r="AO42" s="1669"/>
      <c r="AP42" s="1669"/>
      <c r="AQ42" s="1669"/>
      <c r="AR42" s="1669"/>
      <c r="AS42" s="1669"/>
      <c r="AT42" s="1670"/>
      <c r="AU42" s="1669"/>
      <c r="AV42" s="1669"/>
      <c r="AW42" s="1669"/>
      <c r="AX42" s="1669"/>
      <c r="AY42" s="1669"/>
      <c r="AZ42" s="1671"/>
      <c r="BB42" s="1854" t="s">
        <v>86</v>
      </c>
      <c r="BC42" s="1855"/>
      <c r="BD42" s="1855"/>
      <c r="BE42" s="1855"/>
      <c r="BF42" s="1855"/>
      <c r="BG42" s="1855"/>
      <c r="CD42" s="1831" t="s">
        <v>91</v>
      </c>
      <c r="CE42" s="1831"/>
      <c r="CF42" s="1831"/>
      <c r="CG42" s="1831"/>
      <c r="CK42" s="173"/>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654" t="s">
        <v>491</v>
      </c>
      <c r="DS42" s="1654"/>
      <c r="DT42" s="1654"/>
      <c r="DU42" s="1654"/>
      <c r="DV42" s="1654"/>
      <c r="DW42" s="1654"/>
      <c r="DX42" s="1654"/>
      <c r="DY42" s="1654"/>
      <c r="DZ42" s="1654"/>
      <c r="EA42" s="1654"/>
      <c r="EB42" s="1654"/>
      <c r="EC42" s="1654"/>
      <c r="ED42" s="1654"/>
      <c r="EE42" s="1654"/>
      <c r="EF42" s="1656"/>
      <c r="EG42" s="1656"/>
      <c r="EH42" s="1656"/>
      <c r="EI42" s="1656"/>
      <c r="EJ42" s="1658"/>
      <c r="EK42" s="1660"/>
      <c r="EL42" s="1660"/>
      <c r="EM42" s="1660"/>
      <c r="EN42" s="1660"/>
      <c r="EO42" s="1662"/>
      <c r="EP42" s="1660"/>
      <c r="EQ42" s="1660"/>
      <c r="ER42" s="1660"/>
      <c r="ES42" s="1660"/>
      <c r="ET42" s="1664"/>
      <c r="EU42" s="1642"/>
      <c r="EV42" s="1642"/>
      <c r="EW42" s="1642"/>
      <c r="EX42" s="1642"/>
      <c r="EY42" s="1642"/>
      <c r="EZ42" s="1666"/>
      <c r="FA42" s="1642"/>
      <c r="FB42" s="1642"/>
      <c r="FC42" s="1642"/>
      <c r="FD42" s="1642"/>
      <c r="FE42" s="1642"/>
      <c r="FF42" s="1642"/>
    </row>
    <row r="43" spans="1:162" ht="7.5" customHeight="1" thickBot="1" x14ac:dyDescent="0.3">
      <c r="A43" s="1200"/>
      <c r="B43" s="1200"/>
      <c r="C43" s="1200"/>
      <c r="D43" s="1200"/>
      <c r="E43" s="1200"/>
      <c r="F43" s="1200"/>
      <c r="G43" s="1200"/>
      <c r="H43" s="1200"/>
      <c r="I43" s="1200"/>
      <c r="J43" s="1200"/>
      <c r="K43" s="17"/>
      <c r="L43" s="1672"/>
      <c r="M43" s="1673"/>
      <c r="N43" s="1673"/>
      <c r="O43" s="1673"/>
      <c r="P43" s="1673"/>
      <c r="Q43" s="1673"/>
      <c r="R43" s="1673"/>
      <c r="S43" s="1673"/>
      <c r="T43" s="1673"/>
      <c r="U43" s="1673"/>
      <c r="V43" s="1673"/>
      <c r="W43" s="1673"/>
      <c r="X43" s="1673"/>
      <c r="Y43" s="1673"/>
      <c r="Z43" s="1673"/>
      <c r="AA43" s="1673"/>
      <c r="AB43" s="1673"/>
      <c r="AC43" s="1673"/>
      <c r="AD43" s="1674"/>
      <c r="AE43" s="1675"/>
      <c r="AF43" s="1676"/>
      <c r="AG43" s="1676"/>
      <c r="AH43" s="1677"/>
      <c r="AI43" s="1678"/>
      <c r="AJ43" s="1675"/>
      <c r="AK43" s="1676"/>
      <c r="AL43" s="1676"/>
      <c r="AM43" s="1677"/>
      <c r="AN43" s="1668"/>
      <c r="AO43" s="1669"/>
      <c r="AP43" s="1669"/>
      <c r="AQ43" s="1669"/>
      <c r="AR43" s="1669"/>
      <c r="AS43" s="1669"/>
      <c r="AT43" s="1670"/>
      <c r="AU43" s="1669"/>
      <c r="AV43" s="1669"/>
      <c r="AW43" s="1669"/>
      <c r="AX43" s="1669"/>
      <c r="AY43" s="1669"/>
      <c r="AZ43" s="1671"/>
      <c r="BA43" s="314"/>
      <c r="BB43" s="1832"/>
      <c r="BC43" s="1833"/>
      <c r="BD43" s="1833"/>
      <c r="BE43" s="1833"/>
      <c r="BF43" s="1833"/>
      <c r="BG43" s="1833"/>
      <c r="BH43" s="1833"/>
      <c r="BI43" s="1833"/>
      <c r="BJ43" s="1833"/>
      <c r="BK43" s="1833"/>
      <c r="BL43" s="1833"/>
      <c r="BM43" s="1833"/>
      <c r="BN43" s="1833"/>
      <c r="BO43" s="1833"/>
      <c r="BP43" s="1833"/>
      <c r="BQ43" s="1833"/>
      <c r="BR43" s="1833"/>
      <c r="BS43" s="1833"/>
      <c r="BT43" s="1833"/>
      <c r="BU43" s="1833"/>
      <c r="BV43" s="1833"/>
      <c r="BW43" s="1833"/>
      <c r="BX43" s="1833"/>
      <c r="BY43" s="1833"/>
      <c r="BZ43" s="1833"/>
      <c r="CA43" s="1833"/>
      <c r="CB43" s="1833"/>
      <c r="CC43" s="1836"/>
      <c r="CD43" s="1837"/>
      <c r="CE43" s="1837"/>
      <c r="CF43" s="1837"/>
      <c r="CG43" s="1837"/>
      <c r="CH43" s="1837"/>
      <c r="CI43" s="1837"/>
      <c r="CJ43" s="1838"/>
      <c r="CK43" s="183"/>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655"/>
      <c r="DS43" s="1655"/>
      <c r="DT43" s="1655"/>
      <c r="DU43" s="1655"/>
      <c r="DV43" s="1655"/>
      <c r="DW43" s="1655"/>
      <c r="DX43" s="1655"/>
      <c r="DY43" s="1655"/>
      <c r="DZ43" s="1655"/>
      <c r="EA43" s="1655"/>
      <c r="EB43" s="1655"/>
      <c r="EC43" s="1655"/>
      <c r="ED43" s="1655"/>
      <c r="EE43" s="1655"/>
      <c r="EF43" s="1657"/>
      <c r="EG43" s="1657"/>
      <c r="EH43" s="1657"/>
      <c r="EI43" s="1657"/>
      <c r="EJ43" s="1659"/>
      <c r="EK43" s="1661"/>
      <c r="EL43" s="1661"/>
      <c r="EM43" s="1661"/>
      <c r="EN43" s="1661"/>
      <c r="EO43" s="1663"/>
      <c r="EP43" s="1661"/>
      <c r="EQ43" s="1661"/>
      <c r="ER43" s="1661"/>
      <c r="ES43" s="1661"/>
      <c r="ET43" s="1665"/>
      <c r="EU43" s="1643"/>
      <c r="EV43" s="1643"/>
      <c r="EW43" s="1643"/>
      <c r="EX43" s="1643"/>
      <c r="EY43" s="1643"/>
      <c r="EZ43" s="1667"/>
      <c r="FA43" s="1643"/>
      <c r="FB43" s="1643"/>
      <c r="FC43" s="1643"/>
      <c r="FD43" s="1643"/>
      <c r="FE43" s="1643"/>
      <c r="FF43" s="1643"/>
    </row>
    <row r="44" spans="1:162" ht="7.5" customHeight="1" x14ac:dyDescent="0.25">
      <c r="A44" s="1194" t="s">
        <v>10</v>
      </c>
      <c r="B44" s="1194"/>
      <c r="C44" s="1194"/>
      <c r="D44" s="1194"/>
      <c r="E44" s="1194"/>
      <c r="F44" s="1194"/>
      <c r="G44" s="1194"/>
      <c r="H44" s="1194"/>
      <c r="I44" s="219"/>
      <c r="J44" s="219"/>
      <c r="K44" s="17"/>
      <c r="L44" s="1672"/>
      <c r="M44" s="1673"/>
      <c r="N44" s="1673"/>
      <c r="O44" s="1673"/>
      <c r="P44" s="1673"/>
      <c r="Q44" s="1673"/>
      <c r="R44" s="1673"/>
      <c r="S44" s="1673"/>
      <c r="T44" s="1673"/>
      <c r="U44" s="1673"/>
      <c r="V44" s="1673"/>
      <c r="W44" s="1673"/>
      <c r="X44" s="1673"/>
      <c r="Y44" s="1673"/>
      <c r="Z44" s="1673"/>
      <c r="AA44" s="1673"/>
      <c r="AB44" s="1673"/>
      <c r="AC44" s="1673"/>
      <c r="AD44" s="1674"/>
      <c r="AE44" s="1675"/>
      <c r="AF44" s="1676"/>
      <c r="AG44" s="1676"/>
      <c r="AH44" s="1677"/>
      <c r="AI44" s="1678"/>
      <c r="AJ44" s="1675"/>
      <c r="AK44" s="1676"/>
      <c r="AL44" s="1676"/>
      <c r="AM44" s="1677"/>
      <c r="AN44" s="1668"/>
      <c r="AO44" s="1669"/>
      <c r="AP44" s="1669"/>
      <c r="AQ44" s="1669"/>
      <c r="AR44" s="1669"/>
      <c r="AS44" s="1669"/>
      <c r="AT44" s="1670"/>
      <c r="AU44" s="1669"/>
      <c r="AV44" s="1669"/>
      <c r="AW44" s="1669"/>
      <c r="AX44" s="1669"/>
      <c r="AY44" s="1669"/>
      <c r="AZ44" s="1671"/>
      <c r="BA44" s="314"/>
      <c r="BB44" s="1832"/>
      <c r="BC44" s="1833"/>
      <c r="BD44" s="1833"/>
      <c r="BE44" s="1833"/>
      <c r="BF44" s="1833"/>
      <c r="BG44" s="1833"/>
      <c r="BH44" s="1833"/>
      <c r="BI44" s="1833"/>
      <c r="BJ44" s="1833"/>
      <c r="BK44" s="1833"/>
      <c r="BL44" s="1833"/>
      <c r="BM44" s="1833"/>
      <c r="BN44" s="1833"/>
      <c r="BO44" s="1833"/>
      <c r="BP44" s="1833"/>
      <c r="BQ44" s="1833"/>
      <c r="BR44" s="1833"/>
      <c r="BS44" s="1833"/>
      <c r="BT44" s="1833"/>
      <c r="BU44" s="1833"/>
      <c r="BV44" s="1833"/>
      <c r="BW44" s="1833"/>
      <c r="BX44" s="1833"/>
      <c r="BY44" s="1833"/>
      <c r="BZ44" s="1833"/>
      <c r="CA44" s="1833"/>
      <c r="CB44" s="1833"/>
      <c r="CC44" s="1839"/>
      <c r="CD44" s="1840"/>
      <c r="CE44" s="1840"/>
      <c r="CF44" s="1840"/>
      <c r="CG44" s="1840"/>
      <c r="CH44" s="1840"/>
      <c r="CI44" s="1840"/>
      <c r="CJ44" s="1841"/>
      <c r="CK44" s="183"/>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644"/>
      <c r="DS44" s="1645"/>
      <c r="DT44" s="1645"/>
      <c r="DU44" s="1645"/>
      <c r="DV44" s="1645"/>
      <c r="DW44" s="1645"/>
      <c r="DX44" s="1645"/>
      <c r="DY44" s="1645"/>
      <c r="DZ44" s="1645"/>
      <c r="EA44" s="1645"/>
      <c r="EB44" s="1645"/>
      <c r="EC44" s="1645"/>
      <c r="ED44" s="1646"/>
      <c r="EE44" s="311"/>
      <c r="EF44" s="1652"/>
      <c r="EG44" s="1645"/>
      <c r="EH44" s="1645"/>
      <c r="EI44" s="1645"/>
      <c r="EJ44" s="1645"/>
      <c r="EK44" s="1645"/>
      <c r="EL44" s="1645"/>
      <c r="EM44" s="1645"/>
      <c r="EN44" s="1645"/>
      <c r="EO44" s="1645"/>
      <c r="EP44" s="1645"/>
      <c r="EQ44" s="1645"/>
      <c r="ER44" s="1646"/>
      <c r="ES44" s="310"/>
      <c r="ET44" s="1645"/>
      <c r="EU44" s="1645"/>
      <c r="EV44" s="1645"/>
      <c r="EW44" s="1645"/>
      <c r="EX44" s="1645"/>
      <c r="EY44" s="1645"/>
      <c r="EZ44" s="1645"/>
      <c r="FA44" s="1645"/>
      <c r="FB44" s="1645"/>
      <c r="FC44" s="1645"/>
      <c r="FD44" s="1645"/>
      <c r="FE44" s="1645"/>
      <c r="FF44" s="1653"/>
    </row>
    <row r="45" spans="1:162" ht="7.5" customHeight="1" x14ac:dyDescent="0.25">
      <c r="A45" s="1199"/>
      <c r="B45" s="1199"/>
      <c r="C45" s="1199"/>
      <c r="D45" s="1199"/>
      <c r="E45" s="1199"/>
      <c r="F45" s="1199"/>
      <c r="G45" s="1199"/>
      <c r="H45" s="1199"/>
      <c r="I45" s="1199"/>
      <c r="J45" s="1199"/>
      <c r="K45" s="17"/>
      <c r="L45" s="1672"/>
      <c r="M45" s="1673"/>
      <c r="N45" s="1673"/>
      <c r="O45" s="1673"/>
      <c r="P45" s="1673"/>
      <c r="Q45" s="1673"/>
      <c r="R45" s="1673"/>
      <c r="S45" s="1673"/>
      <c r="T45" s="1673"/>
      <c r="U45" s="1673"/>
      <c r="V45" s="1673"/>
      <c r="W45" s="1673"/>
      <c r="X45" s="1673"/>
      <c r="Y45" s="1673"/>
      <c r="Z45" s="1673"/>
      <c r="AA45" s="1673"/>
      <c r="AB45" s="1673"/>
      <c r="AC45" s="1673"/>
      <c r="AD45" s="1674"/>
      <c r="AE45" s="1675"/>
      <c r="AF45" s="1676"/>
      <c r="AG45" s="1676"/>
      <c r="AH45" s="1677"/>
      <c r="AI45" s="1678"/>
      <c r="AJ45" s="1675"/>
      <c r="AK45" s="1676"/>
      <c r="AL45" s="1676"/>
      <c r="AM45" s="1677"/>
      <c r="AN45" s="1668"/>
      <c r="AO45" s="1669"/>
      <c r="AP45" s="1669"/>
      <c r="AQ45" s="1669"/>
      <c r="AR45" s="1669"/>
      <c r="AS45" s="1669"/>
      <c r="AT45" s="1670"/>
      <c r="AU45" s="1669"/>
      <c r="AV45" s="1669"/>
      <c r="AW45" s="1669"/>
      <c r="AX45" s="1669"/>
      <c r="AY45" s="1669"/>
      <c r="AZ45" s="1671"/>
      <c r="BA45" s="314"/>
      <c r="BB45" s="1832"/>
      <c r="BC45" s="1833"/>
      <c r="BD45" s="1833"/>
      <c r="BE45" s="1833"/>
      <c r="BF45" s="1833"/>
      <c r="BG45" s="1833"/>
      <c r="BH45" s="1833"/>
      <c r="BI45" s="1833"/>
      <c r="BJ45" s="1833"/>
      <c r="BK45" s="1833"/>
      <c r="BL45" s="1833"/>
      <c r="BM45" s="1833"/>
      <c r="BN45" s="1833"/>
      <c r="BO45" s="1833"/>
      <c r="BP45" s="1833"/>
      <c r="BQ45" s="1833"/>
      <c r="BR45" s="1833"/>
      <c r="BS45" s="1833"/>
      <c r="BT45" s="1833"/>
      <c r="BU45" s="1833"/>
      <c r="BV45" s="1833"/>
      <c r="BW45" s="1833"/>
      <c r="BX45" s="1833"/>
      <c r="BY45" s="1833"/>
      <c r="BZ45" s="1833"/>
      <c r="CA45" s="1833"/>
      <c r="CB45" s="1833"/>
      <c r="CC45" s="1842"/>
      <c r="CD45" s="1843"/>
      <c r="CE45" s="1843"/>
      <c r="CF45" s="1843"/>
      <c r="CG45" s="1843"/>
      <c r="CH45" s="1843"/>
      <c r="CI45" s="1843"/>
      <c r="CJ45" s="1844"/>
      <c r="CK45" s="183"/>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619"/>
      <c r="DS45" s="1620"/>
      <c r="DT45" s="1620"/>
      <c r="DU45" s="1620"/>
      <c r="DV45" s="1620"/>
      <c r="DW45" s="1620"/>
      <c r="DX45" s="1620"/>
      <c r="DY45" s="1620"/>
      <c r="DZ45" s="1620"/>
      <c r="EA45" s="1620"/>
      <c r="EB45" s="1620"/>
      <c r="EC45" s="1620"/>
      <c r="ED45" s="1621"/>
      <c r="EE45" s="312"/>
      <c r="EF45" s="1623"/>
      <c r="EG45" s="1620"/>
      <c r="EH45" s="1620"/>
      <c r="EI45" s="1620"/>
      <c r="EJ45" s="1620"/>
      <c r="EK45" s="1620"/>
      <c r="EL45" s="1620"/>
      <c r="EM45" s="1620"/>
      <c r="EN45" s="1620"/>
      <c r="EO45" s="1620"/>
      <c r="EP45" s="1620"/>
      <c r="EQ45" s="1620"/>
      <c r="ER45" s="1621"/>
      <c r="ES45" s="308"/>
      <c r="ET45" s="1620"/>
      <c r="EU45" s="1620"/>
      <c r="EV45" s="1620"/>
      <c r="EW45" s="1620"/>
      <c r="EX45" s="1620"/>
      <c r="EY45" s="1620"/>
      <c r="EZ45" s="1620"/>
      <c r="FA45" s="1620"/>
      <c r="FB45" s="1620"/>
      <c r="FC45" s="1620"/>
      <c r="FD45" s="1620"/>
      <c r="FE45" s="1620"/>
      <c r="FF45" s="1625"/>
    </row>
    <row r="46" spans="1:162" ht="7.5" customHeight="1" x14ac:dyDescent="0.25">
      <c r="A46" s="1200"/>
      <c r="B46" s="1200"/>
      <c r="C46" s="1200"/>
      <c r="D46" s="1200"/>
      <c r="E46" s="1200"/>
      <c r="F46" s="1200"/>
      <c r="G46" s="1200"/>
      <c r="H46" s="1200"/>
      <c r="I46" s="1200"/>
      <c r="J46" s="1200"/>
      <c r="K46" s="17"/>
      <c r="L46" s="1672"/>
      <c r="M46" s="1673"/>
      <c r="N46" s="1673"/>
      <c r="O46" s="1673"/>
      <c r="P46" s="1673"/>
      <c r="Q46" s="1673"/>
      <c r="R46" s="1673"/>
      <c r="S46" s="1673"/>
      <c r="T46" s="1673"/>
      <c r="U46" s="1673"/>
      <c r="V46" s="1673"/>
      <c r="W46" s="1673"/>
      <c r="X46" s="1673"/>
      <c r="Y46" s="1673"/>
      <c r="Z46" s="1673"/>
      <c r="AA46" s="1673"/>
      <c r="AB46" s="1673"/>
      <c r="AC46" s="1673"/>
      <c r="AD46" s="1674"/>
      <c r="AE46" s="1675"/>
      <c r="AF46" s="1676"/>
      <c r="AG46" s="1676"/>
      <c r="AH46" s="1677"/>
      <c r="AI46" s="1678"/>
      <c r="AJ46" s="1675"/>
      <c r="AK46" s="1676"/>
      <c r="AL46" s="1676"/>
      <c r="AM46" s="1677"/>
      <c r="AN46" s="1668"/>
      <c r="AO46" s="1669"/>
      <c r="AP46" s="1669"/>
      <c r="AQ46" s="1669"/>
      <c r="AR46" s="1669"/>
      <c r="AS46" s="1669"/>
      <c r="AT46" s="1670"/>
      <c r="AU46" s="1669"/>
      <c r="AV46" s="1669"/>
      <c r="AW46" s="1669"/>
      <c r="AX46" s="1669"/>
      <c r="AY46" s="1669"/>
      <c r="AZ46" s="1671"/>
      <c r="BA46" s="314"/>
      <c r="BB46" s="1832"/>
      <c r="BC46" s="1833"/>
      <c r="BD46" s="1833"/>
      <c r="BE46" s="1833"/>
      <c r="BF46" s="1833"/>
      <c r="BG46" s="1833"/>
      <c r="BH46" s="1833"/>
      <c r="BI46" s="1833"/>
      <c r="BJ46" s="1833"/>
      <c r="BK46" s="1833"/>
      <c r="BL46" s="1833"/>
      <c r="BM46" s="1833"/>
      <c r="BN46" s="1833"/>
      <c r="BO46" s="1833"/>
      <c r="BP46" s="1833"/>
      <c r="BQ46" s="1833"/>
      <c r="BR46" s="1833"/>
      <c r="BS46" s="1833"/>
      <c r="BT46" s="1833"/>
      <c r="BU46" s="1833"/>
      <c r="BV46" s="1833"/>
      <c r="BW46" s="1833"/>
      <c r="BX46" s="1833"/>
      <c r="BY46" s="1833"/>
      <c r="BZ46" s="1833"/>
      <c r="CA46" s="1833"/>
      <c r="CB46" s="1833"/>
      <c r="CC46" s="129"/>
      <c r="CD46" s="1856" t="s">
        <v>90</v>
      </c>
      <c r="CE46" s="1856"/>
      <c r="CF46" s="1856"/>
      <c r="CG46" s="1856"/>
      <c r="CH46" s="1856"/>
      <c r="CI46" s="1856"/>
      <c r="CJ46" s="1856"/>
      <c r="CK46" s="184"/>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616"/>
      <c r="DS46" s="1617"/>
      <c r="DT46" s="1617"/>
      <c r="DU46" s="1617"/>
      <c r="DV46" s="1617"/>
      <c r="DW46" s="1617"/>
      <c r="DX46" s="1617"/>
      <c r="DY46" s="1617"/>
      <c r="DZ46" s="1617"/>
      <c r="EA46" s="1617"/>
      <c r="EB46" s="1617"/>
      <c r="EC46" s="1617"/>
      <c r="ED46" s="1618"/>
      <c r="EE46" s="312"/>
      <c r="EF46" s="1622"/>
      <c r="EG46" s="1617"/>
      <c r="EH46" s="1617"/>
      <c r="EI46" s="1617"/>
      <c r="EJ46" s="1617"/>
      <c r="EK46" s="1617"/>
      <c r="EL46" s="1617"/>
      <c r="EM46" s="1617"/>
      <c r="EN46" s="1617"/>
      <c r="EO46" s="1617"/>
      <c r="EP46" s="1617"/>
      <c r="EQ46" s="1617"/>
      <c r="ER46" s="1618"/>
      <c r="ES46" s="308"/>
      <c r="ET46" s="1617"/>
      <c r="EU46" s="1617"/>
      <c r="EV46" s="1617"/>
      <c r="EW46" s="1617"/>
      <c r="EX46" s="1617"/>
      <c r="EY46" s="1617"/>
      <c r="EZ46" s="1617"/>
      <c r="FA46" s="1617"/>
      <c r="FB46" s="1617"/>
      <c r="FC46" s="1617"/>
      <c r="FD46" s="1617"/>
      <c r="FE46" s="1617"/>
      <c r="FF46" s="1624"/>
    </row>
    <row r="47" spans="1:162" ht="7.5" customHeight="1" x14ac:dyDescent="0.25">
      <c r="A47" s="1195" t="s">
        <v>15</v>
      </c>
      <c r="B47" s="1195"/>
      <c r="C47" s="1195"/>
      <c r="D47" s="1195"/>
      <c r="E47" s="1195"/>
      <c r="F47" s="1195"/>
      <c r="G47" s="1195"/>
      <c r="H47" s="1195"/>
      <c r="I47" s="219"/>
      <c r="J47" s="219"/>
      <c r="K47" s="179"/>
      <c r="L47" s="1672"/>
      <c r="M47" s="1673"/>
      <c r="N47" s="1673"/>
      <c r="O47" s="1673"/>
      <c r="P47" s="1673"/>
      <c r="Q47" s="1673"/>
      <c r="R47" s="1673"/>
      <c r="S47" s="1673"/>
      <c r="T47" s="1673"/>
      <c r="U47" s="1673"/>
      <c r="V47" s="1673"/>
      <c r="W47" s="1673"/>
      <c r="X47" s="1673"/>
      <c r="Y47" s="1673"/>
      <c r="Z47" s="1673"/>
      <c r="AA47" s="1673"/>
      <c r="AB47" s="1673"/>
      <c r="AC47" s="1673"/>
      <c r="AD47" s="1674"/>
      <c r="AE47" s="1675"/>
      <c r="AF47" s="1676"/>
      <c r="AG47" s="1676"/>
      <c r="AH47" s="1677"/>
      <c r="AI47" s="1678"/>
      <c r="AJ47" s="1675"/>
      <c r="AK47" s="1676"/>
      <c r="AL47" s="1676"/>
      <c r="AM47" s="1677"/>
      <c r="AN47" s="1668"/>
      <c r="AO47" s="1669"/>
      <c r="AP47" s="1669"/>
      <c r="AQ47" s="1669"/>
      <c r="AR47" s="1669"/>
      <c r="AS47" s="1669"/>
      <c r="AT47" s="1670"/>
      <c r="AU47" s="1669"/>
      <c r="AV47" s="1669"/>
      <c r="AW47" s="1669"/>
      <c r="AX47" s="1669"/>
      <c r="AY47" s="1669"/>
      <c r="AZ47" s="1671"/>
      <c r="BA47" s="314"/>
      <c r="BB47" s="1832"/>
      <c r="BC47" s="1833"/>
      <c r="BD47" s="1833"/>
      <c r="BE47" s="1833"/>
      <c r="BF47" s="1833"/>
      <c r="BG47" s="1833"/>
      <c r="BH47" s="1833"/>
      <c r="BI47" s="1833"/>
      <c r="BJ47" s="1833"/>
      <c r="BK47" s="1833"/>
      <c r="BL47" s="1833"/>
      <c r="BM47" s="1833"/>
      <c r="BN47" s="1833"/>
      <c r="BO47" s="1833"/>
      <c r="BP47" s="1833"/>
      <c r="BQ47" s="1833"/>
      <c r="BR47" s="1833"/>
      <c r="BS47" s="1833"/>
      <c r="BT47" s="1833"/>
      <c r="BU47" s="1833"/>
      <c r="BV47" s="1833"/>
      <c r="BW47" s="1833"/>
      <c r="BX47" s="1833"/>
      <c r="BY47" s="1833"/>
      <c r="BZ47" s="1833"/>
      <c r="CA47" s="1833"/>
      <c r="CB47" s="1833"/>
      <c r="CC47" s="1836"/>
      <c r="CD47" s="1837"/>
      <c r="CE47" s="1837"/>
      <c r="CF47" s="1837"/>
      <c r="CG47" s="1837"/>
      <c r="CH47" s="1837"/>
      <c r="CI47" s="1837"/>
      <c r="CJ47" s="1838"/>
      <c r="CK47" s="184"/>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619"/>
      <c r="DS47" s="1620"/>
      <c r="DT47" s="1620"/>
      <c r="DU47" s="1620"/>
      <c r="DV47" s="1620"/>
      <c r="DW47" s="1620"/>
      <c r="DX47" s="1620"/>
      <c r="DY47" s="1620"/>
      <c r="DZ47" s="1620"/>
      <c r="EA47" s="1620"/>
      <c r="EB47" s="1620"/>
      <c r="EC47" s="1620"/>
      <c r="ED47" s="1621"/>
      <c r="EE47" s="312"/>
      <c r="EF47" s="1623"/>
      <c r="EG47" s="1620"/>
      <c r="EH47" s="1620"/>
      <c r="EI47" s="1620"/>
      <c r="EJ47" s="1620"/>
      <c r="EK47" s="1620"/>
      <c r="EL47" s="1620"/>
      <c r="EM47" s="1620"/>
      <c r="EN47" s="1620"/>
      <c r="EO47" s="1620"/>
      <c r="EP47" s="1620"/>
      <c r="EQ47" s="1620"/>
      <c r="ER47" s="1621"/>
      <c r="ES47" s="308"/>
      <c r="ET47" s="1620"/>
      <c r="EU47" s="1620"/>
      <c r="EV47" s="1620"/>
      <c r="EW47" s="1620"/>
      <c r="EX47" s="1620"/>
      <c r="EY47" s="1620"/>
      <c r="EZ47" s="1620"/>
      <c r="FA47" s="1620"/>
      <c r="FB47" s="1620"/>
      <c r="FC47" s="1620"/>
      <c r="FD47" s="1620"/>
      <c r="FE47" s="1620"/>
      <c r="FF47" s="1625"/>
    </row>
    <row r="48" spans="1:162" ht="7.5" customHeight="1" thickBot="1" x14ac:dyDescent="0.3">
      <c r="A48" s="1199"/>
      <c r="B48" s="1199"/>
      <c r="C48" s="1199"/>
      <c r="D48" s="1199"/>
      <c r="E48" s="1199"/>
      <c r="F48" s="1199"/>
      <c r="G48" s="1199"/>
      <c r="H48" s="1199"/>
      <c r="I48" s="1199"/>
      <c r="J48" s="1199"/>
      <c r="L48" s="1672"/>
      <c r="M48" s="1673"/>
      <c r="N48" s="1673"/>
      <c r="O48" s="1673"/>
      <c r="P48" s="1673"/>
      <c r="Q48" s="1673"/>
      <c r="R48" s="1673"/>
      <c r="S48" s="1673"/>
      <c r="T48" s="1673"/>
      <c r="U48" s="1673"/>
      <c r="V48" s="1673"/>
      <c r="W48" s="1673"/>
      <c r="X48" s="1673"/>
      <c r="Y48" s="1673"/>
      <c r="Z48" s="1673"/>
      <c r="AA48" s="1673"/>
      <c r="AB48" s="1673"/>
      <c r="AC48" s="1673"/>
      <c r="AD48" s="1674"/>
      <c r="AE48" s="1675"/>
      <c r="AF48" s="1676"/>
      <c r="AG48" s="1676"/>
      <c r="AH48" s="1677"/>
      <c r="AI48" s="1678"/>
      <c r="AJ48" s="1675"/>
      <c r="AK48" s="1676"/>
      <c r="AL48" s="1676"/>
      <c r="AM48" s="1677"/>
      <c r="AN48" s="1668"/>
      <c r="AO48" s="1669"/>
      <c r="AP48" s="1669"/>
      <c r="AQ48" s="1669"/>
      <c r="AR48" s="1669"/>
      <c r="AS48" s="1669"/>
      <c r="AT48" s="1670"/>
      <c r="AU48" s="1669"/>
      <c r="AV48" s="1669"/>
      <c r="AW48" s="1669"/>
      <c r="AX48" s="1669"/>
      <c r="AY48" s="1669"/>
      <c r="AZ48" s="1671"/>
      <c r="BA48" s="314"/>
      <c r="BB48" s="1832"/>
      <c r="BC48" s="1833"/>
      <c r="BD48" s="1833"/>
      <c r="BE48" s="1833"/>
      <c r="BF48" s="1833"/>
      <c r="BG48" s="1833"/>
      <c r="BH48" s="1833"/>
      <c r="BI48" s="1833"/>
      <c r="BJ48" s="1833"/>
      <c r="BK48" s="1833"/>
      <c r="BL48" s="1833"/>
      <c r="BM48" s="1833"/>
      <c r="BN48" s="1833"/>
      <c r="BO48" s="1833"/>
      <c r="BP48" s="1833"/>
      <c r="BQ48" s="1833"/>
      <c r="BR48" s="1833"/>
      <c r="BS48" s="1833"/>
      <c r="BT48" s="1833"/>
      <c r="BU48" s="1833"/>
      <c r="BV48" s="1833"/>
      <c r="BW48" s="1833"/>
      <c r="BX48" s="1833"/>
      <c r="BY48" s="1833"/>
      <c r="BZ48" s="1833"/>
      <c r="CA48" s="1833"/>
      <c r="CB48" s="1833"/>
      <c r="CC48" s="1839"/>
      <c r="CD48" s="1840"/>
      <c r="CE48" s="1840"/>
      <c r="CF48" s="1840"/>
      <c r="CG48" s="1840"/>
      <c r="CH48" s="1840"/>
      <c r="CI48" s="1840"/>
      <c r="CJ48" s="1841"/>
      <c r="CK48" s="181"/>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616"/>
      <c r="DS48" s="1617"/>
      <c r="DT48" s="1617"/>
      <c r="DU48" s="1617"/>
      <c r="DV48" s="1617"/>
      <c r="DW48" s="1617"/>
      <c r="DX48" s="1617"/>
      <c r="DY48" s="1617"/>
      <c r="DZ48" s="1617"/>
      <c r="EA48" s="1617"/>
      <c r="EB48" s="1617"/>
      <c r="EC48" s="1617"/>
      <c r="ED48" s="1618"/>
      <c r="EE48" s="312"/>
      <c r="EF48" s="1622"/>
      <c r="EG48" s="1617"/>
      <c r="EH48" s="1617"/>
      <c r="EI48" s="1617"/>
      <c r="EJ48" s="1617"/>
      <c r="EK48" s="1617"/>
      <c r="EL48" s="1617"/>
      <c r="EM48" s="1617"/>
      <c r="EN48" s="1617"/>
      <c r="EO48" s="1617"/>
      <c r="EP48" s="1617"/>
      <c r="EQ48" s="1617"/>
      <c r="ER48" s="1618"/>
      <c r="ES48" s="308"/>
      <c r="ET48" s="1617"/>
      <c r="EU48" s="1617"/>
      <c r="EV48" s="1617"/>
      <c r="EW48" s="1617"/>
      <c r="EX48" s="1617"/>
      <c r="EY48" s="1617"/>
      <c r="EZ48" s="1617"/>
      <c r="FA48" s="1617"/>
      <c r="FB48" s="1617"/>
      <c r="FC48" s="1617"/>
      <c r="FD48" s="1617"/>
      <c r="FE48" s="1617"/>
      <c r="FF48" s="1624"/>
    </row>
    <row r="49" spans="1:162" ht="7.5" customHeight="1" x14ac:dyDescent="0.25">
      <c r="A49" s="1200"/>
      <c r="B49" s="1200"/>
      <c r="C49" s="1200"/>
      <c r="D49" s="1200"/>
      <c r="E49" s="1200"/>
      <c r="F49" s="1200"/>
      <c r="G49" s="1200"/>
      <c r="H49" s="1200"/>
      <c r="I49" s="1200"/>
      <c r="J49" s="1200"/>
      <c r="L49" s="1654" t="s">
        <v>491</v>
      </c>
      <c r="M49" s="1654"/>
      <c r="N49" s="1654"/>
      <c r="O49" s="1654"/>
      <c r="P49" s="1654"/>
      <c r="Q49" s="1654"/>
      <c r="R49" s="1654"/>
      <c r="S49" s="1654"/>
      <c r="T49" s="1654"/>
      <c r="U49" s="1654"/>
      <c r="V49" s="1654"/>
      <c r="W49" s="1654"/>
      <c r="X49" s="1654"/>
      <c r="Y49" s="1654"/>
      <c r="Z49" s="1656"/>
      <c r="AA49" s="1656"/>
      <c r="AB49" s="1656"/>
      <c r="AC49" s="1656"/>
      <c r="AD49" s="1658"/>
      <c r="AE49" s="1660"/>
      <c r="AF49" s="1660"/>
      <c r="AG49" s="1660"/>
      <c r="AH49" s="1660"/>
      <c r="AI49" s="1662"/>
      <c r="AJ49" s="1660"/>
      <c r="AK49" s="1660"/>
      <c r="AL49" s="1660"/>
      <c r="AM49" s="1660"/>
      <c r="AN49" s="1664"/>
      <c r="AO49" s="1642"/>
      <c r="AP49" s="1642"/>
      <c r="AQ49" s="1642"/>
      <c r="AR49" s="1642"/>
      <c r="AS49" s="1642"/>
      <c r="AT49" s="1666"/>
      <c r="AU49" s="1642"/>
      <c r="AV49" s="1642"/>
      <c r="AW49" s="1642"/>
      <c r="AX49" s="1642"/>
      <c r="AY49" s="1642"/>
      <c r="AZ49" s="1642"/>
      <c r="BA49" s="314"/>
      <c r="BB49" s="1832"/>
      <c r="BC49" s="1833"/>
      <c r="BD49" s="1833"/>
      <c r="BE49" s="1833"/>
      <c r="BF49" s="1833"/>
      <c r="BG49" s="1833"/>
      <c r="BH49" s="1833"/>
      <c r="BI49" s="1833"/>
      <c r="BJ49" s="1833"/>
      <c r="BK49" s="1833"/>
      <c r="BL49" s="1833"/>
      <c r="BM49" s="1833"/>
      <c r="BN49" s="1833"/>
      <c r="BO49" s="1833"/>
      <c r="BP49" s="1833"/>
      <c r="BQ49" s="1833"/>
      <c r="BR49" s="1833"/>
      <c r="BS49" s="1833"/>
      <c r="BT49" s="1833"/>
      <c r="BU49" s="1833"/>
      <c r="BV49" s="1833"/>
      <c r="BW49" s="1833"/>
      <c r="BX49" s="1833"/>
      <c r="BY49" s="1833"/>
      <c r="BZ49" s="1833"/>
      <c r="CA49" s="1833"/>
      <c r="CB49" s="1833"/>
      <c r="CC49" s="1842"/>
      <c r="CD49" s="1843"/>
      <c r="CE49" s="1843"/>
      <c r="CF49" s="1843"/>
      <c r="CG49" s="1843"/>
      <c r="CH49" s="1843"/>
      <c r="CI49" s="1843"/>
      <c r="CJ49" s="1844"/>
      <c r="CK49" s="181"/>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619"/>
      <c r="DS49" s="1620"/>
      <c r="DT49" s="1620"/>
      <c r="DU49" s="1620"/>
      <c r="DV49" s="1620"/>
      <c r="DW49" s="1620"/>
      <c r="DX49" s="1620"/>
      <c r="DY49" s="1620"/>
      <c r="DZ49" s="1620"/>
      <c r="EA49" s="1620"/>
      <c r="EB49" s="1620"/>
      <c r="EC49" s="1620"/>
      <c r="ED49" s="1621"/>
      <c r="EE49" s="312"/>
      <c r="EF49" s="1623"/>
      <c r="EG49" s="1620"/>
      <c r="EH49" s="1620"/>
      <c r="EI49" s="1620"/>
      <c r="EJ49" s="1620"/>
      <c r="EK49" s="1620"/>
      <c r="EL49" s="1620"/>
      <c r="EM49" s="1620"/>
      <c r="EN49" s="1620"/>
      <c r="EO49" s="1620"/>
      <c r="EP49" s="1620"/>
      <c r="EQ49" s="1620"/>
      <c r="ER49" s="1621"/>
      <c r="ES49" s="308"/>
      <c r="ET49" s="1620"/>
      <c r="EU49" s="1620"/>
      <c r="EV49" s="1620"/>
      <c r="EW49" s="1620"/>
      <c r="EX49" s="1620"/>
      <c r="EY49" s="1620"/>
      <c r="EZ49" s="1620"/>
      <c r="FA49" s="1620"/>
      <c r="FB49" s="1620"/>
      <c r="FC49" s="1620"/>
      <c r="FD49" s="1620"/>
      <c r="FE49" s="1620"/>
      <c r="FF49" s="1625"/>
    </row>
    <row r="50" spans="1:162" ht="7.5" customHeight="1" thickBot="1" x14ac:dyDescent="0.3">
      <c r="A50" s="1195" t="s">
        <v>11</v>
      </c>
      <c r="B50" s="1195"/>
      <c r="C50" s="1195"/>
      <c r="D50" s="1195"/>
      <c r="E50" s="1195"/>
      <c r="F50" s="1195"/>
      <c r="G50" s="1195"/>
      <c r="H50" s="1195"/>
      <c r="I50" s="219"/>
      <c r="J50" s="219"/>
      <c r="K50" s="179"/>
      <c r="L50" s="1655"/>
      <c r="M50" s="1655"/>
      <c r="N50" s="1655"/>
      <c r="O50" s="1655"/>
      <c r="P50" s="1655"/>
      <c r="Q50" s="1655"/>
      <c r="R50" s="1655"/>
      <c r="S50" s="1655"/>
      <c r="T50" s="1655"/>
      <c r="U50" s="1655"/>
      <c r="V50" s="1655"/>
      <c r="W50" s="1655"/>
      <c r="X50" s="1655"/>
      <c r="Y50" s="1655"/>
      <c r="Z50" s="1657"/>
      <c r="AA50" s="1657"/>
      <c r="AB50" s="1657"/>
      <c r="AC50" s="1657"/>
      <c r="AD50" s="1659"/>
      <c r="AE50" s="1661"/>
      <c r="AF50" s="1661"/>
      <c r="AG50" s="1661"/>
      <c r="AH50" s="1661"/>
      <c r="AI50" s="1663"/>
      <c r="AJ50" s="1661"/>
      <c r="AK50" s="1661"/>
      <c r="AL50" s="1661"/>
      <c r="AM50" s="1661"/>
      <c r="AN50" s="1665"/>
      <c r="AO50" s="1643"/>
      <c r="AP50" s="1643"/>
      <c r="AQ50" s="1643"/>
      <c r="AR50" s="1643"/>
      <c r="AS50" s="1643"/>
      <c r="AT50" s="1667"/>
      <c r="AU50" s="1643"/>
      <c r="AV50" s="1643"/>
      <c r="AW50" s="1643"/>
      <c r="AX50" s="1643"/>
      <c r="AY50" s="1643"/>
      <c r="AZ50" s="1643"/>
      <c r="BA50" s="314"/>
      <c r="BB50" s="1834"/>
      <c r="BC50" s="1835"/>
      <c r="BD50" s="1835"/>
      <c r="BE50" s="1835"/>
      <c r="BF50" s="1835"/>
      <c r="BG50" s="1835"/>
      <c r="BH50" s="1835"/>
      <c r="BI50" s="1835"/>
      <c r="BJ50" s="1835"/>
      <c r="BK50" s="1835"/>
      <c r="BL50" s="1835"/>
      <c r="BM50" s="1835"/>
      <c r="BN50" s="1835"/>
      <c r="BO50" s="1835"/>
      <c r="BP50" s="1835"/>
      <c r="BQ50" s="1835"/>
      <c r="BR50" s="1835"/>
      <c r="BS50" s="1835"/>
      <c r="BT50" s="1835"/>
      <c r="BU50" s="1835"/>
      <c r="BV50" s="1835"/>
      <c r="BW50" s="1835"/>
      <c r="BX50" s="1835"/>
      <c r="BY50" s="1835"/>
      <c r="BZ50" s="1835"/>
      <c r="CA50" s="1835"/>
      <c r="CB50" s="1835"/>
      <c r="CC50" s="185"/>
      <c r="CD50" s="185"/>
      <c r="CE50" s="185"/>
      <c r="CF50" s="185"/>
      <c r="CG50" s="185"/>
      <c r="CH50" s="185"/>
      <c r="CI50" s="185"/>
      <c r="CJ50" s="185"/>
      <c r="CK50" s="186"/>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616"/>
      <c r="DS50" s="1617"/>
      <c r="DT50" s="1617"/>
      <c r="DU50" s="1617"/>
      <c r="DV50" s="1617"/>
      <c r="DW50" s="1617"/>
      <c r="DX50" s="1617"/>
      <c r="DY50" s="1617"/>
      <c r="DZ50" s="1617"/>
      <c r="EA50" s="1617"/>
      <c r="EB50" s="1617"/>
      <c r="EC50" s="1617"/>
      <c r="ED50" s="1618"/>
      <c r="EE50" s="312"/>
      <c r="EF50" s="1622"/>
      <c r="EG50" s="1617"/>
      <c r="EH50" s="1617"/>
      <c r="EI50" s="1617"/>
      <c r="EJ50" s="1617"/>
      <c r="EK50" s="1617"/>
      <c r="EL50" s="1617"/>
      <c r="EM50" s="1617"/>
      <c r="EN50" s="1617"/>
      <c r="EO50" s="1617"/>
      <c r="EP50" s="1617"/>
      <c r="EQ50" s="1617"/>
      <c r="ER50" s="1618"/>
      <c r="ES50" s="308"/>
      <c r="ET50" s="1617"/>
      <c r="EU50" s="1617"/>
      <c r="EV50" s="1617"/>
      <c r="EW50" s="1617"/>
      <c r="EX50" s="1617"/>
      <c r="EY50" s="1617"/>
      <c r="EZ50" s="1617"/>
      <c r="FA50" s="1617"/>
      <c r="FB50" s="1617"/>
      <c r="FC50" s="1617"/>
      <c r="FD50" s="1617"/>
      <c r="FE50" s="1617"/>
      <c r="FF50" s="1624"/>
    </row>
    <row r="51" spans="1:162" ht="7.5" customHeight="1" thickTop="1" x14ac:dyDescent="0.25">
      <c r="A51" s="1199"/>
      <c r="B51" s="1199"/>
      <c r="C51" s="1199"/>
      <c r="D51" s="1199"/>
      <c r="E51" s="1199"/>
      <c r="F51" s="1199"/>
      <c r="G51" s="1199"/>
      <c r="H51" s="1199"/>
      <c r="I51" s="1199"/>
      <c r="J51" s="1199"/>
      <c r="L51" s="1644"/>
      <c r="M51" s="1645"/>
      <c r="N51" s="1645"/>
      <c r="O51" s="1645"/>
      <c r="P51" s="1645"/>
      <c r="Q51" s="1645"/>
      <c r="R51" s="1645"/>
      <c r="S51" s="1645"/>
      <c r="T51" s="1645"/>
      <c r="U51" s="1645"/>
      <c r="V51" s="1645"/>
      <c r="W51" s="1645"/>
      <c r="X51" s="1646"/>
      <c r="Y51" s="311"/>
      <c r="Z51" s="1652"/>
      <c r="AA51" s="1645"/>
      <c r="AB51" s="1645"/>
      <c r="AC51" s="1645"/>
      <c r="AD51" s="1645"/>
      <c r="AE51" s="1645"/>
      <c r="AF51" s="1645"/>
      <c r="AG51" s="1645"/>
      <c r="AH51" s="1645"/>
      <c r="AI51" s="1645"/>
      <c r="AJ51" s="1645"/>
      <c r="AK51" s="1645"/>
      <c r="AL51" s="1646"/>
      <c r="AM51" s="310"/>
      <c r="AN51" s="1645"/>
      <c r="AO51" s="1645"/>
      <c r="AP51" s="1645"/>
      <c r="AQ51" s="1645"/>
      <c r="AR51" s="1645"/>
      <c r="AS51" s="1645"/>
      <c r="AT51" s="1645"/>
      <c r="AU51" s="1645"/>
      <c r="AV51" s="1645"/>
      <c r="AW51" s="1645"/>
      <c r="AX51" s="1645"/>
      <c r="AY51" s="1645"/>
      <c r="AZ51" s="1653"/>
      <c r="BA51" s="314"/>
      <c r="BB51" s="586" t="s">
        <v>85</v>
      </c>
      <c r="BC51" s="587"/>
      <c r="BD51" s="587"/>
      <c r="BE51" s="40"/>
      <c r="BF51" s="40"/>
      <c r="BG51" s="40"/>
      <c r="BH51" s="40"/>
      <c r="BI51" s="40"/>
      <c r="BJ51" s="40"/>
      <c r="BK51" s="40"/>
      <c r="BL51" s="40"/>
      <c r="BM51" s="40"/>
      <c r="BN51" s="40"/>
      <c r="BO51" s="170"/>
      <c r="BP51" s="170"/>
      <c r="BQ51" s="170"/>
      <c r="BR51" s="170"/>
      <c r="BS51" s="171"/>
      <c r="BT51" s="121" t="s">
        <v>89</v>
      </c>
      <c r="BU51" s="121"/>
      <c r="BV51" s="121"/>
      <c r="BW51" s="121"/>
      <c r="BX51" s="122"/>
      <c r="BY51" s="122"/>
      <c r="BZ51" s="122"/>
      <c r="CA51" s="122"/>
      <c r="CB51" s="123"/>
      <c r="CC51" s="182" t="s">
        <v>88</v>
      </c>
      <c r="CD51" s="124"/>
      <c r="CE51" s="124"/>
      <c r="CF51" s="124"/>
      <c r="CG51" s="124"/>
      <c r="CH51" s="124"/>
      <c r="CI51" s="124"/>
      <c r="CJ51" s="125"/>
      <c r="CK51" s="126"/>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619"/>
      <c r="DS51" s="1620"/>
      <c r="DT51" s="1620"/>
      <c r="DU51" s="1620"/>
      <c r="DV51" s="1620"/>
      <c r="DW51" s="1620"/>
      <c r="DX51" s="1620"/>
      <c r="DY51" s="1620"/>
      <c r="DZ51" s="1620"/>
      <c r="EA51" s="1620"/>
      <c r="EB51" s="1620"/>
      <c r="EC51" s="1620"/>
      <c r="ED51" s="1621"/>
      <c r="EE51" s="312"/>
      <c r="EF51" s="1623"/>
      <c r="EG51" s="1620"/>
      <c r="EH51" s="1620"/>
      <c r="EI51" s="1620"/>
      <c r="EJ51" s="1620"/>
      <c r="EK51" s="1620"/>
      <c r="EL51" s="1620"/>
      <c r="EM51" s="1620"/>
      <c r="EN51" s="1620"/>
      <c r="EO51" s="1620"/>
      <c r="EP51" s="1620"/>
      <c r="EQ51" s="1620"/>
      <c r="ER51" s="1621"/>
      <c r="ES51" s="308"/>
      <c r="ET51" s="1620"/>
      <c r="EU51" s="1620"/>
      <c r="EV51" s="1620"/>
      <c r="EW51" s="1620"/>
      <c r="EX51" s="1620"/>
      <c r="EY51" s="1620"/>
      <c r="EZ51" s="1620"/>
      <c r="FA51" s="1620"/>
      <c r="FB51" s="1620"/>
      <c r="FC51" s="1620"/>
      <c r="FD51" s="1620"/>
      <c r="FE51" s="1620"/>
      <c r="FF51" s="1625"/>
    </row>
    <row r="52" spans="1:162" ht="7.5" customHeight="1" x14ac:dyDescent="0.25">
      <c r="A52" s="1200"/>
      <c r="B52" s="1200"/>
      <c r="C52" s="1200"/>
      <c r="D52" s="1200"/>
      <c r="E52" s="1200"/>
      <c r="F52" s="1200"/>
      <c r="G52" s="1200"/>
      <c r="H52" s="1200"/>
      <c r="I52" s="1200"/>
      <c r="J52" s="1200"/>
      <c r="L52" s="1619"/>
      <c r="M52" s="1620"/>
      <c r="N52" s="1620"/>
      <c r="O52" s="1620"/>
      <c r="P52" s="1620"/>
      <c r="Q52" s="1620"/>
      <c r="R52" s="1620"/>
      <c r="S52" s="1620"/>
      <c r="T52" s="1620"/>
      <c r="U52" s="1620"/>
      <c r="V52" s="1620"/>
      <c r="W52" s="1620"/>
      <c r="X52" s="1621"/>
      <c r="Y52" s="312"/>
      <c r="Z52" s="1623"/>
      <c r="AA52" s="1620"/>
      <c r="AB52" s="1620"/>
      <c r="AC52" s="1620"/>
      <c r="AD52" s="1620"/>
      <c r="AE52" s="1620"/>
      <c r="AF52" s="1620"/>
      <c r="AG52" s="1620"/>
      <c r="AH52" s="1620"/>
      <c r="AI52" s="1620"/>
      <c r="AJ52" s="1620"/>
      <c r="AK52" s="1620"/>
      <c r="AL52" s="1621"/>
      <c r="AM52" s="308"/>
      <c r="AN52" s="1620"/>
      <c r="AO52" s="1620"/>
      <c r="AP52" s="1620"/>
      <c r="AQ52" s="1620"/>
      <c r="AR52" s="1620"/>
      <c r="AS52" s="1620"/>
      <c r="AT52" s="1620"/>
      <c r="AU52" s="1620"/>
      <c r="AV52" s="1620"/>
      <c r="AW52" s="1620"/>
      <c r="AX52" s="1620"/>
      <c r="AY52" s="1620"/>
      <c r="AZ52" s="1625"/>
      <c r="BA52" s="314"/>
      <c r="BB52" s="1813"/>
      <c r="BC52" s="1814"/>
      <c r="BD52" s="1814"/>
      <c r="BE52" s="1814"/>
      <c r="BF52" s="1814"/>
      <c r="BG52" s="1814"/>
      <c r="BH52" s="1814"/>
      <c r="BI52" s="1814"/>
      <c r="BJ52" s="1814"/>
      <c r="BK52" s="1814"/>
      <c r="BL52" s="1814"/>
      <c r="BM52" s="1814"/>
      <c r="BN52" s="1814"/>
      <c r="BO52" s="1814"/>
      <c r="BP52" s="1814"/>
      <c r="BQ52" s="1814"/>
      <c r="BR52" s="1814"/>
      <c r="BS52" s="1815"/>
      <c r="BT52" s="1819"/>
      <c r="BU52" s="1820"/>
      <c r="BV52" s="1820"/>
      <c r="BW52" s="1820"/>
      <c r="BX52" s="1820"/>
      <c r="BY52" s="1820"/>
      <c r="BZ52" s="1820"/>
      <c r="CA52" s="1820"/>
      <c r="CB52" s="1821"/>
      <c r="CC52" s="1825"/>
      <c r="CD52" s="1826"/>
      <c r="CE52" s="1826"/>
      <c r="CF52" s="1826"/>
      <c r="CG52" s="1826"/>
      <c r="CH52" s="1826"/>
      <c r="CI52" s="1826"/>
      <c r="CJ52" s="1827"/>
      <c r="CK52" s="12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616"/>
      <c r="DS52" s="1617"/>
      <c r="DT52" s="1617"/>
      <c r="DU52" s="1617"/>
      <c r="DV52" s="1617"/>
      <c r="DW52" s="1617"/>
      <c r="DX52" s="1617"/>
      <c r="DY52" s="1617"/>
      <c r="DZ52" s="1617"/>
      <c r="EA52" s="1617"/>
      <c r="EB52" s="1617"/>
      <c r="EC52" s="1617"/>
      <c r="ED52" s="1618"/>
      <c r="EE52" s="312"/>
      <c r="EF52" s="1622"/>
      <c r="EG52" s="1617"/>
      <c r="EH52" s="1617"/>
      <c r="EI52" s="1617"/>
      <c r="EJ52" s="1617"/>
      <c r="EK52" s="1617"/>
      <c r="EL52" s="1617"/>
      <c r="EM52" s="1617"/>
      <c r="EN52" s="1617"/>
      <c r="EO52" s="1617"/>
      <c r="EP52" s="1617"/>
      <c r="EQ52" s="1617"/>
      <c r="ER52" s="1618"/>
      <c r="ES52" s="308"/>
      <c r="ET52" s="1617"/>
      <c r="EU52" s="1617"/>
      <c r="EV52" s="1617"/>
      <c r="EW52" s="1617"/>
      <c r="EX52" s="1617"/>
      <c r="EY52" s="1617"/>
      <c r="EZ52" s="1617"/>
      <c r="FA52" s="1617"/>
      <c r="FB52" s="1617"/>
      <c r="FC52" s="1617"/>
      <c r="FD52" s="1617"/>
      <c r="FE52" s="1617"/>
      <c r="FF52" s="1624"/>
    </row>
    <row r="53" spans="1:162" ht="7.5" customHeight="1" x14ac:dyDescent="0.25">
      <c r="A53" s="1195" t="s">
        <v>12</v>
      </c>
      <c r="B53" s="1195"/>
      <c r="C53" s="1195"/>
      <c r="D53" s="1195"/>
      <c r="E53" s="1195"/>
      <c r="F53" s="1195"/>
      <c r="G53" s="1195"/>
      <c r="H53" s="1195"/>
      <c r="I53" s="219"/>
      <c r="J53" s="219"/>
      <c r="K53" s="179"/>
      <c r="L53" s="1616"/>
      <c r="M53" s="1617"/>
      <c r="N53" s="1617"/>
      <c r="O53" s="1617"/>
      <c r="P53" s="1617"/>
      <c r="Q53" s="1617"/>
      <c r="R53" s="1617"/>
      <c r="S53" s="1617"/>
      <c r="T53" s="1617"/>
      <c r="U53" s="1617"/>
      <c r="V53" s="1617"/>
      <c r="W53" s="1617"/>
      <c r="X53" s="1618"/>
      <c r="Y53" s="312"/>
      <c r="Z53" s="1622"/>
      <c r="AA53" s="1617"/>
      <c r="AB53" s="1617"/>
      <c r="AC53" s="1617"/>
      <c r="AD53" s="1617"/>
      <c r="AE53" s="1617"/>
      <c r="AF53" s="1617"/>
      <c r="AG53" s="1617"/>
      <c r="AH53" s="1617"/>
      <c r="AI53" s="1617"/>
      <c r="AJ53" s="1617"/>
      <c r="AK53" s="1617"/>
      <c r="AL53" s="1618"/>
      <c r="AM53" s="308"/>
      <c r="AN53" s="1617"/>
      <c r="AO53" s="1617"/>
      <c r="AP53" s="1617"/>
      <c r="AQ53" s="1617"/>
      <c r="AR53" s="1617"/>
      <c r="AS53" s="1617"/>
      <c r="AT53" s="1617"/>
      <c r="AU53" s="1617"/>
      <c r="AV53" s="1617"/>
      <c r="AW53" s="1617"/>
      <c r="AX53" s="1617"/>
      <c r="AY53" s="1617"/>
      <c r="AZ53" s="1624"/>
      <c r="BA53" s="314"/>
      <c r="BB53" s="1816"/>
      <c r="BC53" s="1817"/>
      <c r="BD53" s="1817"/>
      <c r="BE53" s="1817"/>
      <c r="BF53" s="1817"/>
      <c r="BG53" s="1817"/>
      <c r="BH53" s="1817"/>
      <c r="BI53" s="1817"/>
      <c r="BJ53" s="1817"/>
      <c r="BK53" s="1817"/>
      <c r="BL53" s="1817"/>
      <c r="BM53" s="1817"/>
      <c r="BN53" s="1817"/>
      <c r="BO53" s="1817"/>
      <c r="BP53" s="1817"/>
      <c r="BQ53" s="1817"/>
      <c r="BR53" s="1817"/>
      <c r="BS53" s="1818"/>
      <c r="BT53" s="1822"/>
      <c r="BU53" s="1823"/>
      <c r="BV53" s="1823"/>
      <c r="BW53" s="1823"/>
      <c r="BX53" s="1823"/>
      <c r="BY53" s="1823"/>
      <c r="BZ53" s="1823"/>
      <c r="CA53" s="1823"/>
      <c r="CB53" s="1824"/>
      <c r="CC53" s="1828"/>
      <c r="CD53" s="1829"/>
      <c r="CE53" s="1829"/>
      <c r="CF53" s="1829"/>
      <c r="CG53" s="1829"/>
      <c r="CH53" s="1829"/>
      <c r="CI53" s="1829"/>
      <c r="CJ53" s="1830"/>
      <c r="CK53" s="12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619"/>
      <c r="DS53" s="1620"/>
      <c r="DT53" s="1620"/>
      <c r="DU53" s="1620"/>
      <c r="DV53" s="1620"/>
      <c r="DW53" s="1620"/>
      <c r="DX53" s="1620"/>
      <c r="DY53" s="1620"/>
      <c r="DZ53" s="1620"/>
      <c r="EA53" s="1620"/>
      <c r="EB53" s="1620"/>
      <c r="EC53" s="1620"/>
      <c r="ED53" s="1621"/>
      <c r="EE53" s="312"/>
      <c r="EF53" s="1623"/>
      <c r="EG53" s="1620"/>
      <c r="EH53" s="1620"/>
      <c r="EI53" s="1620"/>
      <c r="EJ53" s="1620"/>
      <c r="EK53" s="1620"/>
      <c r="EL53" s="1620"/>
      <c r="EM53" s="1620"/>
      <c r="EN53" s="1620"/>
      <c r="EO53" s="1620"/>
      <c r="EP53" s="1620"/>
      <c r="EQ53" s="1620"/>
      <c r="ER53" s="1621"/>
      <c r="ES53" s="308"/>
      <c r="ET53" s="1620"/>
      <c r="EU53" s="1620"/>
      <c r="EV53" s="1620"/>
      <c r="EW53" s="1620"/>
      <c r="EX53" s="1620"/>
      <c r="EY53" s="1620"/>
      <c r="EZ53" s="1620"/>
      <c r="FA53" s="1620"/>
      <c r="FB53" s="1620"/>
      <c r="FC53" s="1620"/>
      <c r="FD53" s="1620"/>
      <c r="FE53" s="1620"/>
      <c r="FF53" s="1625"/>
    </row>
    <row r="54" spans="1:162" ht="7.5" customHeight="1" x14ac:dyDescent="0.25">
      <c r="A54" s="1199"/>
      <c r="B54" s="1199"/>
      <c r="C54" s="1199"/>
      <c r="D54" s="1199"/>
      <c r="E54" s="1199"/>
      <c r="F54" s="1199"/>
      <c r="G54" s="1199"/>
      <c r="H54" s="1199"/>
      <c r="I54" s="1199"/>
      <c r="J54" s="1199"/>
      <c r="L54" s="1619"/>
      <c r="M54" s="1620"/>
      <c r="N54" s="1620"/>
      <c r="O54" s="1620"/>
      <c r="P54" s="1620"/>
      <c r="Q54" s="1620"/>
      <c r="R54" s="1620"/>
      <c r="S54" s="1620"/>
      <c r="T54" s="1620"/>
      <c r="U54" s="1620"/>
      <c r="V54" s="1620"/>
      <c r="W54" s="1620"/>
      <c r="X54" s="1621"/>
      <c r="Y54" s="312"/>
      <c r="Z54" s="1623"/>
      <c r="AA54" s="1620"/>
      <c r="AB54" s="1620"/>
      <c r="AC54" s="1620"/>
      <c r="AD54" s="1620"/>
      <c r="AE54" s="1620"/>
      <c r="AF54" s="1620"/>
      <c r="AG54" s="1620"/>
      <c r="AH54" s="1620"/>
      <c r="AI54" s="1620"/>
      <c r="AJ54" s="1620"/>
      <c r="AK54" s="1620"/>
      <c r="AL54" s="1621"/>
      <c r="AM54" s="308"/>
      <c r="AN54" s="1620"/>
      <c r="AO54" s="1620"/>
      <c r="AP54" s="1620"/>
      <c r="AQ54" s="1620"/>
      <c r="AR54" s="1620"/>
      <c r="AS54" s="1620"/>
      <c r="AT54" s="1620"/>
      <c r="AU54" s="1620"/>
      <c r="AV54" s="1620"/>
      <c r="AW54" s="1620"/>
      <c r="AX54" s="1620"/>
      <c r="AY54" s="1620"/>
      <c r="AZ54" s="1625"/>
      <c r="BA54" s="314"/>
      <c r="BB54" s="1854" t="s">
        <v>86</v>
      </c>
      <c r="BC54" s="1855"/>
      <c r="BD54" s="1855"/>
      <c r="BE54" s="1855"/>
      <c r="BF54" s="1855"/>
      <c r="BG54" s="1855"/>
      <c r="CD54" s="1831" t="s">
        <v>91</v>
      </c>
      <c r="CE54" s="1831"/>
      <c r="CF54" s="1831"/>
      <c r="CG54" s="1831"/>
      <c r="CK54" s="173"/>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616"/>
      <c r="DS54" s="1617"/>
      <c r="DT54" s="1617"/>
      <c r="DU54" s="1617"/>
      <c r="DV54" s="1617"/>
      <c r="DW54" s="1617"/>
      <c r="DX54" s="1617"/>
      <c r="DY54" s="1617"/>
      <c r="DZ54" s="1617"/>
      <c r="EA54" s="1617"/>
      <c r="EB54" s="1617"/>
      <c r="EC54" s="1617"/>
      <c r="ED54" s="1618"/>
      <c r="EE54" s="312"/>
      <c r="EF54" s="1622"/>
      <c r="EG54" s="1617"/>
      <c r="EH54" s="1617"/>
      <c r="EI54" s="1617"/>
      <c r="EJ54" s="1617"/>
      <c r="EK54" s="1617"/>
      <c r="EL54" s="1617"/>
      <c r="EM54" s="1617"/>
      <c r="EN54" s="1617"/>
      <c r="EO54" s="1617"/>
      <c r="EP54" s="1617"/>
      <c r="EQ54" s="1617"/>
      <c r="ER54" s="1618"/>
      <c r="ES54" s="308"/>
      <c r="ET54" s="1617"/>
      <c r="EU54" s="1617"/>
      <c r="EV54" s="1617"/>
      <c r="EW54" s="1617"/>
      <c r="EX54" s="1617"/>
      <c r="EY54" s="1617"/>
      <c r="EZ54" s="1617"/>
      <c r="FA54" s="1617"/>
      <c r="FB54" s="1617"/>
      <c r="FC54" s="1617"/>
      <c r="FD54" s="1617"/>
      <c r="FE54" s="1617"/>
      <c r="FF54" s="1624"/>
    </row>
    <row r="55" spans="1:162" ht="7.5" customHeight="1" thickBot="1" x14ac:dyDescent="0.3">
      <c r="A55" s="1200"/>
      <c r="B55" s="1200"/>
      <c r="C55" s="1200"/>
      <c r="D55" s="1200"/>
      <c r="E55" s="1200"/>
      <c r="F55" s="1200"/>
      <c r="G55" s="1200"/>
      <c r="H55" s="1200"/>
      <c r="I55" s="1200"/>
      <c r="J55" s="1200"/>
      <c r="L55" s="1616"/>
      <c r="M55" s="1617"/>
      <c r="N55" s="1617"/>
      <c r="O55" s="1617"/>
      <c r="P55" s="1617"/>
      <c r="Q55" s="1617"/>
      <c r="R55" s="1617"/>
      <c r="S55" s="1617"/>
      <c r="T55" s="1617"/>
      <c r="U55" s="1617"/>
      <c r="V55" s="1617"/>
      <c r="W55" s="1617"/>
      <c r="X55" s="1618"/>
      <c r="Y55" s="312"/>
      <c r="Z55" s="1622"/>
      <c r="AA55" s="1617"/>
      <c r="AB55" s="1617"/>
      <c r="AC55" s="1617"/>
      <c r="AD55" s="1617"/>
      <c r="AE55" s="1617"/>
      <c r="AF55" s="1617"/>
      <c r="AG55" s="1617"/>
      <c r="AH55" s="1617"/>
      <c r="AI55" s="1617"/>
      <c r="AJ55" s="1617"/>
      <c r="AK55" s="1617"/>
      <c r="AL55" s="1618"/>
      <c r="AM55" s="308"/>
      <c r="AN55" s="1617"/>
      <c r="AO55" s="1617"/>
      <c r="AP55" s="1617"/>
      <c r="AQ55" s="1617"/>
      <c r="AR55" s="1617"/>
      <c r="AS55" s="1617"/>
      <c r="AT55" s="1617"/>
      <c r="AU55" s="1617"/>
      <c r="AV55" s="1617"/>
      <c r="AW55" s="1617"/>
      <c r="AX55" s="1617"/>
      <c r="AY55" s="1617"/>
      <c r="AZ55" s="1624"/>
      <c r="BB55" s="1832"/>
      <c r="BC55" s="1833"/>
      <c r="BD55" s="1833"/>
      <c r="BE55" s="1833"/>
      <c r="BF55" s="1833"/>
      <c r="BG55" s="1833"/>
      <c r="BH55" s="1833"/>
      <c r="BI55" s="1833"/>
      <c r="BJ55" s="1833"/>
      <c r="BK55" s="1833"/>
      <c r="BL55" s="1833"/>
      <c r="BM55" s="1833"/>
      <c r="BN55" s="1833"/>
      <c r="BO55" s="1833"/>
      <c r="BP55" s="1833"/>
      <c r="BQ55" s="1833"/>
      <c r="BR55" s="1833"/>
      <c r="BS55" s="1833"/>
      <c r="BT55" s="1833"/>
      <c r="BU55" s="1833"/>
      <c r="BV55" s="1833"/>
      <c r="BW55" s="1833"/>
      <c r="BX55" s="1833"/>
      <c r="BY55" s="1833"/>
      <c r="BZ55" s="1833"/>
      <c r="CA55" s="1833"/>
      <c r="CB55" s="1833"/>
      <c r="CC55" s="1836"/>
      <c r="CD55" s="1837"/>
      <c r="CE55" s="1837"/>
      <c r="CF55" s="1837"/>
      <c r="CG55" s="1837"/>
      <c r="CH55" s="1837"/>
      <c r="CI55" s="1837"/>
      <c r="CJ55" s="1838"/>
      <c r="CK55" s="183"/>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647"/>
      <c r="DS55" s="1648"/>
      <c r="DT55" s="1648"/>
      <c r="DU55" s="1648"/>
      <c r="DV55" s="1648"/>
      <c r="DW55" s="1648"/>
      <c r="DX55" s="1648"/>
      <c r="DY55" s="1648"/>
      <c r="DZ55" s="1648"/>
      <c r="EA55" s="1648"/>
      <c r="EB55" s="1648"/>
      <c r="EC55" s="1648"/>
      <c r="ED55" s="1649"/>
      <c r="EE55" s="313"/>
      <c r="EF55" s="1650"/>
      <c r="EG55" s="1648"/>
      <c r="EH55" s="1648"/>
      <c r="EI55" s="1648"/>
      <c r="EJ55" s="1648"/>
      <c r="EK55" s="1648"/>
      <c r="EL55" s="1648"/>
      <c r="EM55" s="1648"/>
      <c r="EN55" s="1648"/>
      <c r="EO55" s="1648"/>
      <c r="EP55" s="1648"/>
      <c r="EQ55" s="1648"/>
      <c r="ER55" s="1649"/>
      <c r="ES55" s="309"/>
      <c r="ET55" s="1648"/>
      <c r="EU55" s="1648"/>
      <c r="EV55" s="1648"/>
      <c r="EW55" s="1648"/>
      <c r="EX55" s="1648"/>
      <c r="EY55" s="1648"/>
      <c r="EZ55" s="1648"/>
      <c r="FA55" s="1648"/>
      <c r="FB55" s="1648"/>
      <c r="FC55" s="1648"/>
      <c r="FD55" s="1648"/>
      <c r="FE55" s="1648"/>
      <c r="FF55" s="1651"/>
    </row>
    <row r="56" spans="1:162" ht="7.5" customHeight="1" x14ac:dyDescent="0.25">
      <c r="A56" s="1195" t="s">
        <v>14</v>
      </c>
      <c r="B56" s="1195"/>
      <c r="C56" s="1195"/>
      <c r="D56" s="1195"/>
      <c r="E56" s="1195"/>
      <c r="F56" s="1195"/>
      <c r="G56" s="1195"/>
      <c r="H56" s="1195"/>
      <c r="I56" s="219"/>
      <c r="J56" s="219"/>
      <c r="L56" s="1619"/>
      <c r="M56" s="1620"/>
      <c r="N56" s="1620"/>
      <c r="O56" s="1620"/>
      <c r="P56" s="1620"/>
      <c r="Q56" s="1620"/>
      <c r="R56" s="1620"/>
      <c r="S56" s="1620"/>
      <c r="T56" s="1620"/>
      <c r="U56" s="1620"/>
      <c r="V56" s="1620"/>
      <c r="W56" s="1620"/>
      <c r="X56" s="1621"/>
      <c r="Y56" s="312"/>
      <c r="Z56" s="1623"/>
      <c r="AA56" s="1620"/>
      <c r="AB56" s="1620"/>
      <c r="AC56" s="1620"/>
      <c r="AD56" s="1620"/>
      <c r="AE56" s="1620"/>
      <c r="AF56" s="1620"/>
      <c r="AG56" s="1620"/>
      <c r="AH56" s="1620"/>
      <c r="AI56" s="1620"/>
      <c r="AJ56" s="1620"/>
      <c r="AK56" s="1620"/>
      <c r="AL56" s="1621"/>
      <c r="AM56" s="308"/>
      <c r="AN56" s="1620"/>
      <c r="AO56" s="1620"/>
      <c r="AP56" s="1620"/>
      <c r="AQ56" s="1620"/>
      <c r="AR56" s="1620"/>
      <c r="AS56" s="1620"/>
      <c r="AT56" s="1620"/>
      <c r="AU56" s="1620"/>
      <c r="AV56" s="1620"/>
      <c r="AW56" s="1620"/>
      <c r="AX56" s="1620"/>
      <c r="AY56" s="1620"/>
      <c r="AZ56" s="1625"/>
      <c r="BB56" s="1832"/>
      <c r="BC56" s="1833"/>
      <c r="BD56" s="1833"/>
      <c r="BE56" s="1833"/>
      <c r="BF56" s="1833"/>
      <c r="BG56" s="1833"/>
      <c r="BH56" s="1833"/>
      <c r="BI56" s="1833"/>
      <c r="BJ56" s="1833"/>
      <c r="BK56" s="1833"/>
      <c r="BL56" s="1833"/>
      <c r="BM56" s="1833"/>
      <c r="BN56" s="1833"/>
      <c r="BO56" s="1833"/>
      <c r="BP56" s="1833"/>
      <c r="BQ56" s="1833"/>
      <c r="BR56" s="1833"/>
      <c r="BS56" s="1833"/>
      <c r="BT56" s="1833"/>
      <c r="BU56" s="1833"/>
      <c r="BV56" s="1833"/>
      <c r="BW56" s="1833"/>
      <c r="BX56" s="1833"/>
      <c r="BY56" s="1833"/>
      <c r="BZ56" s="1833"/>
      <c r="CA56" s="1833"/>
      <c r="CB56" s="1833"/>
      <c r="CC56" s="1839"/>
      <c r="CD56" s="1840"/>
      <c r="CE56" s="1840"/>
      <c r="CF56" s="1840"/>
      <c r="CG56" s="1840"/>
      <c r="CH56" s="1840"/>
      <c r="CI56" s="1840"/>
      <c r="CJ56" s="1841"/>
      <c r="CK56" s="183"/>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c r="EH56" s="17"/>
      <c r="EI56" s="17"/>
      <c r="EJ56" s="17"/>
      <c r="EK56" s="17"/>
      <c r="EL56" s="17"/>
      <c r="EM56" s="17"/>
      <c r="EN56" s="17"/>
      <c r="EO56" s="17"/>
      <c r="EP56" s="17"/>
    </row>
    <row r="57" spans="1:162" ht="7.5" customHeight="1" x14ac:dyDescent="0.25">
      <c r="A57" s="1199"/>
      <c r="B57" s="1199"/>
      <c r="C57" s="1199"/>
      <c r="D57" s="1199"/>
      <c r="E57" s="1199"/>
      <c r="F57" s="1199"/>
      <c r="G57" s="1199"/>
      <c r="H57" s="1199"/>
      <c r="I57" s="1199"/>
      <c r="J57" s="1199"/>
      <c r="L57" s="1616"/>
      <c r="M57" s="1617"/>
      <c r="N57" s="1617"/>
      <c r="O57" s="1617"/>
      <c r="P57" s="1617"/>
      <c r="Q57" s="1617"/>
      <c r="R57" s="1617"/>
      <c r="S57" s="1617"/>
      <c r="T57" s="1617"/>
      <c r="U57" s="1617"/>
      <c r="V57" s="1617"/>
      <c r="W57" s="1617"/>
      <c r="X57" s="1618"/>
      <c r="Y57" s="312"/>
      <c r="Z57" s="1622"/>
      <c r="AA57" s="1617"/>
      <c r="AB57" s="1617"/>
      <c r="AC57" s="1617"/>
      <c r="AD57" s="1617"/>
      <c r="AE57" s="1617"/>
      <c r="AF57" s="1617"/>
      <c r="AG57" s="1617"/>
      <c r="AH57" s="1617"/>
      <c r="AI57" s="1617"/>
      <c r="AJ57" s="1617"/>
      <c r="AK57" s="1617"/>
      <c r="AL57" s="1618"/>
      <c r="AM57" s="308"/>
      <c r="AN57" s="1617"/>
      <c r="AO57" s="1617"/>
      <c r="AP57" s="1617"/>
      <c r="AQ57" s="1617"/>
      <c r="AR57" s="1617"/>
      <c r="AS57" s="1617"/>
      <c r="AT57" s="1617"/>
      <c r="AU57" s="1617"/>
      <c r="AV57" s="1617"/>
      <c r="AW57" s="1617"/>
      <c r="AX57" s="1617"/>
      <c r="AY57" s="1617"/>
      <c r="AZ57" s="1624"/>
      <c r="BB57" s="1832"/>
      <c r="BC57" s="1833"/>
      <c r="BD57" s="1833"/>
      <c r="BE57" s="1833"/>
      <c r="BF57" s="1833"/>
      <c r="BG57" s="1833"/>
      <c r="BH57" s="1833"/>
      <c r="BI57" s="1833"/>
      <c r="BJ57" s="1833"/>
      <c r="BK57" s="1833"/>
      <c r="BL57" s="1833"/>
      <c r="BM57" s="1833"/>
      <c r="BN57" s="1833"/>
      <c r="BO57" s="1833"/>
      <c r="BP57" s="1833"/>
      <c r="BQ57" s="1833"/>
      <c r="BR57" s="1833"/>
      <c r="BS57" s="1833"/>
      <c r="BT57" s="1833"/>
      <c r="BU57" s="1833"/>
      <c r="BV57" s="1833"/>
      <c r="BW57" s="1833"/>
      <c r="BX57" s="1833"/>
      <c r="BY57" s="1833"/>
      <c r="BZ57" s="1833"/>
      <c r="CA57" s="1833"/>
      <c r="CB57" s="1833"/>
      <c r="CC57" s="1842"/>
      <c r="CD57" s="1843"/>
      <c r="CE57" s="1843"/>
      <c r="CF57" s="1843"/>
      <c r="CG57" s="1843"/>
      <c r="CH57" s="1843"/>
      <c r="CI57" s="1843"/>
      <c r="CJ57" s="1844"/>
      <c r="CK57" s="183"/>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c r="EH57" s="17"/>
      <c r="EI57" s="17"/>
      <c r="EJ57" s="17"/>
      <c r="EK57" s="17"/>
      <c r="EL57" s="17"/>
      <c r="EM57" s="17"/>
      <c r="EN57" s="17"/>
      <c r="EO57" s="17"/>
      <c r="EP57" s="17"/>
    </row>
    <row r="58" spans="1:162" ht="7.5" customHeight="1" x14ac:dyDescent="0.25">
      <c r="A58" s="1200"/>
      <c r="B58" s="1200"/>
      <c r="C58" s="1200"/>
      <c r="D58" s="1200"/>
      <c r="E58" s="1200"/>
      <c r="F58" s="1200"/>
      <c r="G58" s="1200"/>
      <c r="H58" s="1200"/>
      <c r="I58" s="1200"/>
      <c r="J58" s="1200"/>
      <c r="L58" s="1619"/>
      <c r="M58" s="1620"/>
      <c r="N58" s="1620"/>
      <c r="O58" s="1620"/>
      <c r="P58" s="1620"/>
      <c r="Q58" s="1620"/>
      <c r="R58" s="1620"/>
      <c r="S58" s="1620"/>
      <c r="T58" s="1620"/>
      <c r="U58" s="1620"/>
      <c r="V58" s="1620"/>
      <c r="W58" s="1620"/>
      <c r="X58" s="1621"/>
      <c r="Y58" s="312"/>
      <c r="Z58" s="1623"/>
      <c r="AA58" s="1620"/>
      <c r="AB58" s="1620"/>
      <c r="AC58" s="1620"/>
      <c r="AD58" s="1620"/>
      <c r="AE58" s="1620"/>
      <c r="AF58" s="1620"/>
      <c r="AG58" s="1620"/>
      <c r="AH58" s="1620"/>
      <c r="AI58" s="1620"/>
      <c r="AJ58" s="1620"/>
      <c r="AK58" s="1620"/>
      <c r="AL58" s="1621"/>
      <c r="AM58" s="308"/>
      <c r="AN58" s="1620"/>
      <c r="AO58" s="1620"/>
      <c r="AP58" s="1620"/>
      <c r="AQ58" s="1620"/>
      <c r="AR58" s="1620"/>
      <c r="AS58" s="1620"/>
      <c r="AT58" s="1620"/>
      <c r="AU58" s="1620"/>
      <c r="AV58" s="1620"/>
      <c r="AW58" s="1620"/>
      <c r="AX58" s="1620"/>
      <c r="AY58" s="1620"/>
      <c r="AZ58" s="1625"/>
      <c r="BB58" s="1832"/>
      <c r="BC58" s="1833"/>
      <c r="BD58" s="1833"/>
      <c r="BE58" s="1833"/>
      <c r="BF58" s="1833"/>
      <c r="BG58" s="1833"/>
      <c r="BH58" s="1833"/>
      <c r="BI58" s="1833"/>
      <c r="BJ58" s="1833"/>
      <c r="BK58" s="1833"/>
      <c r="BL58" s="1833"/>
      <c r="BM58" s="1833"/>
      <c r="BN58" s="1833"/>
      <c r="BO58" s="1833"/>
      <c r="BP58" s="1833"/>
      <c r="BQ58" s="1833"/>
      <c r="BR58" s="1833"/>
      <c r="BS58" s="1833"/>
      <c r="BT58" s="1833"/>
      <c r="BU58" s="1833"/>
      <c r="BV58" s="1833"/>
      <c r="BW58" s="1833"/>
      <c r="BX58" s="1833"/>
      <c r="BY58" s="1833"/>
      <c r="BZ58" s="1833"/>
      <c r="CA58" s="1833"/>
      <c r="CB58" s="1833"/>
      <c r="CC58" s="129"/>
      <c r="CD58" s="1856" t="s">
        <v>90</v>
      </c>
      <c r="CE58" s="1856"/>
      <c r="CF58" s="1856"/>
      <c r="CG58" s="1856"/>
      <c r="CH58" s="1856"/>
      <c r="CI58" s="1856"/>
      <c r="CJ58" s="1856"/>
      <c r="CK58" s="184"/>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c r="EH58" s="17"/>
      <c r="EI58" s="17"/>
      <c r="EJ58" s="17"/>
      <c r="EK58" s="17"/>
      <c r="EL58" s="17"/>
      <c r="EM58" s="17"/>
      <c r="EN58" s="17"/>
      <c r="EO58" s="17"/>
      <c r="EP58" s="17"/>
    </row>
    <row r="59" spans="1:162" ht="7.5" customHeight="1" x14ac:dyDescent="0.25">
      <c r="A59" s="1195" t="s">
        <v>13</v>
      </c>
      <c r="B59" s="1195"/>
      <c r="C59" s="1195"/>
      <c r="D59" s="1195"/>
      <c r="E59" s="1195"/>
      <c r="F59" s="1195"/>
      <c r="G59" s="1195"/>
      <c r="H59" s="1195"/>
      <c r="I59" s="219"/>
      <c r="J59" s="219"/>
      <c r="L59" s="1616"/>
      <c r="M59" s="1617"/>
      <c r="N59" s="1617"/>
      <c r="O59" s="1617"/>
      <c r="P59" s="1617"/>
      <c r="Q59" s="1617"/>
      <c r="R59" s="1617"/>
      <c r="S59" s="1617"/>
      <c r="T59" s="1617"/>
      <c r="U59" s="1617"/>
      <c r="V59" s="1617"/>
      <c r="W59" s="1617"/>
      <c r="X59" s="1618"/>
      <c r="Y59" s="312"/>
      <c r="Z59" s="1622"/>
      <c r="AA59" s="1617"/>
      <c r="AB59" s="1617"/>
      <c r="AC59" s="1617"/>
      <c r="AD59" s="1617"/>
      <c r="AE59" s="1617"/>
      <c r="AF59" s="1617"/>
      <c r="AG59" s="1617"/>
      <c r="AH59" s="1617"/>
      <c r="AI59" s="1617"/>
      <c r="AJ59" s="1617"/>
      <c r="AK59" s="1617"/>
      <c r="AL59" s="1618"/>
      <c r="AM59" s="308"/>
      <c r="AN59" s="1617"/>
      <c r="AO59" s="1617"/>
      <c r="AP59" s="1617"/>
      <c r="AQ59" s="1617"/>
      <c r="AR59" s="1617"/>
      <c r="AS59" s="1617"/>
      <c r="AT59" s="1617"/>
      <c r="AU59" s="1617"/>
      <c r="AV59" s="1617"/>
      <c r="AW59" s="1617"/>
      <c r="AX59" s="1617"/>
      <c r="AY59" s="1617"/>
      <c r="AZ59" s="1624"/>
      <c r="BB59" s="1832"/>
      <c r="BC59" s="1833"/>
      <c r="BD59" s="1833"/>
      <c r="BE59" s="1833"/>
      <c r="BF59" s="1833"/>
      <c r="BG59" s="1833"/>
      <c r="BH59" s="1833"/>
      <c r="BI59" s="1833"/>
      <c r="BJ59" s="1833"/>
      <c r="BK59" s="1833"/>
      <c r="BL59" s="1833"/>
      <c r="BM59" s="1833"/>
      <c r="BN59" s="1833"/>
      <c r="BO59" s="1833"/>
      <c r="BP59" s="1833"/>
      <c r="BQ59" s="1833"/>
      <c r="BR59" s="1833"/>
      <c r="BS59" s="1833"/>
      <c r="BT59" s="1833"/>
      <c r="BU59" s="1833"/>
      <c r="BV59" s="1833"/>
      <c r="BW59" s="1833"/>
      <c r="BX59" s="1833"/>
      <c r="BY59" s="1833"/>
      <c r="BZ59" s="1833"/>
      <c r="CA59" s="1833"/>
      <c r="CB59" s="1833"/>
      <c r="CC59" s="1836"/>
      <c r="CD59" s="1837"/>
      <c r="CE59" s="1837"/>
      <c r="CF59" s="1837"/>
      <c r="CG59" s="1837"/>
      <c r="CH59" s="1837"/>
      <c r="CI59" s="1837"/>
      <c r="CJ59" s="1838"/>
      <c r="CK59" s="184"/>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c r="EC59" s="17"/>
      <c r="ED59" s="17"/>
      <c r="EE59" s="17"/>
      <c r="EF59" s="17"/>
      <c r="EG59" s="17"/>
      <c r="EH59" s="17"/>
      <c r="EI59" s="17"/>
      <c r="EJ59" s="17"/>
      <c r="EK59" s="17"/>
      <c r="EL59" s="17"/>
      <c r="EM59" s="17"/>
      <c r="EN59" s="17"/>
      <c r="EO59" s="17"/>
      <c r="EP59" s="17"/>
    </row>
    <row r="60" spans="1:162" ht="7.5" customHeight="1" x14ac:dyDescent="0.25">
      <c r="A60" s="39"/>
      <c r="B60" s="39"/>
      <c r="C60" s="39"/>
      <c r="D60" s="39"/>
      <c r="E60" s="39"/>
      <c r="F60" s="39"/>
      <c r="G60" s="39"/>
      <c r="H60" s="39"/>
      <c r="I60" s="39"/>
      <c r="J60" s="39"/>
      <c r="L60" s="1619"/>
      <c r="M60" s="1620"/>
      <c r="N60" s="1620"/>
      <c r="O60" s="1620"/>
      <c r="P60" s="1620"/>
      <c r="Q60" s="1620"/>
      <c r="R60" s="1620"/>
      <c r="S60" s="1620"/>
      <c r="T60" s="1620"/>
      <c r="U60" s="1620"/>
      <c r="V60" s="1620"/>
      <c r="W60" s="1620"/>
      <c r="X60" s="1621"/>
      <c r="Y60" s="312"/>
      <c r="Z60" s="1623"/>
      <c r="AA60" s="1620"/>
      <c r="AB60" s="1620"/>
      <c r="AC60" s="1620"/>
      <c r="AD60" s="1620"/>
      <c r="AE60" s="1620"/>
      <c r="AF60" s="1620"/>
      <c r="AG60" s="1620"/>
      <c r="AH60" s="1620"/>
      <c r="AI60" s="1620"/>
      <c r="AJ60" s="1620"/>
      <c r="AK60" s="1620"/>
      <c r="AL60" s="1621"/>
      <c r="AM60" s="308"/>
      <c r="AN60" s="1620"/>
      <c r="AO60" s="1620"/>
      <c r="AP60" s="1620"/>
      <c r="AQ60" s="1620"/>
      <c r="AR60" s="1620"/>
      <c r="AS60" s="1620"/>
      <c r="AT60" s="1620"/>
      <c r="AU60" s="1620"/>
      <c r="AV60" s="1620"/>
      <c r="AW60" s="1620"/>
      <c r="AX60" s="1620"/>
      <c r="AY60" s="1620"/>
      <c r="AZ60" s="1625"/>
      <c r="BB60" s="1832"/>
      <c r="BC60" s="1833"/>
      <c r="BD60" s="1833"/>
      <c r="BE60" s="1833"/>
      <c r="BF60" s="1833"/>
      <c r="BG60" s="1833"/>
      <c r="BH60" s="1833"/>
      <c r="BI60" s="1833"/>
      <c r="BJ60" s="1833"/>
      <c r="BK60" s="1833"/>
      <c r="BL60" s="1833"/>
      <c r="BM60" s="1833"/>
      <c r="BN60" s="1833"/>
      <c r="BO60" s="1833"/>
      <c r="BP60" s="1833"/>
      <c r="BQ60" s="1833"/>
      <c r="BR60" s="1833"/>
      <c r="BS60" s="1833"/>
      <c r="BT60" s="1833"/>
      <c r="BU60" s="1833"/>
      <c r="BV60" s="1833"/>
      <c r="BW60" s="1833"/>
      <c r="BX60" s="1833"/>
      <c r="BY60" s="1833"/>
      <c r="BZ60" s="1833"/>
      <c r="CA60" s="1833"/>
      <c r="CB60" s="1833"/>
      <c r="CC60" s="1839"/>
      <c r="CD60" s="1840"/>
      <c r="CE60" s="1840"/>
      <c r="CF60" s="1840"/>
      <c r="CG60" s="1840"/>
      <c r="CH60" s="1840"/>
      <c r="CI60" s="1840"/>
      <c r="CJ60" s="1841"/>
      <c r="CK60" s="181"/>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c r="ED60" s="17"/>
      <c r="EE60" s="17"/>
      <c r="EF60" s="17"/>
      <c r="EG60" s="17"/>
      <c r="EH60" s="17"/>
      <c r="EI60" s="17"/>
      <c r="EJ60" s="17"/>
      <c r="EK60" s="17"/>
      <c r="EL60" s="17"/>
      <c r="EM60" s="17"/>
      <c r="EN60" s="17"/>
      <c r="EO60" s="17"/>
      <c r="EP60" s="17"/>
    </row>
    <row r="61" spans="1:162" ht="7.5" customHeight="1" x14ac:dyDescent="0.25">
      <c r="A61" s="1168" t="s">
        <v>446</v>
      </c>
      <c r="B61" s="1169"/>
      <c r="C61" s="1169"/>
      <c r="D61" s="1169"/>
      <c r="E61" s="1169"/>
      <c r="F61" s="1169"/>
      <c r="G61" s="1169"/>
      <c r="H61" s="1169"/>
      <c r="I61" s="1169"/>
      <c r="J61" s="1170"/>
      <c r="K61" s="17"/>
      <c r="L61" s="1616"/>
      <c r="M61" s="1617"/>
      <c r="N61" s="1617"/>
      <c r="O61" s="1617"/>
      <c r="P61" s="1617"/>
      <c r="Q61" s="1617"/>
      <c r="R61" s="1617"/>
      <c r="S61" s="1617"/>
      <c r="T61" s="1617"/>
      <c r="U61" s="1617"/>
      <c r="V61" s="1617"/>
      <c r="W61" s="1617"/>
      <c r="X61" s="1618"/>
      <c r="Y61" s="312"/>
      <c r="Z61" s="1622"/>
      <c r="AA61" s="1617"/>
      <c r="AB61" s="1617"/>
      <c r="AC61" s="1617"/>
      <c r="AD61" s="1617"/>
      <c r="AE61" s="1617"/>
      <c r="AF61" s="1617"/>
      <c r="AG61" s="1617"/>
      <c r="AH61" s="1617"/>
      <c r="AI61" s="1617"/>
      <c r="AJ61" s="1617"/>
      <c r="AK61" s="1617"/>
      <c r="AL61" s="1618"/>
      <c r="AM61" s="308"/>
      <c r="AN61" s="1617"/>
      <c r="AO61" s="1617"/>
      <c r="AP61" s="1617"/>
      <c r="AQ61" s="1617"/>
      <c r="AR61" s="1617"/>
      <c r="AS61" s="1617"/>
      <c r="AT61" s="1617"/>
      <c r="AU61" s="1617"/>
      <c r="AV61" s="1617"/>
      <c r="AW61" s="1617"/>
      <c r="AX61" s="1617"/>
      <c r="AY61" s="1617"/>
      <c r="AZ61" s="1624"/>
      <c r="BB61" s="1832"/>
      <c r="BC61" s="1833"/>
      <c r="BD61" s="1833"/>
      <c r="BE61" s="1833"/>
      <c r="BF61" s="1833"/>
      <c r="BG61" s="1833"/>
      <c r="BH61" s="1833"/>
      <c r="BI61" s="1833"/>
      <c r="BJ61" s="1833"/>
      <c r="BK61" s="1833"/>
      <c r="BL61" s="1833"/>
      <c r="BM61" s="1833"/>
      <c r="BN61" s="1833"/>
      <c r="BO61" s="1833"/>
      <c r="BP61" s="1833"/>
      <c r="BQ61" s="1833"/>
      <c r="BR61" s="1833"/>
      <c r="BS61" s="1833"/>
      <c r="BT61" s="1833"/>
      <c r="BU61" s="1833"/>
      <c r="BV61" s="1833"/>
      <c r="BW61" s="1833"/>
      <c r="BX61" s="1833"/>
      <c r="BY61" s="1833"/>
      <c r="BZ61" s="1833"/>
      <c r="CA61" s="1833"/>
      <c r="CB61" s="1833"/>
      <c r="CC61" s="1842"/>
      <c r="CD61" s="1843"/>
      <c r="CE61" s="1843"/>
      <c r="CF61" s="1843"/>
      <c r="CG61" s="1843"/>
      <c r="CH61" s="1843"/>
      <c r="CI61" s="1843"/>
      <c r="CJ61" s="1844"/>
      <c r="CK61" s="181"/>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c r="EH61" s="17"/>
      <c r="EI61" s="17"/>
      <c r="EJ61" s="17"/>
      <c r="EK61" s="17"/>
      <c r="EL61" s="17"/>
      <c r="EM61" s="17"/>
      <c r="EN61" s="17"/>
      <c r="EO61" s="17"/>
      <c r="EP61" s="17"/>
    </row>
    <row r="62" spans="1:162" ht="7.5" customHeight="1" thickBot="1" x14ac:dyDescent="0.3">
      <c r="A62" s="1171"/>
      <c r="B62" s="1172"/>
      <c r="C62" s="1172"/>
      <c r="D62" s="1172"/>
      <c r="E62" s="1172"/>
      <c r="F62" s="1172"/>
      <c r="G62" s="1172"/>
      <c r="H62" s="1172"/>
      <c r="I62" s="1172"/>
      <c r="J62" s="1173"/>
      <c r="K62" s="17"/>
      <c r="L62" s="1619"/>
      <c r="M62" s="1620"/>
      <c r="N62" s="1620"/>
      <c r="O62" s="1620"/>
      <c r="P62" s="1620"/>
      <c r="Q62" s="1620"/>
      <c r="R62" s="1620"/>
      <c r="S62" s="1620"/>
      <c r="T62" s="1620"/>
      <c r="U62" s="1620"/>
      <c r="V62" s="1620"/>
      <c r="W62" s="1620"/>
      <c r="X62" s="1621"/>
      <c r="Y62" s="312"/>
      <c r="Z62" s="1623"/>
      <c r="AA62" s="1620"/>
      <c r="AB62" s="1620"/>
      <c r="AC62" s="1620"/>
      <c r="AD62" s="1620"/>
      <c r="AE62" s="1620"/>
      <c r="AF62" s="1620"/>
      <c r="AG62" s="1620"/>
      <c r="AH62" s="1620"/>
      <c r="AI62" s="1620"/>
      <c r="AJ62" s="1620"/>
      <c r="AK62" s="1620"/>
      <c r="AL62" s="1621"/>
      <c r="AM62" s="308"/>
      <c r="AN62" s="1620"/>
      <c r="AO62" s="1620"/>
      <c r="AP62" s="1620"/>
      <c r="AQ62" s="1620"/>
      <c r="AR62" s="1620"/>
      <c r="AS62" s="1620"/>
      <c r="AT62" s="1620"/>
      <c r="AU62" s="1620"/>
      <c r="AV62" s="1620"/>
      <c r="AW62" s="1620"/>
      <c r="AX62" s="1620"/>
      <c r="AY62" s="1620"/>
      <c r="AZ62" s="1625"/>
      <c r="BB62" s="1834"/>
      <c r="BC62" s="1835"/>
      <c r="BD62" s="1835"/>
      <c r="BE62" s="1835"/>
      <c r="BF62" s="1835"/>
      <c r="BG62" s="1835"/>
      <c r="BH62" s="1835"/>
      <c r="BI62" s="1835"/>
      <c r="BJ62" s="1835"/>
      <c r="BK62" s="1835"/>
      <c r="BL62" s="1835"/>
      <c r="BM62" s="1835"/>
      <c r="BN62" s="1835"/>
      <c r="BO62" s="1835"/>
      <c r="BP62" s="1835"/>
      <c r="BQ62" s="1835"/>
      <c r="BR62" s="1835"/>
      <c r="BS62" s="1835"/>
      <c r="BT62" s="1835"/>
      <c r="BU62" s="1835"/>
      <c r="BV62" s="1835"/>
      <c r="BW62" s="1835"/>
      <c r="BX62" s="1835"/>
      <c r="BY62" s="1835"/>
      <c r="BZ62" s="1835"/>
      <c r="CA62" s="1835"/>
      <c r="CB62" s="1835"/>
      <c r="CC62" s="185"/>
      <c r="CD62" s="185"/>
      <c r="CE62" s="185"/>
      <c r="CF62" s="185"/>
      <c r="CG62" s="185"/>
      <c r="CH62" s="185"/>
      <c r="CI62" s="185"/>
      <c r="CJ62" s="185"/>
      <c r="CK62" s="186"/>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c r="EH62" s="17"/>
      <c r="EI62" s="17"/>
      <c r="EJ62" s="17"/>
      <c r="EK62" s="17"/>
      <c r="EL62" s="17"/>
      <c r="EM62" s="17"/>
      <c r="EN62" s="17"/>
      <c r="EO62" s="17"/>
      <c r="EP62" s="17"/>
    </row>
    <row r="63" spans="1:162" ht="7.5" customHeight="1" thickTop="1" x14ac:dyDescent="0.25">
      <c r="A63" s="1174"/>
      <c r="B63" s="1175"/>
      <c r="C63" s="1175"/>
      <c r="D63" s="1175"/>
      <c r="E63" s="1175"/>
      <c r="F63" s="1175"/>
      <c r="G63" s="1175"/>
      <c r="H63" s="1175"/>
      <c r="I63" s="1175"/>
      <c r="J63" s="1176"/>
      <c r="L63" s="1616"/>
      <c r="M63" s="1617"/>
      <c r="N63" s="1617"/>
      <c r="O63" s="1617"/>
      <c r="P63" s="1617"/>
      <c r="Q63" s="1617"/>
      <c r="R63" s="1617"/>
      <c r="S63" s="1617"/>
      <c r="T63" s="1617"/>
      <c r="U63" s="1617"/>
      <c r="V63" s="1617"/>
      <c r="W63" s="1617"/>
      <c r="X63" s="1618"/>
      <c r="Y63" s="312"/>
      <c r="Z63" s="1622"/>
      <c r="AA63" s="1617"/>
      <c r="AB63" s="1617"/>
      <c r="AC63" s="1617"/>
      <c r="AD63" s="1617"/>
      <c r="AE63" s="1617"/>
      <c r="AF63" s="1617"/>
      <c r="AG63" s="1617"/>
      <c r="AH63" s="1617"/>
      <c r="AI63" s="1617"/>
      <c r="AJ63" s="1617"/>
      <c r="AK63" s="1617"/>
      <c r="AL63" s="1618"/>
      <c r="AM63" s="308"/>
      <c r="AN63" s="1617"/>
      <c r="AO63" s="1617"/>
      <c r="AP63" s="1617"/>
      <c r="AQ63" s="1617"/>
      <c r="AR63" s="1617"/>
      <c r="AS63" s="1617"/>
      <c r="AT63" s="1617"/>
      <c r="AU63" s="1617"/>
      <c r="AV63" s="1617"/>
      <c r="AW63" s="1617"/>
      <c r="AX63" s="1617"/>
      <c r="AY63" s="1617"/>
      <c r="AZ63" s="1624"/>
      <c r="BB63" s="1872" t="s">
        <v>85</v>
      </c>
      <c r="BC63" s="1873"/>
      <c r="BD63" s="1873"/>
      <c r="BE63" s="40"/>
      <c r="BF63" s="40"/>
      <c r="BG63" s="40"/>
      <c r="BH63" s="40"/>
      <c r="BI63" s="40"/>
      <c r="BJ63" s="40"/>
      <c r="BK63" s="40"/>
      <c r="BL63" s="40"/>
      <c r="BM63" s="40"/>
      <c r="BN63" s="40"/>
      <c r="BO63" s="170"/>
      <c r="BP63" s="170"/>
      <c r="BQ63" s="170"/>
      <c r="BR63" s="170"/>
      <c r="BS63" s="171"/>
      <c r="BT63" s="121" t="s">
        <v>89</v>
      </c>
      <c r="BU63" s="121"/>
      <c r="BV63" s="121"/>
      <c r="BW63" s="121"/>
      <c r="BX63" s="122"/>
      <c r="BY63" s="122"/>
      <c r="BZ63" s="122"/>
      <c r="CA63" s="122"/>
      <c r="CB63" s="123"/>
      <c r="CC63" s="182" t="s">
        <v>88</v>
      </c>
      <c r="CD63" s="124"/>
      <c r="CE63" s="124"/>
      <c r="CF63" s="124"/>
      <c r="CG63" s="124"/>
      <c r="CH63" s="124"/>
      <c r="CI63" s="124"/>
      <c r="CJ63" s="125"/>
      <c r="CK63" s="126"/>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c r="EH63" s="17"/>
      <c r="EI63" s="17"/>
      <c r="EJ63" s="17"/>
      <c r="EK63" s="17"/>
      <c r="EL63" s="17"/>
      <c r="EM63" s="17"/>
      <c r="EN63" s="17"/>
      <c r="EO63" s="17"/>
      <c r="EP63" s="17"/>
    </row>
    <row r="64" spans="1:162" ht="7.5" customHeight="1" thickBot="1" x14ac:dyDescent="0.3">
      <c r="A64" s="1177"/>
      <c r="B64" s="1052"/>
      <c r="C64" s="1052"/>
      <c r="D64" s="1052"/>
      <c r="E64" s="1052"/>
      <c r="F64" s="1052"/>
      <c r="G64" s="1052"/>
      <c r="H64" s="1052"/>
      <c r="I64" s="1052"/>
      <c r="J64" s="1178"/>
      <c r="L64" s="1619"/>
      <c r="M64" s="1620"/>
      <c r="N64" s="1620"/>
      <c r="O64" s="1620"/>
      <c r="P64" s="1620"/>
      <c r="Q64" s="1620"/>
      <c r="R64" s="1620"/>
      <c r="S64" s="1620"/>
      <c r="T64" s="1620"/>
      <c r="U64" s="1620"/>
      <c r="V64" s="1620"/>
      <c r="W64" s="1620"/>
      <c r="X64" s="1621"/>
      <c r="Y64" s="312"/>
      <c r="Z64" s="1623"/>
      <c r="AA64" s="1620"/>
      <c r="AB64" s="1620"/>
      <c r="AC64" s="1620"/>
      <c r="AD64" s="1620"/>
      <c r="AE64" s="1620"/>
      <c r="AF64" s="1620"/>
      <c r="AG64" s="1620"/>
      <c r="AH64" s="1620"/>
      <c r="AI64" s="1620"/>
      <c r="AJ64" s="1620"/>
      <c r="AK64" s="1620"/>
      <c r="AL64" s="1621"/>
      <c r="AM64" s="308"/>
      <c r="AN64" s="1620"/>
      <c r="AO64" s="1620"/>
      <c r="AP64" s="1620"/>
      <c r="AQ64" s="1620"/>
      <c r="AR64" s="1620"/>
      <c r="AS64" s="1620"/>
      <c r="AT64" s="1620"/>
      <c r="AU64" s="1620"/>
      <c r="AV64" s="1620"/>
      <c r="AW64" s="1620"/>
      <c r="AX64" s="1620"/>
      <c r="AY64" s="1620"/>
      <c r="AZ64" s="1625"/>
      <c r="BB64" s="1874"/>
      <c r="BC64" s="1814"/>
      <c r="BD64" s="1814"/>
      <c r="BE64" s="1814"/>
      <c r="BF64" s="1814"/>
      <c r="BG64" s="1814"/>
      <c r="BH64" s="1814"/>
      <c r="BI64" s="1814"/>
      <c r="BJ64" s="1814"/>
      <c r="BK64" s="1814"/>
      <c r="BL64" s="1814"/>
      <c r="BM64" s="1814"/>
      <c r="BN64" s="1814"/>
      <c r="BO64" s="1814"/>
      <c r="BP64" s="1814"/>
      <c r="BQ64" s="1814"/>
      <c r="BR64" s="1814"/>
      <c r="BS64" s="1875"/>
      <c r="BT64" s="1877"/>
      <c r="BU64" s="1820"/>
      <c r="BV64" s="1820"/>
      <c r="BW64" s="1820"/>
      <c r="BX64" s="1820"/>
      <c r="BY64" s="1820"/>
      <c r="BZ64" s="1820"/>
      <c r="CA64" s="1820"/>
      <c r="CB64" s="1878"/>
      <c r="CC64" s="1825"/>
      <c r="CD64" s="1826"/>
      <c r="CE64" s="1826"/>
      <c r="CF64" s="1826"/>
      <c r="CG64" s="1826"/>
      <c r="CH64" s="1826"/>
      <c r="CI64" s="1826"/>
      <c r="CJ64" s="1827"/>
      <c r="CK64" s="127"/>
      <c r="CN64" s="35"/>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c r="ED64" s="17"/>
      <c r="EE64" s="17"/>
      <c r="EF64" s="17"/>
      <c r="EG64" s="17"/>
      <c r="EH64" s="17"/>
      <c r="EI64" s="17"/>
      <c r="EJ64" s="17"/>
      <c r="EK64" s="17"/>
      <c r="EL64" s="17"/>
      <c r="EM64" s="17"/>
      <c r="EN64" s="17"/>
      <c r="EO64" s="17"/>
      <c r="EP64" s="17"/>
    </row>
    <row r="65" spans="1:146" ht="7.5" customHeight="1" x14ac:dyDescent="0.25">
      <c r="A65" s="1179"/>
      <c r="B65" s="1180"/>
      <c r="C65" s="1180"/>
      <c r="D65" s="1180"/>
      <c r="E65" s="1180"/>
      <c r="F65" s="1180"/>
      <c r="G65" s="1180"/>
      <c r="H65" s="1180"/>
      <c r="I65" s="1180"/>
      <c r="J65" s="1181"/>
      <c r="L65" s="1616"/>
      <c r="M65" s="1617"/>
      <c r="N65" s="1617"/>
      <c r="O65" s="1617"/>
      <c r="P65" s="1617"/>
      <c r="Q65" s="1617"/>
      <c r="R65" s="1617"/>
      <c r="S65" s="1617"/>
      <c r="T65" s="1617"/>
      <c r="U65" s="1617"/>
      <c r="V65" s="1617"/>
      <c r="W65" s="1617"/>
      <c r="X65" s="1618"/>
      <c r="Y65" s="312"/>
      <c r="Z65" s="1622"/>
      <c r="AA65" s="1617"/>
      <c r="AB65" s="1617"/>
      <c r="AC65" s="1617"/>
      <c r="AD65" s="1617"/>
      <c r="AE65" s="1617"/>
      <c r="AF65" s="1617"/>
      <c r="AG65" s="1617"/>
      <c r="AH65" s="1617"/>
      <c r="AI65" s="1617"/>
      <c r="AJ65" s="1617"/>
      <c r="AK65" s="1617"/>
      <c r="AL65" s="1618"/>
      <c r="AM65" s="308"/>
      <c r="AN65" s="1617"/>
      <c r="AO65" s="1617"/>
      <c r="AP65" s="1617"/>
      <c r="AQ65" s="1617"/>
      <c r="AR65" s="1617"/>
      <c r="AS65" s="1617"/>
      <c r="AT65" s="1617"/>
      <c r="AU65" s="1617"/>
      <c r="AV65" s="1617"/>
      <c r="AW65" s="1617"/>
      <c r="AX65" s="1617"/>
      <c r="AY65" s="1617"/>
      <c r="AZ65" s="1624"/>
      <c r="BB65" s="1816"/>
      <c r="BC65" s="1876"/>
      <c r="BD65" s="1876"/>
      <c r="BE65" s="1876"/>
      <c r="BF65" s="1876"/>
      <c r="BG65" s="1876"/>
      <c r="BH65" s="1876"/>
      <c r="BI65" s="1876"/>
      <c r="BJ65" s="1876"/>
      <c r="BK65" s="1876"/>
      <c r="BL65" s="1876"/>
      <c r="BM65" s="1876"/>
      <c r="BN65" s="1876"/>
      <c r="BO65" s="1876"/>
      <c r="BP65" s="1876"/>
      <c r="BQ65" s="1876"/>
      <c r="BR65" s="1876"/>
      <c r="BS65" s="1818"/>
      <c r="BT65" s="1822"/>
      <c r="BU65" s="1879"/>
      <c r="BV65" s="1879"/>
      <c r="BW65" s="1879"/>
      <c r="BX65" s="1879"/>
      <c r="BY65" s="1879"/>
      <c r="BZ65" s="1879"/>
      <c r="CA65" s="1879"/>
      <c r="CB65" s="1824"/>
      <c r="CC65" s="1828"/>
      <c r="CD65" s="1829"/>
      <c r="CE65" s="1829"/>
      <c r="CF65" s="1829"/>
      <c r="CG65" s="1829"/>
      <c r="CH65" s="1829"/>
      <c r="CI65" s="1829"/>
      <c r="CJ65" s="1830"/>
      <c r="CK65" s="127"/>
      <c r="CP65" s="17"/>
      <c r="CQ65" s="17"/>
      <c r="CR65" s="17"/>
      <c r="CS65" s="1654" t="s">
        <v>31</v>
      </c>
      <c r="CT65" s="1654"/>
      <c r="CU65" s="1654"/>
      <c r="CV65" s="1654"/>
      <c r="CW65" s="1654"/>
      <c r="CX65" s="1654"/>
      <c r="CY65" s="1654"/>
      <c r="CZ65" s="1654"/>
      <c r="DA65" s="1654"/>
      <c r="DB65" s="1654"/>
      <c r="DC65" s="1654"/>
      <c r="DD65" s="1654"/>
      <c r="DE65" s="1654"/>
      <c r="DF65" s="1654"/>
      <c r="EH65" s="17"/>
      <c r="EI65" s="17"/>
      <c r="EJ65" s="17"/>
      <c r="EK65" s="17"/>
      <c r="EL65" s="17"/>
      <c r="EM65" s="17"/>
      <c r="EN65" s="17"/>
      <c r="EO65" s="17"/>
      <c r="EP65" s="17"/>
    </row>
    <row r="66" spans="1:146" ht="7.5" customHeight="1" x14ac:dyDescent="0.25">
      <c r="A66" s="39"/>
      <c r="B66" s="39"/>
      <c r="C66" s="39"/>
      <c r="D66" s="39"/>
      <c r="E66" s="39"/>
      <c r="F66" s="39"/>
      <c r="G66" s="39"/>
      <c r="H66" s="39"/>
      <c r="I66" s="39"/>
      <c r="J66" s="39"/>
      <c r="L66" s="1619"/>
      <c r="M66" s="1620"/>
      <c r="N66" s="1620"/>
      <c r="O66" s="1620"/>
      <c r="P66" s="1620"/>
      <c r="Q66" s="1620"/>
      <c r="R66" s="1620"/>
      <c r="S66" s="1620"/>
      <c r="T66" s="1620"/>
      <c r="U66" s="1620"/>
      <c r="V66" s="1620"/>
      <c r="W66" s="1620"/>
      <c r="X66" s="1621"/>
      <c r="Y66" s="312"/>
      <c r="Z66" s="1623"/>
      <c r="AA66" s="1620"/>
      <c r="AB66" s="1620"/>
      <c r="AC66" s="1620"/>
      <c r="AD66" s="1620"/>
      <c r="AE66" s="1620"/>
      <c r="AF66" s="1620"/>
      <c r="AG66" s="1620"/>
      <c r="AH66" s="1620"/>
      <c r="AI66" s="1620"/>
      <c r="AJ66" s="1620"/>
      <c r="AK66" s="1620"/>
      <c r="AL66" s="1621"/>
      <c r="AM66" s="308"/>
      <c r="AN66" s="1620"/>
      <c r="AO66" s="1620"/>
      <c r="AP66" s="1620"/>
      <c r="AQ66" s="1620"/>
      <c r="AR66" s="1620"/>
      <c r="AS66" s="1620"/>
      <c r="AT66" s="1620"/>
      <c r="AU66" s="1620"/>
      <c r="AV66" s="1620"/>
      <c r="AW66" s="1620"/>
      <c r="AX66" s="1620"/>
      <c r="AY66" s="1620"/>
      <c r="AZ66" s="1625"/>
      <c r="BB66" s="1868" t="s">
        <v>86</v>
      </c>
      <c r="BC66" s="1869"/>
      <c r="BD66" s="1869"/>
      <c r="BE66" s="1869"/>
      <c r="BF66" s="1869"/>
      <c r="BG66" s="1869"/>
      <c r="CD66" s="1867" t="s">
        <v>91</v>
      </c>
      <c r="CE66" s="1867"/>
      <c r="CF66" s="1867"/>
      <c r="CG66" s="1867"/>
      <c r="CK66" s="173"/>
      <c r="CP66" s="17"/>
      <c r="CQ66" s="17"/>
      <c r="CR66" s="17"/>
      <c r="CS66" s="1655"/>
      <c r="CT66" s="1655"/>
      <c r="CU66" s="1655"/>
      <c r="CV66" s="1655"/>
      <c r="CW66" s="1655"/>
      <c r="CX66" s="1655"/>
      <c r="CY66" s="1655"/>
      <c r="CZ66" s="1655"/>
      <c r="DA66" s="1655"/>
      <c r="DB66" s="1655"/>
      <c r="DC66" s="1655"/>
      <c r="DD66" s="1655"/>
      <c r="DE66" s="1655"/>
      <c r="DF66" s="1655"/>
      <c r="EH66" s="17"/>
      <c r="EI66" s="17"/>
      <c r="EJ66" s="17"/>
      <c r="EK66" s="17"/>
      <c r="EL66" s="17"/>
      <c r="EM66" s="17"/>
      <c r="EN66" s="17"/>
      <c r="EO66" s="17"/>
      <c r="EP66" s="17"/>
    </row>
    <row r="67" spans="1:146" ht="7.5" customHeight="1" x14ac:dyDescent="0.25">
      <c r="A67" s="1188" t="s">
        <v>443</v>
      </c>
      <c r="B67" s="1189"/>
      <c r="C67" s="1189"/>
      <c r="D67" s="1189"/>
      <c r="E67" s="1189"/>
      <c r="F67" s="1189"/>
      <c r="G67" s="1189"/>
      <c r="H67" s="1189"/>
      <c r="I67" s="1189"/>
      <c r="J67" s="1190"/>
      <c r="L67" s="1616"/>
      <c r="M67" s="1617"/>
      <c r="N67" s="1617"/>
      <c r="O67" s="1617"/>
      <c r="P67" s="1617"/>
      <c r="Q67" s="1617"/>
      <c r="R67" s="1617"/>
      <c r="S67" s="1617"/>
      <c r="T67" s="1617"/>
      <c r="U67" s="1617"/>
      <c r="V67" s="1617"/>
      <c r="W67" s="1617"/>
      <c r="X67" s="1618"/>
      <c r="Y67" s="312"/>
      <c r="Z67" s="1622"/>
      <c r="AA67" s="1617"/>
      <c r="AB67" s="1617"/>
      <c r="AC67" s="1617"/>
      <c r="AD67" s="1617"/>
      <c r="AE67" s="1617"/>
      <c r="AF67" s="1617"/>
      <c r="AG67" s="1617"/>
      <c r="AH67" s="1617"/>
      <c r="AI67" s="1617"/>
      <c r="AJ67" s="1617"/>
      <c r="AK67" s="1617"/>
      <c r="AL67" s="1618"/>
      <c r="AM67" s="308"/>
      <c r="AN67" s="1617"/>
      <c r="AO67" s="1617"/>
      <c r="AP67" s="1617"/>
      <c r="AQ67" s="1617"/>
      <c r="AR67" s="1617"/>
      <c r="AS67" s="1617"/>
      <c r="AT67" s="1617"/>
      <c r="AU67" s="1617"/>
      <c r="AV67" s="1617"/>
      <c r="AW67" s="1617"/>
      <c r="AX67" s="1617"/>
      <c r="AY67" s="1617"/>
      <c r="AZ67" s="1624"/>
      <c r="BB67" s="1832"/>
      <c r="BC67" s="1833"/>
      <c r="BD67" s="1833"/>
      <c r="BE67" s="1833"/>
      <c r="BF67" s="1833"/>
      <c r="BG67" s="1833"/>
      <c r="BH67" s="1833"/>
      <c r="BI67" s="1833"/>
      <c r="BJ67" s="1833"/>
      <c r="BK67" s="1833"/>
      <c r="BL67" s="1833"/>
      <c r="BM67" s="1833"/>
      <c r="BN67" s="1833"/>
      <c r="BO67" s="1833"/>
      <c r="BP67" s="1833"/>
      <c r="BQ67" s="1833"/>
      <c r="BR67" s="1833"/>
      <c r="BS67" s="1833"/>
      <c r="BT67" s="1833"/>
      <c r="BU67" s="1833"/>
      <c r="BV67" s="1833"/>
      <c r="BW67" s="1833"/>
      <c r="BX67" s="1833"/>
      <c r="BY67" s="1833"/>
      <c r="BZ67" s="1833"/>
      <c r="CA67" s="1833"/>
      <c r="CB67" s="1833"/>
      <c r="CC67" s="1836"/>
      <c r="CD67" s="1837"/>
      <c r="CE67" s="1837"/>
      <c r="CF67" s="1837"/>
      <c r="CG67" s="1837"/>
      <c r="CH67" s="1837"/>
      <c r="CI67" s="1837"/>
      <c r="CJ67" s="1838"/>
      <c r="CK67" s="174"/>
      <c r="CP67" s="17"/>
      <c r="CQ67" s="17"/>
      <c r="CR67" s="17"/>
      <c r="CS67" s="1858"/>
      <c r="CT67" s="1859"/>
      <c r="CU67" s="1859"/>
      <c r="CV67" s="1859"/>
      <c r="CW67" s="1859"/>
      <c r="CX67" s="1859"/>
      <c r="CY67" s="1859"/>
      <c r="CZ67" s="1859"/>
      <c r="DA67" s="1859"/>
      <c r="DB67" s="1859"/>
      <c r="DC67" s="1859"/>
      <c r="DD67" s="1859"/>
      <c r="DE67" s="1859"/>
      <c r="DF67" s="1859"/>
      <c r="DG67" s="1859"/>
      <c r="DH67" s="1859"/>
      <c r="DI67" s="1859"/>
      <c r="DJ67" s="1859"/>
      <c r="DK67" s="1859"/>
      <c r="DL67" s="1859"/>
      <c r="DM67" s="1859"/>
      <c r="DN67" s="1859"/>
      <c r="DO67" s="1859"/>
      <c r="DP67" s="1859"/>
      <c r="DQ67" s="1859"/>
      <c r="DR67" s="1859"/>
      <c r="DS67" s="1859"/>
      <c r="DT67" s="1859"/>
      <c r="DU67" s="1859"/>
      <c r="DV67" s="1859"/>
      <c r="DW67" s="1859"/>
      <c r="DX67" s="1859"/>
      <c r="DY67" s="1859"/>
      <c r="DZ67" s="1859"/>
      <c r="EA67" s="1859"/>
      <c r="EB67" s="1859"/>
      <c r="EC67" s="1859"/>
      <c r="ED67" s="1859"/>
      <c r="EE67" s="1859"/>
      <c r="EF67" s="1859"/>
      <c r="EG67" s="1860"/>
      <c r="EH67" s="17"/>
      <c r="EI67" s="17"/>
      <c r="EJ67" s="17"/>
      <c r="EK67" s="17"/>
      <c r="EL67" s="17"/>
      <c r="EM67" s="17"/>
      <c r="EN67" s="17"/>
      <c r="EO67" s="17"/>
      <c r="EP67" s="17"/>
    </row>
    <row r="68" spans="1:146" ht="7.5" customHeight="1" x14ac:dyDescent="0.25">
      <c r="A68" s="1191"/>
      <c r="B68" s="1192"/>
      <c r="C68" s="1192"/>
      <c r="D68" s="1192"/>
      <c r="E68" s="1192"/>
      <c r="F68" s="1192"/>
      <c r="G68" s="1192"/>
      <c r="H68" s="1192"/>
      <c r="I68" s="1192"/>
      <c r="J68" s="1193"/>
      <c r="L68" s="1619"/>
      <c r="M68" s="1620"/>
      <c r="N68" s="1620"/>
      <c r="O68" s="1620"/>
      <c r="P68" s="1620"/>
      <c r="Q68" s="1620"/>
      <c r="R68" s="1620"/>
      <c r="S68" s="1620"/>
      <c r="T68" s="1620"/>
      <c r="U68" s="1620"/>
      <c r="V68" s="1620"/>
      <c r="W68" s="1620"/>
      <c r="X68" s="1621"/>
      <c r="Y68" s="312"/>
      <c r="Z68" s="1623"/>
      <c r="AA68" s="1620"/>
      <c r="AB68" s="1620"/>
      <c r="AC68" s="1620"/>
      <c r="AD68" s="1620"/>
      <c r="AE68" s="1620"/>
      <c r="AF68" s="1620"/>
      <c r="AG68" s="1620"/>
      <c r="AH68" s="1620"/>
      <c r="AI68" s="1620"/>
      <c r="AJ68" s="1620"/>
      <c r="AK68" s="1620"/>
      <c r="AL68" s="1621"/>
      <c r="AM68" s="308"/>
      <c r="AN68" s="1620"/>
      <c r="AO68" s="1620"/>
      <c r="AP68" s="1620"/>
      <c r="AQ68" s="1620"/>
      <c r="AR68" s="1620"/>
      <c r="AS68" s="1620"/>
      <c r="AT68" s="1620"/>
      <c r="AU68" s="1620"/>
      <c r="AV68" s="1620"/>
      <c r="AW68" s="1620"/>
      <c r="AX68" s="1620"/>
      <c r="AY68" s="1620"/>
      <c r="AZ68" s="1625"/>
      <c r="BB68" s="1832"/>
      <c r="BC68" s="1833"/>
      <c r="BD68" s="1833"/>
      <c r="BE68" s="1833"/>
      <c r="BF68" s="1833"/>
      <c r="BG68" s="1833"/>
      <c r="BH68" s="1833"/>
      <c r="BI68" s="1833"/>
      <c r="BJ68" s="1833"/>
      <c r="BK68" s="1833"/>
      <c r="BL68" s="1833"/>
      <c r="BM68" s="1833"/>
      <c r="BN68" s="1833"/>
      <c r="BO68" s="1833"/>
      <c r="BP68" s="1833"/>
      <c r="BQ68" s="1833"/>
      <c r="BR68" s="1833"/>
      <c r="BS68" s="1833"/>
      <c r="BT68" s="1833"/>
      <c r="BU68" s="1833"/>
      <c r="BV68" s="1833"/>
      <c r="BW68" s="1833"/>
      <c r="BX68" s="1833"/>
      <c r="BY68" s="1833"/>
      <c r="BZ68" s="1833"/>
      <c r="CA68" s="1833"/>
      <c r="CB68" s="1833"/>
      <c r="CC68" s="1839"/>
      <c r="CD68" s="1840"/>
      <c r="CE68" s="1840"/>
      <c r="CF68" s="1840"/>
      <c r="CG68" s="1840"/>
      <c r="CH68" s="1840"/>
      <c r="CI68" s="1840"/>
      <c r="CJ68" s="1841"/>
      <c r="CK68" s="174"/>
      <c r="CP68" s="17"/>
      <c r="CQ68" s="17"/>
      <c r="CR68" s="17"/>
      <c r="CS68" s="1861"/>
      <c r="CT68" s="1862"/>
      <c r="CU68" s="1862"/>
      <c r="CV68" s="1862"/>
      <c r="CW68" s="1862"/>
      <c r="CX68" s="1862"/>
      <c r="CY68" s="1862"/>
      <c r="CZ68" s="1862"/>
      <c r="DA68" s="1862"/>
      <c r="DB68" s="1862"/>
      <c r="DC68" s="1862"/>
      <c r="DD68" s="1862"/>
      <c r="DE68" s="1862"/>
      <c r="DF68" s="1862"/>
      <c r="DG68" s="1862"/>
      <c r="DH68" s="1862"/>
      <c r="DI68" s="1862"/>
      <c r="DJ68" s="1862"/>
      <c r="DK68" s="1862"/>
      <c r="DL68" s="1862"/>
      <c r="DM68" s="1862"/>
      <c r="DN68" s="1862"/>
      <c r="DO68" s="1862"/>
      <c r="DP68" s="1862"/>
      <c r="DQ68" s="1862"/>
      <c r="DR68" s="1862"/>
      <c r="DS68" s="1862"/>
      <c r="DT68" s="1862"/>
      <c r="DU68" s="1862"/>
      <c r="DV68" s="1862"/>
      <c r="DW68" s="1862"/>
      <c r="DX68" s="1862"/>
      <c r="DY68" s="1862"/>
      <c r="DZ68" s="1862"/>
      <c r="EA68" s="1862"/>
      <c r="EB68" s="1862"/>
      <c r="EC68" s="1862"/>
      <c r="ED68" s="1862"/>
      <c r="EE68" s="1862"/>
      <c r="EF68" s="1862"/>
      <c r="EG68" s="1863"/>
      <c r="EH68" s="17"/>
      <c r="EI68" s="17"/>
      <c r="EJ68" s="17"/>
      <c r="EK68" s="17"/>
      <c r="EL68" s="17"/>
      <c r="EM68" s="17"/>
      <c r="EN68" s="17"/>
      <c r="EO68" s="17"/>
      <c r="EP68" s="17"/>
    </row>
    <row r="69" spans="1:146" ht="7.5" customHeight="1" x14ac:dyDescent="0.25">
      <c r="A69" s="1182"/>
      <c r="B69" s="1183"/>
      <c r="C69" s="1183"/>
      <c r="D69" s="1183"/>
      <c r="E69" s="1183"/>
      <c r="F69" s="1183"/>
      <c r="G69" s="1183"/>
      <c r="H69" s="1183"/>
      <c r="I69" s="1183"/>
      <c r="J69" s="1184"/>
      <c r="L69" s="1616"/>
      <c r="M69" s="1617"/>
      <c r="N69" s="1617"/>
      <c r="O69" s="1617"/>
      <c r="P69" s="1617"/>
      <c r="Q69" s="1617"/>
      <c r="R69" s="1617"/>
      <c r="S69" s="1617"/>
      <c r="T69" s="1617"/>
      <c r="U69" s="1617"/>
      <c r="V69" s="1617"/>
      <c r="W69" s="1617"/>
      <c r="X69" s="1618"/>
      <c r="Y69" s="312"/>
      <c r="Z69" s="1622"/>
      <c r="AA69" s="1617"/>
      <c r="AB69" s="1617"/>
      <c r="AC69" s="1617"/>
      <c r="AD69" s="1617"/>
      <c r="AE69" s="1617"/>
      <c r="AF69" s="1617"/>
      <c r="AG69" s="1617"/>
      <c r="AH69" s="1617"/>
      <c r="AI69" s="1617"/>
      <c r="AJ69" s="1617"/>
      <c r="AK69" s="1617"/>
      <c r="AL69" s="1618"/>
      <c r="AM69" s="308"/>
      <c r="AN69" s="1617"/>
      <c r="AO69" s="1617"/>
      <c r="AP69" s="1617"/>
      <c r="AQ69" s="1617"/>
      <c r="AR69" s="1617"/>
      <c r="AS69" s="1617"/>
      <c r="AT69" s="1617"/>
      <c r="AU69" s="1617"/>
      <c r="AV69" s="1617"/>
      <c r="AW69" s="1617"/>
      <c r="AX69" s="1617"/>
      <c r="AY69" s="1617"/>
      <c r="AZ69" s="1624"/>
      <c r="BB69" s="1832"/>
      <c r="BC69" s="1833"/>
      <c r="BD69" s="1833"/>
      <c r="BE69" s="1833"/>
      <c r="BF69" s="1833"/>
      <c r="BG69" s="1833"/>
      <c r="BH69" s="1833"/>
      <c r="BI69" s="1833"/>
      <c r="BJ69" s="1833"/>
      <c r="BK69" s="1833"/>
      <c r="BL69" s="1833"/>
      <c r="BM69" s="1833"/>
      <c r="BN69" s="1833"/>
      <c r="BO69" s="1833"/>
      <c r="BP69" s="1833"/>
      <c r="BQ69" s="1833"/>
      <c r="BR69" s="1833"/>
      <c r="BS69" s="1833"/>
      <c r="BT69" s="1833"/>
      <c r="BU69" s="1833"/>
      <c r="BV69" s="1833"/>
      <c r="BW69" s="1833"/>
      <c r="BX69" s="1833"/>
      <c r="BY69" s="1833"/>
      <c r="BZ69" s="1833"/>
      <c r="CA69" s="1833"/>
      <c r="CB69" s="1833"/>
      <c r="CC69" s="1842"/>
      <c r="CD69" s="1843"/>
      <c r="CE69" s="1843"/>
      <c r="CF69" s="1843"/>
      <c r="CG69" s="1843"/>
      <c r="CH69" s="1843"/>
      <c r="CI69" s="1843"/>
      <c r="CJ69" s="1844"/>
      <c r="CK69" s="174"/>
      <c r="CP69" s="17"/>
      <c r="CQ69" s="17"/>
      <c r="CR69" s="17"/>
      <c r="CS69" s="1861"/>
      <c r="CT69" s="1862"/>
      <c r="CU69" s="1862"/>
      <c r="CV69" s="1862"/>
      <c r="CW69" s="1862"/>
      <c r="CX69" s="1862"/>
      <c r="CY69" s="1862"/>
      <c r="CZ69" s="1862"/>
      <c r="DA69" s="1862"/>
      <c r="DB69" s="1862"/>
      <c r="DC69" s="1862"/>
      <c r="DD69" s="1862"/>
      <c r="DE69" s="1862"/>
      <c r="DF69" s="1862"/>
      <c r="DG69" s="1862"/>
      <c r="DH69" s="1862"/>
      <c r="DI69" s="1862"/>
      <c r="DJ69" s="1862"/>
      <c r="DK69" s="1862"/>
      <c r="DL69" s="1862"/>
      <c r="DM69" s="1862"/>
      <c r="DN69" s="1862"/>
      <c r="DO69" s="1862"/>
      <c r="DP69" s="1862"/>
      <c r="DQ69" s="1862"/>
      <c r="DR69" s="1862"/>
      <c r="DS69" s="1862"/>
      <c r="DT69" s="1862"/>
      <c r="DU69" s="1862"/>
      <c r="DV69" s="1862"/>
      <c r="DW69" s="1862"/>
      <c r="DX69" s="1862"/>
      <c r="DY69" s="1862"/>
      <c r="DZ69" s="1862"/>
      <c r="EA69" s="1862"/>
      <c r="EB69" s="1862"/>
      <c r="EC69" s="1862"/>
      <c r="ED69" s="1862"/>
      <c r="EE69" s="1862"/>
      <c r="EF69" s="1862"/>
      <c r="EG69" s="1863"/>
      <c r="EH69" s="17"/>
      <c r="EI69" s="17"/>
      <c r="EJ69" s="17"/>
      <c r="EK69" s="17"/>
      <c r="EL69" s="17"/>
      <c r="EM69" s="17"/>
      <c r="EN69" s="17"/>
      <c r="EO69" s="17"/>
      <c r="EP69" s="17"/>
    </row>
    <row r="70" spans="1:146" ht="7.5" customHeight="1" x14ac:dyDescent="0.25">
      <c r="A70" s="1185"/>
      <c r="B70" s="1186"/>
      <c r="C70" s="1186"/>
      <c r="D70" s="1186"/>
      <c r="E70" s="1186"/>
      <c r="F70" s="1186"/>
      <c r="G70" s="1186"/>
      <c r="H70" s="1186"/>
      <c r="I70" s="1186"/>
      <c r="J70" s="1187"/>
      <c r="L70" s="1619"/>
      <c r="M70" s="1620"/>
      <c r="N70" s="1620"/>
      <c r="O70" s="1620"/>
      <c r="P70" s="1620"/>
      <c r="Q70" s="1620"/>
      <c r="R70" s="1620"/>
      <c r="S70" s="1620"/>
      <c r="T70" s="1620"/>
      <c r="U70" s="1620"/>
      <c r="V70" s="1620"/>
      <c r="W70" s="1620"/>
      <c r="X70" s="1621"/>
      <c r="Y70" s="312"/>
      <c r="Z70" s="1623"/>
      <c r="AA70" s="1620"/>
      <c r="AB70" s="1620"/>
      <c r="AC70" s="1620"/>
      <c r="AD70" s="1620"/>
      <c r="AE70" s="1620"/>
      <c r="AF70" s="1620"/>
      <c r="AG70" s="1620"/>
      <c r="AH70" s="1620"/>
      <c r="AI70" s="1620"/>
      <c r="AJ70" s="1620"/>
      <c r="AK70" s="1620"/>
      <c r="AL70" s="1621"/>
      <c r="AM70" s="308"/>
      <c r="AN70" s="1620"/>
      <c r="AO70" s="1620"/>
      <c r="AP70" s="1620"/>
      <c r="AQ70" s="1620"/>
      <c r="AR70" s="1620"/>
      <c r="AS70" s="1620"/>
      <c r="AT70" s="1620"/>
      <c r="AU70" s="1620"/>
      <c r="AV70" s="1620"/>
      <c r="AW70" s="1620"/>
      <c r="AX70" s="1620"/>
      <c r="AY70" s="1620"/>
      <c r="AZ70" s="1625"/>
      <c r="BB70" s="1832"/>
      <c r="BC70" s="1833"/>
      <c r="BD70" s="1833"/>
      <c r="BE70" s="1833"/>
      <c r="BF70" s="1833"/>
      <c r="BG70" s="1833"/>
      <c r="BH70" s="1833"/>
      <c r="BI70" s="1833"/>
      <c r="BJ70" s="1833"/>
      <c r="BK70" s="1833"/>
      <c r="BL70" s="1833"/>
      <c r="BM70" s="1833"/>
      <c r="BN70" s="1833"/>
      <c r="BO70" s="1833"/>
      <c r="BP70" s="1833"/>
      <c r="BQ70" s="1833"/>
      <c r="BR70" s="1833"/>
      <c r="BS70" s="1833"/>
      <c r="BT70" s="1833"/>
      <c r="BU70" s="1833"/>
      <c r="BV70" s="1833"/>
      <c r="BW70" s="1833"/>
      <c r="BX70" s="1833"/>
      <c r="BY70" s="1833"/>
      <c r="BZ70" s="1833"/>
      <c r="CA70" s="1833"/>
      <c r="CB70" s="1833"/>
      <c r="CD70" s="1867" t="s">
        <v>90</v>
      </c>
      <c r="CE70" s="1867"/>
      <c r="CF70" s="1867"/>
      <c r="CG70" s="1867"/>
      <c r="CH70" s="1867"/>
      <c r="CI70" s="1867"/>
      <c r="CJ70" s="1867"/>
      <c r="CK70" s="175"/>
      <c r="CP70" s="17"/>
      <c r="CQ70" s="17"/>
      <c r="CR70" s="17"/>
      <c r="CS70" s="1861"/>
      <c r="CT70" s="1862"/>
      <c r="CU70" s="1862"/>
      <c r="CV70" s="1862"/>
      <c r="CW70" s="1862"/>
      <c r="CX70" s="1862"/>
      <c r="CY70" s="1862"/>
      <c r="CZ70" s="1862"/>
      <c r="DA70" s="1862"/>
      <c r="DB70" s="1862"/>
      <c r="DC70" s="1862"/>
      <c r="DD70" s="1862"/>
      <c r="DE70" s="1862"/>
      <c r="DF70" s="1862"/>
      <c r="DG70" s="1862"/>
      <c r="DH70" s="1862"/>
      <c r="DI70" s="1862"/>
      <c r="DJ70" s="1862"/>
      <c r="DK70" s="1862"/>
      <c r="DL70" s="1862"/>
      <c r="DM70" s="1862"/>
      <c r="DN70" s="1862"/>
      <c r="DO70" s="1862"/>
      <c r="DP70" s="1862"/>
      <c r="DQ70" s="1862"/>
      <c r="DR70" s="1862"/>
      <c r="DS70" s="1862"/>
      <c r="DT70" s="1862"/>
      <c r="DU70" s="1862"/>
      <c r="DV70" s="1862"/>
      <c r="DW70" s="1862"/>
      <c r="DX70" s="1862"/>
      <c r="DY70" s="1862"/>
      <c r="DZ70" s="1862"/>
      <c r="EA70" s="1862"/>
      <c r="EB70" s="1862"/>
      <c r="EC70" s="1862"/>
      <c r="ED70" s="1862"/>
      <c r="EE70" s="1862"/>
      <c r="EF70" s="1862"/>
      <c r="EG70" s="1863"/>
      <c r="EH70" s="17"/>
      <c r="EI70" s="17"/>
      <c r="EJ70" s="17"/>
      <c r="EK70" s="17"/>
      <c r="EL70" s="17"/>
      <c r="EM70" s="17"/>
      <c r="EN70" s="17"/>
      <c r="EO70" s="17"/>
      <c r="EP70" s="17"/>
    </row>
    <row r="71" spans="1:146" ht="7.5" customHeight="1" x14ac:dyDescent="0.25">
      <c r="A71" s="1197" t="s">
        <v>445</v>
      </c>
      <c r="B71" s="1197"/>
      <c r="C71" s="1197"/>
      <c r="D71" s="1197"/>
      <c r="E71" s="1197"/>
      <c r="F71" s="1197"/>
      <c r="G71" s="1197"/>
      <c r="H71" s="1197"/>
      <c r="I71" s="1197"/>
      <c r="J71" s="1197"/>
      <c r="L71" s="1616"/>
      <c r="M71" s="1617"/>
      <c r="N71" s="1617"/>
      <c r="O71" s="1617"/>
      <c r="P71" s="1617"/>
      <c r="Q71" s="1617"/>
      <c r="R71" s="1617"/>
      <c r="S71" s="1617"/>
      <c r="T71" s="1617"/>
      <c r="U71" s="1617"/>
      <c r="V71" s="1617"/>
      <c r="W71" s="1617"/>
      <c r="X71" s="1618"/>
      <c r="Y71" s="312"/>
      <c r="Z71" s="1622"/>
      <c r="AA71" s="1617"/>
      <c r="AB71" s="1617"/>
      <c r="AC71" s="1617"/>
      <c r="AD71" s="1617"/>
      <c r="AE71" s="1617"/>
      <c r="AF71" s="1617"/>
      <c r="AG71" s="1617"/>
      <c r="AH71" s="1617"/>
      <c r="AI71" s="1617"/>
      <c r="AJ71" s="1617"/>
      <c r="AK71" s="1617"/>
      <c r="AL71" s="1618"/>
      <c r="AM71" s="308"/>
      <c r="AN71" s="1617"/>
      <c r="AO71" s="1617"/>
      <c r="AP71" s="1617"/>
      <c r="AQ71" s="1617"/>
      <c r="AR71" s="1617"/>
      <c r="AS71" s="1617"/>
      <c r="AT71" s="1617"/>
      <c r="AU71" s="1617"/>
      <c r="AV71" s="1617"/>
      <c r="AW71" s="1617"/>
      <c r="AX71" s="1617"/>
      <c r="AY71" s="1617"/>
      <c r="AZ71" s="1624"/>
      <c r="BB71" s="1832"/>
      <c r="BC71" s="1833"/>
      <c r="BD71" s="1833"/>
      <c r="BE71" s="1833"/>
      <c r="BF71" s="1833"/>
      <c r="BG71" s="1833"/>
      <c r="BH71" s="1833"/>
      <c r="BI71" s="1833"/>
      <c r="BJ71" s="1833"/>
      <c r="BK71" s="1833"/>
      <c r="BL71" s="1833"/>
      <c r="BM71" s="1833"/>
      <c r="BN71" s="1833"/>
      <c r="BO71" s="1833"/>
      <c r="BP71" s="1833"/>
      <c r="BQ71" s="1833"/>
      <c r="BR71" s="1833"/>
      <c r="BS71" s="1833"/>
      <c r="BT71" s="1833"/>
      <c r="BU71" s="1833"/>
      <c r="BV71" s="1833"/>
      <c r="BW71" s="1833"/>
      <c r="BX71" s="1833"/>
      <c r="BY71" s="1833"/>
      <c r="BZ71" s="1833"/>
      <c r="CA71" s="1833"/>
      <c r="CB71" s="1833"/>
      <c r="CC71" s="1836"/>
      <c r="CD71" s="1837"/>
      <c r="CE71" s="1837"/>
      <c r="CF71" s="1837"/>
      <c r="CG71" s="1837"/>
      <c r="CH71" s="1837"/>
      <c r="CI71" s="1837"/>
      <c r="CJ71" s="1838"/>
      <c r="CK71" s="175"/>
      <c r="CP71" s="17"/>
      <c r="CQ71" s="17"/>
      <c r="CR71" s="17"/>
      <c r="CS71" s="1861"/>
      <c r="CT71" s="1862"/>
      <c r="CU71" s="1862"/>
      <c r="CV71" s="1862"/>
      <c r="CW71" s="1862"/>
      <c r="CX71" s="1862"/>
      <c r="CY71" s="1862"/>
      <c r="CZ71" s="1862"/>
      <c r="DA71" s="1862"/>
      <c r="DB71" s="1862"/>
      <c r="DC71" s="1862"/>
      <c r="DD71" s="1862"/>
      <c r="DE71" s="1862"/>
      <c r="DF71" s="1862"/>
      <c r="DG71" s="1862"/>
      <c r="DH71" s="1862"/>
      <c r="DI71" s="1862"/>
      <c r="DJ71" s="1862"/>
      <c r="DK71" s="1862"/>
      <c r="DL71" s="1862"/>
      <c r="DM71" s="1862"/>
      <c r="DN71" s="1862"/>
      <c r="DO71" s="1862"/>
      <c r="DP71" s="1862"/>
      <c r="DQ71" s="1862"/>
      <c r="DR71" s="1862"/>
      <c r="DS71" s="1862"/>
      <c r="DT71" s="1862"/>
      <c r="DU71" s="1862"/>
      <c r="DV71" s="1862"/>
      <c r="DW71" s="1862"/>
      <c r="DX71" s="1862"/>
      <c r="DY71" s="1862"/>
      <c r="DZ71" s="1862"/>
      <c r="EA71" s="1862"/>
      <c r="EB71" s="1862"/>
      <c r="EC71" s="1862"/>
      <c r="ED71" s="1862"/>
      <c r="EE71" s="1862"/>
      <c r="EF71" s="1862"/>
      <c r="EG71" s="1863"/>
      <c r="EH71" s="17"/>
      <c r="EI71" s="17"/>
      <c r="EJ71" s="17"/>
      <c r="EK71" s="17"/>
      <c r="EL71" s="17"/>
      <c r="EM71" s="17"/>
      <c r="EN71" s="17"/>
      <c r="EO71" s="17"/>
      <c r="EP71" s="17"/>
    </row>
    <row r="72" spans="1:146" ht="7.5" customHeight="1" x14ac:dyDescent="0.25">
      <c r="A72" s="1162"/>
      <c r="B72" s="1163"/>
      <c r="C72" s="1163"/>
      <c r="D72" s="1163"/>
      <c r="E72" s="1163"/>
      <c r="F72" s="1163"/>
      <c r="G72" s="1163"/>
      <c r="H72" s="1163"/>
      <c r="I72" s="1163"/>
      <c r="J72" s="1164"/>
      <c r="L72" s="1619"/>
      <c r="M72" s="1620"/>
      <c r="N72" s="1620"/>
      <c r="O72" s="1620"/>
      <c r="P72" s="1620"/>
      <c r="Q72" s="1620"/>
      <c r="R72" s="1620"/>
      <c r="S72" s="1620"/>
      <c r="T72" s="1620"/>
      <c r="U72" s="1620"/>
      <c r="V72" s="1620"/>
      <c r="W72" s="1620"/>
      <c r="X72" s="1621"/>
      <c r="Y72" s="312"/>
      <c r="Z72" s="1623"/>
      <c r="AA72" s="1620"/>
      <c r="AB72" s="1620"/>
      <c r="AC72" s="1620"/>
      <c r="AD72" s="1620"/>
      <c r="AE72" s="1620"/>
      <c r="AF72" s="1620"/>
      <c r="AG72" s="1620"/>
      <c r="AH72" s="1620"/>
      <c r="AI72" s="1620"/>
      <c r="AJ72" s="1620"/>
      <c r="AK72" s="1620"/>
      <c r="AL72" s="1621"/>
      <c r="AM72" s="308"/>
      <c r="AN72" s="1620"/>
      <c r="AO72" s="1620"/>
      <c r="AP72" s="1620"/>
      <c r="AQ72" s="1620"/>
      <c r="AR72" s="1620"/>
      <c r="AS72" s="1620"/>
      <c r="AT72" s="1620"/>
      <c r="AU72" s="1620"/>
      <c r="AV72" s="1620"/>
      <c r="AW72" s="1620"/>
      <c r="AX72" s="1620"/>
      <c r="AY72" s="1620"/>
      <c r="AZ72" s="1625"/>
      <c r="BB72" s="1832"/>
      <c r="BC72" s="1833"/>
      <c r="BD72" s="1833"/>
      <c r="BE72" s="1833"/>
      <c r="BF72" s="1833"/>
      <c r="BG72" s="1833"/>
      <c r="BH72" s="1833"/>
      <c r="BI72" s="1833"/>
      <c r="BJ72" s="1833"/>
      <c r="BK72" s="1833"/>
      <c r="BL72" s="1833"/>
      <c r="BM72" s="1833"/>
      <c r="BN72" s="1833"/>
      <c r="BO72" s="1833"/>
      <c r="BP72" s="1833"/>
      <c r="BQ72" s="1833"/>
      <c r="BR72" s="1833"/>
      <c r="BS72" s="1833"/>
      <c r="BT72" s="1833"/>
      <c r="BU72" s="1833"/>
      <c r="BV72" s="1833"/>
      <c r="BW72" s="1833"/>
      <c r="BX72" s="1833"/>
      <c r="BY72" s="1833"/>
      <c r="BZ72" s="1833"/>
      <c r="CA72" s="1833"/>
      <c r="CB72" s="1833"/>
      <c r="CC72" s="1839"/>
      <c r="CD72" s="1840"/>
      <c r="CE72" s="1840"/>
      <c r="CF72" s="1840"/>
      <c r="CG72" s="1840"/>
      <c r="CH72" s="1840"/>
      <c r="CI72" s="1840"/>
      <c r="CJ72" s="1841"/>
      <c r="CK72" s="173"/>
      <c r="CP72" s="17"/>
      <c r="CQ72" s="17"/>
      <c r="CR72" s="17"/>
      <c r="CS72" s="1861"/>
      <c r="CT72" s="1862"/>
      <c r="CU72" s="1862"/>
      <c r="CV72" s="1862"/>
      <c r="CW72" s="1862"/>
      <c r="CX72" s="1862"/>
      <c r="CY72" s="1862"/>
      <c r="CZ72" s="1862"/>
      <c r="DA72" s="1862"/>
      <c r="DB72" s="1862"/>
      <c r="DC72" s="1862"/>
      <c r="DD72" s="1862"/>
      <c r="DE72" s="1862"/>
      <c r="DF72" s="1862"/>
      <c r="DG72" s="1862"/>
      <c r="DH72" s="1862"/>
      <c r="DI72" s="1862"/>
      <c r="DJ72" s="1862"/>
      <c r="DK72" s="1862"/>
      <c r="DL72" s="1862"/>
      <c r="DM72" s="1862"/>
      <c r="DN72" s="1862"/>
      <c r="DO72" s="1862"/>
      <c r="DP72" s="1862"/>
      <c r="DQ72" s="1862"/>
      <c r="DR72" s="1862"/>
      <c r="DS72" s="1862"/>
      <c r="DT72" s="1862"/>
      <c r="DU72" s="1862"/>
      <c r="DV72" s="1862"/>
      <c r="DW72" s="1862"/>
      <c r="DX72" s="1862"/>
      <c r="DY72" s="1862"/>
      <c r="DZ72" s="1862"/>
      <c r="EA72" s="1862"/>
      <c r="EB72" s="1862"/>
      <c r="EC72" s="1862"/>
      <c r="ED72" s="1862"/>
      <c r="EE72" s="1862"/>
      <c r="EF72" s="1862"/>
      <c r="EG72" s="1863"/>
      <c r="EH72" s="17"/>
      <c r="EI72" s="17"/>
      <c r="EJ72" s="17"/>
      <c r="EK72" s="17"/>
      <c r="EL72" s="17"/>
      <c r="EM72" s="17"/>
      <c r="EN72" s="17"/>
      <c r="EO72" s="17"/>
      <c r="EP72" s="17"/>
    </row>
    <row r="73" spans="1:146" ht="7.5" customHeight="1" x14ac:dyDescent="0.25">
      <c r="A73" s="1165"/>
      <c r="B73" s="1166"/>
      <c r="C73" s="1166"/>
      <c r="D73" s="1166"/>
      <c r="E73" s="1166"/>
      <c r="F73" s="1166"/>
      <c r="G73" s="1166"/>
      <c r="H73" s="1166"/>
      <c r="I73" s="1166"/>
      <c r="J73" s="1167"/>
      <c r="L73" s="1616"/>
      <c r="M73" s="1617"/>
      <c r="N73" s="1617"/>
      <c r="O73" s="1617"/>
      <c r="P73" s="1617"/>
      <c r="Q73" s="1617"/>
      <c r="R73" s="1617"/>
      <c r="S73" s="1617"/>
      <c r="T73" s="1617"/>
      <c r="U73" s="1617"/>
      <c r="V73" s="1617"/>
      <c r="W73" s="1617"/>
      <c r="X73" s="1618"/>
      <c r="Y73" s="312"/>
      <c r="Z73" s="1622"/>
      <c r="AA73" s="1617"/>
      <c r="AB73" s="1617"/>
      <c r="AC73" s="1617"/>
      <c r="AD73" s="1617"/>
      <c r="AE73" s="1617"/>
      <c r="AF73" s="1617"/>
      <c r="AG73" s="1617"/>
      <c r="AH73" s="1617"/>
      <c r="AI73" s="1617"/>
      <c r="AJ73" s="1617"/>
      <c r="AK73" s="1617"/>
      <c r="AL73" s="1618"/>
      <c r="AM73" s="308"/>
      <c r="AN73" s="1617"/>
      <c r="AO73" s="1617"/>
      <c r="AP73" s="1617"/>
      <c r="AQ73" s="1617"/>
      <c r="AR73" s="1617"/>
      <c r="AS73" s="1617"/>
      <c r="AT73" s="1617"/>
      <c r="AU73" s="1617"/>
      <c r="AV73" s="1617"/>
      <c r="AW73" s="1617"/>
      <c r="AX73" s="1617"/>
      <c r="AY73" s="1617"/>
      <c r="AZ73" s="1624"/>
      <c r="BB73" s="1832"/>
      <c r="BC73" s="1833"/>
      <c r="BD73" s="1833"/>
      <c r="BE73" s="1833"/>
      <c r="BF73" s="1833"/>
      <c r="BG73" s="1833"/>
      <c r="BH73" s="1833"/>
      <c r="BI73" s="1833"/>
      <c r="BJ73" s="1833"/>
      <c r="BK73" s="1833"/>
      <c r="BL73" s="1833"/>
      <c r="BM73" s="1833"/>
      <c r="BN73" s="1833"/>
      <c r="BO73" s="1833"/>
      <c r="BP73" s="1833"/>
      <c r="BQ73" s="1833"/>
      <c r="BR73" s="1833"/>
      <c r="BS73" s="1833"/>
      <c r="BT73" s="1833"/>
      <c r="BU73" s="1833"/>
      <c r="BV73" s="1833"/>
      <c r="BW73" s="1833"/>
      <c r="BX73" s="1833"/>
      <c r="BY73" s="1833"/>
      <c r="BZ73" s="1833"/>
      <c r="CA73" s="1833"/>
      <c r="CB73" s="1833"/>
      <c r="CC73" s="1842"/>
      <c r="CD73" s="1843"/>
      <c r="CE73" s="1843"/>
      <c r="CF73" s="1843"/>
      <c r="CG73" s="1843"/>
      <c r="CH73" s="1843"/>
      <c r="CI73" s="1843"/>
      <c r="CJ73" s="1844"/>
      <c r="CK73" s="173"/>
      <c r="CP73" s="17"/>
      <c r="CQ73" s="17"/>
      <c r="CR73" s="17"/>
      <c r="CS73" s="1861"/>
      <c r="CT73" s="1862"/>
      <c r="CU73" s="1862"/>
      <c r="CV73" s="1862"/>
      <c r="CW73" s="1862"/>
      <c r="CX73" s="1862"/>
      <c r="CY73" s="1862"/>
      <c r="CZ73" s="1862"/>
      <c r="DA73" s="1862"/>
      <c r="DB73" s="1862"/>
      <c r="DC73" s="1862"/>
      <c r="DD73" s="1862"/>
      <c r="DE73" s="1862"/>
      <c r="DF73" s="1862"/>
      <c r="DG73" s="1862"/>
      <c r="DH73" s="1862"/>
      <c r="DI73" s="1862"/>
      <c r="DJ73" s="1862"/>
      <c r="DK73" s="1862"/>
      <c r="DL73" s="1862"/>
      <c r="DM73" s="1862"/>
      <c r="DN73" s="1862"/>
      <c r="DO73" s="1862"/>
      <c r="DP73" s="1862"/>
      <c r="DQ73" s="1862"/>
      <c r="DR73" s="1862"/>
      <c r="DS73" s="1862"/>
      <c r="DT73" s="1862"/>
      <c r="DU73" s="1862"/>
      <c r="DV73" s="1862"/>
      <c r="DW73" s="1862"/>
      <c r="DX73" s="1862"/>
      <c r="DY73" s="1862"/>
      <c r="DZ73" s="1862"/>
      <c r="EA73" s="1862"/>
      <c r="EB73" s="1862"/>
      <c r="EC73" s="1862"/>
      <c r="ED73" s="1862"/>
      <c r="EE73" s="1862"/>
      <c r="EF73" s="1862"/>
      <c r="EG73" s="1863"/>
      <c r="EH73" s="17"/>
      <c r="EI73" s="17"/>
      <c r="EJ73" s="17"/>
      <c r="EK73" s="17"/>
      <c r="EL73" s="17"/>
      <c r="EM73" s="17"/>
      <c r="EN73" s="17"/>
      <c r="EO73" s="17"/>
      <c r="EP73" s="17"/>
    </row>
    <row r="74" spans="1:146" ht="7.5" customHeight="1" thickBot="1" x14ac:dyDescent="0.3">
      <c r="A74" s="1202" t="s">
        <v>444</v>
      </c>
      <c r="B74" s="1202"/>
      <c r="C74" s="1202"/>
      <c r="D74" s="1202"/>
      <c r="E74" s="1202"/>
      <c r="F74" s="1202"/>
      <c r="G74" s="1202"/>
      <c r="H74" s="1202"/>
      <c r="I74" s="1202"/>
      <c r="J74" s="1202"/>
      <c r="L74" s="1647"/>
      <c r="M74" s="1648"/>
      <c r="N74" s="1648"/>
      <c r="O74" s="1648"/>
      <c r="P74" s="1648"/>
      <c r="Q74" s="1648"/>
      <c r="R74" s="1648"/>
      <c r="S74" s="1648"/>
      <c r="T74" s="1648"/>
      <c r="U74" s="1648"/>
      <c r="V74" s="1648"/>
      <c r="W74" s="1648"/>
      <c r="X74" s="1649"/>
      <c r="Y74" s="313"/>
      <c r="Z74" s="1650"/>
      <c r="AA74" s="1648"/>
      <c r="AB74" s="1648"/>
      <c r="AC74" s="1648"/>
      <c r="AD74" s="1648"/>
      <c r="AE74" s="1648"/>
      <c r="AF74" s="1648"/>
      <c r="AG74" s="1648"/>
      <c r="AH74" s="1648"/>
      <c r="AI74" s="1648"/>
      <c r="AJ74" s="1648"/>
      <c r="AK74" s="1648"/>
      <c r="AL74" s="1649"/>
      <c r="AM74" s="309"/>
      <c r="AN74" s="1648"/>
      <c r="AO74" s="1648"/>
      <c r="AP74" s="1648"/>
      <c r="AQ74" s="1648"/>
      <c r="AR74" s="1648"/>
      <c r="AS74" s="1648"/>
      <c r="AT74" s="1648"/>
      <c r="AU74" s="1648"/>
      <c r="AV74" s="1648"/>
      <c r="AW74" s="1648"/>
      <c r="AX74" s="1648"/>
      <c r="AY74" s="1648"/>
      <c r="AZ74" s="1651"/>
      <c r="BB74" s="1870"/>
      <c r="BC74" s="1871"/>
      <c r="BD74" s="1871"/>
      <c r="BE74" s="1871"/>
      <c r="BF74" s="1871"/>
      <c r="BG74" s="1871"/>
      <c r="BH74" s="1871"/>
      <c r="BI74" s="1871"/>
      <c r="BJ74" s="1871"/>
      <c r="BK74" s="1871"/>
      <c r="BL74" s="1871"/>
      <c r="BM74" s="1871"/>
      <c r="BN74" s="1871"/>
      <c r="BO74" s="1871"/>
      <c r="BP74" s="1871"/>
      <c r="BQ74" s="1871"/>
      <c r="BR74" s="1871"/>
      <c r="BS74" s="1871"/>
      <c r="BT74" s="1871"/>
      <c r="BU74" s="1871"/>
      <c r="BV74" s="1871"/>
      <c r="BW74" s="1871"/>
      <c r="BX74" s="1871"/>
      <c r="BY74" s="1871"/>
      <c r="BZ74" s="1871"/>
      <c r="CA74" s="1871"/>
      <c r="CB74" s="1871"/>
      <c r="CC74" s="176"/>
      <c r="CD74" s="176"/>
      <c r="CE74" s="176"/>
      <c r="CF74" s="176"/>
      <c r="CG74" s="176"/>
      <c r="CH74" s="176"/>
      <c r="CI74" s="176"/>
      <c r="CJ74" s="176"/>
      <c r="CK74" s="177"/>
      <c r="CP74" s="17"/>
      <c r="CQ74" s="17"/>
      <c r="CR74" s="17"/>
      <c r="CS74" s="1861"/>
      <c r="CT74" s="1862"/>
      <c r="CU74" s="1862"/>
      <c r="CV74" s="1862"/>
      <c r="CW74" s="1862"/>
      <c r="CX74" s="1862"/>
      <c r="CY74" s="1862"/>
      <c r="CZ74" s="1862"/>
      <c r="DA74" s="1862"/>
      <c r="DB74" s="1862"/>
      <c r="DC74" s="1862"/>
      <c r="DD74" s="1862"/>
      <c r="DE74" s="1862"/>
      <c r="DF74" s="1862"/>
      <c r="DG74" s="1862"/>
      <c r="DH74" s="1862"/>
      <c r="DI74" s="1862"/>
      <c r="DJ74" s="1862"/>
      <c r="DK74" s="1862"/>
      <c r="DL74" s="1862"/>
      <c r="DM74" s="1862"/>
      <c r="DN74" s="1862"/>
      <c r="DO74" s="1862"/>
      <c r="DP74" s="1862"/>
      <c r="DQ74" s="1862"/>
      <c r="DR74" s="1862"/>
      <c r="DS74" s="1862"/>
      <c r="DT74" s="1862"/>
      <c r="DU74" s="1862"/>
      <c r="DV74" s="1862"/>
      <c r="DW74" s="1862"/>
      <c r="DX74" s="1862"/>
      <c r="DY74" s="1862"/>
      <c r="DZ74" s="1862"/>
      <c r="EA74" s="1862"/>
      <c r="EB74" s="1862"/>
      <c r="EC74" s="1862"/>
      <c r="ED74" s="1862"/>
      <c r="EE74" s="1862"/>
      <c r="EF74" s="1862"/>
      <c r="EG74" s="1863"/>
      <c r="EH74" s="17"/>
      <c r="EI74" s="17"/>
      <c r="EJ74" s="17"/>
      <c r="EK74" s="17"/>
      <c r="EL74" s="17"/>
      <c r="EM74" s="17"/>
      <c r="EN74" s="17"/>
      <c r="EO74" s="17"/>
      <c r="EP74" s="17"/>
    </row>
    <row r="75" spans="1:146" ht="7.5" customHeight="1" x14ac:dyDescent="0.25">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CP75" s="17"/>
      <c r="CQ75" s="17"/>
      <c r="CR75" s="17"/>
      <c r="CS75" s="1861"/>
      <c r="CT75" s="1862"/>
      <c r="CU75" s="1862"/>
      <c r="CV75" s="1862"/>
      <c r="CW75" s="1862"/>
      <c r="CX75" s="1862"/>
      <c r="CY75" s="1862"/>
      <c r="CZ75" s="1862"/>
      <c r="DA75" s="1862"/>
      <c r="DB75" s="1862"/>
      <c r="DC75" s="1862"/>
      <c r="DD75" s="1862"/>
      <c r="DE75" s="1862"/>
      <c r="DF75" s="1862"/>
      <c r="DG75" s="1862"/>
      <c r="DH75" s="1862"/>
      <c r="DI75" s="1862"/>
      <c r="DJ75" s="1862"/>
      <c r="DK75" s="1862"/>
      <c r="DL75" s="1862"/>
      <c r="DM75" s="1862"/>
      <c r="DN75" s="1862"/>
      <c r="DO75" s="1862"/>
      <c r="DP75" s="1862"/>
      <c r="DQ75" s="1862"/>
      <c r="DR75" s="1862"/>
      <c r="DS75" s="1862"/>
      <c r="DT75" s="1862"/>
      <c r="DU75" s="1862"/>
      <c r="DV75" s="1862"/>
      <c r="DW75" s="1862"/>
      <c r="DX75" s="1862"/>
      <c r="DY75" s="1862"/>
      <c r="DZ75" s="1862"/>
      <c r="EA75" s="1862"/>
      <c r="EB75" s="1862"/>
      <c r="EC75" s="1862"/>
      <c r="ED75" s="1862"/>
      <c r="EE75" s="1862"/>
      <c r="EF75" s="1862"/>
      <c r="EG75" s="1863"/>
      <c r="EH75" s="17"/>
      <c r="EI75" s="17"/>
      <c r="EJ75" s="17"/>
      <c r="EK75" s="17"/>
      <c r="EL75" s="17"/>
      <c r="EM75" s="17"/>
      <c r="EN75" s="17"/>
      <c r="EO75" s="17"/>
      <c r="EP75" s="17"/>
    </row>
    <row r="76" spans="1:146" ht="7.5" customHeight="1" x14ac:dyDescent="0.25">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CP76" s="17"/>
      <c r="CQ76" s="17"/>
      <c r="CR76" s="17"/>
      <c r="CS76" s="1861"/>
      <c r="CT76" s="1862"/>
      <c r="CU76" s="1862"/>
      <c r="CV76" s="1862"/>
      <c r="CW76" s="1862"/>
      <c r="CX76" s="1862"/>
      <c r="CY76" s="1862"/>
      <c r="CZ76" s="1862"/>
      <c r="DA76" s="1862"/>
      <c r="DB76" s="1862"/>
      <c r="DC76" s="1862"/>
      <c r="DD76" s="1862"/>
      <c r="DE76" s="1862"/>
      <c r="DF76" s="1862"/>
      <c r="DG76" s="1862"/>
      <c r="DH76" s="1862"/>
      <c r="DI76" s="1862"/>
      <c r="DJ76" s="1862"/>
      <c r="DK76" s="1862"/>
      <c r="DL76" s="1862"/>
      <c r="DM76" s="1862"/>
      <c r="DN76" s="1862"/>
      <c r="DO76" s="1862"/>
      <c r="DP76" s="1862"/>
      <c r="DQ76" s="1862"/>
      <c r="DR76" s="1862"/>
      <c r="DS76" s="1862"/>
      <c r="DT76" s="1862"/>
      <c r="DU76" s="1862"/>
      <c r="DV76" s="1862"/>
      <c r="DW76" s="1862"/>
      <c r="DX76" s="1862"/>
      <c r="DY76" s="1862"/>
      <c r="DZ76" s="1862"/>
      <c r="EA76" s="1862"/>
      <c r="EB76" s="1862"/>
      <c r="EC76" s="1862"/>
      <c r="ED76" s="1862"/>
      <c r="EE76" s="1862"/>
      <c r="EF76" s="1862"/>
      <c r="EG76" s="1863"/>
      <c r="EH76" s="17"/>
      <c r="EI76" s="17"/>
      <c r="EJ76" s="17"/>
      <c r="EK76" s="17"/>
      <c r="EL76" s="17"/>
      <c r="EM76" s="17"/>
      <c r="EN76" s="17"/>
      <c r="EO76" s="17"/>
      <c r="EP76" s="17"/>
    </row>
    <row r="77" spans="1:146" ht="7.5" customHeight="1" x14ac:dyDescent="0.25">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CP77" s="17"/>
      <c r="CQ77" s="17"/>
      <c r="CR77" s="17"/>
      <c r="CS77" s="1861"/>
      <c r="CT77" s="1862"/>
      <c r="CU77" s="1862"/>
      <c r="CV77" s="1862"/>
      <c r="CW77" s="1862"/>
      <c r="CX77" s="1862"/>
      <c r="CY77" s="1862"/>
      <c r="CZ77" s="1862"/>
      <c r="DA77" s="1862"/>
      <c r="DB77" s="1862"/>
      <c r="DC77" s="1862"/>
      <c r="DD77" s="1862"/>
      <c r="DE77" s="1862"/>
      <c r="DF77" s="1862"/>
      <c r="DG77" s="1862"/>
      <c r="DH77" s="1862"/>
      <c r="DI77" s="1862"/>
      <c r="DJ77" s="1862"/>
      <c r="DK77" s="1862"/>
      <c r="DL77" s="1862"/>
      <c r="DM77" s="1862"/>
      <c r="DN77" s="1862"/>
      <c r="DO77" s="1862"/>
      <c r="DP77" s="1862"/>
      <c r="DQ77" s="1862"/>
      <c r="DR77" s="1862"/>
      <c r="DS77" s="1862"/>
      <c r="DT77" s="1862"/>
      <c r="DU77" s="1862"/>
      <c r="DV77" s="1862"/>
      <c r="DW77" s="1862"/>
      <c r="DX77" s="1862"/>
      <c r="DY77" s="1862"/>
      <c r="DZ77" s="1862"/>
      <c r="EA77" s="1862"/>
      <c r="EB77" s="1862"/>
      <c r="EC77" s="1862"/>
      <c r="ED77" s="1862"/>
      <c r="EE77" s="1862"/>
      <c r="EF77" s="1862"/>
      <c r="EG77" s="1863"/>
      <c r="EH77" s="17"/>
      <c r="EI77" s="17"/>
      <c r="EJ77" s="17"/>
      <c r="EK77" s="17"/>
      <c r="EL77" s="17"/>
      <c r="EM77" s="17"/>
      <c r="EN77" s="17"/>
      <c r="EO77" s="17"/>
      <c r="EP77" s="17"/>
    </row>
    <row r="78" spans="1:146" ht="7.5" customHeight="1" x14ac:dyDescent="0.25">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CP78" s="17"/>
      <c r="CQ78" s="17"/>
      <c r="CR78" s="17"/>
      <c r="CS78" s="1861"/>
      <c r="CT78" s="1862"/>
      <c r="CU78" s="1862"/>
      <c r="CV78" s="1862"/>
      <c r="CW78" s="1862"/>
      <c r="CX78" s="1862"/>
      <c r="CY78" s="1862"/>
      <c r="CZ78" s="1862"/>
      <c r="DA78" s="1862"/>
      <c r="DB78" s="1862"/>
      <c r="DC78" s="1862"/>
      <c r="DD78" s="1862"/>
      <c r="DE78" s="1862"/>
      <c r="DF78" s="1862"/>
      <c r="DG78" s="1862"/>
      <c r="DH78" s="1862"/>
      <c r="DI78" s="1862"/>
      <c r="DJ78" s="1862"/>
      <c r="DK78" s="1862"/>
      <c r="DL78" s="1862"/>
      <c r="DM78" s="1862"/>
      <c r="DN78" s="1862"/>
      <c r="DO78" s="1862"/>
      <c r="DP78" s="1862"/>
      <c r="DQ78" s="1862"/>
      <c r="DR78" s="1862"/>
      <c r="DS78" s="1862"/>
      <c r="DT78" s="1862"/>
      <c r="DU78" s="1862"/>
      <c r="DV78" s="1862"/>
      <c r="DW78" s="1862"/>
      <c r="DX78" s="1862"/>
      <c r="DY78" s="1862"/>
      <c r="DZ78" s="1862"/>
      <c r="EA78" s="1862"/>
      <c r="EB78" s="1862"/>
      <c r="EC78" s="1862"/>
      <c r="ED78" s="1862"/>
      <c r="EE78" s="1862"/>
      <c r="EF78" s="1862"/>
      <c r="EG78" s="1863"/>
      <c r="EH78" s="17"/>
      <c r="EI78" s="17"/>
      <c r="EJ78" s="17"/>
      <c r="EK78" s="17"/>
      <c r="EL78" s="17"/>
      <c r="EM78" s="17"/>
      <c r="EN78" s="17"/>
      <c r="EO78" s="17"/>
      <c r="EP78" s="17"/>
    </row>
    <row r="79" spans="1:146" ht="7.5" customHeight="1" x14ac:dyDescent="0.25">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CP79" s="17"/>
      <c r="CQ79" s="17"/>
      <c r="CR79" s="17"/>
      <c r="CS79" s="1861"/>
      <c r="CT79" s="1862"/>
      <c r="CU79" s="1862"/>
      <c r="CV79" s="1862"/>
      <c r="CW79" s="1862"/>
      <c r="CX79" s="1862"/>
      <c r="CY79" s="1862"/>
      <c r="CZ79" s="1862"/>
      <c r="DA79" s="1862"/>
      <c r="DB79" s="1862"/>
      <c r="DC79" s="1862"/>
      <c r="DD79" s="1862"/>
      <c r="DE79" s="1862"/>
      <c r="DF79" s="1862"/>
      <c r="DG79" s="1862"/>
      <c r="DH79" s="1862"/>
      <c r="DI79" s="1862"/>
      <c r="DJ79" s="1862"/>
      <c r="DK79" s="1862"/>
      <c r="DL79" s="1862"/>
      <c r="DM79" s="1862"/>
      <c r="DN79" s="1862"/>
      <c r="DO79" s="1862"/>
      <c r="DP79" s="1862"/>
      <c r="DQ79" s="1862"/>
      <c r="DR79" s="1862"/>
      <c r="DS79" s="1862"/>
      <c r="DT79" s="1862"/>
      <c r="DU79" s="1862"/>
      <c r="DV79" s="1862"/>
      <c r="DW79" s="1862"/>
      <c r="DX79" s="1862"/>
      <c r="DY79" s="1862"/>
      <c r="DZ79" s="1862"/>
      <c r="EA79" s="1862"/>
      <c r="EB79" s="1862"/>
      <c r="EC79" s="1862"/>
      <c r="ED79" s="1862"/>
      <c r="EE79" s="1862"/>
      <c r="EF79" s="1862"/>
      <c r="EG79" s="1863"/>
      <c r="EH79" s="17"/>
      <c r="EI79" s="17"/>
      <c r="EJ79" s="17"/>
      <c r="EK79" s="17"/>
      <c r="EL79" s="17"/>
      <c r="EM79" s="17"/>
      <c r="EN79" s="17"/>
      <c r="EO79" s="17"/>
      <c r="EP79" s="17"/>
    </row>
    <row r="80" spans="1:146" ht="7.5" customHeight="1" x14ac:dyDescent="0.25">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CP80" s="17"/>
      <c r="CQ80" s="17"/>
      <c r="CR80" s="17"/>
      <c r="CS80" s="1861"/>
      <c r="CT80" s="1862"/>
      <c r="CU80" s="1862"/>
      <c r="CV80" s="1862"/>
      <c r="CW80" s="1862"/>
      <c r="CX80" s="1862"/>
      <c r="CY80" s="1862"/>
      <c r="CZ80" s="1862"/>
      <c r="DA80" s="1862"/>
      <c r="DB80" s="1862"/>
      <c r="DC80" s="1862"/>
      <c r="DD80" s="1862"/>
      <c r="DE80" s="1862"/>
      <c r="DF80" s="1862"/>
      <c r="DG80" s="1862"/>
      <c r="DH80" s="1862"/>
      <c r="DI80" s="1862"/>
      <c r="DJ80" s="1862"/>
      <c r="DK80" s="1862"/>
      <c r="DL80" s="1862"/>
      <c r="DM80" s="1862"/>
      <c r="DN80" s="1862"/>
      <c r="DO80" s="1862"/>
      <c r="DP80" s="1862"/>
      <c r="DQ80" s="1862"/>
      <c r="DR80" s="1862"/>
      <c r="DS80" s="1862"/>
      <c r="DT80" s="1862"/>
      <c r="DU80" s="1862"/>
      <c r="DV80" s="1862"/>
      <c r="DW80" s="1862"/>
      <c r="DX80" s="1862"/>
      <c r="DY80" s="1862"/>
      <c r="DZ80" s="1862"/>
      <c r="EA80" s="1862"/>
      <c r="EB80" s="1862"/>
      <c r="EC80" s="1862"/>
      <c r="ED80" s="1862"/>
      <c r="EE80" s="1862"/>
      <c r="EF80" s="1862"/>
      <c r="EG80" s="1863"/>
      <c r="EH80" s="17"/>
      <c r="EI80" s="17"/>
      <c r="EJ80" s="17"/>
      <c r="EK80" s="17"/>
      <c r="EL80" s="17"/>
      <c r="EM80" s="17"/>
      <c r="EN80" s="17"/>
      <c r="EO80" s="17"/>
      <c r="EP80" s="17"/>
    </row>
    <row r="81" spans="94:146" ht="7.5" customHeight="1" x14ac:dyDescent="0.25">
      <c r="CP81" s="17"/>
      <c r="CQ81" s="17"/>
      <c r="CR81" s="17"/>
      <c r="CS81" s="1861"/>
      <c r="CT81" s="1862"/>
      <c r="CU81" s="1862"/>
      <c r="CV81" s="1862"/>
      <c r="CW81" s="1862"/>
      <c r="CX81" s="1862"/>
      <c r="CY81" s="1862"/>
      <c r="CZ81" s="1862"/>
      <c r="DA81" s="1862"/>
      <c r="DB81" s="1862"/>
      <c r="DC81" s="1862"/>
      <c r="DD81" s="1862"/>
      <c r="DE81" s="1862"/>
      <c r="DF81" s="1862"/>
      <c r="DG81" s="1862"/>
      <c r="DH81" s="1862"/>
      <c r="DI81" s="1862"/>
      <c r="DJ81" s="1862"/>
      <c r="DK81" s="1862"/>
      <c r="DL81" s="1862"/>
      <c r="DM81" s="1862"/>
      <c r="DN81" s="1862"/>
      <c r="DO81" s="1862"/>
      <c r="DP81" s="1862"/>
      <c r="DQ81" s="1862"/>
      <c r="DR81" s="1862"/>
      <c r="DS81" s="1862"/>
      <c r="DT81" s="1862"/>
      <c r="DU81" s="1862"/>
      <c r="DV81" s="1862"/>
      <c r="DW81" s="1862"/>
      <c r="DX81" s="1862"/>
      <c r="DY81" s="1862"/>
      <c r="DZ81" s="1862"/>
      <c r="EA81" s="1862"/>
      <c r="EB81" s="1862"/>
      <c r="EC81" s="1862"/>
      <c r="ED81" s="1862"/>
      <c r="EE81" s="1862"/>
      <c r="EF81" s="1862"/>
      <c r="EG81" s="1863"/>
      <c r="EH81" s="17"/>
      <c r="EI81" s="17"/>
      <c r="EJ81" s="17"/>
      <c r="EK81" s="17"/>
      <c r="EL81" s="17"/>
      <c r="EM81" s="17"/>
      <c r="EN81" s="17"/>
      <c r="EO81" s="17"/>
      <c r="EP81" s="17"/>
    </row>
    <row r="82" spans="94:146" ht="7.5" customHeight="1" x14ac:dyDescent="0.25">
      <c r="CP82" s="17"/>
      <c r="CQ82" s="17"/>
      <c r="CR82" s="17"/>
      <c r="CS82" s="1861"/>
      <c r="CT82" s="1862"/>
      <c r="CU82" s="1862"/>
      <c r="CV82" s="1862"/>
      <c r="CW82" s="1862"/>
      <c r="CX82" s="1862"/>
      <c r="CY82" s="1862"/>
      <c r="CZ82" s="1862"/>
      <c r="DA82" s="1862"/>
      <c r="DB82" s="1862"/>
      <c r="DC82" s="1862"/>
      <c r="DD82" s="1862"/>
      <c r="DE82" s="1862"/>
      <c r="DF82" s="1862"/>
      <c r="DG82" s="1862"/>
      <c r="DH82" s="1862"/>
      <c r="DI82" s="1862"/>
      <c r="DJ82" s="1862"/>
      <c r="DK82" s="1862"/>
      <c r="DL82" s="1862"/>
      <c r="DM82" s="1862"/>
      <c r="DN82" s="1862"/>
      <c r="DO82" s="1862"/>
      <c r="DP82" s="1862"/>
      <c r="DQ82" s="1862"/>
      <c r="DR82" s="1862"/>
      <c r="DS82" s="1862"/>
      <c r="DT82" s="1862"/>
      <c r="DU82" s="1862"/>
      <c r="DV82" s="1862"/>
      <c r="DW82" s="1862"/>
      <c r="DX82" s="1862"/>
      <c r="DY82" s="1862"/>
      <c r="DZ82" s="1862"/>
      <c r="EA82" s="1862"/>
      <c r="EB82" s="1862"/>
      <c r="EC82" s="1862"/>
      <c r="ED82" s="1862"/>
      <c r="EE82" s="1862"/>
      <c r="EF82" s="1862"/>
      <c r="EG82" s="1863"/>
      <c r="EH82" s="17"/>
      <c r="EI82" s="17"/>
      <c r="EJ82" s="17"/>
      <c r="EK82" s="17"/>
      <c r="EL82" s="17"/>
      <c r="EM82" s="17"/>
      <c r="EN82" s="17"/>
      <c r="EO82" s="17"/>
      <c r="EP82" s="17"/>
    </row>
    <row r="83" spans="94:146" ht="7.5" customHeight="1" x14ac:dyDescent="0.25">
      <c r="CP83" s="17"/>
      <c r="CQ83" s="17"/>
      <c r="CR83" s="17"/>
      <c r="CS83" s="1861"/>
      <c r="CT83" s="1862"/>
      <c r="CU83" s="1862"/>
      <c r="CV83" s="1862"/>
      <c r="CW83" s="1862"/>
      <c r="CX83" s="1862"/>
      <c r="CY83" s="1862"/>
      <c r="CZ83" s="1862"/>
      <c r="DA83" s="1862"/>
      <c r="DB83" s="1862"/>
      <c r="DC83" s="1862"/>
      <c r="DD83" s="1862"/>
      <c r="DE83" s="1862"/>
      <c r="DF83" s="1862"/>
      <c r="DG83" s="1862"/>
      <c r="DH83" s="1862"/>
      <c r="DI83" s="1862"/>
      <c r="DJ83" s="1862"/>
      <c r="DK83" s="1862"/>
      <c r="DL83" s="1862"/>
      <c r="DM83" s="1862"/>
      <c r="DN83" s="1862"/>
      <c r="DO83" s="1862"/>
      <c r="DP83" s="1862"/>
      <c r="DQ83" s="1862"/>
      <c r="DR83" s="1862"/>
      <c r="DS83" s="1862"/>
      <c r="DT83" s="1862"/>
      <c r="DU83" s="1862"/>
      <c r="DV83" s="1862"/>
      <c r="DW83" s="1862"/>
      <c r="DX83" s="1862"/>
      <c r="DY83" s="1862"/>
      <c r="DZ83" s="1862"/>
      <c r="EA83" s="1862"/>
      <c r="EB83" s="1862"/>
      <c r="EC83" s="1862"/>
      <c r="ED83" s="1862"/>
      <c r="EE83" s="1862"/>
      <c r="EF83" s="1862"/>
      <c r="EG83" s="1863"/>
      <c r="EH83" s="17"/>
      <c r="EI83" s="17"/>
      <c r="EJ83" s="17"/>
      <c r="EK83" s="17"/>
      <c r="EL83" s="17"/>
      <c r="EM83" s="17"/>
      <c r="EN83" s="17"/>
      <c r="EO83" s="17"/>
      <c r="EP83" s="17"/>
    </row>
    <row r="84" spans="94:146" ht="7.5" customHeight="1" x14ac:dyDescent="0.25">
      <c r="CP84" s="17"/>
      <c r="CQ84" s="17"/>
      <c r="CR84" s="17"/>
      <c r="CS84" s="1864"/>
      <c r="CT84" s="1865"/>
      <c r="CU84" s="1865"/>
      <c r="CV84" s="1865"/>
      <c r="CW84" s="1865"/>
      <c r="CX84" s="1865"/>
      <c r="CY84" s="1865"/>
      <c r="CZ84" s="1865"/>
      <c r="DA84" s="1865"/>
      <c r="DB84" s="1865"/>
      <c r="DC84" s="1865"/>
      <c r="DD84" s="1865"/>
      <c r="DE84" s="1865"/>
      <c r="DF84" s="1865"/>
      <c r="DG84" s="1865"/>
      <c r="DH84" s="1865"/>
      <c r="DI84" s="1865"/>
      <c r="DJ84" s="1865"/>
      <c r="DK84" s="1865"/>
      <c r="DL84" s="1865"/>
      <c r="DM84" s="1865"/>
      <c r="DN84" s="1865"/>
      <c r="DO84" s="1865"/>
      <c r="DP84" s="1865"/>
      <c r="DQ84" s="1865"/>
      <c r="DR84" s="1865"/>
      <c r="DS84" s="1865"/>
      <c r="DT84" s="1865"/>
      <c r="DU84" s="1865"/>
      <c r="DV84" s="1865"/>
      <c r="DW84" s="1865"/>
      <c r="DX84" s="1865"/>
      <c r="DY84" s="1865"/>
      <c r="DZ84" s="1865"/>
      <c r="EA84" s="1865"/>
      <c r="EB84" s="1865"/>
      <c r="EC84" s="1865"/>
      <c r="ED84" s="1865"/>
      <c r="EE84" s="1865"/>
      <c r="EF84" s="1865"/>
      <c r="EG84" s="1866"/>
      <c r="EH84" s="17"/>
      <c r="EI84" s="17"/>
      <c r="EJ84" s="17"/>
      <c r="EK84" s="17"/>
      <c r="EL84" s="17"/>
      <c r="EM84" s="17"/>
      <c r="EN84" s="17"/>
      <c r="EO84" s="17"/>
      <c r="EP84" s="17"/>
    </row>
    <row r="85" spans="94:146" ht="7.5" customHeight="1" x14ac:dyDescent="0.25">
      <c r="CP85" s="17"/>
      <c r="CQ85" s="17"/>
      <c r="CR85" s="17"/>
      <c r="CS85" s="17"/>
      <c r="CT85" s="17"/>
      <c r="CU85" s="17"/>
      <c r="CV85" s="17"/>
      <c r="CW85" s="17"/>
      <c r="CX85" s="17"/>
      <c r="CY85" s="17"/>
      <c r="CZ85" s="17"/>
      <c r="DA85" s="17"/>
      <c r="DB85" s="17"/>
      <c r="DC85" s="17"/>
      <c r="DD85" s="17"/>
      <c r="DE85" s="17"/>
      <c r="DF85" s="17"/>
      <c r="DG85" s="17"/>
      <c r="DH85" s="17"/>
      <c r="DI85" s="17"/>
      <c r="DJ85" s="17"/>
      <c r="DK85" s="17"/>
      <c r="DL85" s="17"/>
      <c r="DM85" s="17"/>
      <c r="DN85" s="17"/>
      <c r="DO85" s="17"/>
      <c r="DP85" s="17"/>
      <c r="DQ85" s="17"/>
      <c r="DR85" s="17"/>
      <c r="DS85" s="17"/>
      <c r="DT85" s="17"/>
      <c r="DU85" s="17"/>
      <c r="DV85" s="17"/>
      <c r="DW85" s="17"/>
      <c r="DX85" s="17"/>
      <c r="DY85" s="17"/>
      <c r="DZ85" s="17"/>
      <c r="EA85" s="17"/>
      <c r="EB85" s="17"/>
      <c r="EC85" s="17"/>
      <c r="ED85" s="17"/>
      <c r="EE85" s="17"/>
      <c r="EF85" s="17"/>
      <c r="EG85" s="17"/>
      <c r="EH85" s="17"/>
      <c r="EI85" s="17"/>
      <c r="EJ85" s="17"/>
      <c r="EK85" s="17"/>
      <c r="EL85" s="17"/>
      <c r="EM85" s="17"/>
      <c r="EN85" s="17"/>
      <c r="EO85" s="17"/>
      <c r="EP85" s="17"/>
    </row>
    <row r="86" spans="94:146" ht="7.5" customHeight="1" x14ac:dyDescent="0.25">
      <c r="CP86" s="17"/>
      <c r="CQ86" s="17"/>
      <c r="CR86" s="17"/>
      <c r="CS86" s="17"/>
      <c r="CT86" s="17"/>
      <c r="CU86" s="17"/>
      <c r="CV86" s="17"/>
      <c r="CW86" s="17"/>
      <c r="CX86" s="17"/>
      <c r="CY86" s="17"/>
      <c r="CZ86" s="17"/>
      <c r="DA86" s="17"/>
      <c r="DB86" s="17"/>
      <c r="DC86" s="17"/>
      <c r="DD86" s="17"/>
      <c r="DE86" s="17"/>
      <c r="DF86" s="17"/>
      <c r="DG86" s="17"/>
      <c r="DH86" s="17"/>
      <c r="DI86" s="17"/>
      <c r="DJ86" s="17"/>
      <c r="DK86" s="17"/>
      <c r="DL86" s="17"/>
      <c r="DM86" s="17"/>
      <c r="DN86" s="17"/>
      <c r="DO86" s="17"/>
      <c r="DP86" s="17"/>
      <c r="DQ86" s="17"/>
      <c r="DR86" s="17"/>
      <c r="DS86" s="17"/>
      <c r="DT86" s="17"/>
      <c r="DU86" s="17"/>
      <c r="DV86" s="17"/>
      <c r="DW86" s="17"/>
      <c r="DX86" s="17"/>
      <c r="DY86" s="17"/>
      <c r="DZ86" s="17"/>
      <c r="EA86" s="17"/>
      <c r="EB86" s="17"/>
      <c r="EC86" s="17"/>
      <c r="ED86" s="17"/>
      <c r="EE86" s="17"/>
      <c r="EF86" s="17"/>
      <c r="EG86" s="17"/>
      <c r="EH86" s="17"/>
      <c r="EI86" s="17"/>
      <c r="EJ86" s="17"/>
      <c r="EK86" s="17"/>
      <c r="EL86" s="17"/>
      <c r="EM86" s="17"/>
      <c r="EN86" s="17"/>
      <c r="EO86" s="17"/>
      <c r="EP86" s="17"/>
    </row>
    <row r="87" spans="94:146" ht="7.5" customHeight="1" x14ac:dyDescent="0.25">
      <c r="CP87" s="17"/>
      <c r="CQ87" s="17"/>
      <c r="CR87" s="17"/>
      <c r="CS87" s="17"/>
      <c r="CT87" s="17"/>
      <c r="CU87" s="17"/>
      <c r="CV87" s="17"/>
      <c r="CW87" s="17"/>
      <c r="CX87" s="17"/>
      <c r="CY87" s="17"/>
      <c r="CZ87" s="17"/>
      <c r="DA87" s="17"/>
      <c r="DB87" s="17"/>
      <c r="DC87" s="17"/>
      <c r="DD87" s="17"/>
      <c r="DE87" s="17"/>
      <c r="DF87" s="17"/>
      <c r="DG87" s="17"/>
      <c r="DH87" s="17"/>
      <c r="DI87" s="17"/>
      <c r="DJ87" s="17"/>
      <c r="DK87" s="17"/>
      <c r="DL87" s="17"/>
      <c r="DM87" s="17"/>
      <c r="DN87" s="17"/>
      <c r="DO87" s="17"/>
      <c r="DP87" s="17"/>
      <c r="DQ87" s="17"/>
      <c r="DR87" s="17"/>
      <c r="DS87" s="17"/>
      <c r="DT87" s="17"/>
      <c r="DU87" s="17"/>
      <c r="DV87" s="17"/>
      <c r="DW87" s="17"/>
      <c r="DX87" s="17"/>
      <c r="DY87" s="17"/>
      <c r="DZ87" s="17"/>
      <c r="EA87" s="17"/>
      <c r="EB87" s="17"/>
      <c r="EC87" s="17"/>
      <c r="ED87" s="17"/>
      <c r="EE87" s="17"/>
      <c r="EF87" s="17"/>
      <c r="EG87" s="17"/>
      <c r="EH87" s="17"/>
      <c r="EI87" s="17"/>
      <c r="EJ87" s="17"/>
      <c r="EK87" s="17"/>
      <c r="EL87" s="17"/>
      <c r="EM87" s="17"/>
      <c r="EN87" s="17"/>
      <c r="EO87" s="17"/>
      <c r="EP87" s="17"/>
    </row>
    <row r="88" spans="94:146" ht="7.5" customHeight="1" x14ac:dyDescent="0.25">
      <c r="CP88" s="17"/>
      <c r="CQ88" s="17"/>
      <c r="CR88" s="17"/>
      <c r="CS88" s="17"/>
      <c r="CT88" s="17"/>
      <c r="CU88" s="17"/>
      <c r="CV88" s="17"/>
      <c r="CW88" s="17"/>
      <c r="CX88" s="17"/>
      <c r="CY88" s="17"/>
      <c r="CZ88" s="17"/>
      <c r="DA88" s="17"/>
      <c r="DB88" s="17"/>
      <c r="DC88" s="17"/>
      <c r="DD88" s="17"/>
      <c r="DE88" s="17"/>
      <c r="DF88" s="17"/>
      <c r="DG88" s="17"/>
      <c r="DH88" s="17"/>
      <c r="DI88" s="17"/>
      <c r="DJ88" s="17"/>
      <c r="DK88" s="17"/>
      <c r="DL88" s="17"/>
      <c r="DM88" s="17"/>
      <c r="DN88" s="17"/>
      <c r="DO88" s="17"/>
      <c r="DP88" s="17"/>
      <c r="DQ88" s="17"/>
      <c r="DR88" s="17"/>
      <c r="DS88" s="17"/>
      <c r="DT88" s="17"/>
      <c r="DU88" s="17"/>
      <c r="DV88" s="17"/>
      <c r="DW88" s="17"/>
      <c r="DX88" s="17"/>
      <c r="DY88" s="17"/>
      <c r="DZ88" s="17"/>
      <c r="EA88" s="17"/>
      <c r="EB88" s="17"/>
      <c r="EC88" s="17"/>
      <c r="ED88" s="17"/>
      <c r="EE88" s="17"/>
      <c r="EF88" s="17"/>
      <c r="EG88" s="17"/>
      <c r="EH88" s="17"/>
      <c r="EI88" s="17"/>
      <c r="EJ88" s="17"/>
      <c r="EK88" s="17"/>
      <c r="EL88" s="17"/>
      <c r="EM88" s="17"/>
      <c r="EN88" s="17"/>
      <c r="EO88" s="17"/>
      <c r="EP88" s="17"/>
    </row>
    <row r="89" spans="94:146" ht="7.5" customHeight="1" x14ac:dyDescent="0.25">
      <c r="CP89" s="17"/>
      <c r="CQ89" s="17"/>
      <c r="CR89" s="17"/>
      <c r="CS89" s="17"/>
      <c r="CT89" s="17"/>
      <c r="CU89" s="17"/>
      <c r="CV89" s="17"/>
      <c r="CW89" s="17"/>
      <c r="CX89" s="17"/>
      <c r="CY89" s="17"/>
      <c r="CZ89" s="17"/>
      <c r="DA89" s="17"/>
      <c r="DB89" s="17"/>
      <c r="DC89" s="17"/>
      <c r="DD89" s="17"/>
      <c r="DE89" s="17"/>
      <c r="DF89" s="17"/>
      <c r="DG89" s="17"/>
      <c r="DH89" s="17"/>
      <c r="DI89" s="17"/>
      <c r="DJ89" s="17"/>
      <c r="DK89" s="17"/>
      <c r="DL89" s="17"/>
      <c r="DM89" s="17"/>
      <c r="DN89" s="17"/>
      <c r="DO89" s="17"/>
      <c r="DP89" s="17"/>
      <c r="DQ89" s="17"/>
      <c r="DR89" s="17"/>
      <c r="DS89" s="17"/>
      <c r="DT89" s="17"/>
      <c r="DU89" s="17"/>
      <c r="DV89" s="17"/>
      <c r="DW89" s="17"/>
      <c r="DX89" s="17"/>
      <c r="DY89" s="17"/>
      <c r="DZ89" s="17"/>
      <c r="EA89" s="17"/>
      <c r="EB89" s="17"/>
      <c r="EC89" s="17"/>
      <c r="ED89" s="17"/>
      <c r="EE89" s="17"/>
      <c r="EF89" s="17"/>
      <c r="EG89" s="17"/>
      <c r="EH89" s="17"/>
      <c r="EI89" s="17"/>
      <c r="EJ89" s="17"/>
      <c r="EK89" s="17"/>
      <c r="EL89" s="17"/>
      <c r="EM89" s="17"/>
      <c r="EN89" s="17"/>
      <c r="EO89" s="17"/>
      <c r="EP89" s="17"/>
    </row>
    <row r="90" spans="94:146" ht="7.5" customHeight="1" x14ac:dyDescent="0.25">
      <c r="CP90" s="17"/>
      <c r="CQ90" s="17"/>
      <c r="CR90" s="17"/>
      <c r="CS90" s="17"/>
      <c r="CT90" s="17"/>
      <c r="CU90" s="17"/>
      <c r="CV90" s="17"/>
      <c r="CW90" s="17"/>
      <c r="CX90" s="17"/>
      <c r="CY90" s="17"/>
      <c r="CZ90" s="17"/>
      <c r="DA90" s="17"/>
      <c r="DB90" s="17"/>
      <c r="DC90" s="17"/>
      <c r="DD90" s="17"/>
      <c r="DE90" s="17"/>
      <c r="DF90" s="17"/>
      <c r="DG90" s="17"/>
      <c r="DH90" s="17"/>
      <c r="DI90" s="17"/>
      <c r="DJ90" s="17"/>
      <c r="DK90" s="17"/>
      <c r="DL90" s="17"/>
      <c r="DM90" s="17"/>
      <c r="DN90" s="17"/>
      <c r="DO90" s="17"/>
      <c r="DP90" s="17"/>
      <c r="DQ90" s="17"/>
      <c r="DR90" s="17"/>
      <c r="DS90" s="17"/>
      <c r="DT90" s="17"/>
      <c r="DU90" s="17"/>
      <c r="DV90" s="17"/>
      <c r="DW90" s="17"/>
      <c r="DX90" s="17"/>
      <c r="DY90" s="17"/>
      <c r="DZ90" s="17"/>
      <c r="EA90" s="17"/>
      <c r="EB90" s="17"/>
      <c r="EC90" s="17"/>
      <c r="ED90" s="17"/>
      <c r="EE90" s="17"/>
      <c r="EF90" s="17"/>
      <c r="EG90" s="17"/>
      <c r="EH90" s="17"/>
      <c r="EI90" s="17"/>
      <c r="EJ90" s="17"/>
      <c r="EK90" s="17"/>
      <c r="EL90" s="17"/>
      <c r="EM90" s="17"/>
      <c r="EN90" s="17"/>
      <c r="EO90" s="17"/>
      <c r="EP90" s="17"/>
    </row>
    <row r="149" spans="1:5" ht="7.5" customHeight="1" x14ac:dyDescent="0.25">
      <c r="A149" s="178"/>
      <c r="B149" s="178"/>
      <c r="C149" s="178"/>
      <c r="D149" s="178"/>
      <c r="E149" s="178"/>
    </row>
    <row r="150" spans="1:5" ht="7.5" customHeight="1" x14ac:dyDescent="0.25">
      <c r="A150" s="178"/>
      <c r="B150" s="178"/>
      <c r="C150" s="178"/>
      <c r="D150" s="178"/>
      <c r="E150" s="178"/>
    </row>
    <row r="151" spans="1:5" ht="7.5" customHeight="1" x14ac:dyDescent="0.25">
      <c r="A151" s="178"/>
      <c r="B151" s="178"/>
      <c r="C151" s="178"/>
      <c r="D151" s="178"/>
      <c r="E151" s="178"/>
    </row>
    <row r="152" spans="1:5" ht="7.5" customHeight="1" x14ac:dyDescent="0.25">
      <c r="A152" s="129"/>
      <c r="B152" s="129"/>
      <c r="C152" s="129"/>
      <c r="D152" s="129"/>
      <c r="E152" s="129"/>
    </row>
  </sheetData>
  <mergeCells count="452">
    <mergeCell ref="DR44:ED45"/>
    <mergeCell ref="DR46:ED47"/>
    <mergeCell ref="DR48:ED49"/>
    <mergeCell ref="DR50:ED51"/>
    <mergeCell ref="DR52:ED53"/>
    <mergeCell ref="DR54:ED55"/>
    <mergeCell ref="EF44:ER45"/>
    <mergeCell ref="EF46:ER47"/>
    <mergeCell ref="EF48:ER49"/>
    <mergeCell ref="EF50:ER51"/>
    <mergeCell ref="ET44:FF45"/>
    <mergeCell ref="ET46:FF47"/>
    <mergeCell ref="ET48:FF49"/>
    <mergeCell ref="ET50:FF51"/>
    <mergeCell ref="BT52:CB53"/>
    <mergeCell ref="A74:J74"/>
    <mergeCell ref="A42:J43"/>
    <mergeCell ref="A45:J46"/>
    <mergeCell ref="A48:J49"/>
    <mergeCell ref="A51:J52"/>
    <mergeCell ref="A54:J55"/>
    <mergeCell ref="A57:J58"/>
    <mergeCell ref="A61:J62"/>
    <mergeCell ref="A63:J65"/>
    <mergeCell ref="A67:J68"/>
    <mergeCell ref="A59:H59"/>
    <mergeCell ref="A69:J70"/>
    <mergeCell ref="A71:J71"/>
    <mergeCell ref="A72:J73"/>
    <mergeCell ref="A50:H50"/>
    <mergeCell ref="BB67:CB74"/>
    <mergeCell ref="BB63:BD63"/>
    <mergeCell ref="BB64:BS65"/>
    <mergeCell ref="BT64:CB65"/>
    <mergeCell ref="A56:H56"/>
    <mergeCell ref="CS67:EG84"/>
    <mergeCell ref="CC64:CJ65"/>
    <mergeCell ref="CC59:CJ61"/>
    <mergeCell ref="CD58:CJ58"/>
    <mergeCell ref="EU42:EY43"/>
    <mergeCell ref="EZ42:EZ43"/>
    <mergeCell ref="FA42:FF43"/>
    <mergeCell ref="BB55:CB62"/>
    <mergeCell ref="CC55:CJ57"/>
    <mergeCell ref="BB54:BG54"/>
    <mergeCell ref="CD54:CG54"/>
    <mergeCell ref="DR42:EE43"/>
    <mergeCell ref="EF42:EI43"/>
    <mergeCell ref="EJ42:EJ43"/>
    <mergeCell ref="EK42:EN43"/>
    <mergeCell ref="EO42:EO43"/>
    <mergeCell ref="EP42:ES43"/>
    <mergeCell ref="ET42:ET43"/>
    <mergeCell ref="CC71:CJ73"/>
    <mergeCell ref="CD70:CJ70"/>
    <mergeCell ref="CC67:CJ69"/>
    <mergeCell ref="CD66:CG66"/>
    <mergeCell ref="BB66:BG66"/>
    <mergeCell ref="CC52:CJ53"/>
    <mergeCell ref="BB51:BD51"/>
    <mergeCell ref="BB52:BS53"/>
    <mergeCell ref="A53:H53"/>
    <mergeCell ref="EF52:ER53"/>
    <mergeCell ref="EF54:ER55"/>
    <mergeCell ref="ET52:FF53"/>
    <mergeCell ref="ET54:FF55"/>
    <mergeCell ref="AU39:AZ40"/>
    <mergeCell ref="BB39:BD39"/>
    <mergeCell ref="CD42:CG42"/>
    <mergeCell ref="CD46:CJ46"/>
    <mergeCell ref="A47:H47"/>
    <mergeCell ref="BB43:CB50"/>
    <mergeCell ref="CC43:CJ45"/>
    <mergeCell ref="A44:H44"/>
    <mergeCell ref="CC47:CJ49"/>
    <mergeCell ref="AT39:AT40"/>
    <mergeCell ref="AE45:AH46"/>
    <mergeCell ref="AI45:AI46"/>
    <mergeCell ref="AJ45:AM46"/>
    <mergeCell ref="AN45:AN46"/>
    <mergeCell ref="AO45:AS46"/>
    <mergeCell ref="AT45:AT46"/>
    <mergeCell ref="CD34:CJ34"/>
    <mergeCell ref="A35:C35"/>
    <mergeCell ref="L35:Y36"/>
    <mergeCell ref="Z35:AC36"/>
    <mergeCell ref="AD35:AD36"/>
    <mergeCell ref="A40:J41"/>
    <mergeCell ref="BB40:BS41"/>
    <mergeCell ref="BT40:CB41"/>
    <mergeCell ref="BB42:BG42"/>
    <mergeCell ref="AU37:AZ38"/>
    <mergeCell ref="A38:C38"/>
    <mergeCell ref="L39:Y40"/>
    <mergeCell ref="Z39:AC40"/>
    <mergeCell ref="AD39:AD40"/>
    <mergeCell ref="AE39:AH40"/>
    <mergeCell ref="AI39:AI40"/>
    <mergeCell ref="AJ39:AM40"/>
    <mergeCell ref="AN39:AN40"/>
    <mergeCell ref="AO39:AS40"/>
    <mergeCell ref="AE37:AH38"/>
    <mergeCell ref="AI37:AI38"/>
    <mergeCell ref="CC40:CJ41"/>
    <mergeCell ref="A30:C31"/>
    <mergeCell ref="D30:F32"/>
    <mergeCell ref="H30:J32"/>
    <mergeCell ref="BB30:BG30"/>
    <mergeCell ref="AU33:AZ34"/>
    <mergeCell ref="AJ37:AM38"/>
    <mergeCell ref="AN37:AN38"/>
    <mergeCell ref="AO37:AS38"/>
    <mergeCell ref="AT37:AT38"/>
    <mergeCell ref="AE35:AH36"/>
    <mergeCell ref="AI35:AI36"/>
    <mergeCell ref="AJ35:AM36"/>
    <mergeCell ref="AN35:AN36"/>
    <mergeCell ref="CC31:CJ33"/>
    <mergeCell ref="A32:C32"/>
    <mergeCell ref="A33:C34"/>
    <mergeCell ref="D33:F35"/>
    <mergeCell ref="H33:J35"/>
    <mergeCell ref="L33:Y34"/>
    <mergeCell ref="Z33:AC34"/>
    <mergeCell ref="AD33:AD34"/>
    <mergeCell ref="AE33:AH34"/>
    <mergeCell ref="AI33:AI34"/>
    <mergeCell ref="AJ31:AM32"/>
    <mergeCell ref="AN31:AN32"/>
    <mergeCell ref="AO31:AS32"/>
    <mergeCell ref="AT31:AT32"/>
    <mergeCell ref="AO35:AS36"/>
    <mergeCell ref="AT35:AT36"/>
    <mergeCell ref="AU35:AZ36"/>
    <mergeCell ref="CC35:CJ37"/>
    <mergeCell ref="A36:C37"/>
    <mergeCell ref="D36:F38"/>
    <mergeCell ref="H36:J38"/>
    <mergeCell ref="L37:Y38"/>
    <mergeCell ref="Z37:AC38"/>
    <mergeCell ref="AD37:AD38"/>
    <mergeCell ref="AE27:AH28"/>
    <mergeCell ref="AI27:AI28"/>
    <mergeCell ref="AJ27:AM28"/>
    <mergeCell ref="AN27:AN28"/>
    <mergeCell ref="AO27:AS28"/>
    <mergeCell ref="AT27:AT28"/>
    <mergeCell ref="CD30:CG30"/>
    <mergeCell ref="L31:Y32"/>
    <mergeCell ref="Z31:AC32"/>
    <mergeCell ref="AD31:AD32"/>
    <mergeCell ref="AE31:AH32"/>
    <mergeCell ref="AI31:AI32"/>
    <mergeCell ref="AI29:AI30"/>
    <mergeCell ref="AJ29:AM30"/>
    <mergeCell ref="AN29:AN30"/>
    <mergeCell ref="AO29:AS30"/>
    <mergeCell ref="AT29:AT30"/>
    <mergeCell ref="AU29:AZ30"/>
    <mergeCell ref="AU31:AZ32"/>
    <mergeCell ref="BB31:CB38"/>
    <mergeCell ref="AJ33:AM34"/>
    <mergeCell ref="AN33:AN34"/>
    <mergeCell ref="AO33:AS34"/>
    <mergeCell ref="AT33:AT34"/>
    <mergeCell ref="AE25:AH26"/>
    <mergeCell ref="AI25:AI26"/>
    <mergeCell ref="AJ25:AM26"/>
    <mergeCell ref="AN25:AN26"/>
    <mergeCell ref="AO25:AS26"/>
    <mergeCell ref="AT25:AT26"/>
    <mergeCell ref="AU25:AZ26"/>
    <mergeCell ref="BB25:CK26"/>
    <mergeCell ref="A26:C27"/>
    <mergeCell ref="D26:F28"/>
    <mergeCell ref="H26:J28"/>
    <mergeCell ref="L27:Y28"/>
    <mergeCell ref="Z27:AC28"/>
    <mergeCell ref="AD27:AD28"/>
    <mergeCell ref="AU27:AZ28"/>
    <mergeCell ref="BB27:BD27"/>
    <mergeCell ref="A28:C28"/>
    <mergeCell ref="BB28:BS29"/>
    <mergeCell ref="BT28:CB29"/>
    <mergeCell ref="CC28:CJ29"/>
    <mergeCell ref="L29:Y30"/>
    <mergeCell ref="Z29:AC30"/>
    <mergeCell ref="AD29:AD30"/>
    <mergeCell ref="AE29:AH30"/>
    <mergeCell ref="A23:C24"/>
    <mergeCell ref="D23:F25"/>
    <mergeCell ref="H23:J25"/>
    <mergeCell ref="L23:Y24"/>
    <mergeCell ref="Z23:AC24"/>
    <mergeCell ref="AD23:AD24"/>
    <mergeCell ref="AE23:AH24"/>
    <mergeCell ref="AT21:AT22"/>
    <mergeCell ref="AU21:AZ22"/>
    <mergeCell ref="A22:C22"/>
    <mergeCell ref="AI23:AI24"/>
    <mergeCell ref="AJ23:AM24"/>
    <mergeCell ref="AN23:AN24"/>
    <mergeCell ref="AO23:AS24"/>
    <mergeCell ref="AD21:AD22"/>
    <mergeCell ref="AE21:AH22"/>
    <mergeCell ref="AI21:AI22"/>
    <mergeCell ref="AJ21:AM22"/>
    <mergeCell ref="AT23:AT24"/>
    <mergeCell ref="AU23:AZ24"/>
    <mergeCell ref="A25:C25"/>
    <mergeCell ref="L25:Y26"/>
    <mergeCell ref="Z25:AC26"/>
    <mergeCell ref="AD25:AD26"/>
    <mergeCell ref="AO19:AS20"/>
    <mergeCell ref="AT19:AT20"/>
    <mergeCell ref="AU19:AZ20"/>
    <mergeCell ref="BS22:BU23"/>
    <mergeCell ref="BW22:CG23"/>
    <mergeCell ref="CH22:CK23"/>
    <mergeCell ref="BB22:BD23"/>
    <mergeCell ref="BE22:BK23"/>
    <mergeCell ref="BL22:BR23"/>
    <mergeCell ref="A20:C21"/>
    <mergeCell ref="D20:F22"/>
    <mergeCell ref="H20:J22"/>
    <mergeCell ref="L21:Y22"/>
    <mergeCell ref="Z21:AC22"/>
    <mergeCell ref="A18:C18"/>
    <mergeCell ref="L19:Y20"/>
    <mergeCell ref="Z19:AC20"/>
    <mergeCell ref="AD19:AD20"/>
    <mergeCell ref="AE19:AH20"/>
    <mergeCell ref="AI19:AI20"/>
    <mergeCell ref="AN17:AN18"/>
    <mergeCell ref="AO17:AS18"/>
    <mergeCell ref="AT17:AT18"/>
    <mergeCell ref="AU17:AZ18"/>
    <mergeCell ref="BW17:BZ18"/>
    <mergeCell ref="CA17:CK18"/>
    <mergeCell ref="L17:Y18"/>
    <mergeCell ref="Z17:AC18"/>
    <mergeCell ref="AD17:AD18"/>
    <mergeCell ref="AE17:AH18"/>
    <mergeCell ref="AI17:AI18"/>
    <mergeCell ref="AJ17:AM18"/>
    <mergeCell ref="BW20:CG21"/>
    <mergeCell ref="AN21:AN22"/>
    <mergeCell ref="AO21:AS22"/>
    <mergeCell ref="BB20:BD21"/>
    <mergeCell ref="BE20:BK21"/>
    <mergeCell ref="BL20:BR21"/>
    <mergeCell ref="BS20:BU21"/>
    <mergeCell ref="CH20:CK21"/>
    <mergeCell ref="AJ19:AM20"/>
    <mergeCell ref="AN19:AN20"/>
    <mergeCell ref="AJ13:AM14"/>
    <mergeCell ref="AN13:AN14"/>
    <mergeCell ref="BW15:CA15"/>
    <mergeCell ref="A16:C17"/>
    <mergeCell ref="D16:F18"/>
    <mergeCell ref="H16:J18"/>
    <mergeCell ref="AJ15:AM16"/>
    <mergeCell ref="AN15:AN16"/>
    <mergeCell ref="AO15:AS16"/>
    <mergeCell ref="AT15:AT16"/>
    <mergeCell ref="AU15:AZ16"/>
    <mergeCell ref="L15:Y16"/>
    <mergeCell ref="Z15:AC16"/>
    <mergeCell ref="AD15:AD16"/>
    <mergeCell ref="AE15:AH16"/>
    <mergeCell ref="AI15:AI16"/>
    <mergeCell ref="Z13:AC14"/>
    <mergeCell ref="AD13:AD14"/>
    <mergeCell ref="AE13:AH14"/>
    <mergeCell ref="AI13:AI14"/>
    <mergeCell ref="CB11:CK15"/>
    <mergeCell ref="A12:C12"/>
    <mergeCell ref="A13:C14"/>
    <mergeCell ref="D13:F15"/>
    <mergeCell ref="H13:J15"/>
    <mergeCell ref="L13:Y14"/>
    <mergeCell ref="AI11:AI12"/>
    <mergeCell ref="AJ11:AM12"/>
    <mergeCell ref="AN11:AN12"/>
    <mergeCell ref="AO11:AS12"/>
    <mergeCell ref="AT11:AT12"/>
    <mergeCell ref="AU11:AZ12"/>
    <mergeCell ref="BW9:CA12"/>
    <mergeCell ref="CB9:CK10"/>
    <mergeCell ref="A10:C11"/>
    <mergeCell ref="D10:F12"/>
    <mergeCell ref="H10:J12"/>
    <mergeCell ref="L11:Y12"/>
    <mergeCell ref="Z11:AC12"/>
    <mergeCell ref="AO13:AS14"/>
    <mergeCell ref="AT13:AT14"/>
    <mergeCell ref="AU13:AZ14"/>
    <mergeCell ref="BW13:CA14"/>
    <mergeCell ref="A15:C15"/>
    <mergeCell ref="AD11:AD12"/>
    <mergeCell ref="AE11:AH12"/>
    <mergeCell ref="BW7:CA8"/>
    <mergeCell ref="L9:Y10"/>
    <mergeCell ref="Z9:AC10"/>
    <mergeCell ref="AD9:AD10"/>
    <mergeCell ref="AE9:AH10"/>
    <mergeCell ref="AI9:AI10"/>
    <mergeCell ref="AJ9:AM10"/>
    <mergeCell ref="AN9:AN10"/>
    <mergeCell ref="AO9:AS10"/>
    <mergeCell ref="AN7:AN8"/>
    <mergeCell ref="AO7:AS8"/>
    <mergeCell ref="AT7:AT8"/>
    <mergeCell ref="AU7:AZ8"/>
    <mergeCell ref="AT9:AT10"/>
    <mergeCell ref="AU9:AZ10"/>
    <mergeCell ref="L7:Y8"/>
    <mergeCell ref="Z7:AC8"/>
    <mergeCell ref="AD7:AD8"/>
    <mergeCell ref="AE7:AH8"/>
    <mergeCell ref="AI7:AI8"/>
    <mergeCell ref="AJ7:AM8"/>
    <mergeCell ref="CB3:CK5"/>
    <mergeCell ref="A4:J5"/>
    <mergeCell ref="L5:Y6"/>
    <mergeCell ref="Z5:AC6"/>
    <mergeCell ref="BW1:CA4"/>
    <mergeCell ref="CB1:CK2"/>
    <mergeCell ref="A3:P3"/>
    <mergeCell ref="R3:AA3"/>
    <mergeCell ref="AC3:AL3"/>
    <mergeCell ref="AN3:AS3"/>
    <mergeCell ref="AU3:AZ3"/>
    <mergeCell ref="A1:P2"/>
    <mergeCell ref="R1:Y2"/>
    <mergeCell ref="AC1:AL2"/>
    <mergeCell ref="AN1:AS2"/>
    <mergeCell ref="AU1:AZ2"/>
    <mergeCell ref="BB1:BU2"/>
    <mergeCell ref="CB6:CK7"/>
    <mergeCell ref="A7:B8"/>
    <mergeCell ref="C7:F8"/>
    <mergeCell ref="H7:J8"/>
    <mergeCell ref="AU5:AZ6"/>
    <mergeCell ref="BW5:CA6"/>
    <mergeCell ref="A6:J6"/>
    <mergeCell ref="AO5:AS6"/>
    <mergeCell ref="AT5:AT6"/>
    <mergeCell ref="AD5:AD6"/>
    <mergeCell ref="AE5:AH6"/>
    <mergeCell ref="AI5:AI6"/>
    <mergeCell ref="AJ5:AM6"/>
    <mergeCell ref="AN5:AN6"/>
    <mergeCell ref="CS65:DF66"/>
    <mergeCell ref="L41:Y42"/>
    <mergeCell ref="Z41:AC42"/>
    <mergeCell ref="AD41:AD42"/>
    <mergeCell ref="AE41:AH42"/>
    <mergeCell ref="AI41:AI42"/>
    <mergeCell ref="AJ41:AM42"/>
    <mergeCell ref="AN41:AN42"/>
    <mergeCell ref="AO41:AS42"/>
    <mergeCell ref="AT41:AT42"/>
    <mergeCell ref="AU41:AZ42"/>
    <mergeCell ref="L43:Y44"/>
    <mergeCell ref="Z43:AC44"/>
    <mergeCell ref="AD43:AD44"/>
    <mergeCell ref="AE43:AH44"/>
    <mergeCell ref="AI43:AI44"/>
    <mergeCell ref="AJ43:AM44"/>
    <mergeCell ref="AN43:AN44"/>
    <mergeCell ref="AO43:AS44"/>
    <mergeCell ref="AT43:AT44"/>
    <mergeCell ref="AU43:AZ44"/>
    <mergeCell ref="L45:Y46"/>
    <mergeCell ref="Z45:AC46"/>
    <mergeCell ref="AD45:AD46"/>
    <mergeCell ref="AU45:AZ46"/>
    <mergeCell ref="L47:Y48"/>
    <mergeCell ref="Z47:AC48"/>
    <mergeCell ref="AD47:AD48"/>
    <mergeCell ref="AE47:AH48"/>
    <mergeCell ref="AI47:AI48"/>
    <mergeCell ref="AJ47:AM48"/>
    <mergeCell ref="AN47:AN48"/>
    <mergeCell ref="AO47:AS48"/>
    <mergeCell ref="AT47:AT48"/>
    <mergeCell ref="AU47:AZ48"/>
    <mergeCell ref="Z51:AL52"/>
    <mergeCell ref="AN51:AZ52"/>
    <mergeCell ref="L53:X54"/>
    <mergeCell ref="Z53:AL54"/>
    <mergeCell ref="AN53:AZ54"/>
    <mergeCell ref="L55:X56"/>
    <mergeCell ref="Z55:AL56"/>
    <mergeCell ref="AN55:AZ56"/>
    <mergeCell ref="L49:Y50"/>
    <mergeCell ref="Z49:AC50"/>
    <mergeCell ref="AD49:AD50"/>
    <mergeCell ref="AE49:AH50"/>
    <mergeCell ref="AI49:AI50"/>
    <mergeCell ref="AJ49:AM50"/>
    <mergeCell ref="AN49:AN50"/>
    <mergeCell ref="AO49:AS50"/>
    <mergeCell ref="AT49:AT50"/>
    <mergeCell ref="L71:X72"/>
    <mergeCell ref="Z71:AL72"/>
    <mergeCell ref="AN71:AZ72"/>
    <mergeCell ref="L73:X74"/>
    <mergeCell ref="Z73:AL74"/>
    <mergeCell ref="AN73:AZ74"/>
    <mergeCell ref="L59:X60"/>
    <mergeCell ref="Z59:AL60"/>
    <mergeCell ref="AN59:AZ60"/>
    <mergeCell ref="L61:X62"/>
    <mergeCell ref="Z61:AL62"/>
    <mergeCell ref="AN61:AZ62"/>
    <mergeCell ref="L63:X64"/>
    <mergeCell ref="Z63:AL64"/>
    <mergeCell ref="AN63:AZ64"/>
    <mergeCell ref="L65:X66"/>
    <mergeCell ref="Z65:AL66"/>
    <mergeCell ref="AN65:AZ66"/>
    <mergeCell ref="L67:X68"/>
    <mergeCell ref="Z67:AL68"/>
    <mergeCell ref="AN67:AZ68"/>
    <mergeCell ref="L69:X70"/>
    <mergeCell ref="Z69:AL70"/>
    <mergeCell ref="L57:X58"/>
    <mergeCell ref="Z57:AL58"/>
    <mergeCell ref="AN69:AZ70"/>
    <mergeCell ref="BB3:BF3"/>
    <mergeCell ref="BG3:BK3"/>
    <mergeCell ref="BL3:BP3"/>
    <mergeCell ref="BQ3:BU3"/>
    <mergeCell ref="BB4:BF6"/>
    <mergeCell ref="BG4:BK6"/>
    <mergeCell ref="BL4:BP6"/>
    <mergeCell ref="BQ4:BU6"/>
    <mergeCell ref="BB7:BF7"/>
    <mergeCell ref="BQ7:BU7"/>
    <mergeCell ref="BB8:BK9"/>
    <mergeCell ref="BL8:BU9"/>
    <mergeCell ref="BB10:BK11"/>
    <mergeCell ref="BL10:BU11"/>
    <mergeCell ref="BB12:BK13"/>
    <mergeCell ref="BL12:BU13"/>
    <mergeCell ref="BB14:BK15"/>
    <mergeCell ref="BL14:BU15"/>
    <mergeCell ref="AN57:AZ58"/>
    <mergeCell ref="AU49:AZ50"/>
    <mergeCell ref="L51:X52"/>
  </mergeCells>
  <conditionalFormatting sqref="BW5">
    <cfRule type="expression" dxfId="110" priority="13">
      <formula>ISNUMBER($BW$5)</formula>
    </cfRule>
  </conditionalFormatting>
  <conditionalFormatting sqref="BW9 BW1">
    <cfRule type="cellIs" dxfId="109" priority="12" stopIfTrue="1" operator="equal">
      <formula>"Max"</formula>
    </cfRule>
  </conditionalFormatting>
  <conditionalFormatting sqref="BW13:CA14">
    <cfRule type="expression" dxfId="108" priority="11" stopIfTrue="1">
      <formula>ISNUMBER($BW$13)</formula>
    </cfRule>
  </conditionalFormatting>
  <conditionalFormatting sqref="CH20">
    <cfRule type="cellIs" dxfId="107" priority="4" stopIfTrue="1" operator="between">
      <formula>0</formula>
      <formula>1000000</formula>
    </cfRule>
  </conditionalFormatting>
  <conditionalFormatting sqref="BW17">
    <cfRule type="cellIs" dxfId="106" priority="5" stopIfTrue="1" operator="between">
      <formula>0</formula>
      <formula>1000000</formula>
    </cfRule>
  </conditionalFormatting>
  <conditionalFormatting sqref="CH22">
    <cfRule type="cellIs" dxfId="105" priority="3" stopIfTrue="1" operator="between">
      <formula>0</formula>
      <formula>1000000</formula>
    </cfRule>
  </conditionalFormatting>
  <dataValidations count="1">
    <dataValidation allowBlank="1" showInputMessage="1" showErrorMessage="1" errorTitle="Defining Title Cells" error="Changing the values of these cells will actually break the spreadsheet." sqref="BW20 BL22 CA17 BL20 BE22 BE20 BW22 A61"/>
  </dataValidations>
  <printOptions horizontalCentered="1" verticalCentered="1"/>
  <pageMargins left="0.5" right="0.5" top="0.5" bottom="0.5" header="0.3" footer="0.3"/>
  <pageSetup fitToHeight="0" orientation="landscape" horizontalDpi="4294967293"/>
  <extLst>
    <ext xmlns:x14="http://schemas.microsoft.com/office/spreadsheetml/2009/9/main" uri="{78C0D931-6437-407d-A8EE-F0AAD7539E65}">
      <x14:conditionalFormattings>
        <x14:conditionalFormatting xmlns:xm="http://schemas.microsoft.com/office/excel/2006/main">
          <x14:cfRule type="containsText" priority="2" stopIfTrue="1" operator="containsText" id="{5D0E7CB4-76D3-4843-ABCD-4E48A24A9FE5}">
            <xm:f>NOT(ISERROR(SEARCH("-",BB4)))</xm:f>
            <xm:f>"-"</xm:f>
            <x14:dxf>
              <font>
                <color auto="1"/>
              </font>
            </x14:dxf>
          </x14:cfRule>
          <xm:sqref>BB4 BL4 BQ4</xm:sqref>
        </x14:conditionalFormatting>
        <x14:conditionalFormatting xmlns:xm="http://schemas.microsoft.com/office/excel/2006/main">
          <x14:cfRule type="beginsWith" priority="1" stopIfTrue="1" operator="beginsWith" id="{BF4F80D0-46D6-468D-986B-C9CC430A7855}">
            <xm:f>LEFT(BG4,LEN("1-"))="1-"</xm:f>
            <xm:f>"1-"</xm:f>
            <x14:dxf>
              <font>
                <color auto="1"/>
              </font>
            </x14:dxf>
          </x14:cfRule>
          <xm:sqref>BG4</xm:sqref>
        </x14:conditionalFormatting>
      </x14:conditionalFormattings>
    </ex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99"/>
    <pageSetUpPr fitToPage="1"/>
  </sheetPr>
  <dimension ref="A1:HI79"/>
  <sheetViews>
    <sheetView view="pageLayout" topLeftCell="A9" zoomScale="190" zoomScaleNormal="145" zoomScaleSheetLayoutView="70" zoomScalePageLayoutView="190" workbookViewId="0">
      <selection activeCell="AE61" sqref="AE61:AF62"/>
    </sheetView>
  </sheetViews>
  <sheetFormatPr defaultColWidth="1.42578125" defaultRowHeight="7.5" customHeight="1" x14ac:dyDescent="0.25"/>
  <cols>
    <col min="1" max="16384" width="1.42578125" style="29"/>
  </cols>
  <sheetData>
    <row r="1" spans="3:217" ht="7.5" customHeight="1" x14ac:dyDescent="0.25">
      <c r="S1" s="1435" t="s">
        <v>29</v>
      </c>
      <c r="T1" s="1436"/>
      <c r="U1" s="1436"/>
      <c r="V1" s="1436"/>
      <c r="W1" s="1436"/>
      <c r="X1" s="1436"/>
      <c r="Y1" s="1436"/>
      <c r="Z1" s="1436"/>
      <c r="AA1" s="1436"/>
      <c r="AB1" s="1436"/>
      <c r="AC1" s="1436"/>
      <c r="AD1" s="1892"/>
      <c r="AE1" s="1361"/>
      <c r="AF1" s="1429"/>
      <c r="AG1" s="1391" t="s">
        <v>428</v>
      </c>
      <c r="AH1" s="1391"/>
      <c r="BA1" s="1486" t="s">
        <v>494</v>
      </c>
      <c r="BB1" s="1486"/>
      <c r="BC1" s="1486"/>
      <c r="BD1" s="1486"/>
      <c r="BE1" s="1486"/>
      <c r="BF1" s="1486"/>
      <c r="BG1" s="1486"/>
      <c r="BH1" s="1486"/>
      <c r="BI1" s="1486"/>
      <c r="BJ1" s="1486"/>
      <c r="BK1" s="1486"/>
      <c r="BL1" s="1486"/>
      <c r="BM1" s="1486"/>
      <c r="BN1" s="1486"/>
      <c r="BO1" s="1486"/>
      <c r="BP1" s="1486"/>
      <c r="BQ1" s="1486"/>
      <c r="BR1" s="1486"/>
      <c r="BS1" s="1486"/>
      <c r="BT1" s="1486"/>
      <c r="BU1" s="1486"/>
      <c r="BV1" s="1486"/>
      <c r="BW1" s="1486"/>
      <c r="BX1" s="1486"/>
      <c r="BY1" s="1486"/>
      <c r="BZ1" s="1486"/>
      <c r="CA1" s="1486"/>
      <c r="CB1" s="1486"/>
      <c r="CC1" s="1486"/>
      <c r="CD1" s="1486"/>
      <c r="CE1" s="1486"/>
      <c r="CF1" s="1486"/>
      <c r="CG1" s="1486"/>
      <c r="CH1" s="1486"/>
      <c r="CI1" s="1486"/>
      <c r="CJ1" s="1486"/>
      <c r="CK1" s="1486"/>
      <c r="CL1" s="1486"/>
      <c r="CM1" s="1486"/>
      <c r="CN1" s="1486"/>
      <c r="CO1" s="1486"/>
      <c r="CP1" s="1486"/>
      <c r="CQ1" s="1486"/>
      <c r="CR1" s="17"/>
      <c r="CS1" s="17"/>
      <c r="CT1" s="17"/>
      <c r="CU1" s="17"/>
      <c r="EK1" s="17"/>
      <c r="EL1" s="17"/>
      <c r="EM1" s="17"/>
      <c r="EN1" s="17"/>
      <c r="EO1" s="17"/>
      <c r="EP1" s="17"/>
      <c r="EQ1" s="17"/>
      <c r="ER1" s="17"/>
      <c r="ES1" s="17"/>
      <c r="ET1" s="17"/>
      <c r="EU1" s="17"/>
      <c r="EV1" s="17"/>
      <c r="EW1" s="17"/>
      <c r="EX1" s="17"/>
      <c r="EY1" s="17"/>
      <c r="EZ1" s="17"/>
      <c r="FA1" s="17"/>
      <c r="FB1" s="17"/>
      <c r="FC1" s="17"/>
      <c r="FD1" s="17"/>
      <c r="FE1" s="17"/>
      <c r="FF1" s="17"/>
      <c r="FG1" s="17"/>
      <c r="FH1" s="17"/>
      <c r="FI1" s="17"/>
      <c r="FJ1" s="17"/>
      <c r="FK1" s="17"/>
      <c r="FL1" s="17"/>
      <c r="FM1" s="17"/>
      <c r="FN1" s="17"/>
      <c r="FO1" s="17"/>
      <c r="FP1" s="17"/>
      <c r="FQ1" s="17"/>
      <c r="FR1" s="17"/>
      <c r="FS1" s="17"/>
      <c r="FT1" s="17"/>
      <c r="FU1" s="17"/>
      <c r="FV1" s="17"/>
      <c r="FW1" s="17"/>
      <c r="FX1" s="17"/>
      <c r="FY1" s="17"/>
      <c r="FZ1" s="17"/>
      <c r="GA1" s="17"/>
      <c r="GB1" s="17"/>
      <c r="GC1" s="17"/>
      <c r="GD1" s="17"/>
      <c r="GE1" s="17"/>
      <c r="GF1" s="17"/>
      <c r="GG1" s="17"/>
      <c r="GH1" s="17"/>
      <c r="GI1" s="17"/>
      <c r="GJ1" s="17"/>
      <c r="GK1" s="17"/>
      <c r="GL1" s="17"/>
      <c r="GM1" s="17"/>
      <c r="GN1" s="17"/>
      <c r="GO1" s="17"/>
      <c r="GP1" s="17"/>
      <c r="GQ1" s="17"/>
      <c r="GR1" s="17"/>
      <c r="GS1" s="17"/>
      <c r="GT1" s="17"/>
      <c r="GU1" s="17"/>
      <c r="GV1" s="17"/>
      <c r="GW1" s="17"/>
      <c r="GX1" s="17"/>
      <c r="GY1" s="17"/>
      <c r="GZ1" s="17"/>
      <c r="HA1" s="17"/>
      <c r="HB1" s="17"/>
      <c r="HC1" s="17"/>
      <c r="HD1" s="17"/>
      <c r="HE1" s="17"/>
      <c r="HF1" s="17"/>
      <c r="HG1" s="17"/>
      <c r="HH1" s="17"/>
      <c r="HI1" s="17"/>
    </row>
    <row r="2" spans="3:217" ht="7.5" customHeight="1" x14ac:dyDescent="0.25">
      <c r="S2" s="1437"/>
      <c r="T2" s="1438"/>
      <c r="U2" s="1438"/>
      <c r="V2" s="1438"/>
      <c r="W2" s="1438"/>
      <c r="X2" s="1438"/>
      <c r="Y2" s="1438"/>
      <c r="Z2" s="1438"/>
      <c r="AA2" s="1438"/>
      <c r="AB2" s="1438"/>
      <c r="AC2" s="1438"/>
      <c r="AD2" s="1895"/>
      <c r="AE2" s="1363"/>
      <c r="AF2" s="1430"/>
      <c r="AG2" s="1392"/>
      <c r="AH2" s="1392"/>
      <c r="AJ2" s="1537"/>
      <c r="AK2" s="1537"/>
      <c r="AL2" s="1537"/>
      <c r="AM2" s="1540" t="s">
        <v>438</v>
      </c>
      <c r="AN2" s="1511"/>
      <c r="AO2" s="1511"/>
      <c r="AP2" s="1511"/>
      <c r="AR2" s="1487"/>
      <c r="AS2" s="1487"/>
      <c r="AT2" s="1487"/>
      <c r="AU2" s="1487"/>
      <c r="AW2" s="1487"/>
      <c r="AX2" s="1487"/>
      <c r="AY2" s="1487"/>
      <c r="AZ2" s="1487"/>
      <c r="BA2" s="1486"/>
      <c r="BB2" s="1486"/>
      <c r="BC2" s="1486"/>
      <c r="BD2" s="1486"/>
      <c r="BE2" s="1486"/>
      <c r="BF2" s="1486"/>
      <c r="BG2" s="1486"/>
      <c r="BH2" s="1486"/>
      <c r="BI2" s="1486"/>
      <c r="BJ2" s="1486"/>
      <c r="BK2" s="1486"/>
      <c r="BL2" s="1486"/>
      <c r="BM2" s="1486"/>
      <c r="BN2" s="1486"/>
      <c r="BO2" s="1486"/>
      <c r="BP2" s="1486"/>
      <c r="BQ2" s="1486"/>
      <c r="BR2" s="1486"/>
      <c r="BS2" s="1486"/>
      <c r="BT2" s="1486"/>
      <c r="BU2" s="1486"/>
      <c r="BV2" s="1486"/>
      <c r="BW2" s="1486"/>
      <c r="BX2" s="1486"/>
      <c r="BY2" s="1486"/>
      <c r="BZ2" s="1486"/>
      <c r="CA2" s="1486"/>
      <c r="CB2" s="1486"/>
      <c r="CC2" s="1486"/>
      <c r="CD2" s="1486"/>
      <c r="CE2" s="1486"/>
      <c r="CF2" s="1486"/>
      <c r="CG2" s="1486"/>
      <c r="CH2" s="1486"/>
      <c r="CI2" s="1486"/>
      <c r="CJ2" s="1486"/>
      <c r="CK2" s="1486"/>
      <c r="CL2" s="1486"/>
      <c r="CM2" s="1486"/>
      <c r="CN2" s="1486"/>
      <c r="CO2" s="1486"/>
      <c r="CP2" s="1486"/>
      <c r="CQ2" s="1486"/>
      <c r="CR2" s="17"/>
      <c r="CS2" s="17"/>
      <c r="CT2" s="17"/>
      <c r="CU2" s="17"/>
      <c r="EK2" s="17"/>
      <c r="EL2" s="17"/>
      <c r="EM2" s="17"/>
      <c r="EN2" s="17"/>
      <c r="EO2" s="17"/>
      <c r="EP2" s="17"/>
      <c r="EQ2" s="17"/>
      <c r="ER2" s="17"/>
      <c r="ES2" s="17"/>
      <c r="ET2" s="17"/>
      <c r="EU2" s="17"/>
      <c r="EV2" s="17"/>
      <c r="EW2" s="17"/>
      <c r="EX2" s="17"/>
      <c r="EY2" s="17"/>
      <c r="EZ2" s="17"/>
      <c r="FA2" s="17"/>
      <c r="FB2" s="17"/>
      <c r="FC2" s="17"/>
      <c r="FD2" s="17"/>
      <c r="FE2" s="17"/>
      <c r="FF2" s="17"/>
      <c r="FG2" s="17"/>
      <c r="FH2" s="17"/>
      <c r="FI2" s="17"/>
      <c r="FJ2" s="17"/>
      <c r="FK2" s="17"/>
      <c r="FL2" s="17"/>
      <c r="FM2" s="17"/>
      <c r="FN2" s="17"/>
      <c r="FO2" s="17"/>
      <c r="FP2" s="17"/>
      <c r="FQ2" s="17"/>
      <c r="FR2" s="17"/>
      <c r="FS2" s="17"/>
      <c r="FT2" s="17"/>
      <c r="FU2" s="17"/>
      <c r="FV2" s="17"/>
      <c r="FW2" s="17"/>
      <c r="FX2" s="17"/>
      <c r="FY2" s="17"/>
      <c r="FZ2" s="17"/>
      <c r="GA2" s="17"/>
      <c r="GB2" s="17"/>
      <c r="GC2" s="17"/>
      <c r="GD2" s="17"/>
      <c r="GE2" s="17"/>
      <c r="GF2" s="17"/>
      <c r="GG2" s="17"/>
      <c r="GH2" s="17"/>
      <c r="GI2" s="17"/>
      <c r="GJ2" s="17"/>
      <c r="GK2" s="17"/>
      <c r="GL2" s="17"/>
      <c r="GM2" s="17"/>
      <c r="GN2" s="17"/>
      <c r="GO2" s="17"/>
      <c r="GP2" s="17"/>
      <c r="GQ2" s="17"/>
      <c r="GR2" s="17"/>
      <c r="GS2" s="17"/>
      <c r="GT2" s="17"/>
      <c r="GU2" s="17"/>
      <c r="GV2" s="17"/>
      <c r="GW2" s="17"/>
      <c r="GX2" s="17"/>
      <c r="GY2" s="17"/>
      <c r="GZ2" s="17"/>
      <c r="HA2" s="17"/>
      <c r="HB2" s="17"/>
      <c r="HC2" s="17"/>
      <c r="HD2" s="17"/>
      <c r="HE2" s="17"/>
      <c r="HF2" s="17"/>
      <c r="HG2" s="17"/>
      <c r="HH2" s="17"/>
      <c r="HI2" s="17"/>
    </row>
    <row r="3" spans="3:217" ht="7.5" customHeight="1" thickBot="1" x14ac:dyDescent="0.3">
      <c r="C3" s="1435" t="s">
        <v>94</v>
      </c>
      <c r="D3" s="1436"/>
      <c r="E3" s="1436"/>
      <c r="F3" s="1436"/>
      <c r="G3" s="1436"/>
      <c r="H3" s="1436"/>
      <c r="I3" s="1436"/>
      <c r="J3" s="1436"/>
      <c r="K3" s="1436"/>
      <c r="L3" s="1436"/>
      <c r="M3" s="1361"/>
      <c r="N3" s="1429"/>
      <c r="O3" s="1391" t="s">
        <v>428</v>
      </c>
      <c r="P3" s="1391"/>
      <c r="S3" s="1414"/>
      <c r="T3" s="1415"/>
      <c r="U3" s="1415"/>
      <c r="V3" s="1415"/>
      <c r="W3" s="1415"/>
      <c r="X3" s="1415"/>
      <c r="Y3" s="1415"/>
      <c r="Z3" s="1415"/>
      <c r="AA3" s="1415"/>
      <c r="AB3" s="1415"/>
      <c r="AC3" s="1415"/>
      <c r="AD3" s="1415"/>
      <c r="AE3" s="1415"/>
      <c r="AF3" s="1415"/>
      <c r="AG3" s="1415"/>
      <c r="AH3" s="1416"/>
      <c r="AJ3" s="1538"/>
      <c r="AK3" s="1538"/>
      <c r="AL3" s="1538"/>
      <c r="AM3" s="1541"/>
      <c r="AN3" s="1512"/>
      <c r="AO3" s="1512"/>
      <c r="AP3" s="1512"/>
      <c r="AR3" s="1488"/>
      <c r="AS3" s="1488"/>
      <c r="AT3" s="1488"/>
      <c r="AU3" s="1488"/>
      <c r="AW3" s="1488"/>
      <c r="AX3" s="1488"/>
      <c r="AY3" s="1488"/>
      <c r="AZ3" s="1488"/>
      <c r="BA3" s="1486"/>
      <c r="BB3" s="1486"/>
      <c r="BC3" s="1486"/>
      <c r="BD3" s="1486"/>
      <c r="BE3" s="1486"/>
      <c r="BF3" s="1486"/>
      <c r="BG3" s="1486"/>
      <c r="BH3" s="1486"/>
      <c r="BI3" s="1486"/>
      <c r="BJ3" s="1486"/>
      <c r="BK3" s="1486"/>
      <c r="BL3" s="1486"/>
      <c r="BM3" s="1486"/>
      <c r="BN3" s="1486"/>
      <c r="BO3" s="1486"/>
      <c r="BP3" s="1486"/>
      <c r="BQ3" s="1486"/>
      <c r="BR3" s="1486"/>
      <c r="BS3" s="1486"/>
      <c r="BT3" s="1486"/>
      <c r="BU3" s="1486"/>
      <c r="BV3" s="1486"/>
      <c r="BW3" s="1486"/>
      <c r="BX3" s="1486"/>
      <c r="BY3" s="1486"/>
      <c r="BZ3" s="1486"/>
      <c r="CA3" s="1486"/>
      <c r="CB3" s="1486"/>
      <c r="CC3" s="1486"/>
      <c r="CD3" s="1486"/>
      <c r="CE3" s="1486"/>
      <c r="CF3" s="1486"/>
      <c r="CG3" s="1486"/>
      <c r="CH3" s="1486"/>
      <c r="CI3" s="1486"/>
      <c r="CJ3" s="1486"/>
      <c r="CK3" s="1486"/>
      <c r="CL3" s="1486"/>
      <c r="CM3" s="1486"/>
      <c r="CN3" s="1486"/>
      <c r="CO3" s="1486"/>
      <c r="CP3" s="1486"/>
      <c r="CQ3" s="1486"/>
      <c r="CR3" s="17"/>
      <c r="CS3" s="17"/>
      <c r="CT3" s="17"/>
      <c r="CU3" s="17"/>
      <c r="EK3" s="17"/>
      <c r="EL3" s="17"/>
      <c r="EM3" s="17"/>
      <c r="EN3" s="17"/>
      <c r="EO3" s="17"/>
      <c r="EP3" s="17"/>
      <c r="EQ3" s="17"/>
      <c r="ER3" s="17"/>
      <c r="ES3" s="17"/>
      <c r="ET3" s="17"/>
      <c r="EU3" s="17"/>
      <c r="EV3" s="17"/>
      <c r="EW3" s="17"/>
      <c r="EX3" s="17"/>
      <c r="EY3" s="17"/>
      <c r="EZ3" s="17"/>
      <c r="FA3" s="17"/>
      <c r="FB3" s="17"/>
      <c r="FC3" s="17"/>
      <c r="FD3" s="17"/>
      <c r="FE3" s="17"/>
      <c r="FF3" s="17"/>
      <c r="FG3" s="17"/>
      <c r="FH3" s="17"/>
      <c r="FI3" s="17"/>
      <c r="FJ3" s="17"/>
      <c r="FK3" s="17"/>
      <c r="FL3" s="17"/>
      <c r="FM3" s="17"/>
      <c r="FN3" s="17"/>
      <c r="FO3" s="17"/>
      <c r="FP3" s="17"/>
      <c r="FQ3" s="17"/>
      <c r="FR3" s="17"/>
      <c r="FS3" s="17"/>
      <c r="FT3" s="17"/>
      <c r="FU3" s="17"/>
      <c r="FV3" s="17"/>
      <c r="FW3" s="17"/>
      <c r="FX3" s="17"/>
      <c r="FY3" s="17"/>
      <c r="FZ3" s="17"/>
      <c r="GA3" s="17"/>
      <c r="GB3" s="17"/>
      <c r="GC3" s="17"/>
      <c r="GD3" s="17"/>
      <c r="GE3" s="17"/>
      <c r="GF3" s="17"/>
      <c r="GG3" s="17"/>
      <c r="GH3" s="17"/>
      <c r="GI3" s="17"/>
      <c r="GJ3" s="17"/>
      <c r="GK3" s="17"/>
      <c r="GL3" s="17"/>
      <c r="GM3" s="17"/>
      <c r="GN3" s="17"/>
      <c r="GO3" s="17"/>
      <c r="GP3" s="17"/>
      <c r="GQ3" s="17"/>
      <c r="GR3" s="17"/>
      <c r="GS3" s="17"/>
      <c r="GT3" s="17"/>
      <c r="GU3" s="17"/>
      <c r="GV3" s="17"/>
      <c r="GW3" s="17"/>
      <c r="GX3" s="17"/>
      <c r="GY3" s="17"/>
      <c r="GZ3" s="17"/>
      <c r="HA3" s="17"/>
      <c r="HB3" s="17"/>
      <c r="HC3" s="17"/>
      <c r="HD3" s="17"/>
      <c r="HE3" s="17"/>
      <c r="HF3" s="17"/>
      <c r="HG3" s="17"/>
      <c r="HH3" s="17"/>
      <c r="HI3" s="17"/>
    </row>
    <row r="4" spans="3:217" ht="7.5" customHeight="1" x14ac:dyDescent="0.25">
      <c r="C4" s="1437"/>
      <c r="D4" s="1438"/>
      <c r="E4" s="1438"/>
      <c r="F4" s="1438"/>
      <c r="G4" s="1438"/>
      <c r="H4" s="1438"/>
      <c r="I4" s="1438"/>
      <c r="J4" s="1438"/>
      <c r="K4" s="1438"/>
      <c r="L4" s="1438"/>
      <c r="M4" s="1363"/>
      <c r="N4" s="1430"/>
      <c r="O4" s="1392"/>
      <c r="P4" s="1392"/>
      <c r="S4" s="1417"/>
      <c r="T4" s="1418"/>
      <c r="U4" s="1418"/>
      <c r="V4" s="1418"/>
      <c r="W4" s="1418"/>
      <c r="X4" s="1418"/>
      <c r="Y4" s="1418"/>
      <c r="Z4" s="1418"/>
      <c r="AA4" s="1418"/>
      <c r="AB4" s="1418"/>
      <c r="AC4" s="1418"/>
      <c r="AD4" s="1418"/>
      <c r="AE4" s="1418"/>
      <c r="AF4" s="1418"/>
      <c r="AG4" s="1418"/>
      <c r="AH4" s="1419"/>
      <c r="AJ4" s="1915" t="s">
        <v>433</v>
      </c>
      <c r="AK4" s="1915"/>
      <c r="AL4" s="1915"/>
      <c r="AM4" s="1915"/>
      <c r="AN4" s="1915"/>
      <c r="AO4" s="1915"/>
      <c r="AP4" s="1915"/>
      <c r="AR4" s="1489" t="s">
        <v>495</v>
      </c>
      <c r="AS4" s="1489"/>
      <c r="AT4" s="1489"/>
      <c r="AU4" s="1489"/>
      <c r="AW4" s="1514" t="s">
        <v>496</v>
      </c>
      <c r="AX4" s="1514"/>
      <c r="AY4" s="1514"/>
      <c r="AZ4" s="1514"/>
      <c r="BA4" s="1490" t="s">
        <v>61</v>
      </c>
      <c r="BB4" s="1490"/>
      <c r="BC4" s="1490"/>
      <c r="BD4" s="1490"/>
      <c r="BE4" s="1490"/>
      <c r="BF4" s="1490"/>
      <c r="BG4" s="1490"/>
      <c r="BH4" s="1490"/>
      <c r="BI4" s="1490"/>
      <c r="BJ4" s="1490"/>
      <c r="BK4" s="1490"/>
      <c r="BL4" s="1490"/>
      <c r="BM4" s="1490"/>
      <c r="BN4" s="1502" t="s">
        <v>435</v>
      </c>
      <c r="BO4" s="1502"/>
      <c r="BP4" s="1502"/>
      <c r="BQ4" s="1502"/>
      <c r="BR4" s="1502"/>
      <c r="BS4" s="1502"/>
      <c r="BT4" s="1502"/>
      <c r="BU4" s="1502"/>
      <c r="BV4" s="1502"/>
      <c r="BW4" s="1502"/>
      <c r="BX4" s="1502"/>
      <c r="BY4" s="1502"/>
      <c r="BZ4" s="1502"/>
      <c r="CA4" s="1502"/>
      <c r="CB4" s="1502"/>
      <c r="CC4" s="1502"/>
      <c r="CD4" s="1502"/>
      <c r="CE4" s="1502"/>
      <c r="CF4" s="1502"/>
      <c r="CG4" s="1502"/>
      <c r="CH4" s="1502"/>
      <c r="CI4" s="1502"/>
      <c r="CJ4" s="1502"/>
      <c r="CK4" s="1502"/>
      <c r="CL4" s="1502"/>
      <c r="CM4" s="1502"/>
      <c r="CN4" s="1502"/>
      <c r="CO4" s="1502" t="s">
        <v>434</v>
      </c>
      <c r="CP4" s="1502"/>
      <c r="CQ4" s="1502"/>
      <c r="CR4" s="17"/>
      <c r="CS4" s="17"/>
      <c r="CT4" s="17"/>
      <c r="CU4" s="17"/>
      <c r="EK4" s="17"/>
      <c r="EL4" s="17"/>
      <c r="EM4" s="17"/>
      <c r="EN4" s="17"/>
      <c r="EO4" s="17"/>
      <c r="EP4" s="17"/>
      <c r="EQ4" s="17"/>
      <c r="ER4" s="17"/>
      <c r="ES4" s="17"/>
      <c r="ET4" s="17"/>
      <c r="EU4" s="17"/>
      <c r="EV4" s="17"/>
      <c r="EW4" s="17"/>
      <c r="EX4" s="17"/>
      <c r="EY4" s="17"/>
      <c r="EZ4" s="17"/>
      <c r="FA4" s="17"/>
      <c r="FB4" s="17"/>
      <c r="FC4" s="17"/>
      <c r="FD4" s="17"/>
      <c r="FE4" s="17"/>
      <c r="FF4" s="17"/>
      <c r="FG4" s="17"/>
      <c r="FH4" s="17"/>
      <c r="FI4" s="17"/>
      <c r="FJ4" s="17"/>
      <c r="FK4" s="17"/>
      <c r="FL4" s="17"/>
      <c r="FM4" s="17"/>
      <c r="FN4" s="17"/>
      <c r="FO4" s="17"/>
      <c r="FP4" s="17"/>
      <c r="FQ4" s="17"/>
      <c r="FR4" s="17"/>
      <c r="FS4" s="17"/>
      <c r="FT4" s="17"/>
      <c r="FU4" s="17"/>
      <c r="FV4" s="17"/>
      <c r="FW4" s="17"/>
      <c r="FX4" s="17"/>
      <c r="FY4" s="17"/>
      <c r="FZ4" s="17"/>
      <c r="GA4" s="17"/>
      <c r="GB4" s="17"/>
      <c r="GC4" s="17"/>
      <c r="GD4" s="17"/>
      <c r="GE4" s="17"/>
      <c r="GF4" s="17"/>
      <c r="GG4" s="17"/>
      <c r="GH4" s="17"/>
      <c r="GI4" s="17"/>
      <c r="GJ4" s="17"/>
      <c r="GK4" s="17"/>
      <c r="GL4" s="17"/>
      <c r="GM4" s="17"/>
      <c r="GN4" s="17"/>
      <c r="GO4" s="17"/>
      <c r="GP4" s="17"/>
      <c r="GQ4" s="17"/>
      <c r="GR4" s="17"/>
      <c r="GS4" s="17"/>
      <c r="GT4" s="17"/>
      <c r="GU4" s="17"/>
      <c r="GV4" s="17"/>
      <c r="GW4" s="17"/>
      <c r="GX4" s="17"/>
      <c r="GY4" s="17"/>
      <c r="GZ4" s="17"/>
      <c r="HA4" s="17"/>
      <c r="HB4" s="17"/>
      <c r="HC4" s="17"/>
      <c r="HD4" s="17"/>
      <c r="HE4" s="17"/>
      <c r="HF4" s="17"/>
      <c r="HG4" s="17"/>
      <c r="HH4" s="17"/>
      <c r="HI4" s="17"/>
    </row>
    <row r="5" spans="3:217" ht="7.5" customHeight="1" x14ac:dyDescent="0.25">
      <c r="C5" s="1907"/>
      <c r="D5" s="1894"/>
      <c r="E5" s="1894"/>
      <c r="F5" s="1894"/>
      <c r="G5" s="1894"/>
      <c r="H5" s="1894"/>
      <c r="I5" s="1894"/>
      <c r="J5" s="1894"/>
      <c r="K5" s="1894"/>
      <c r="L5" s="1894"/>
      <c r="M5" s="1894"/>
      <c r="N5" s="1894"/>
      <c r="O5" s="1894"/>
      <c r="P5" s="1908"/>
      <c r="Q5" s="103"/>
      <c r="R5" s="104"/>
      <c r="S5" s="1417"/>
      <c r="T5" s="1418"/>
      <c r="U5" s="1418"/>
      <c r="V5" s="1418"/>
      <c r="W5" s="1418"/>
      <c r="X5" s="1418"/>
      <c r="Y5" s="1418"/>
      <c r="Z5" s="1418"/>
      <c r="AA5" s="1418"/>
      <c r="AB5" s="1418"/>
      <c r="AC5" s="1418"/>
      <c r="AD5" s="1418"/>
      <c r="AE5" s="1418"/>
      <c r="AF5" s="1418"/>
      <c r="AG5" s="1418"/>
      <c r="AH5" s="1419"/>
      <c r="AQ5" s="17"/>
      <c r="AR5" s="17"/>
      <c r="AS5" s="17"/>
      <c r="AT5" s="17"/>
      <c r="AU5" s="17"/>
      <c r="AV5" s="17"/>
      <c r="BA5" s="1491"/>
      <c r="BB5" s="1491"/>
      <c r="BC5" s="1491"/>
      <c r="BD5" s="1491"/>
      <c r="BE5" s="1491"/>
      <c r="BF5" s="1491"/>
      <c r="BG5" s="1491"/>
      <c r="BH5" s="1491"/>
      <c r="BI5" s="1491"/>
      <c r="BJ5" s="1491"/>
      <c r="BK5" s="1491"/>
      <c r="BL5" s="1491"/>
      <c r="BM5" s="1491"/>
      <c r="BN5" s="1503"/>
      <c r="BO5" s="1503"/>
      <c r="BP5" s="1503"/>
      <c r="BQ5" s="1503"/>
      <c r="BR5" s="1503"/>
      <c r="BS5" s="1503"/>
      <c r="BT5" s="1503"/>
      <c r="BU5" s="1503"/>
      <c r="BV5" s="1503"/>
      <c r="BW5" s="1503"/>
      <c r="BX5" s="1503"/>
      <c r="BY5" s="1503"/>
      <c r="BZ5" s="1503"/>
      <c r="CA5" s="1503"/>
      <c r="CB5" s="1503"/>
      <c r="CC5" s="1503"/>
      <c r="CD5" s="1503"/>
      <c r="CE5" s="1503"/>
      <c r="CF5" s="1503"/>
      <c r="CG5" s="1503"/>
      <c r="CH5" s="1503"/>
      <c r="CI5" s="1503"/>
      <c r="CJ5" s="1503"/>
      <c r="CK5" s="1503"/>
      <c r="CL5" s="1503"/>
      <c r="CM5" s="1503"/>
      <c r="CN5" s="1503"/>
      <c r="CO5" s="1513"/>
      <c r="CP5" s="1513"/>
      <c r="CQ5" s="1513"/>
      <c r="CR5" s="17"/>
      <c r="CS5" s="17"/>
      <c r="CT5" s="17"/>
      <c r="CU5" s="17"/>
      <c r="EK5" s="17"/>
      <c r="EL5" s="17"/>
      <c r="EM5" s="17"/>
      <c r="EN5" s="17"/>
      <c r="EO5" s="17"/>
      <c r="EP5" s="17"/>
      <c r="EQ5" s="17"/>
      <c r="ER5" s="17"/>
      <c r="ES5" s="17"/>
      <c r="ET5" s="17"/>
      <c r="EU5" s="17"/>
      <c r="EV5" s="17"/>
      <c r="EW5" s="17"/>
      <c r="EX5" s="17"/>
      <c r="EY5" s="17"/>
      <c r="EZ5" s="17"/>
      <c r="FA5" s="17"/>
      <c r="FB5" s="17"/>
      <c r="FC5" s="17"/>
      <c r="FD5" s="17"/>
      <c r="FE5" s="17"/>
      <c r="FF5" s="17"/>
      <c r="FG5" s="17"/>
      <c r="FH5" s="17"/>
      <c r="FI5" s="17"/>
      <c r="FJ5" s="17"/>
      <c r="FK5" s="17"/>
      <c r="FL5" s="17"/>
      <c r="FM5" s="17"/>
      <c r="FN5" s="17"/>
      <c r="FO5" s="17"/>
      <c r="FP5" s="17"/>
      <c r="FQ5" s="17"/>
      <c r="FR5" s="17"/>
      <c r="FS5" s="17"/>
      <c r="FT5" s="17"/>
      <c r="FU5" s="17"/>
      <c r="FV5" s="17"/>
      <c r="FW5" s="17"/>
      <c r="FX5" s="17"/>
      <c r="FY5" s="17"/>
      <c r="FZ5" s="17"/>
      <c r="GA5" s="17"/>
      <c r="GB5" s="17"/>
      <c r="GC5" s="17"/>
      <c r="GD5" s="17"/>
      <c r="GE5" s="17"/>
      <c r="GF5" s="17"/>
      <c r="GG5" s="17"/>
      <c r="GH5" s="17"/>
      <c r="GI5" s="17"/>
      <c r="GJ5" s="17"/>
      <c r="GK5" s="17"/>
      <c r="GL5" s="17"/>
      <c r="GM5" s="17"/>
      <c r="GN5" s="17"/>
      <c r="GO5" s="17"/>
      <c r="GP5" s="17"/>
      <c r="GQ5" s="17"/>
      <c r="GR5" s="17"/>
      <c r="GS5" s="17"/>
      <c r="GT5" s="17"/>
      <c r="GU5" s="17"/>
      <c r="GV5" s="17"/>
      <c r="GW5" s="17"/>
      <c r="GX5" s="17"/>
      <c r="GY5" s="17"/>
      <c r="GZ5" s="17"/>
      <c r="HA5" s="17"/>
      <c r="HB5" s="17"/>
      <c r="HC5" s="17"/>
      <c r="HD5" s="17"/>
      <c r="HE5" s="17"/>
      <c r="HF5" s="17"/>
      <c r="HG5" s="17"/>
      <c r="HH5" s="17"/>
      <c r="HI5" s="17"/>
    </row>
    <row r="6" spans="3:217" ht="7.5" customHeight="1" x14ac:dyDescent="0.25">
      <c r="C6" s="1442"/>
      <c r="D6" s="892"/>
      <c r="E6" s="892"/>
      <c r="F6" s="892"/>
      <c r="G6" s="892"/>
      <c r="H6" s="892"/>
      <c r="I6" s="892"/>
      <c r="J6" s="892"/>
      <c r="K6" s="892"/>
      <c r="L6" s="892"/>
      <c r="M6" s="892"/>
      <c r="N6" s="892"/>
      <c r="O6" s="892"/>
      <c r="P6" s="1443"/>
      <c r="Q6" s="103"/>
      <c r="R6" s="104"/>
      <c r="S6" s="1417"/>
      <c r="T6" s="1418"/>
      <c r="U6" s="1418"/>
      <c r="V6" s="1418"/>
      <c r="W6" s="1418"/>
      <c r="X6" s="1418"/>
      <c r="Y6" s="1418"/>
      <c r="Z6" s="1418"/>
      <c r="AA6" s="1418"/>
      <c r="AB6" s="1418"/>
      <c r="AC6" s="1418"/>
      <c r="AD6" s="1418"/>
      <c r="AE6" s="1418"/>
      <c r="AF6" s="1418"/>
      <c r="AG6" s="1418"/>
      <c r="AH6" s="1419"/>
      <c r="AN6" s="107"/>
      <c r="AO6" s="1909" t="s">
        <v>437</v>
      </c>
      <c r="AP6" s="1910"/>
      <c r="AQ6" s="1910"/>
      <c r="AR6" s="1910"/>
      <c r="AS6" s="1910"/>
      <c r="AT6" s="1911"/>
      <c r="AU6" s="107"/>
      <c r="BA6" s="1492"/>
      <c r="BB6" s="1493"/>
      <c r="BC6" s="1493"/>
      <c r="BD6" s="1493"/>
      <c r="BE6" s="1493"/>
      <c r="BF6" s="1493"/>
      <c r="BG6" s="1493"/>
      <c r="BH6" s="1493"/>
      <c r="BI6" s="1493"/>
      <c r="BJ6" s="1493"/>
      <c r="BK6" s="1493"/>
      <c r="BL6" s="1493"/>
      <c r="BM6" s="1494"/>
      <c r="BN6" s="1499"/>
      <c r="BO6" s="1500"/>
      <c r="BP6" s="1500"/>
      <c r="BQ6" s="1500"/>
      <c r="BR6" s="1500"/>
      <c r="BS6" s="1500"/>
      <c r="BT6" s="1500"/>
      <c r="BU6" s="1500"/>
      <c r="BV6" s="1500"/>
      <c r="BW6" s="1500"/>
      <c r="BX6" s="1500"/>
      <c r="BY6" s="1500"/>
      <c r="BZ6" s="1500"/>
      <c r="CA6" s="1500"/>
      <c r="CB6" s="1500"/>
      <c r="CC6" s="1500"/>
      <c r="CD6" s="1500"/>
      <c r="CE6" s="1500"/>
      <c r="CF6" s="1500"/>
      <c r="CG6" s="1500"/>
      <c r="CH6" s="1500"/>
      <c r="CI6" s="1500"/>
      <c r="CJ6" s="1500"/>
      <c r="CK6" s="1500"/>
      <c r="CL6" s="1500"/>
      <c r="CM6" s="1500"/>
      <c r="CN6" s="1501"/>
      <c r="CO6" s="1495"/>
      <c r="CP6" s="1496"/>
      <c r="CQ6" s="1497"/>
      <c r="CR6" s="17"/>
      <c r="CS6" s="17"/>
      <c r="CT6" s="17"/>
      <c r="CU6" s="17"/>
      <c r="CV6" s="17"/>
      <c r="CW6" s="17"/>
      <c r="CX6" s="17"/>
      <c r="CY6" s="17"/>
      <c r="CZ6" s="17"/>
      <c r="EP6" s="17"/>
      <c r="EQ6" s="17"/>
      <c r="ER6" s="17"/>
      <c r="ES6" s="17"/>
      <c r="ET6" s="17"/>
      <c r="EU6" s="17"/>
      <c r="EV6" s="17"/>
      <c r="EW6" s="17"/>
      <c r="EX6" s="17"/>
      <c r="EY6" s="17"/>
      <c r="EZ6" s="17"/>
      <c r="FA6" s="17"/>
      <c r="FB6" s="17"/>
      <c r="FC6" s="17"/>
      <c r="FD6" s="17"/>
      <c r="FE6" s="17"/>
      <c r="FF6" s="17"/>
      <c r="FG6" s="17"/>
      <c r="FH6" s="17"/>
      <c r="FI6" s="17"/>
      <c r="FJ6" s="17"/>
      <c r="FK6" s="17"/>
      <c r="FL6" s="17"/>
      <c r="FM6" s="17"/>
      <c r="FN6" s="17"/>
      <c r="FO6" s="17"/>
      <c r="FP6" s="17"/>
      <c r="FQ6" s="17"/>
      <c r="FR6" s="17"/>
      <c r="FS6" s="17"/>
      <c r="FT6" s="17"/>
      <c r="FU6" s="17"/>
      <c r="FV6" s="17"/>
      <c r="FW6" s="17"/>
      <c r="FX6" s="17"/>
      <c r="FY6" s="17"/>
      <c r="FZ6" s="17"/>
      <c r="GA6" s="17"/>
      <c r="GB6" s="17"/>
      <c r="GC6" s="17"/>
      <c r="GD6" s="17"/>
      <c r="GE6" s="17"/>
      <c r="GF6" s="17"/>
      <c r="GG6" s="17"/>
      <c r="GH6" s="17"/>
      <c r="GI6" s="17"/>
      <c r="GJ6" s="17"/>
      <c r="GK6" s="17"/>
      <c r="GL6" s="17"/>
      <c r="GM6" s="17"/>
      <c r="GN6" s="17"/>
      <c r="GO6" s="17"/>
      <c r="GP6" s="17"/>
      <c r="GQ6" s="17"/>
      <c r="GR6" s="17"/>
      <c r="GS6" s="17"/>
      <c r="GT6" s="17"/>
      <c r="GU6" s="17"/>
      <c r="GV6" s="17"/>
      <c r="GW6" s="17"/>
      <c r="GX6" s="17"/>
      <c r="GY6" s="17"/>
      <c r="GZ6" s="17"/>
      <c r="HA6" s="17"/>
      <c r="HB6" s="17"/>
      <c r="HC6" s="17"/>
      <c r="HD6" s="17"/>
      <c r="HE6" s="17"/>
      <c r="HF6" s="17"/>
      <c r="HG6" s="17"/>
      <c r="HH6" s="17"/>
      <c r="HI6" s="17"/>
    </row>
    <row r="7" spans="3:217" ht="7.5" customHeight="1" x14ac:dyDescent="0.25">
      <c r="C7" s="1442"/>
      <c r="D7" s="892"/>
      <c r="E7" s="892"/>
      <c r="F7" s="892"/>
      <c r="G7" s="892"/>
      <c r="H7" s="892"/>
      <c r="I7" s="892"/>
      <c r="J7" s="892"/>
      <c r="K7" s="892"/>
      <c r="L7" s="892"/>
      <c r="M7" s="892"/>
      <c r="N7" s="892"/>
      <c r="O7" s="892"/>
      <c r="P7" s="1443"/>
      <c r="Q7" s="103"/>
      <c r="R7" s="104"/>
      <c r="S7" s="1417"/>
      <c r="T7" s="1418"/>
      <c r="U7" s="1418"/>
      <c r="V7" s="1418"/>
      <c r="W7" s="1418"/>
      <c r="X7" s="1418"/>
      <c r="Y7" s="1418"/>
      <c r="Z7" s="1418"/>
      <c r="AA7" s="1418"/>
      <c r="AB7" s="1418"/>
      <c r="AC7" s="1418"/>
      <c r="AD7" s="1418"/>
      <c r="AE7" s="1418"/>
      <c r="AF7" s="1418"/>
      <c r="AG7" s="1418"/>
      <c r="AH7" s="1419"/>
      <c r="AM7" s="286"/>
      <c r="AN7" s="287"/>
      <c r="AO7" s="1912"/>
      <c r="AP7" s="1913"/>
      <c r="AQ7" s="1913"/>
      <c r="AR7" s="1913"/>
      <c r="AS7" s="1913"/>
      <c r="AT7" s="1914"/>
      <c r="AU7" s="286"/>
      <c r="AV7" s="287"/>
      <c r="BA7" s="1393"/>
      <c r="BB7" s="1394"/>
      <c r="BC7" s="1394"/>
      <c r="BD7" s="1394"/>
      <c r="BE7" s="1394"/>
      <c r="BF7" s="1394"/>
      <c r="BG7" s="1394"/>
      <c r="BH7" s="1394"/>
      <c r="BI7" s="1394"/>
      <c r="BJ7" s="1394"/>
      <c r="BK7" s="1394"/>
      <c r="BL7" s="1394"/>
      <c r="BM7" s="1395"/>
      <c r="BN7" s="1383"/>
      <c r="BO7" s="1384"/>
      <c r="BP7" s="1384"/>
      <c r="BQ7" s="1384"/>
      <c r="BR7" s="1384"/>
      <c r="BS7" s="1384"/>
      <c r="BT7" s="1384"/>
      <c r="BU7" s="1384"/>
      <c r="BV7" s="1384"/>
      <c r="BW7" s="1384"/>
      <c r="BX7" s="1384"/>
      <c r="BY7" s="1384"/>
      <c r="BZ7" s="1384"/>
      <c r="CA7" s="1384"/>
      <c r="CB7" s="1384"/>
      <c r="CC7" s="1384"/>
      <c r="CD7" s="1384"/>
      <c r="CE7" s="1384"/>
      <c r="CF7" s="1384"/>
      <c r="CG7" s="1384"/>
      <c r="CH7" s="1384"/>
      <c r="CI7" s="1384"/>
      <c r="CJ7" s="1384"/>
      <c r="CK7" s="1384"/>
      <c r="CL7" s="1384"/>
      <c r="CM7" s="1384"/>
      <c r="CN7" s="1385"/>
      <c r="CO7" s="1456"/>
      <c r="CP7" s="1457"/>
      <c r="CQ7" s="1498"/>
      <c r="CR7" s="17"/>
      <c r="CS7" s="17"/>
      <c r="CT7" s="17"/>
      <c r="CU7" s="17"/>
      <c r="CV7" s="17"/>
      <c r="CW7" s="17"/>
      <c r="CX7" s="17"/>
      <c r="CY7" s="17"/>
      <c r="CZ7" s="17"/>
      <c r="EP7" s="17"/>
      <c r="EQ7" s="17"/>
      <c r="ER7" s="17"/>
      <c r="ES7" s="17"/>
      <c r="ET7" s="17"/>
      <c r="EU7" s="17"/>
      <c r="EV7" s="17"/>
      <c r="EW7" s="17"/>
      <c r="EX7" s="17"/>
      <c r="EY7" s="17"/>
      <c r="EZ7" s="17"/>
      <c r="FA7" s="17"/>
      <c r="FB7" s="17"/>
      <c r="FC7" s="17"/>
      <c r="FD7" s="17"/>
      <c r="FE7" s="17"/>
      <c r="FF7" s="17"/>
      <c r="FG7" s="17"/>
      <c r="FH7" s="17"/>
      <c r="FI7" s="17"/>
      <c r="FJ7" s="17"/>
      <c r="FK7" s="17"/>
      <c r="FL7" s="17"/>
      <c r="FM7" s="17"/>
      <c r="FN7" s="17"/>
      <c r="FO7" s="17"/>
      <c r="FP7" s="17"/>
      <c r="FQ7" s="17"/>
      <c r="FR7" s="17"/>
      <c r="FS7" s="17"/>
      <c r="FT7" s="17"/>
      <c r="FU7" s="17"/>
      <c r="FV7" s="17"/>
      <c r="FW7" s="17"/>
      <c r="FX7" s="17"/>
      <c r="FY7" s="17"/>
      <c r="FZ7" s="17"/>
      <c r="GA7" s="17"/>
      <c r="GB7" s="17"/>
      <c r="GC7" s="17"/>
      <c r="GD7" s="17"/>
      <c r="GE7" s="17"/>
      <c r="GF7" s="17"/>
      <c r="GG7" s="17"/>
      <c r="GH7" s="17"/>
      <c r="GI7" s="17"/>
      <c r="GJ7" s="17"/>
      <c r="GK7" s="17"/>
      <c r="GL7" s="17"/>
      <c r="GM7" s="17"/>
      <c r="GN7" s="17"/>
      <c r="GO7" s="17"/>
      <c r="GP7" s="17"/>
      <c r="GQ7" s="17"/>
      <c r="GR7" s="17"/>
      <c r="GS7" s="17"/>
      <c r="GT7" s="17"/>
      <c r="GU7" s="17"/>
      <c r="GV7" s="17"/>
      <c r="GW7" s="17"/>
      <c r="GX7" s="17"/>
      <c r="GY7" s="17"/>
      <c r="GZ7" s="17"/>
      <c r="HA7" s="17"/>
      <c r="HB7" s="17"/>
      <c r="HC7" s="17"/>
      <c r="HD7" s="17"/>
      <c r="HE7" s="17"/>
      <c r="HF7" s="17"/>
      <c r="HG7" s="17"/>
      <c r="HH7" s="17"/>
      <c r="HI7" s="17"/>
    </row>
    <row r="8" spans="3:217" ht="7.5" customHeight="1" x14ac:dyDescent="0.25">
      <c r="C8" s="1442"/>
      <c r="D8" s="892"/>
      <c r="E8" s="892"/>
      <c r="F8" s="892"/>
      <c r="G8" s="892"/>
      <c r="H8" s="892"/>
      <c r="I8" s="892"/>
      <c r="J8" s="892"/>
      <c r="K8" s="892"/>
      <c r="L8" s="892"/>
      <c r="M8" s="892"/>
      <c r="N8" s="892"/>
      <c r="O8" s="892"/>
      <c r="P8" s="1443"/>
      <c r="Q8" s="103"/>
      <c r="R8" s="104"/>
      <c r="S8" s="1417"/>
      <c r="T8" s="1418"/>
      <c r="U8" s="1418"/>
      <c r="V8" s="1418"/>
      <c r="W8" s="1418"/>
      <c r="X8" s="1418"/>
      <c r="Y8" s="1418"/>
      <c r="Z8" s="1418"/>
      <c r="AA8" s="1418"/>
      <c r="AB8" s="1418"/>
      <c r="AC8" s="1418"/>
      <c r="AD8" s="1418"/>
      <c r="AE8" s="1418"/>
      <c r="AF8" s="1418"/>
      <c r="AG8" s="1418"/>
      <c r="AH8" s="1419"/>
      <c r="AM8" s="281"/>
      <c r="AN8" s="95"/>
      <c r="AO8" s="95"/>
      <c r="AP8" s="95"/>
      <c r="AQ8" s="95"/>
      <c r="AR8" s="95"/>
      <c r="AS8" s="95"/>
      <c r="AT8" s="95"/>
      <c r="AU8" s="95"/>
      <c r="AV8" s="282"/>
      <c r="BA8" s="1450"/>
      <c r="BB8" s="1451"/>
      <c r="BC8" s="1451"/>
      <c r="BD8" s="1451"/>
      <c r="BE8" s="1451"/>
      <c r="BF8" s="1451"/>
      <c r="BG8" s="1451"/>
      <c r="BH8" s="1451"/>
      <c r="BI8" s="1451"/>
      <c r="BJ8" s="1451"/>
      <c r="BK8" s="1451"/>
      <c r="BL8" s="1451"/>
      <c r="BM8" s="1452"/>
      <c r="BN8" s="1380"/>
      <c r="BO8" s="1381"/>
      <c r="BP8" s="1381"/>
      <c r="BQ8" s="1381"/>
      <c r="BR8" s="1381"/>
      <c r="BS8" s="1381"/>
      <c r="BT8" s="1381"/>
      <c r="BU8" s="1381"/>
      <c r="BV8" s="1381"/>
      <c r="BW8" s="1381"/>
      <c r="BX8" s="1381"/>
      <c r="BY8" s="1381"/>
      <c r="BZ8" s="1381"/>
      <c r="CA8" s="1381"/>
      <c r="CB8" s="1381"/>
      <c r="CC8" s="1381"/>
      <c r="CD8" s="1381"/>
      <c r="CE8" s="1381"/>
      <c r="CF8" s="1381"/>
      <c r="CG8" s="1381"/>
      <c r="CH8" s="1381"/>
      <c r="CI8" s="1381"/>
      <c r="CJ8" s="1381"/>
      <c r="CK8" s="1381"/>
      <c r="CL8" s="1381"/>
      <c r="CM8" s="1381"/>
      <c r="CN8" s="1382"/>
      <c r="CO8" s="1453"/>
      <c r="CP8" s="1454"/>
      <c r="CQ8" s="1455"/>
      <c r="CR8" s="17"/>
      <c r="CS8" s="17"/>
      <c r="CT8" s="17"/>
      <c r="CU8" s="17"/>
      <c r="CV8" s="17"/>
      <c r="CW8" s="17"/>
      <c r="CX8" s="17"/>
      <c r="CY8" s="17"/>
      <c r="CZ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row>
    <row r="9" spans="3:217" ht="7.5" customHeight="1" x14ac:dyDescent="0.25">
      <c r="C9" s="1442"/>
      <c r="D9" s="892"/>
      <c r="E9" s="892"/>
      <c r="F9" s="892"/>
      <c r="G9" s="892"/>
      <c r="H9" s="892"/>
      <c r="I9" s="892"/>
      <c r="J9" s="892"/>
      <c r="K9" s="892"/>
      <c r="L9" s="892"/>
      <c r="M9" s="892"/>
      <c r="N9" s="892"/>
      <c r="O9" s="892"/>
      <c r="P9" s="1443"/>
      <c r="Q9" s="103"/>
      <c r="R9" s="104"/>
      <c r="S9" s="1420"/>
      <c r="T9" s="1421"/>
      <c r="U9" s="1421"/>
      <c r="V9" s="1421"/>
      <c r="W9" s="1421"/>
      <c r="X9" s="1421"/>
      <c r="Y9" s="1421"/>
      <c r="Z9" s="1421"/>
      <c r="AA9" s="1421"/>
      <c r="AB9" s="1421"/>
      <c r="AC9" s="1421"/>
      <c r="AD9" s="1421"/>
      <c r="AE9" s="1421"/>
      <c r="AF9" s="1421"/>
      <c r="AG9" s="1421"/>
      <c r="AH9" s="1422"/>
      <c r="AM9" s="281"/>
      <c r="AN9" s="1484" t="s">
        <v>25</v>
      </c>
      <c r="AO9" s="1484"/>
      <c r="AP9" s="1484"/>
      <c r="AQ9" s="1484"/>
      <c r="AR9" s="1484"/>
      <c r="AS9" s="1484"/>
      <c r="AT9" s="1484"/>
      <c r="AU9" s="1484"/>
      <c r="AV9" s="282"/>
      <c r="BA9" s="1450"/>
      <c r="BB9" s="1451"/>
      <c r="BC9" s="1451"/>
      <c r="BD9" s="1451"/>
      <c r="BE9" s="1451"/>
      <c r="BF9" s="1451"/>
      <c r="BG9" s="1451"/>
      <c r="BH9" s="1451"/>
      <c r="BI9" s="1451"/>
      <c r="BJ9" s="1451"/>
      <c r="BK9" s="1451"/>
      <c r="BL9" s="1451"/>
      <c r="BM9" s="1452"/>
      <c r="BN9" s="1380"/>
      <c r="BO9" s="1381"/>
      <c r="BP9" s="1381"/>
      <c r="BQ9" s="1381"/>
      <c r="BR9" s="1381"/>
      <c r="BS9" s="1381"/>
      <c r="BT9" s="1381"/>
      <c r="BU9" s="1381"/>
      <c r="BV9" s="1381"/>
      <c r="BW9" s="1381"/>
      <c r="BX9" s="1381"/>
      <c r="BY9" s="1381"/>
      <c r="BZ9" s="1381"/>
      <c r="CA9" s="1381"/>
      <c r="CB9" s="1381"/>
      <c r="CC9" s="1381"/>
      <c r="CD9" s="1381"/>
      <c r="CE9" s="1381"/>
      <c r="CF9" s="1381"/>
      <c r="CG9" s="1381"/>
      <c r="CH9" s="1381"/>
      <c r="CI9" s="1381"/>
      <c r="CJ9" s="1381"/>
      <c r="CK9" s="1381"/>
      <c r="CL9" s="1381"/>
      <c r="CM9" s="1381"/>
      <c r="CN9" s="1382"/>
      <c r="CO9" s="1453"/>
      <c r="CP9" s="1454"/>
      <c r="CQ9" s="1455"/>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c r="ED9" s="17"/>
      <c r="EE9" s="17"/>
      <c r="EF9" s="17"/>
      <c r="EG9" s="17"/>
      <c r="EH9" s="17"/>
      <c r="EI9" s="17"/>
      <c r="EJ9" s="17"/>
      <c r="EK9" s="17"/>
      <c r="EL9" s="17"/>
      <c r="EM9" s="17"/>
      <c r="EN9" s="17"/>
      <c r="EO9" s="17"/>
      <c r="EP9" s="17"/>
      <c r="EQ9" s="17"/>
      <c r="ER9" s="17"/>
      <c r="ES9" s="17"/>
      <c r="ET9" s="17"/>
      <c r="EU9" s="17"/>
      <c r="EV9" s="17"/>
      <c r="EW9" s="17"/>
      <c r="EX9" s="17"/>
      <c r="EY9" s="17"/>
      <c r="EZ9" s="17"/>
      <c r="FA9" s="17"/>
      <c r="FB9" s="17"/>
      <c r="FC9" s="17"/>
      <c r="FD9" s="17"/>
      <c r="FE9" s="17"/>
      <c r="FF9" s="17"/>
      <c r="FG9" s="17"/>
      <c r="FH9" s="17"/>
      <c r="FI9" s="17"/>
      <c r="FJ9" s="17"/>
      <c r="FK9" s="17"/>
      <c r="FL9" s="17"/>
      <c r="FM9" s="17"/>
      <c r="FN9" s="17"/>
      <c r="FO9" s="17"/>
      <c r="FP9" s="17"/>
      <c r="FQ9" s="17"/>
      <c r="FR9" s="17"/>
      <c r="FS9" s="17"/>
      <c r="FT9" s="17"/>
      <c r="FU9" s="17"/>
      <c r="FV9" s="17"/>
      <c r="FW9" s="17"/>
      <c r="FX9" s="17"/>
      <c r="FY9" s="17"/>
      <c r="FZ9" s="17"/>
      <c r="GA9" s="17"/>
      <c r="GB9" s="17"/>
      <c r="GC9" s="17"/>
      <c r="GD9" s="17"/>
      <c r="GE9" s="17"/>
      <c r="GF9" s="17"/>
      <c r="GG9" s="17"/>
      <c r="GH9" s="17"/>
      <c r="GI9" s="17"/>
      <c r="GJ9" s="17"/>
      <c r="GK9" s="17"/>
      <c r="GL9" s="17"/>
      <c r="GM9" s="17"/>
      <c r="GN9" s="17"/>
      <c r="GO9" s="17"/>
      <c r="GP9" s="17"/>
      <c r="GQ9" s="17"/>
      <c r="GR9" s="17"/>
      <c r="GS9" s="17"/>
      <c r="GT9" s="17"/>
      <c r="GU9" s="17"/>
      <c r="GV9" s="17"/>
      <c r="GW9" s="17"/>
      <c r="GX9" s="17"/>
      <c r="GY9" s="17"/>
      <c r="GZ9" s="17"/>
      <c r="HA9" s="17"/>
      <c r="HB9" s="17"/>
      <c r="HC9" s="17"/>
      <c r="HD9" s="17"/>
      <c r="HE9" s="17"/>
      <c r="HF9" s="17"/>
      <c r="HG9" s="17"/>
      <c r="HH9" s="17"/>
      <c r="HI9" s="17"/>
    </row>
    <row r="10" spans="3:217" ht="7.5" customHeight="1" x14ac:dyDescent="0.25">
      <c r="C10" s="1442"/>
      <c r="D10" s="892"/>
      <c r="E10" s="892"/>
      <c r="F10" s="892"/>
      <c r="G10" s="892"/>
      <c r="H10" s="892"/>
      <c r="I10" s="892"/>
      <c r="J10" s="892"/>
      <c r="K10" s="892"/>
      <c r="L10" s="892"/>
      <c r="M10" s="892"/>
      <c r="N10" s="892"/>
      <c r="O10" s="892"/>
      <c r="P10" s="1443"/>
      <c r="Q10" s="103"/>
      <c r="R10" s="102"/>
      <c r="S10" s="105"/>
      <c r="AM10" s="281"/>
      <c r="AN10" s="1898"/>
      <c r="AO10" s="1898"/>
      <c r="AP10" s="1898"/>
      <c r="AQ10" s="1898"/>
      <c r="AR10" s="1898"/>
      <c r="AS10" s="1898"/>
      <c r="AT10" s="1898"/>
      <c r="AU10" s="1898"/>
      <c r="AV10" s="282"/>
      <c r="BA10" s="1393"/>
      <c r="BB10" s="1394"/>
      <c r="BC10" s="1394"/>
      <c r="BD10" s="1394"/>
      <c r="BE10" s="1394"/>
      <c r="BF10" s="1394"/>
      <c r="BG10" s="1394"/>
      <c r="BH10" s="1394"/>
      <c r="BI10" s="1394"/>
      <c r="BJ10" s="1394"/>
      <c r="BK10" s="1394"/>
      <c r="BL10" s="1394"/>
      <c r="BM10" s="1395"/>
      <c r="BN10" s="1383"/>
      <c r="BO10" s="1384"/>
      <c r="BP10" s="1384"/>
      <c r="BQ10" s="1384"/>
      <c r="BR10" s="1384"/>
      <c r="BS10" s="1384"/>
      <c r="BT10" s="1384"/>
      <c r="BU10" s="1384"/>
      <c r="BV10" s="1384"/>
      <c r="BW10" s="1384"/>
      <c r="BX10" s="1384"/>
      <c r="BY10" s="1384"/>
      <c r="BZ10" s="1384"/>
      <c r="CA10" s="1384"/>
      <c r="CB10" s="1384"/>
      <c r="CC10" s="1384"/>
      <c r="CD10" s="1384"/>
      <c r="CE10" s="1384"/>
      <c r="CF10" s="1384"/>
      <c r="CG10" s="1384"/>
      <c r="CH10" s="1384"/>
      <c r="CI10" s="1384"/>
      <c r="CJ10" s="1384"/>
      <c r="CK10" s="1384"/>
      <c r="CL10" s="1384"/>
      <c r="CM10" s="1384"/>
      <c r="CN10" s="1385"/>
      <c r="CO10" s="1456"/>
      <c r="CP10" s="1457"/>
      <c r="CQ10" s="1458"/>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row>
    <row r="11" spans="3:217" ht="7.5" customHeight="1" x14ac:dyDescent="0.25">
      <c r="C11" s="1442"/>
      <c r="D11" s="892"/>
      <c r="E11" s="892"/>
      <c r="F11" s="892"/>
      <c r="G11" s="892"/>
      <c r="H11" s="892"/>
      <c r="I11" s="892"/>
      <c r="J11" s="892"/>
      <c r="K11" s="892"/>
      <c r="L11" s="892"/>
      <c r="M11" s="892"/>
      <c r="N11" s="892"/>
      <c r="O11" s="892"/>
      <c r="P11" s="1443"/>
      <c r="Q11" s="103"/>
      <c r="R11" s="102"/>
      <c r="S11" s="1887" t="s">
        <v>53</v>
      </c>
      <c r="T11" s="1888"/>
      <c r="U11" s="1888"/>
      <c r="V11" s="1888"/>
      <c r="W11" s="1888"/>
      <c r="X11" s="1888"/>
      <c r="Y11" s="1888"/>
      <c r="Z11" s="1888"/>
      <c r="AA11" s="1888"/>
      <c r="AB11" s="1888"/>
      <c r="AC11" s="1888"/>
      <c r="AD11" s="1888"/>
      <c r="AE11" s="1888"/>
      <c r="AF11" s="1888"/>
      <c r="AG11" s="1391"/>
      <c r="AH11" s="1391"/>
      <c r="AM11" s="281"/>
      <c r="AN11" s="95"/>
      <c r="AO11" s="95"/>
      <c r="AP11" s="95"/>
      <c r="AQ11" s="95"/>
      <c r="AR11" s="95"/>
      <c r="AS11" s="95"/>
      <c r="AT11" s="95"/>
      <c r="AU11" s="95"/>
      <c r="AV11" s="282"/>
      <c r="BA11" s="1393"/>
      <c r="BB11" s="1394"/>
      <c r="BC11" s="1394"/>
      <c r="BD11" s="1394"/>
      <c r="BE11" s="1394"/>
      <c r="BF11" s="1394"/>
      <c r="BG11" s="1394"/>
      <c r="BH11" s="1394"/>
      <c r="BI11" s="1394"/>
      <c r="BJ11" s="1394"/>
      <c r="BK11" s="1394"/>
      <c r="BL11" s="1394"/>
      <c r="BM11" s="1395"/>
      <c r="BN11" s="1383"/>
      <c r="BO11" s="1384"/>
      <c r="BP11" s="1384"/>
      <c r="BQ11" s="1384"/>
      <c r="BR11" s="1384"/>
      <c r="BS11" s="1384"/>
      <c r="BT11" s="1384"/>
      <c r="BU11" s="1384"/>
      <c r="BV11" s="1384"/>
      <c r="BW11" s="1384"/>
      <c r="BX11" s="1384"/>
      <c r="BY11" s="1384"/>
      <c r="BZ11" s="1384"/>
      <c r="CA11" s="1384"/>
      <c r="CB11" s="1384"/>
      <c r="CC11" s="1384"/>
      <c r="CD11" s="1384"/>
      <c r="CE11" s="1384"/>
      <c r="CF11" s="1384"/>
      <c r="CG11" s="1384"/>
      <c r="CH11" s="1384"/>
      <c r="CI11" s="1384"/>
      <c r="CJ11" s="1384"/>
      <c r="CK11" s="1384"/>
      <c r="CL11" s="1384"/>
      <c r="CM11" s="1384"/>
      <c r="CN11" s="1385"/>
      <c r="CO11" s="1456"/>
      <c r="CP11" s="1457"/>
      <c r="CQ11" s="1458"/>
      <c r="CR11" s="17"/>
      <c r="CS11" s="17"/>
      <c r="CT11" s="17"/>
      <c r="CU11" s="17"/>
      <c r="CV11" s="17"/>
      <c r="CW11" s="17"/>
      <c r="CX11" s="17"/>
      <c r="CY11" s="17"/>
      <c r="CZ11" s="17"/>
      <c r="DA11" s="17"/>
      <c r="DB11" s="17"/>
      <c r="DC11" s="17"/>
      <c r="DD11" s="17"/>
      <c r="DE11" s="17"/>
      <c r="DF11" s="17"/>
      <c r="DG11" s="17"/>
      <c r="DH11" s="17"/>
      <c r="DI11" s="17"/>
      <c r="DJ11" s="17"/>
      <c r="DK11" s="17"/>
      <c r="DL11" s="17"/>
      <c r="DM11" s="17"/>
      <c r="DN11" s="17"/>
      <c r="DO11" s="17"/>
      <c r="DP11" s="17"/>
      <c r="DQ11" s="17"/>
      <c r="DR11" s="17"/>
      <c r="DS11" s="17"/>
      <c r="DT11" s="17"/>
      <c r="DU11" s="17"/>
      <c r="DV11" s="17"/>
      <c r="DW11" s="17"/>
      <c r="DX11" s="17"/>
      <c r="DY11" s="17"/>
      <c r="DZ11" s="17"/>
      <c r="EA11" s="17"/>
      <c r="EB11" s="17"/>
      <c r="EC11" s="17"/>
      <c r="ED11" s="17"/>
      <c r="EE11" s="17"/>
      <c r="EF11" s="17"/>
      <c r="EG11" s="17"/>
      <c r="EH11" s="17"/>
      <c r="EI11" s="17"/>
      <c r="EJ11" s="17"/>
      <c r="EK11" s="17"/>
      <c r="EL11" s="17"/>
      <c r="EM11" s="17"/>
      <c r="EN11" s="17"/>
      <c r="EO11" s="17"/>
      <c r="EP11" s="17"/>
      <c r="EQ11" s="17"/>
      <c r="ER11" s="17"/>
      <c r="ES11" s="17"/>
      <c r="ET11" s="17"/>
      <c r="EU11" s="17"/>
      <c r="EV11" s="17"/>
      <c r="EW11" s="17"/>
      <c r="EX11" s="17"/>
      <c r="EY11" s="17"/>
      <c r="EZ11" s="17"/>
      <c r="FA11" s="17"/>
      <c r="FB11" s="17"/>
      <c r="FC11" s="17"/>
      <c r="FD11" s="17"/>
      <c r="FE11" s="17"/>
      <c r="FF11" s="17"/>
      <c r="FG11" s="17"/>
      <c r="FH11" s="17"/>
      <c r="FI11" s="17"/>
      <c r="FJ11" s="17"/>
      <c r="FK11" s="17"/>
      <c r="FL11" s="17"/>
      <c r="FM11" s="17"/>
      <c r="FN11" s="17"/>
      <c r="FO11" s="17"/>
      <c r="FP11" s="17"/>
      <c r="FQ11" s="17"/>
      <c r="FR11" s="17"/>
      <c r="FS11" s="17"/>
      <c r="FT11" s="17"/>
      <c r="FU11" s="17"/>
      <c r="FV11" s="17"/>
      <c r="FW11" s="17"/>
      <c r="FX11" s="17"/>
      <c r="FY11" s="17"/>
      <c r="FZ11" s="17"/>
      <c r="GA11" s="17"/>
      <c r="GB11" s="17"/>
      <c r="GC11" s="17"/>
      <c r="GD11" s="17"/>
      <c r="GE11" s="17"/>
      <c r="GF11" s="17"/>
      <c r="GG11" s="17"/>
      <c r="GH11" s="17"/>
      <c r="GI11" s="17"/>
      <c r="GJ11" s="17"/>
      <c r="GK11" s="17"/>
      <c r="GL11" s="17"/>
      <c r="GM11" s="17"/>
      <c r="GN11" s="17"/>
      <c r="GO11" s="17"/>
      <c r="GP11" s="17"/>
      <c r="GQ11" s="17"/>
      <c r="GR11" s="17"/>
      <c r="GS11" s="17"/>
      <c r="GT11" s="17"/>
      <c r="GU11" s="17"/>
      <c r="GV11" s="17"/>
      <c r="GW11" s="17"/>
      <c r="GX11" s="17"/>
      <c r="GY11" s="17"/>
      <c r="GZ11" s="17"/>
      <c r="HA11" s="17"/>
      <c r="HB11" s="17"/>
      <c r="HC11" s="17"/>
      <c r="HD11" s="17"/>
      <c r="HE11" s="17"/>
      <c r="HF11" s="17"/>
      <c r="HG11" s="17"/>
      <c r="HH11" s="17"/>
      <c r="HI11" s="17"/>
    </row>
    <row r="12" spans="3:217" ht="7.5" customHeight="1" x14ac:dyDescent="0.25">
      <c r="C12" s="1442"/>
      <c r="D12" s="892"/>
      <c r="E12" s="892"/>
      <c r="F12" s="892"/>
      <c r="G12" s="892"/>
      <c r="H12" s="892"/>
      <c r="I12" s="892"/>
      <c r="J12" s="892"/>
      <c r="K12" s="892"/>
      <c r="L12" s="892"/>
      <c r="M12" s="892"/>
      <c r="N12" s="892"/>
      <c r="O12" s="892"/>
      <c r="P12" s="1443"/>
      <c r="S12" s="1437"/>
      <c r="T12" s="1438"/>
      <c r="U12" s="1438"/>
      <c r="V12" s="1438"/>
      <c r="W12" s="1438"/>
      <c r="X12" s="1438"/>
      <c r="Y12" s="1438"/>
      <c r="Z12" s="1438"/>
      <c r="AA12" s="1438"/>
      <c r="AB12" s="1438"/>
      <c r="AC12" s="1438"/>
      <c r="AD12" s="1438"/>
      <c r="AE12" s="1438"/>
      <c r="AF12" s="1438"/>
      <c r="AG12" s="1392"/>
      <c r="AH12" s="1392"/>
      <c r="AM12" s="281"/>
      <c r="AN12" s="1484" t="s">
        <v>436</v>
      </c>
      <c r="AO12" s="1484"/>
      <c r="AP12" s="1484"/>
      <c r="AQ12" s="1484"/>
      <c r="AR12" s="1484"/>
      <c r="AS12" s="1484"/>
      <c r="AT12" s="1484"/>
      <c r="AU12" s="1484"/>
      <c r="AV12" s="282"/>
      <c r="BA12" s="1450"/>
      <c r="BB12" s="1451"/>
      <c r="BC12" s="1451"/>
      <c r="BD12" s="1451"/>
      <c r="BE12" s="1451"/>
      <c r="BF12" s="1451"/>
      <c r="BG12" s="1451"/>
      <c r="BH12" s="1451"/>
      <c r="BI12" s="1451"/>
      <c r="BJ12" s="1451"/>
      <c r="BK12" s="1451"/>
      <c r="BL12" s="1451"/>
      <c r="BM12" s="1452"/>
      <c r="BN12" s="1380"/>
      <c r="BO12" s="1381"/>
      <c r="BP12" s="1381"/>
      <c r="BQ12" s="1381"/>
      <c r="BR12" s="1381"/>
      <c r="BS12" s="1381"/>
      <c r="BT12" s="1381"/>
      <c r="BU12" s="1381"/>
      <c r="BV12" s="1381"/>
      <c r="BW12" s="1381"/>
      <c r="BX12" s="1381"/>
      <c r="BY12" s="1381"/>
      <c r="BZ12" s="1381"/>
      <c r="CA12" s="1381"/>
      <c r="CB12" s="1381"/>
      <c r="CC12" s="1381"/>
      <c r="CD12" s="1381"/>
      <c r="CE12" s="1381"/>
      <c r="CF12" s="1381"/>
      <c r="CG12" s="1381"/>
      <c r="CH12" s="1381"/>
      <c r="CI12" s="1381"/>
      <c r="CJ12" s="1381"/>
      <c r="CK12" s="1381"/>
      <c r="CL12" s="1381"/>
      <c r="CM12" s="1381"/>
      <c r="CN12" s="1382"/>
      <c r="CO12" s="1453"/>
      <c r="CP12" s="1454"/>
      <c r="CQ12" s="1455"/>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c r="DS12" s="17"/>
      <c r="DT12" s="17"/>
      <c r="DU12" s="17"/>
      <c r="DV12" s="17"/>
      <c r="DW12" s="17"/>
      <c r="DX12" s="17"/>
      <c r="DY12" s="17"/>
      <c r="DZ12" s="17"/>
      <c r="EA12" s="17"/>
      <c r="EB12" s="17"/>
      <c r="EC12" s="17"/>
      <c r="ED12" s="17"/>
      <c r="EE12" s="17"/>
      <c r="EF12" s="17"/>
      <c r="EG12" s="17"/>
      <c r="EH12" s="17"/>
      <c r="EI12" s="17"/>
      <c r="EJ12" s="17"/>
      <c r="EK12" s="17"/>
      <c r="EL12" s="17"/>
      <c r="EM12" s="17"/>
      <c r="EN12" s="17"/>
      <c r="EO12" s="17"/>
      <c r="EP12" s="17"/>
      <c r="EQ12" s="17"/>
      <c r="ER12" s="17"/>
      <c r="ES12" s="17"/>
      <c r="ET12" s="17"/>
      <c r="EU12" s="17"/>
      <c r="EV12" s="17"/>
      <c r="EW12" s="17"/>
      <c r="EX12" s="17"/>
      <c r="EY12" s="17"/>
      <c r="EZ12" s="17"/>
      <c r="FA12" s="17"/>
      <c r="FB12" s="17"/>
      <c r="FC12" s="17"/>
      <c r="FD12" s="17"/>
      <c r="FE12" s="17"/>
      <c r="FF12" s="17"/>
      <c r="FG12" s="17"/>
      <c r="FH12" s="17"/>
      <c r="FI12" s="17"/>
      <c r="FJ12" s="17"/>
      <c r="FK12" s="17"/>
      <c r="FL12" s="17"/>
      <c r="FM12" s="17"/>
      <c r="FN12" s="17"/>
      <c r="FO12" s="17"/>
      <c r="FP12" s="17"/>
      <c r="FQ12" s="17"/>
      <c r="FR12" s="17"/>
      <c r="FS12" s="17"/>
      <c r="FT12" s="17"/>
      <c r="FU12" s="17"/>
      <c r="FV12" s="17"/>
      <c r="FW12" s="17"/>
      <c r="FX12" s="17"/>
      <c r="FY12" s="17"/>
      <c r="FZ12" s="17"/>
      <c r="GA12" s="17"/>
      <c r="GB12" s="17"/>
      <c r="GC12" s="17"/>
      <c r="GD12" s="17"/>
      <c r="GE12" s="17"/>
      <c r="GF12" s="17"/>
      <c r="GG12" s="17"/>
      <c r="GH12" s="17"/>
      <c r="GI12" s="17"/>
      <c r="GJ12" s="17"/>
      <c r="GK12" s="17"/>
      <c r="GL12" s="17"/>
      <c r="GM12" s="17"/>
      <c r="GN12" s="17"/>
      <c r="GO12" s="17"/>
      <c r="GP12" s="17"/>
      <c r="GQ12" s="17"/>
      <c r="GR12" s="17"/>
      <c r="GS12" s="17"/>
      <c r="GT12" s="17"/>
      <c r="GU12" s="17"/>
      <c r="GV12" s="17"/>
      <c r="GW12" s="17"/>
      <c r="GX12" s="17"/>
      <c r="GY12" s="17"/>
      <c r="GZ12" s="17"/>
      <c r="HA12" s="17"/>
      <c r="HB12" s="17"/>
      <c r="HC12" s="17"/>
      <c r="HD12" s="17"/>
      <c r="HE12" s="17"/>
      <c r="HF12" s="17"/>
      <c r="HG12" s="17"/>
      <c r="HH12" s="17"/>
      <c r="HI12" s="17"/>
    </row>
    <row r="13" spans="3:217" ht="7.5" customHeight="1" x14ac:dyDescent="0.25">
      <c r="C13" s="1442"/>
      <c r="D13" s="892"/>
      <c r="E13" s="892"/>
      <c r="F13" s="892"/>
      <c r="G13" s="892"/>
      <c r="H13" s="892"/>
      <c r="I13" s="892"/>
      <c r="J13" s="892"/>
      <c r="K13" s="892"/>
      <c r="L13" s="892"/>
      <c r="M13" s="892"/>
      <c r="N13" s="892"/>
      <c r="O13" s="892"/>
      <c r="P13" s="1443"/>
      <c r="S13" s="1880"/>
      <c r="T13" s="1881"/>
      <c r="U13" s="1881"/>
      <c r="V13" s="1881"/>
      <c r="W13" s="1881"/>
      <c r="X13" s="1881"/>
      <c r="Y13" s="1881"/>
      <c r="Z13" s="1881"/>
      <c r="AA13" s="1881"/>
      <c r="AB13" s="1881"/>
      <c r="AC13" s="1881"/>
      <c r="AD13" s="1882"/>
      <c r="AM13" s="281"/>
      <c r="AN13" s="1897"/>
      <c r="AO13" s="1897"/>
      <c r="AP13" s="1897"/>
      <c r="AQ13" s="1897"/>
      <c r="AR13" s="1897"/>
      <c r="AS13" s="1897"/>
      <c r="AT13" s="1897"/>
      <c r="AU13" s="1897"/>
      <c r="AV13" s="282"/>
      <c r="BA13" s="1450"/>
      <c r="BB13" s="1451"/>
      <c r="BC13" s="1451"/>
      <c r="BD13" s="1451"/>
      <c r="BE13" s="1451"/>
      <c r="BF13" s="1451"/>
      <c r="BG13" s="1451"/>
      <c r="BH13" s="1451"/>
      <c r="BI13" s="1451"/>
      <c r="BJ13" s="1451"/>
      <c r="BK13" s="1451"/>
      <c r="BL13" s="1451"/>
      <c r="BM13" s="1452"/>
      <c r="BN13" s="1380"/>
      <c r="BO13" s="1381"/>
      <c r="BP13" s="1381"/>
      <c r="BQ13" s="1381"/>
      <c r="BR13" s="1381"/>
      <c r="BS13" s="1381"/>
      <c r="BT13" s="1381"/>
      <c r="BU13" s="1381"/>
      <c r="BV13" s="1381"/>
      <c r="BW13" s="1381"/>
      <c r="BX13" s="1381"/>
      <c r="BY13" s="1381"/>
      <c r="BZ13" s="1381"/>
      <c r="CA13" s="1381"/>
      <c r="CB13" s="1381"/>
      <c r="CC13" s="1381"/>
      <c r="CD13" s="1381"/>
      <c r="CE13" s="1381"/>
      <c r="CF13" s="1381"/>
      <c r="CG13" s="1381"/>
      <c r="CH13" s="1381"/>
      <c r="CI13" s="1381"/>
      <c r="CJ13" s="1381"/>
      <c r="CK13" s="1381"/>
      <c r="CL13" s="1381"/>
      <c r="CM13" s="1381"/>
      <c r="CN13" s="1382"/>
      <c r="CO13" s="1453"/>
      <c r="CP13" s="1454"/>
      <c r="CQ13" s="1455"/>
      <c r="CR13" s="17"/>
      <c r="CS13" s="17"/>
      <c r="CT13" s="17"/>
      <c r="CU13" s="17"/>
      <c r="CV13" s="1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c r="DV13" s="17"/>
      <c r="DW13" s="17"/>
      <c r="DX13" s="17"/>
      <c r="DY13" s="17"/>
      <c r="DZ13" s="17"/>
      <c r="EA13" s="17"/>
      <c r="EB13" s="17"/>
      <c r="EC13" s="17"/>
      <c r="ED13" s="17"/>
      <c r="EE13" s="17"/>
      <c r="EF13" s="17"/>
      <c r="EG13" s="17"/>
      <c r="EH13" s="17"/>
      <c r="EI13" s="17"/>
      <c r="EJ13" s="17"/>
      <c r="EK13" s="17"/>
      <c r="EL13" s="17"/>
      <c r="EM13" s="17"/>
      <c r="EN13" s="17"/>
      <c r="EO13" s="17"/>
      <c r="EP13" s="17"/>
      <c r="EQ13" s="17"/>
      <c r="ER13" s="17"/>
      <c r="ES13" s="17"/>
      <c r="ET13" s="17"/>
      <c r="EU13" s="17"/>
      <c r="EV13" s="17"/>
      <c r="EW13" s="17"/>
      <c r="EX13" s="17"/>
      <c r="EY13" s="17"/>
      <c r="EZ13" s="17"/>
      <c r="FA13" s="17"/>
      <c r="FB13" s="17"/>
      <c r="FC13" s="17"/>
      <c r="FD13" s="17"/>
      <c r="FE13" s="17"/>
      <c r="FF13" s="17"/>
      <c r="FG13" s="17"/>
      <c r="FH13" s="17"/>
      <c r="FI13" s="17"/>
      <c r="FJ13" s="17"/>
      <c r="FK13" s="17"/>
      <c r="FL13" s="17"/>
      <c r="FM13" s="17"/>
      <c r="FN13" s="17"/>
      <c r="FO13" s="17"/>
      <c r="FP13" s="17"/>
      <c r="FQ13" s="17"/>
      <c r="FR13" s="17"/>
      <c r="FS13" s="17"/>
      <c r="FT13" s="17"/>
      <c r="FU13" s="17"/>
      <c r="FV13" s="17"/>
      <c r="FW13" s="17"/>
      <c r="FX13" s="17"/>
      <c r="FY13" s="17"/>
      <c r="FZ13" s="17"/>
      <c r="GA13" s="17"/>
      <c r="GB13" s="17"/>
      <c r="GC13" s="17"/>
      <c r="GD13" s="17"/>
      <c r="GE13" s="17"/>
      <c r="GF13" s="17"/>
      <c r="GG13" s="17"/>
      <c r="GH13" s="17"/>
      <c r="GI13" s="17"/>
      <c r="GJ13" s="17"/>
      <c r="GK13" s="17"/>
      <c r="GL13" s="17"/>
      <c r="GM13" s="17"/>
      <c r="GN13" s="17"/>
      <c r="GO13" s="17"/>
      <c r="GP13" s="17"/>
      <c r="GQ13" s="17"/>
      <c r="GR13" s="17"/>
      <c r="GS13" s="17"/>
      <c r="GT13" s="17"/>
      <c r="GU13" s="17"/>
      <c r="GV13" s="17"/>
      <c r="GW13" s="17"/>
      <c r="GX13" s="17"/>
      <c r="GY13" s="17"/>
      <c r="GZ13" s="17"/>
      <c r="HA13" s="17"/>
      <c r="HB13" s="17"/>
      <c r="HC13" s="17"/>
      <c r="HD13" s="17"/>
      <c r="HE13" s="17"/>
      <c r="HF13" s="17"/>
      <c r="HG13" s="17"/>
      <c r="HH13" s="17"/>
      <c r="HI13" s="17"/>
    </row>
    <row r="14" spans="3:217" ht="7.5" customHeight="1" x14ac:dyDescent="0.25">
      <c r="C14" s="1442"/>
      <c r="D14" s="892"/>
      <c r="E14" s="892"/>
      <c r="F14" s="892"/>
      <c r="G14" s="892"/>
      <c r="H14" s="892"/>
      <c r="I14" s="892"/>
      <c r="J14" s="892"/>
      <c r="K14" s="892"/>
      <c r="L14" s="892"/>
      <c r="M14" s="892"/>
      <c r="N14" s="892"/>
      <c r="O14" s="892"/>
      <c r="P14" s="1443"/>
      <c r="S14" s="1408"/>
      <c r="T14" s="1409"/>
      <c r="U14" s="1409"/>
      <c r="V14" s="1409"/>
      <c r="W14" s="1409"/>
      <c r="X14" s="1409"/>
      <c r="Y14" s="1409"/>
      <c r="Z14" s="1409"/>
      <c r="AA14" s="1409"/>
      <c r="AB14" s="1409"/>
      <c r="AC14" s="1409"/>
      <c r="AD14" s="1883"/>
      <c r="AE14" s="118"/>
      <c r="AF14" s="1368" t="s">
        <v>53</v>
      </c>
      <c r="AG14" s="1369"/>
      <c r="AH14" s="1370"/>
      <c r="AM14" s="281"/>
      <c r="AN14" s="95"/>
      <c r="AO14" s="95"/>
      <c r="AP14" s="95"/>
      <c r="AQ14" s="95"/>
      <c r="AR14" s="95"/>
      <c r="AS14" s="95"/>
      <c r="AT14" s="95"/>
      <c r="AU14" s="95"/>
      <c r="AV14" s="282"/>
      <c r="BA14" s="1393"/>
      <c r="BB14" s="1394"/>
      <c r="BC14" s="1394"/>
      <c r="BD14" s="1394"/>
      <c r="BE14" s="1394"/>
      <c r="BF14" s="1394"/>
      <c r="BG14" s="1394"/>
      <c r="BH14" s="1394"/>
      <c r="BI14" s="1394"/>
      <c r="BJ14" s="1394"/>
      <c r="BK14" s="1394"/>
      <c r="BL14" s="1394"/>
      <c r="BM14" s="1395"/>
      <c r="BN14" s="1383"/>
      <c r="BO14" s="1384"/>
      <c r="BP14" s="1384"/>
      <c r="BQ14" s="1384"/>
      <c r="BR14" s="1384"/>
      <c r="BS14" s="1384"/>
      <c r="BT14" s="1384"/>
      <c r="BU14" s="1384"/>
      <c r="BV14" s="1384"/>
      <c r="BW14" s="1384"/>
      <c r="BX14" s="1384"/>
      <c r="BY14" s="1384"/>
      <c r="BZ14" s="1384"/>
      <c r="CA14" s="1384"/>
      <c r="CB14" s="1384"/>
      <c r="CC14" s="1384"/>
      <c r="CD14" s="1384"/>
      <c r="CE14" s="1384"/>
      <c r="CF14" s="1384"/>
      <c r="CG14" s="1384"/>
      <c r="CH14" s="1384"/>
      <c r="CI14" s="1384"/>
      <c r="CJ14" s="1384"/>
      <c r="CK14" s="1384"/>
      <c r="CL14" s="1384"/>
      <c r="CM14" s="1384"/>
      <c r="CN14" s="1385"/>
      <c r="CO14" s="1456"/>
      <c r="CP14" s="1457"/>
      <c r="CQ14" s="1458"/>
      <c r="CR14" s="17"/>
      <c r="CS14" s="17"/>
      <c r="CT14" s="17"/>
      <c r="CU14" s="17"/>
      <c r="CV14" s="17"/>
      <c r="CW14" s="17"/>
      <c r="CX14" s="17"/>
      <c r="CY14" s="17"/>
      <c r="CZ14" s="17"/>
      <c r="DA14" s="17"/>
      <c r="DB14" s="17"/>
      <c r="DC14" s="17"/>
      <c r="DD14" s="17"/>
      <c r="DE14" s="17"/>
      <c r="DF14" s="17"/>
      <c r="DG14" s="17"/>
      <c r="DH14" s="17"/>
      <c r="DI14" s="17"/>
      <c r="DJ14" s="17"/>
      <c r="DK14" s="17"/>
      <c r="DL14" s="17"/>
      <c r="DM14" s="17"/>
      <c r="DN14" s="17"/>
      <c r="DO14" s="17"/>
      <c r="DP14" s="17"/>
      <c r="DQ14" s="17"/>
      <c r="DR14" s="17"/>
      <c r="DS14" s="17"/>
      <c r="DT14" s="17"/>
      <c r="DU14" s="17"/>
      <c r="DV14" s="17"/>
      <c r="DW14" s="17"/>
      <c r="DX14" s="17"/>
      <c r="DY14" s="17"/>
      <c r="DZ14" s="17"/>
      <c r="EA14" s="17"/>
      <c r="EB14" s="17"/>
      <c r="EC14" s="17"/>
      <c r="ED14" s="17"/>
      <c r="EE14" s="17"/>
      <c r="EF14" s="17"/>
      <c r="EG14" s="17"/>
      <c r="EH14" s="17"/>
      <c r="EI14" s="17"/>
      <c r="EJ14" s="17"/>
      <c r="EK14" s="17"/>
      <c r="EL14" s="17"/>
      <c r="EM14" s="17"/>
      <c r="EN14" s="17"/>
      <c r="EO14" s="17"/>
      <c r="EP14" s="17"/>
      <c r="EQ14" s="17"/>
      <c r="ER14" s="17"/>
      <c r="ES14" s="17"/>
      <c r="ET14" s="17"/>
      <c r="EU14" s="17"/>
      <c r="EV14" s="17"/>
      <c r="EW14" s="17"/>
      <c r="EX14" s="17"/>
      <c r="EY14" s="17"/>
      <c r="EZ14" s="17"/>
      <c r="FA14" s="17"/>
      <c r="FB14" s="17"/>
      <c r="FC14" s="17"/>
      <c r="FD14" s="17"/>
      <c r="FE14" s="17"/>
      <c r="FF14" s="17"/>
      <c r="FG14" s="17"/>
      <c r="FH14" s="17"/>
      <c r="FI14" s="17"/>
      <c r="FJ14" s="17"/>
      <c r="FK14" s="17"/>
      <c r="FL14" s="17"/>
      <c r="FM14" s="17"/>
      <c r="FN14" s="17"/>
      <c r="FO14" s="17"/>
      <c r="FP14" s="17"/>
      <c r="FQ14" s="17"/>
      <c r="FR14" s="17"/>
      <c r="FS14" s="17"/>
      <c r="FT14" s="17"/>
      <c r="FU14" s="17"/>
      <c r="FV14" s="17"/>
      <c r="FW14" s="17"/>
      <c r="FX14" s="17"/>
      <c r="FY14" s="17"/>
      <c r="FZ14" s="17"/>
      <c r="GA14" s="17"/>
      <c r="GB14" s="17"/>
      <c r="GC14" s="17"/>
      <c r="GD14" s="17"/>
      <c r="GE14" s="17"/>
      <c r="GF14" s="17"/>
      <c r="GG14" s="17"/>
      <c r="GH14" s="17"/>
      <c r="GI14" s="17"/>
      <c r="GJ14" s="17"/>
      <c r="GK14" s="17"/>
      <c r="GL14" s="17"/>
      <c r="GM14" s="17"/>
      <c r="GN14" s="17"/>
      <c r="GO14" s="17"/>
      <c r="GP14" s="17"/>
      <c r="GQ14" s="17"/>
      <c r="GR14" s="17"/>
      <c r="GS14" s="17"/>
      <c r="GT14" s="17"/>
      <c r="GU14" s="17"/>
      <c r="GV14" s="17"/>
      <c r="GW14" s="17"/>
      <c r="GX14" s="17"/>
      <c r="GY14" s="17"/>
      <c r="GZ14" s="17"/>
      <c r="HA14" s="17"/>
      <c r="HB14" s="17"/>
      <c r="HC14" s="17"/>
      <c r="HD14" s="17"/>
      <c r="HE14" s="17"/>
      <c r="HF14" s="17"/>
      <c r="HG14" s="17"/>
      <c r="HH14" s="17"/>
      <c r="HI14" s="17"/>
    </row>
    <row r="15" spans="3:217" ht="7.5" customHeight="1" x14ac:dyDescent="0.25">
      <c r="C15" s="1442"/>
      <c r="D15" s="892"/>
      <c r="E15" s="892"/>
      <c r="F15" s="892"/>
      <c r="G15" s="892"/>
      <c r="H15" s="892"/>
      <c r="I15" s="892"/>
      <c r="J15" s="892"/>
      <c r="K15" s="892"/>
      <c r="L15" s="892"/>
      <c r="M15" s="892"/>
      <c r="N15" s="892"/>
      <c r="O15" s="892"/>
      <c r="P15" s="1443"/>
      <c r="S15" s="1408"/>
      <c r="T15" s="1409"/>
      <c r="U15" s="1409"/>
      <c r="V15" s="1409"/>
      <c r="W15" s="1409"/>
      <c r="X15" s="1409"/>
      <c r="Y15" s="1409"/>
      <c r="Z15" s="1409"/>
      <c r="AA15" s="1409"/>
      <c r="AB15" s="1409"/>
      <c r="AC15" s="1409"/>
      <c r="AD15" s="1883"/>
      <c r="AE15" s="118"/>
      <c r="AF15" s="1371"/>
      <c r="AG15" s="1372"/>
      <c r="AH15" s="1373"/>
      <c r="AM15" s="281"/>
      <c r="AN15" s="1484" t="s">
        <v>39</v>
      </c>
      <c r="AO15" s="1484"/>
      <c r="AP15" s="1484"/>
      <c r="AQ15" s="1484"/>
      <c r="AR15" s="1484"/>
      <c r="AS15" s="1484"/>
      <c r="AT15" s="1484"/>
      <c r="AU15" s="1484"/>
      <c r="AV15" s="282"/>
      <c r="BA15" s="1393"/>
      <c r="BB15" s="1394"/>
      <c r="BC15" s="1394"/>
      <c r="BD15" s="1394"/>
      <c r="BE15" s="1394"/>
      <c r="BF15" s="1394"/>
      <c r="BG15" s="1394"/>
      <c r="BH15" s="1394"/>
      <c r="BI15" s="1394"/>
      <c r="BJ15" s="1394"/>
      <c r="BK15" s="1394"/>
      <c r="BL15" s="1394"/>
      <c r="BM15" s="1395"/>
      <c r="BN15" s="1383"/>
      <c r="BO15" s="1384"/>
      <c r="BP15" s="1384"/>
      <c r="BQ15" s="1384"/>
      <c r="BR15" s="1384"/>
      <c r="BS15" s="1384"/>
      <c r="BT15" s="1384"/>
      <c r="BU15" s="1384"/>
      <c r="BV15" s="1384"/>
      <c r="BW15" s="1384"/>
      <c r="BX15" s="1384"/>
      <c r="BY15" s="1384"/>
      <c r="BZ15" s="1384"/>
      <c r="CA15" s="1384"/>
      <c r="CB15" s="1384"/>
      <c r="CC15" s="1384"/>
      <c r="CD15" s="1384"/>
      <c r="CE15" s="1384"/>
      <c r="CF15" s="1384"/>
      <c r="CG15" s="1384"/>
      <c r="CH15" s="1384"/>
      <c r="CI15" s="1384"/>
      <c r="CJ15" s="1384"/>
      <c r="CK15" s="1384"/>
      <c r="CL15" s="1384"/>
      <c r="CM15" s="1384"/>
      <c r="CN15" s="1385"/>
      <c r="CO15" s="1456"/>
      <c r="CP15" s="1457"/>
      <c r="CQ15" s="1458"/>
      <c r="CR15" s="17"/>
      <c r="CS15" s="17"/>
      <c r="CT15" s="17"/>
      <c r="CU15" s="17"/>
      <c r="CV15" s="17"/>
      <c r="CW15" s="17"/>
      <c r="CX15" s="17"/>
      <c r="CY15" s="17"/>
      <c r="CZ15" s="17"/>
      <c r="DA15" s="17"/>
      <c r="DB15" s="17"/>
      <c r="DC15" s="17"/>
      <c r="DD15" s="17"/>
      <c r="DE15" s="17"/>
      <c r="DF15" s="17"/>
      <c r="DG15" s="17"/>
      <c r="DH15" s="17"/>
      <c r="DI15" s="17"/>
      <c r="DJ15" s="17"/>
      <c r="DK15" s="17"/>
      <c r="DL15" s="17"/>
      <c r="DM15" s="17"/>
      <c r="DN15" s="17"/>
      <c r="DO15" s="17"/>
      <c r="DP15" s="17"/>
      <c r="DQ15" s="17"/>
      <c r="DR15" s="17"/>
      <c r="DS15" s="17"/>
      <c r="DT15" s="17"/>
      <c r="DU15" s="17"/>
      <c r="DV15" s="17"/>
      <c r="DW15" s="17"/>
      <c r="DX15" s="17"/>
      <c r="DY15" s="17"/>
      <c r="DZ15" s="17"/>
      <c r="EA15" s="17"/>
      <c r="EB15" s="17"/>
      <c r="EC15" s="17"/>
      <c r="ED15" s="17"/>
      <c r="EE15" s="17"/>
      <c r="EF15" s="17"/>
      <c r="EG15" s="17"/>
      <c r="EH15" s="17"/>
      <c r="EI15" s="17"/>
      <c r="EJ15" s="17"/>
      <c r="EK15" s="17"/>
      <c r="EL15" s="17"/>
      <c r="EM15" s="17"/>
      <c r="EN15" s="17"/>
      <c r="EO15" s="17"/>
      <c r="EP15" s="17"/>
      <c r="EQ15" s="17"/>
      <c r="ER15" s="17"/>
      <c r="ES15" s="17"/>
      <c r="ET15" s="17"/>
      <c r="EU15" s="17"/>
      <c r="EV15" s="17"/>
      <c r="EW15" s="17"/>
      <c r="EX15" s="17"/>
      <c r="EY15" s="17"/>
      <c r="EZ15" s="17"/>
      <c r="FA15" s="17"/>
      <c r="FB15" s="17"/>
      <c r="FC15" s="17"/>
      <c r="FD15" s="17"/>
      <c r="FE15" s="17"/>
      <c r="FF15" s="17"/>
      <c r="FG15" s="17"/>
      <c r="FH15" s="17"/>
      <c r="FI15" s="17"/>
      <c r="FJ15" s="17"/>
      <c r="FK15" s="17"/>
      <c r="FL15" s="17"/>
      <c r="FM15" s="17"/>
      <c r="FN15" s="17"/>
      <c r="FO15" s="17"/>
      <c r="FP15" s="17"/>
      <c r="FQ15" s="17"/>
      <c r="FR15" s="17"/>
      <c r="FS15" s="17"/>
      <c r="FT15" s="17"/>
      <c r="FU15" s="17"/>
      <c r="FV15" s="17"/>
      <c r="FW15" s="17"/>
      <c r="FX15" s="17"/>
      <c r="FY15" s="17"/>
      <c r="FZ15" s="17"/>
      <c r="GA15" s="17"/>
      <c r="GB15" s="17"/>
      <c r="GC15" s="17"/>
      <c r="GD15" s="17"/>
      <c r="GE15" s="17"/>
      <c r="GF15" s="17"/>
      <c r="GG15" s="17"/>
      <c r="GH15" s="17"/>
      <c r="GI15" s="17"/>
      <c r="GJ15" s="17"/>
      <c r="GK15" s="17"/>
      <c r="GL15" s="17"/>
      <c r="GM15" s="17"/>
      <c r="GN15" s="17"/>
      <c r="GO15" s="17"/>
      <c r="GP15" s="17"/>
      <c r="GQ15" s="17"/>
      <c r="GR15" s="17"/>
      <c r="GS15" s="17"/>
      <c r="GT15" s="17"/>
      <c r="GU15" s="17"/>
      <c r="GV15" s="17"/>
      <c r="GW15" s="17"/>
      <c r="GX15" s="17"/>
      <c r="GY15" s="17"/>
      <c r="GZ15" s="17"/>
      <c r="HA15" s="17"/>
      <c r="HB15" s="17"/>
      <c r="HC15" s="17"/>
      <c r="HD15" s="17"/>
      <c r="HE15" s="17"/>
      <c r="HF15" s="17"/>
      <c r="HG15" s="17"/>
      <c r="HH15" s="17"/>
      <c r="HI15" s="17"/>
    </row>
    <row r="16" spans="3:217" ht="7.5" customHeight="1" x14ac:dyDescent="0.25">
      <c r="C16" s="1442"/>
      <c r="D16" s="892"/>
      <c r="E16" s="892"/>
      <c r="F16" s="892"/>
      <c r="G16" s="892"/>
      <c r="H16" s="892"/>
      <c r="I16" s="892"/>
      <c r="J16" s="892"/>
      <c r="K16" s="892"/>
      <c r="L16" s="892"/>
      <c r="M16" s="892"/>
      <c r="N16" s="892"/>
      <c r="O16" s="892"/>
      <c r="P16" s="1443"/>
      <c r="S16" s="1408"/>
      <c r="T16" s="1409"/>
      <c r="U16" s="1409"/>
      <c r="V16" s="1409"/>
      <c r="W16" s="1409"/>
      <c r="X16" s="1409"/>
      <c r="Y16" s="1409"/>
      <c r="Z16" s="1409"/>
      <c r="AA16" s="1409"/>
      <c r="AB16" s="1409"/>
      <c r="AC16" s="1409"/>
      <c r="AD16" s="1883"/>
      <c r="AE16" s="118"/>
      <c r="AF16" s="1388"/>
      <c r="AG16" s="1389"/>
      <c r="AH16" s="1390"/>
      <c r="AM16" s="281"/>
      <c r="AN16" s="1896"/>
      <c r="AO16" s="1896"/>
      <c r="AP16" s="1896"/>
      <c r="AQ16" s="1896"/>
      <c r="AR16" s="1896"/>
      <c r="AS16" s="1896"/>
      <c r="AT16" s="1896"/>
      <c r="AU16" s="1896"/>
      <c r="AV16" s="282"/>
      <c r="BA16" s="1450"/>
      <c r="BB16" s="1451"/>
      <c r="BC16" s="1451"/>
      <c r="BD16" s="1451"/>
      <c r="BE16" s="1451"/>
      <c r="BF16" s="1451"/>
      <c r="BG16" s="1451"/>
      <c r="BH16" s="1451"/>
      <c r="BI16" s="1451"/>
      <c r="BJ16" s="1451"/>
      <c r="BK16" s="1451"/>
      <c r="BL16" s="1451"/>
      <c r="BM16" s="1452"/>
      <c r="BN16" s="1380"/>
      <c r="BO16" s="1381"/>
      <c r="BP16" s="1381"/>
      <c r="BQ16" s="1381"/>
      <c r="BR16" s="1381"/>
      <c r="BS16" s="1381"/>
      <c r="BT16" s="1381"/>
      <c r="BU16" s="1381"/>
      <c r="BV16" s="1381"/>
      <c r="BW16" s="1381"/>
      <c r="BX16" s="1381"/>
      <c r="BY16" s="1381"/>
      <c r="BZ16" s="1381"/>
      <c r="CA16" s="1381"/>
      <c r="CB16" s="1381"/>
      <c r="CC16" s="1381"/>
      <c r="CD16" s="1381"/>
      <c r="CE16" s="1381"/>
      <c r="CF16" s="1381"/>
      <c r="CG16" s="1381"/>
      <c r="CH16" s="1381"/>
      <c r="CI16" s="1381"/>
      <c r="CJ16" s="1381"/>
      <c r="CK16" s="1381"/>
      <c r="CL16" s="1381"/>
      <c r="CM16" s="1381"/>
      <c r="CN16" s="1382"/>
      <c r="CO16" s="1453"/>
      <c r="CP16" s="1454"/>
      <c r="CQ16" s="1455"/>
      <c r="CR16" s="17"/>
      <c r="CS16" s="17"/>
      <c r="DJ16" s="17"/>
      <c r="DK16" s="17"/>
      <c r="DL16" s="17"/>
      <c r="DM16" s="17"/>
      <c r="DN16" s="17"/>
      <c r="DO16" s="17"/>
      <c r="DP16" s="17"/>
      <c r="DQ16" s="17"/>
      <c r="DR16" s="17"/>
      <c r="DS16" s="17"/>
      <c r="DT16" s="17"/>
      <c r="DU16" s="17"/>
      <c r="DV16" s="17"/>
      <c r="DW16" s="17"/>
      <c r="DX16" s="17"/>
      <c r="DY16" s="17"/>
      <c r="DZ16" s="17"/>
      <c r="EA16" s="17"/>
      <c r="EB16" s="17"/>
      <c r="EC16" s="17"/>
      <c r="ED16" s="17"/>
      <c r="EE16" s="17"/>
      <c r="EF16" s="17"/>
      <c r="EG16" s="17"/>
      <c r="EH16" s="17"/>
      <c r="EI16" s="17"/>
      <c r="EJ16" s="17"/>
      <c r="EK16" s="17"/>
      <c r="EL16" s="17"/>
      <c r="EM16" s="17"/>
      <c r="EN16" s="17"/>
      <c r="EO16" s="17"/>
      <c r="EP16" s="17"/>
      <c r="EQ16" s="17"/>
      <c r="ER16" s="17"/>
      <c r="ES16" s="17"/>
      <c r="ET16" s="17"/>
      <c r="EU16" s="17"/>
      <c r="EV16" s="17"/>
      <c r="EW16" s="17"/>
      <c r="EX16" s="17"/>
      <c r="EY16" s="17"/>
      <c r="EZ16" s="17"/>
      <c r="FA16" s="17"/>
      <c r="FB16" s="17"/>
      <c r="FC16" s="17"/>
      <c r="FD16" s="17"/>
      <c r="FE16" s="17"/>
      <c r="FF16" s="17"/>
      <c r="FG16" s="17"/>
      <c r="FH16" s="17"/>
      <c r="FI16" s="17"/>
      <c r="FJ16" s="17"/>
      <c r="FK16" s="17"/>
      <c r="FL16" s="17"/>
      <c r="FM16" s="17"/>
      <c r="FN16" s="17"/>
      <c r="FO16" s="17"/>
      <c r="FP16" s="17"/>
      <c r="FQ16" s="17"/>
      <c r="FR16" s="17"/>
      <c r="FS16" s="17"/>
      <c r="FT16" s="17"/>
      <c r="FU16" s="17"/>
      <c r="FV16" s="17"/>
      <c r="FW16" s="17"/>
      <c r="FX16" s="17"/>
      <c r="FY16" s="17"/>
      <c r="FZ16" s="17"/>
      <c r="GA16" s="17"/>
      <c r="GB16" s="17"/>
      <c r="GC16" s="17"/>
      <c r="GD16" s="17"/>
      <c r="GE16" s="17"/>
      <c r="GF16" s="17"/>
      <c r="GG16" s="17"/>
      <c r="GH16" s="17"/>
      <c r="GI16" s="17"/>
      <c r="GJ16" s="17"/>
      <c r="GK16" s="17"/>
      <c r="GL16" s="17"/>
      <c r="GM16" s="17"/>
      <c r="GN16" s="17"/>
      <c r="GO16" s="17"/>
      <c r="GP16" s="17"/>
      <c r="GQ16" s="17"/>
      <c r="GR16" s="17"/>
      <c r="GS16" s="17"/>
      <c r="GT16" s="17"/>
      <c r="GU16" s="17"/>
      <c r="GV16" s="17"/>
      <c r="GW16" s="17"/>
      <c r="GX16" s="17"/>
      <c r="GY16" s="17"/>
      <c r="GZ16" s="17"/>
      <c r="HA16" s="17"/>
      <c r="HB16" s="17"/>
      <c r="HC16" s="17"/>
      <c r="HD16" s="17"/>
      <c r="HE16" s="17"/>
      <c r="HF16" s="17"/>
      <c r="HG16" s="17"/>
      <c r="HH16" s="17"/>
      <c r="HI16" s="17"/>
    </row>
    <row r="17" spans="3:217" ht="7.5" customHeight="1" x14ac:dyDescent="0.25">
      <c r="C17" s="860"/>
      <c r="D17" s="1444"/>
      <c r="E17" s="1444"/>
      <c r="F17" s="1444"/>
      <c r="G17" s="1444"/>
      <c r="H17" s="1444"/>
      <c r="I17" s="1444"/>
      <c r="J17" s="1444"/>
      <c r="K17" s="1444"/>
      <c r="L17" s="1444"/>
      <c r="M17" s="1444"/>
      <c r="N17" s="1444"/>
      <c r="O17" s="1444"/>
      <c r="P17" s="885"/>
      <c r="S17" s="1408"/>
      <c r="T17" s="1409"/>
      <c r="U17" s="1409"/>
      <c r="V17" s="1409"/>
      <c r="W17" s="1409"/>
      <c r="X17" s="1409"/>
      <c r="Y17" s="1409"/>
      <c r="Z17" s="1409"/>
      <c r="AA17" s="1409"/>
      <c r="AB17" s="1409"/>
      <c r="AC17" s="1409"/>
      <c r="AD17" s="1883"/>
      <c r="AE17" s="118"/>
      <c r="AF17" s="1368" t="s">
        <v>427</v>
      </c>
      <c r="AG17" s="1369"/>
      <c r="AH17" s="1370"/>
      <c r="AM17" s="281"/>
      <c r="AN17" s="95"/>
      <c r="AO17" s="95"/>
      <c r="AP17" s="95"/>
      <c r="AQ17" s="95"/>
      <c r="AR17" s="95"/>
      <c r="AS17" s="95"/>
      <c r="AT17" s="95"/>
      <c r="AU17" s="95"/>
      <c r="AV17" s="282"/>
      <c r="BA17" s="1450"/>
      <c r="BB17" s="1451"/>
      <c r="BC17" s="1451"/>
      <c r="BD17" s="1451"/>
      <c r="BE17" s="1451"/>
      <c r="BF17" s="1451"/>
      <c r="BG17" s="1451"/>
      <c r="BH17" s="1451"/>
      <c r="BI17" s="1451"/>
      <c r="BJ17" s="1451"/>
      <c r="BK17" s="1451"/>
      <c r="BL17" s="1451"/>
      <c r="BM17" s="1452"/>
      <c r="BN17" s="1380"/>
      <c r="BO17" s="1381"/>
      <c r="BP17" s="1381"/>
      <c r="BQ17" s="1381"/>
      <c r="BR17" s="1381"/>
      <c r="BS17" s="1381"/>
      <c r="BT17" s="1381"/>
      <c r="BU17" s="1381"/>
      <c r="BV17" s="1381"/>
      <c r="BW17" s="1381"/>
      <c r="BX17" s="1381"/>
      <c r="BY17" s="1381"/>
      <c r="BZ17" s="1381"/>
      <c r="CA17" s="1381"/>
      <c r="CB17" s="1381"/>
      <c r="CC17" s="1381"/>
      <c r="CD17" s="1381"/>
      <c r="CE17" s="1381"/>
      <c r="CF17" s="1381"/>
      <c r="CG17" s="1381"/>
      <c r="CH17" s="1381"/>
      <c r="CI17" s="1381"/>
      <c r="CJ17" s="1381"/>
      <c r="CK17" s="1381"/>
      <c r="CL17" s="1381"/>
      <c r="CM17" s="1381"/>
      <c r="CN17" s="1382"/>
      <c r="CO17" s="1453"/>
      <c r="CP17" s="1454"/>
      <c r="CQ17" s="1455"/>
      <c r="CR17" s="17"/>
      <c r="CS17" s="17"/>
      <c r="DJ17" s="17"/>
      <c r="DK17" s="17"/>
      <c r="DL17" s="17"/>
      <c r="DM17" s="17"/>
      <c r="DN17" s="17"/>
      <c r="DO17" s="17"/>
      <c r="DP17" s="17"/>
      <c r="DQ17" s="17"/>
      <c r="DR17" s="17"/>
      <c r="DS17" s="17"/>
      <c r="DT17" s="17"/>
      <c r="DU17" s="17"/>
      <c r="DV17" s="17"/>
      <c r="DW17" s="17"/>
      <c r="DX17" s="17"/>
      <c r="DY17" s="17"/>
      <c r="DZ17" s="17"/>
      <c r="EA17" s="17"/>
      <c r="EB17" s="17"/>
      <c r="EC17" s="17"/>
      <c r="ED17" s="17"/>
      <c r="EE17" s="17"/>
      <c r="EF17" s="17"/>
      <c r="EG17" s="17"/>
      <c r="EH17" s="17"/>
      <c r="EI17" s="17"/>
      <c r="EJ17" s="17"/>
      <c r="EK17" s="17"/>
      <c r="EL17" s="17"/>
      <c r="EM17" s="17"/>
      <c r="EN17" s="17"/>
      <c r="EO17" s="17"/>
      <c r="EP17" s="17"/>
      <c r="EQ17" s="17"/>
      <c r="ER17" s="17"/>
      <c r="ES17" s="17"/>
      <c r="ET17" s="17"/>
      <c r="EU17" s="17"/>
      <c r="EV17" s="17"/>
      <c r="EW17" s="17"/>
      <c r="EX17" s="17"/>
      <c r="EY17" s="17"/>
      <c r="EZ17" s="17"/>
      <c r="FA17" s="17"/>
      <c r="FB17" s="17"/>
      <c r="FC17" s="17"/>
      <c r="FD17" s="17"/>
      <c r="FE17" s="17"/>
      <c r="FF17" s="17"/>
      <c r="FG17" s="17"/>
      <c r="FH17" s="17"/>
      <c r="FI17" s="17"/>
      <c r="FJ17" s="17"/>
      <c r="FK17" s="17"/>
      <c r="FL17" s="17"/>
      <c r="FM17" s="17"/>
      <c r="FN17" s="17"/>
      <c r="FO17" s="17"/>
      <c r="FP17" s="17"/>
      <c r="FQ17" s="17"/>
      <c r="FR17" s="17"/>
      <c r="FS17" s="17"/>
      <c r="FT17" s="17"/>
      <c r="FU17" s="17"/>
      <c r="FV17" s="17"/>
      <c r="FW17" s="17"/>
      <c r="FX17" s="17"/>
      <c r="FY17" s="17"/>
      <c r="FZ17" s="17"/>
      <c r="GA17" s="17"/>
      <c r="GB17" s="17"/>
      <c r="GC17" s="17"/>
      <c r="GD17" s="17"/>
      <c r="GE17" s="17"/>
      <c r="GF17" s="17"/>
      <c r="GG17" s="17"/>
      <c r="GH17" s="17"/>
      <c r="GI17" s="17"/>
      <c r="GJ17" s="17"/>
      <c r="GK17" s="17"/>
      <c r="GL17" s="17"/>
      <c r="GM17" s="17"/>
      <c r="GN17" s="17"/>
      <c r="GO17" s="17"/>
      <c r="GP17" s="17"/>
      <c r="GQ17" s="17"/>
      <c r="GR17" s="17"/>
      <c r="GS17" s="17"/>
      <c r="GT17" s="17"/>
      <c r="GU17" s="17"/>
      <c r="GV17" s="17"/>
      <c r="GW17" s="17"/>
      <c r="GX17" s="17"/>
      <c r="GY17" s="17"/>
      <c r="GZ17" s="17"/>
      <c r="HA17" s="17"/>
      <c r="HB17" s="17"/>
      <c r="HC17" s="17"/>
      <c r="HD17" s="17"/>
      <c r="HE17" s="17"/>
      <c r="HF17" s="17"/>
      <c r="HG17" s="17"/>
      <c r="HH17" s="17"/>
      <c r="HI17" s="17"/>
    </row>
    <row r="18" spans="3:217" ht="7.5" customHeight="1" x14ac:dyDescent="0.25">
      <c r="S18" s="1408"/>
      <c r="T18" s="1409"/>
      <c r="U18" s="1409"/>
      <c r="V18" s="1409"/>
      <c r="W18" s="1409"/>
      <c r="X18" s="1409"/>
      <c r="Y18" s="1409"/>
      <c r="Z18" s="1409"/>
      <c r="AA18" s="1409"/>
      <c r="AB18" s="1409"/>
      <c r="AC18" s="1409"/>
      <c r="AD18" s="1883"/>
      <c r="AE18" s="118"/>
      <c r="AF18" s="1371"/>
      <c r="AG18" s="1372"/>
      <c r="AH18" s="1373"/>
      <c r="AM18" s="283"/>
      <c r="AN18" s="284"/>
      <c r="AO18" s="284"/>
      <c r="AP18" s="284"/>
      <c r="AQ18" s="284"/>
      <c r="AR18" s="284"/>
      <c r="AS18" s="284"/>
      <c r="AT18" s="284"/>
      <c r="AU18" s="284"/>
      <c r="AV18" s="285"/>
      <c r="BA18" s="1393"/>
      <c r="BB18" s="1394"/>
      <c r="BC18" s="1394"/>
      <c r="BD18" s="1394"/>
      <c r="BE18" s="1394"/>
      <c r="BF18" s="1394"/>
      <c r="BG18" s="1394"/>
      <c r="BH18" s="1394"/>
      <c r="BI18" s="1394"/>
      <c r="BJ18" s="1394"/>
      <c r="BK18" s="1394"/>
      <c r="BL18" s="1394"/>
      <c r="BM18" s="1395"/>
      <c r="BN18" s="1383"/>
      <c r="BO18" s="1384"/>
      <c r="BP18" s="1384"/>
      <c r="BQ18" s="1384"/>
      <c r="BR18" s="1384"/>
      <c r="BS18" s="1384"/>
      <c r="BT18" s="1384"/>
      <c r="BU18" s="1384"/>
      <c r="BV18" s="1384"/>
      <c r="BW18" s="1384"/>
      <c r="BX18" s="1384"/>
      <c r="BY18" s="1384"/>
      <c r="BZ18" s="1384"/>
      <c r="CA18" s="1384"/>
      <c r="CB18" s="1384"/>
      <c r="CC18" s="1384"/>
      <c r="CD18" s="1384"/>
      <c r="CE18" s="1384"/>
      <c r="CF18" s="1384"/>
      <c r="CG18" s="1384"/>
      <c r="CH18" s="1384"/>
      <c r="CI18" s="1384"/>
      <c r="CJ18" s="1384"/>
      <c r="CK18" s="1384"/>
      <c r="CL18" s="1384"/>
      <c r="CM18" s="1384"/>
      <c r="CN18" s="1385"/>
      <c r="CO18" s="1456"/>
      <c r="CP18" s="1457"/>
      <c r="CQ18" s="1458"/>
      <c r="CR18" s="17"/>
      <c r="CS18" s="17"/>
      <c r="CT18" s="17"/>
      <c r="CU18" s="17"/>
      <c r="CV18" s="17"/>
      <c r="CW18" s="17"/>
      <c r="CX18" s="17"/>
      <c r="CY18" s="17"/>
      <c r="CZ18" s="17"/>
      <c r="DA18" s="17"/>
      <c r="DB18" s="17"/>
      <c r="DC18" s="17"/>
      <c r="DD18" s="17"/>
      <c r="DE18" s="17"/>
      <c r="DF18" s="17"/>
      <c r="DG18" s="17"/>
      <c r="DH18" s="17"/>
      <c r="DI18" s="17"/>
      <c r="DJ18" s="17"/>
      <c r="DK18" s="17"/>
      <c r="DL18" s="17"/>
      <c r="DM18" s="17"/>
      <c r="DN18" s="17"/>
      <c r="DO18" s="17"/>
      <c r="DP18" s="17"/>
      <c r="DQ18" s="17"/>
      <c r="DR18" s="17"/>
      <c r="DS18" s="17"/>
      <c r="DT18" s="17"/>
      <c r="DU18" s="17"/>
      <c r="DV18" s="17"/>
      <c r="DW18" s="17"/>
      <c r="DX18" s="17"/>
      <c r="DY18" s="17"/>
      <c r="DZ18" s="17"/>
      <c r="EA18" s="17"/>
      <c r="EB18" s="17"/>
      <c r="EC18" s="17"/>
      <c r="ED18" s="17"/>
      <c r="EE18" s="17"/>
      <c r="EF18" s="17"/>
      <c r="EG18" s="17"/>
      <c r="EH18" s="17"/>
      <c r="EI18" s="17"/>
      <c r="EJ18" s="17"/>
      <c r="EK18" s="17"/>
      <c r="EL18" s="17"/>
      <c r="EM18" s="17"/>
      <c r="EN18" s="17"/>
      <c r="EO18" s="17"/>
      <c r="EP18" s="17"/>
      <c r="EQ18" s="17"/>
      <c r="ER18" s="17"/>
      <c r="ES18" s="17"/>
      <c r="ET18" s="17"/>
      <c r="EU18" s="17"/>
      <c r="EV18" s="17"/>
      <c r="EW18" s="17"/>
      <c r="EX18" s="17"/>
      <c r="EY18" s="17"/>
      <c r="EZ18" s="17"/>
      <c r="FA18" s="17"/>
      <c r="FB18" s="17"/>
      <c r="FC18" s="17"/>
      <c r="FD18" s="17"/>
      <c r="FE18" s="17"/>
      <c r="FF18" s="17"/>
      <c r="FG18" s="17"/>
      <c r="FH18" s="17"/>
      <c r="FI18" s="17"/>
      <c r="FJ18" s="17"/>
      <c r="FK18" s="17"/>
      <c r="FL18" s="17"/>
      <c r="FM18" s="17"/>
      <c r="FN18" s="17"/>
      <c r="FO18" s="17"/>
      <c r="FP18" s="17"/>
      <c r="FQ18" s="17"/>
      <c r="FR18" s="17"/>
      <c r="FS18" s="17"/>
      <c r="FT18" s="17"/>
      <c r="FU18" s="17"/>
      <c r="FV18" s="17"/>
      <c r="FW18" s="17"/>
      <c r="FX18" s="17"/>
      <c r="FY18" s="17"/>
      <c r="FZ18" s="17"/>
      <c r="GA18" s="17"/>
      <c r="GB18" s="17"/>
      <c r="GC18" s="17"/>
      <c r="GD18" s="17"/>
      <c r="GE18" s="17"/>
      <c r="GF18" s="17"/>
      <c r="GG18" s="17"/>
      <c r="GH18" s="17"/>
      <c r="GI18" s="17"/>
      <c r="GJ18" s="17"/>
      <c r="GK18" s="17"/>
      <c r="GL18" s="17"/>
      <c r="GM18" s="17"/>
      <c r="GN18" s="17"/>
      <c r="GO18" s="17"/>
      <c r="GP18" s="17"/>
      <c r="GQ18" s="17"/>
      <c r="GR18" s="17"/>
      <c r="GS18" s="17"/>
      <c r="GT18" s="17"/>
      <c r="GU18" s="17"/>
      <c r="GV18" s="17"/>
      <c r="GW18" s="17"/>
      <c r="GX18" s="17"/>
      <c r="GY18" s="17"/>
      <c r="GZ18" s="17"/>
      <c r="HA18" s="17"/>
      <c r="HB18" s="17"/>
      <c r="HC18" s="17"/>
      <c r="HD18" s="17"/>
      <c r="HE18" s="17"/>
      <c r="HF18" s="17"/>
      <c r="HG18" s="17"/>
      <c r="HH18" s="17"/>
      <c r="HI18" s="17"/>
    </row>
    <row r="19" spans="3:217" ht="7.5" customHeight="1" x14ac:dyDescent="0.25">
      <c r="S19" s="1884"/>
      <c r="T19" s="1885"/>
      <c r="U19" s="1885"/>
      <c r="V19" s="1885"/>
      <c r="W19" s="1885"/>
      <c r="X19" s="1885"/>
      <c r="Y19" s="1885"/>
      <c r="Z19" s="1885"/>
      <c r="AA19" s="1885"/>
      <c r="AB19" s="1885"/>
      <c r="AC19" s="1885"/>
      <c r="AD19" s="1886"/>
      <c r="AE19" s="118"/>
      <c r="AF19" s="1388"/>
      <c r="AG19" s="1389"/>
      <c r="AH19" s="1390"/>
      <c r="BA19" s="1393"/>
      <c r="BB19" s="1394"/>
      <c r="BC19" s="1394"/>
      <c r="BD19" s="1394"/>
      <c r="BE19" s="1394"/>
      <c r="BF19" s="1394"/>
      <c r="BG19" s="1394"/>
      <c r="BH19" s="1394"/>
      <c r="BI19" s="1394"/>
      <c r="BJ19" s="1394"/>
      <c r="BK19" s="1394"/>
      <c r="BL19" s="1394"/>
      <c r="BM19" s="1395"/>
      <c r="BN19" s="1383"/>
      <c r="BO19" s="1384"/>
      <c r="BP19" s="1384"/>
      <c r="BQ19" s="1384"/>
      <c r="BR19" s="1384"/>
      <c r="BS19" s="1384"/>
      <c r="BT19" s="1384"/>
      <c r="BU19" s="1384"/>
      <c r="BV19" s="1384"/>
      <c r="BW19" s="1384"/>
      <c r="BX19" s="1384"/>
      <c r="BY19" s="1384"/>
      <c r="BZ19" s="1384"/>
      <c r="CA19" s="1384"/>
      <c r="CB19" s="1384"/>
      <c r="CC19" s="1384"/>
      <c r="CD19" s="1384"/>
      <c r="CE19" s="1384"/>
      <c r="CF19" s="1384"/>
      <c r="CG19" s="1384"/>
      <c r="CH19" s="1384"/>
      <c r="CI19" s="1384"/>
      <c r="CJ19" s="1384"/>
      <c r="CK19" s="1384"/>
      <c r="CL19" s="1384"/>
      <c r="CM19" s="1384"/>
      <c r="CN19" s="1385"/>
      <c r="CO19" s="1456"/>
      <c r="CP19" s="1457"/>
      <c r="CQ19" s="1458"/>
      <c r="CR19" s="17"/>
      <c r="CS19" s="17"/>
      <c r="CT19" s="17"/>
      <c r="CU19" s="17"/>
      <c r="CV19" s="17"/>
      <c r="CW19" s="17"/>
      <c r="CX19" s="17"/>
      <c r="CY19" s="17"/>
      <c r="CZ19" s="17"/>
      <c r="DA19" s="17"/>
      <c r="DB19" s="17"/>
      <c r="DC19" s="17"/>
      <c r="DD19" s="17"/>
      <c r="DE19" s="17"/>
      <c r="DF19" s="17"/>
      <c r="DG19" s="17"/>
      <c r="DH19" s="17"/>
      <c r="DI19" s="17"/>
      <c r="DJ19" s="17"/>
      <c r="DK19" s="17"/>
      <c r="DL19" s="17"/>
      <c r="DM19" s="17"/>
      <c r="DN19" s="17"/>
      <c r="DO19" s="17"/>
      <c r="DP19" s="17"/>
      <c r="DQ19" s="17"/>
      <c r="DR19" s="17"/>
      <c r="DS19" s="17"/>
      <c r="DT19" s="17"/>
      <c r="DU19" s="17"/>
      <c r="DV19" s="17"/>
      <c r="DW19" s="17"/>
      <c r="DX19" s="17"/>
      <c r="DY19" s="17"/>
      <c r="DZ19" s="17"/>
      <c r="EA19" s="17"/>
      <c r="EB19" s="17"/>
      <c r="EC19" s="17"/>
      <c r="ED19" s="17"/>
      <c r="EE19" s="17"/>
      <c r="EF19" s="17"/>
      <c r="EG19" s="17"/>
      <c r="EH19" s="17"/>
      <c r="EI19" s="17"/>
      <c r="EJ19" s="17"/>
      <c r="EK19" s="17"/>
      <c r="EL19" s="17"/>
      <c r="EM19" s="17"/>
      <c r="EN19" s="17"/>
      <c r="EO19" s="17"/>
      <c r="EP19" s="17"/>
      <c r="EQ19" s="17"/>
      <c r="ER19" s="17"/>
      <c r="ES19" s="17"/>
      <c r="ET19" s="17"/>
      <c r="EU19" s="17"/>
      <c r="EV19" s="17"/>
      <c r="EW19" s="17"/>
      <c r="EX19" s="17"/>
      <c r="EY19" s="17"/>
      <c r="EZ19" s="17"/>
      <c r="FA19" s="17"/>
      <c r="FB19" s="17"/>
      <c r="FC19" s="17"/>
      <c r="FD19" s="17"/>
      <c r="FE19" s="17"/>
      <c r="FF19" s="17"/>
      <c r="FG19" s="17"/>
      <c r="FH19" s="17"/>
      <c r="FI19" s="17"/>
      <c r="FJ19" s="17"/>
      <c r="FK19" s="17"/>
      <c r="FL19" s="17"/>
      <c r="FM19" s="17"/>
      <c r="FN19" s="17"/>
      <c r="FO19" s="17"/>
      <c r="FP19" s="17"/>
      <c r="FQ19" s="17"/>
      <c r="FR19" s="17"/>
      <c r="FS19" s="17"/>
      <c r="FT19" s="17"/>
      <c r="FU19" s="17"/>
      <c r="FV19" s="17"/>
      <c r="FW19" s="17"/>
      <c r="FX19" s="17"/>
      <c r="FY19" s="17"/>
      <c r="FZ19" s="17"/>
      <c r="GA19" s="17"/>
      <c r="GB19" s="17"/>
      <c r="GC19" s="17"/>
      <c r="GD19" s="17"/>
      <c r="GE19" s="17"/>
      <c r="GF19" s="17"/>
      <c r="GG19" s="17"/>
      <c r="GH19" s="17"/>
      <c r="GI19" s="17"/>
      <c r="GJ19" s="17"/>
      <c r="GK19" s="17"/>
      <c r="GL19" s="17"/>
      <c r="GM19" s="17"/>
      <c r="GN19" s="17"/>
      <c r="GO19" s="17"/>
      <c r="GP19" s="17"/>
      <c r="GQ19" s="17"/>
      <c r="GR19" s="17"/>
      <c r="GS19" s="17"/>
      <c r="GT19" s="17"/>
      <c r="GU19" s="17"/>
      <c r="GV19" s="17"/>
      <c r="GW19" s="17"/>
      <c r="GX19" s="17"/>
      <c r="GY19" s="17"/>
      <c r="GZ19" s="17"/>
      <c r="HA19" s="17"/>
      <c r="HB19" s="17"/>
      <c r="HC19" s="17"/>
      <c r="HD19" s="17"/>
      <c r="HE19" s="17"/>
      <c r="HF19" s="17"/>
      <c r="HG19" s="17"/>
      <c r="HH19" s="17"/>
      <c r="HI19" s="17"/>
    </row>
    <row r="20" spans="3:217" ht="7.5" customHeight="1" x14ac:dyDescent="0.25">
      <c r="C20" s="1459" t="s">
        <v>35</v>
      </c>
      <c r="D20" s="1460"/>
      <c r="E20" s="1460"/>
      <c r="F20" s="1460"/>
      <c r="G20" s="1460"/>
      <c r="H20" s="1460"/>
      <c r="I20" s="1460"/>
      <c r="J20" s="1460"/>
      <c r="K20" s="1460"/>
      <c r="L20" s="1460"/>
      <c r="M20" s="1391"/>
      <c r="N20" s="1391"/>
      <c r="AM20" s="1891" t="s">
        <v>96</v>
      </c>
      <c r="AN20" s="1892"/>
      <c r="AO20" s="1892"/>
      <c r="AP20" s="1892"/>
      <c r="AQ20" s="1892"/>
      <c r="AR20" s="1892"/>
      <c r="AS20" s="1892"/>
      <c r="AT20" s="1892"/>
      <c r="AU20" s="1893"/>
      <c r="AV20" s="1894"/>
      <c r="AW20" s="1391" t="s">
        <v>428</v>
      </c>
      <c r="AX20" s="1391"/>
      <c r="BA20" s="1450"/>
      <c r="BB20" s="1451"/>
      <c r="BC20" s="1451"/>
      <c r="BD20" s="1451"/>
      <c r="BE20" s="1451"/>
      <c r="BF20" s="1451"/>
      <c r="BG20" s="1451"/>
      <c r="BH20" s="1451"/>
      <c r="BI20" s="1451"/>
      <c r="BJ20" s="1451"/>
      <c r="BK20" s="1451"/>
      <c r="BL20" s="1451"/>
      <c r="BM20" s="1452"/>
      <c r="BN20" s="1380"/>
      <c r="BO20" s="1381"/>
      <c r="BP20" s="1381"/>
      <c r="BQ20" s="1381"/>
      <c r="BR20" s="1381"/>
      <c r="BS20" s="1381"/>
      <c r="BT20" s="1381"/>
      <c r="BU20" s="1381"/>
      <c r="BV20" s="1381"/>
      <c r="BW20" s="1381"/>
      <c r="BX20" s="1381"/>
      <c r="BY20" s="1381"/>
      <c r="BZ20" s="1381"/>
      <c r="CA20" s="1381"/>
      <c r="CB20" s="1381"/>
      <c r="CC20" s="1381"/>
      <c r="CD20" s="1381"/>
      <c r="CE20" s="1381"/>
      <c r="CF20" s="1381"/>
      <c r="CG20" s="1381"/>
      <c r="CH20" s="1381"/>
      <c r="CI20" s="1381"/>
      <c r="CJ20" s="1381"/>
      <c r="CK20" s="1381"/>
      <c r="CL20" s="1381"/>
      <c r="CM20" s="1381"/>
      <c r="CN20" s="1382"/>
      <c r="CO20" s="1453"/>
      <c r="CP20" s="1454"/>
      <c r="CQ20" s="1455"/>
      <c r="CR20" s="17"/>
      <c r="CS20" s="17"/>
      <c r="CT20" s="17"/>
      <c r="CU20" s="17"/>
      <c r="CV20" s="17"/>
      <c r="CW20" s="17"/>
      <c r="CX20" s="17"/>
      <c r="CY20" s="17"/>
      <c r="CZ20" s="17"/>
      <c r="DA20" s="17"/>
      <c r="DB20" s="17"/>
      <c r="DC20" s="17"/>
      <c r="DD20" s="17"/>
      <c r="DE20" s="17"/>
      <c r="DF20" s="17"/>
      <c r="DG20" s="17"/>
      <c r="DH20" s="17"/>
      <c r="DI20" s="17"/>
      <c r="DJ20" s="17"/>
      <c r="DK20" s="17"/>
      <c r="DL20" s="17"/>
      <c r="DM20" s="17"/>
      <c r="DN20" s="17"/>
      <c r="DO20" s="17"/>
      <c r="DP20" s="17"/>
      <c r="DQ20" s="17"/>
      <c r="DR20" s="17"/>
      <c r="DS20" s="17"/>
      <c r="DT20" s="17"/>
      <c r="DU20" s="17"/>
      <c r="DV20" s="17"/>
      <c r="DW20" s="17"/>
      <c r="DX20" s="17"/>
      <c r="DY20" s="17"/>
      <c r="DZ20" s="17"/>
      <c r="EA20" s="17"/>
      <c r="EB20" s="17"/>
      <c r="EC20" s="17"/>
      <c r="ED20" s="17"/>
      <c r="EE20" s="17"/>
      <c r="EF20" s="17"/>
      <c r="EG20" s="17"/>
      <c r="EH20" s="17"/>
      <c r="EI20" s="17"/>
      <c r="EJ20" s="17"/>
      <c r="EK20" s="17"/>
      <c r="EL20" s="17"/>
      <c r="EM20" s="17"/>
      <c r="EN20" s="17"/>
      <c r="EO20" s="17"/>
      <c r="EP20" s="17"/>
      <c r="EQ20" s="17"/>
      <c r="ER20" s="17"/>
      <c r="ES20" s="17"/>
      <c r="ET20" s="17"/>
      <c r="EU20" s="17"/>
      <c r="EV20" s="17"/>
      <c r="EW20" s="17"/>
      <c r="EX20" s="17"/>
      <c r="EY20" s="17"/>
      <c r="EZ20" s="17"/>
      <c r="FA20" s="17"/>
      <c r="FB20" s="17"/>
      <c r="FC20" s="17"/>
      <c r="FD20" s="17"/>
      <c r="FE20" s="17"/>
      <c r="FF20" s="17"/>
      <c r="FG20" s="17"/>
      <c r="FH20" s="17"/>
      <c r="FI20" s="17"/>
      <c r="FJ20" s="17"/>
      <c r="FK20" s="17"/>
      <c r="FL20" s="17"/>
      <c r="FM20" s="17"/>
      <c r="FN20" s="17"/>
      <c r="FO20" s="17"/>
      <c r="FP20" s="17"/>
      <c r="FQ20" s="17"/>
      <c r="FR20" s="17"/>
      <c r="FS20" s="17"/>
      <c r="FT20" s="17"/>
      <c r="FU20" s="17"/>
      <c r="FV20" s="17"/>
      <c r="FW20" s="17"/>
      <c r="FX20" s="17"/>
      <c r="FY20" s="17"/>
      <c r="FZ20" s="17"/>
      <c r="GA20" s="17"/>
      <c r="GB20" s="17"/>
      <c r="GC20" s="17"/>
      <c r="GD20" s="17"/>
      <c r="GE20" s="17"/>
      <c r="GF20" s="17"/>
      <c r="GG20" s="17"/>
      <c r="GH20" s="17"/>
      <c r="GI20" s="17"/>
      <c r="GJ20" s="17"/>
      <c r="GK20" s="17"/>
      <c r="GL20" s="17"/>
      <c r="GM20" s="17"/>
      <c r="GN20" s="17"/>
      <c r="GO20" s="17"/>
      <c r="GP20" s="17"/>
      <c r="GQ20" s="17"/>
      <c r="GR20" s="17"/>
      <c r="GS20" s="17"/>
      <c r="GT20" s="17"/>
      <c r="GU20" s="17"/>
      <c r="GV20" s="17"/>
      <c r="GW20" s="17"/>
      <c r="GX20" s="17"/>
      <c r="GY20" s="17"/>
      <c r="GZ20" s="17"/>
      <c r="HA20" s="17"/>
      <c r="HB20" s="17"/>
      <c r="HC20" s="17"/>
      <c r="HD20" s="17"/>
      <c r="HE20" s="17"/>
      <c r="HF20" s="17"/>
      <c r="HG20" s="17"/>
      <c r="HH20" s="17"/>
      <c r="HI20" s="17"/>
    </row>
    <row r="21" spans="3:217" ht="7.5" customHeight="1" x14ac:dyDescent="0.25">
      <c r="C21" s="1437"/>
      <c r="D21" s="1438"/>
      <c r="E21" s="1438"/>
      <c r="F21" s="1438"/>
      <c r="G21" s="1438"/>
      <c r="H21" s="1438"/>
      <c r="I21" s="1438"/>
      <c r="J21" s="1438"/>
      <c r="K21" s="1438"/>
      <c r="L21" s="1438"/>
      <c r="M21" s="1392"/>
      <c r="N21" s="1392"/>
      <c r="Q21" s="1887" t="s">
        <v>95</v>
      </c>
      <c r="R21" s="1888"/>
      <c r="S21" s="1888"/>
      <c r="T21" s="1888"/>
      <c r="U21" s="1888"/>
      <c r="V21" s="1888"/>
      <c r="W21" s="1888"/>
      <c r="X21" s="1888"/>
      <c r="Y21" s="1888"/>
      <c r="Z21" s="1888"/>
      <c r="AA21" s="1888"/>
      <c r="AB21" s="1888"/>
      <c r="AC21" s="1888"/>
      <c r="AD21" s="1888"/>
      <c r="AE21" s="1892"/>
      <c r="AF21" s="1361"/>
      <c r="AG21" s="1429"/>
      <c r="AH21" s="1429"/>
      <c r="AI21" s="1391" t="s">
        <v>428</v>
      </c>
      <c r="AJ21" s="1391"/>
      <c r="AM21" s="1437"/>
      <c r="AN21" s="1438"/>
      <c r="AO21" s="1438"/>
      <c r="AP21" s="1438"/>
      <c r="AQ21" s="1438"/>
      <c r="AR21" s="1438"/>
      <c r="AS21" s="1438"/>
      <c r="AT21" s="1438"/>
      <c r="AU21" s="1398"/>
      <c r="AV21" s="1444"/>
      <c r="AW21" s="1392"/>
      <c r="AX21" s="1392"/>
      <c r="BA21" s="1450"/>
      <c r="BB21" s="1451"/>
      <c r="BC21" s="1451"/>
      <c r="BD21" s="1451"/>
      <c r="BE21" s="1451"/>
      <c r="BF21" s="1451"/>
      <c r="BG21" s="1451"/>
      <c r="BH21" s="1451"/>
      <c r="BI21" s="1451"/>
      <c r="BJ21" s="1451"/>
      <c r="BK21" s="1451"/>
      <c r="BL21" s="1451"/>
      <c r="BM21" s="1452"/>
      <c r="BN21" s="1380"/>
      <c r="BO21" s="1381"/>
      <c r="BP21" s="1381"/>
      <c r="BQ21" s="1381"/>
      <c r="BR21" s="1381"/>
      <c r="BS21" s="1381"/>
      <c r="BT21" s="1381"/>
      <c r="BU21" s="1381"/>
      <c r="BV21" s="1381"/>
      <c r="BW21" s="1381"/>
      <c r="BX21" s="1381"/>
      <c r="BY21" s="1381"/>
      <c r="BZ21" s="1381"/>
      <c r="CA21" s="1381"/>
      <c r="CB21" s="1381"/>
      <c r="CC21" s="1381"/>
      <c r="CD21" s="1381"/>
      <c r="CE21" s="1381"/>
      <c r="CF21" s="1381"/>
      <c r="CG21" s="1381"/>
      <c r="CH21" s="1381"/>
      <c r="CI21" s="1381"/>
      <c r="CJ21" s="1381"/>
      <c r="CK21" s="1381"/>
      <c r="CL21" s="1381"/>
      <c r="CM21" s="1381"/>
      <c r="CN21" s="1382"/>
      <c r="CO21" s="1453"/>
      <c r="CP21" s="1454"/>
      <c r="CQ21" s="1455"/>
      <c r="CR21" s="17"/>
      <c r="CS21" s="17"/>
      <c r="CT21" s="17"/>
      <c r="CU21" s="17"/>
      <c r="CV21" s="17"/>
      <c r="CW21" s="17"/>
      <c r="CX21" s="17"/>
      <c r="CY21" s="17"/>
      <c r="CZ21" s="17"/>
      <c r="DA21" s="17"/>
      <c r="DB21" s="17"/>
      <c r="DC21" s="17"/>
      <c r="DD21" s="17"/>
      <c r="DE21" s="17"/>
      <c r="DF21" s="17"/>
      <c r="DG21" s="17"/>
      <c r="DH21" s="17"/>
      <c r="DI21" s="17"/>
      <c r="DJ21" s="17"/>
      <c r="DK21" s="17"/>
      <c r="DL21" s="17"/>
      <c r="DM21" s="17"/>
      <c r="DN21" s="17"/>
      <c r="DO21" s="17"/>
      <c r="DP21" s="17"/>
      <c r="DQ21" s="17"/>
      <c r="DR21" s="17"/>
      <c r="DS21" s="17"/>
      <c r="DT21" s="17"/>
      <c r="DU21" s="17"/>
      <c r="DV21" s="17"/>
      <c r="DW21" s="17"/>
      <c r="DX21" s="17"/>
      <c r="DY21" s="17"/>
      <c r="DZ21" s="17"/>
      <c r="EA21" s="17"/>
      <c r="EB21" s="17"/>
      <c r="EC21" s="17"/>
      <c r="ED21" s="17"/>
      <c r="EE21" s="17"/>
      <c r="EF21" s="17"/>
      <c r="EG21" s="17"/>
      <c r="EH21" s="17"/>
      <c r="EI21" s="17"/>
      <c r="EJ21" s="17"/>
      <c r="EK21" s="17"/>
      <c r="EL21" s="17"/>
      <c r="EM21" s="17"/>
      <c r="EN21" s="17"/>
      <c r="EO21" s="17"/>
      <c r="EP21" s="17"/>
      <c r="EQ21" s="17"/>
      <c r="ER21" s="17"/>
      <c r="ES21" s="17"/>
      <c r="ET21" s="17"/>
      <c r="EU21" s="17"/>
      <c r="EV21" s="17"/>
      <c r="EW21" s="17"/>
      <c r="EX21" s="17"/>
      <c r="EY21" s="17"/>
      <c r="EZ21" s="17"/>
      <c r="FA21" s="17"/>
      <c r="FB21" s="17"/>
      <c r="FC21" s="17"/>
      <c r="FD21" s="17"/>
      <c r="FE21" s="17"/>
      <c r="FF21" s="17"/>
      <c r="FG21" s="17"/>
      <c r="FH21" s="17"/>
      <c r="FI21" s="17"/>
      <c r="FJ21" s="17"/>
      <c r="FK21" s="17"/>
      <c r="FL21" s="17"/>
      <c r="FM21" s="17"/>
      <c r="FN21" s="17"/>
      <c r="FO21" s="17"/>
      <c r="FP21" s="17"/>
      <c r="FQ21" s="17"/>
      <c r="FR21" s="17"/>
      <c r="FS21" s="17"/>
      <c r="FT21" s="17"/>
      <c r="FU21" s="17"/>
      <c r="FV21" s="17"/>
      <c r="FW21" s="17"/>
      <c r="FX21" s="17"/>
      <c r="FY21" s="17"/>
      <c r="FZ21" s="17"/>
      <c r="GA21" s="17"/>
      <c r="GB21" s="17"/>
      <c r="GC21" s="17"/>
      <c r="GD21" s="17"/>
      <c r="GE21" s="17"/>
      <c r="GF21" s="17"/>
      <c r="GG21" s="17"/>
      <c r="GH21" s="17"/>
      <c r="GI21" s="17"/>
      <c r="GJ21" s="17"/>
      <c r="GK21" s="17"/>
      <c r="GL21" s="17"/>
      <c r="GM21" s="17"/>
      <c r="GN21" s="17"/>
      <c r="GO21" s="17"/>
      <c r="GP21" s="17"/>
      <c r="GQ21" s="17"/>
      <c r="GR21" s="17"/>
      <c r="GS21" s="17"/>
      <c r="GT21" s="17"/>
      <c r="GU21" s="17"/>
      <c r="GV21" s="17"/>
      <c r="GW21" s="17"/>
      <c r="GX21" s="17"/>
      <c r="GY21" s="17"/>
      <c r="GZ21" s="17"/>
      <c r="HA21" s="17"/>
      <c r="HB21" s="17"/>
      <c r="HC21" s="17"/>
      <c r="HD21" s="17"/>
      <c r="HE21" s="17"/>
      <c r="HF21" s="17"/>
      <c r="HG21" s="17"/>
      <c r="HH21" s="17"/>
      <c r="HI21" s="17"/>
    </row>
    <row r="22" spans="3:217" ht="7.5" customHeight="1" x14ac:dyDescent="0.25">
      <c r="C22" s="1439"/>
      <c r="D22" s="1440"/>
      <c r="E22" s="1440"/>
      <c r="F22" s="1440"/>
      <c r="G22" s="1440"/>
      <c r="H22" s="1440"/>
      <c r="I22" s="1440"/>
      <c r="J22" s="1440"/>
      <c r="K22" s="1440"/>
      <c r="L22" s="1440"/>
      <c r="M22" s="1440"/>
      <c r="N22" s="1441"/>
      <c r="Q22" s="1437"/>
      <c r="R22" s="1438"/>
      <c r="S22" s="1438"/>
      <c r="T22" s="1438"/>
      <c r="U22" s="1438"/>
      <c r="V22" s="1438"/>
      <c r="W22" s="1438"/>
      <c r="X22" s="1438"/>
      <c r="Y22" s="1438"/>
      <c r="Z22" s="1438"/>
      <c r="AA22" s="1438"/>
      <c r="AB22" s="1438"/>
      <c r="AC22" s="1438"/>
      <c r="AD22" s="1438"/>
      <c r="AE22" s="1895"/>
      <c r="AF22" s="1363"/>
      <c r="AG22" s="1430"/>
      <c r="AH22" s="1430"/>
      <c r="AI22" s="1392"/>
      <c r="AJ22" s="1392"/>
      <c r="AM22" s="1414"/>
      <c r="AN22" s="1415"/>
      <c r="AO22" s="1415"/>
      <c r="AP22" s="1415"/>
      <c r="AQ22" s="1415"/>
      <c r="AR22" s="1415"/>
      <c r="AS22" s="1415"/>
      <c r="AT22" s="1415"/>
      <c r="AU22" s="1415"/>
      <c r="AV22" s="1415"/>
      <c r="AW22" s="1415"/>
      <c r="AX22" s="1416"/>
      <c r="BA22" s="1393"/>
      <c r="BB22" s="1394"/>
      <c r="BC22" s="1394"/>
      <c r="BD22" s="1394"/>
      <c r="BE22" s="1394"/>
      <c r="BF22" s="1394"/>
      <c r="BG22" s="1394"/>
      <c r="BH22" s="1394"/>
      <c r="BI22" s="1394"/>
      <c r="BJ22" s="1394"/>
      <c r="BK22" s="1394"/>
      <c r="BL22" s="1394"/>
      <c r="BM22" s="1395"/>
      <c r="BN22" s="1383"/>
      <c r="BO22" s="1384"/>
      <c r="BP22" s="1384"/>
      <c r="BQ22" s="1384"/>
      <c r="BR22" s="1384"/>
      <c r="BS22" s="1384"/>
      <c r="BT22" s="1384"/>
      <c r="BU22" s="1384"/>
      <c r="BV22" s="1384"/>
      <c r="BW22" s="1384"/>
      <c r="BX22" s="1384"/>
      <c r="BY22" s="1384"/>
      <c r="BZ22" s="1384"/>
      <c r="CA22" s="1384"/>
      <c r="CB22" s="1384"/>
      <c r="CC22" s="1384"/>
      <c r="CD22" s="1384"/>
      <c r="CE22" s="1384"/>
      <c r="CF22" s="1384"/>
      <c r="CG22" s="1384"/>
      <c r="CH22" s="1384"/>
      <c r="CI22" s="1384"/>
      <c r="CJ22" s="1384"/>
      <c r="CK22" s="1384"/>
      <c r="CL22" s="1384"/>
      <c r="CM22" s="1384"/>
      <c r="CN22" s="1385"/>
      <c r="CO22" s="1456"/>
      <c r="CP22" s="1457"/>
      <c r="CQ22" s="1458"/>
      <c r="CR22" s="17"/>
      <c r="CS22" s="17"/>
      <c r="CT22" s="17"/>
      <c r="CU22" s="17"/>
      <c r="CV22" s="17"/>
      <c r="CW22" s="17"/>
      <c r="CX22" s="17"/>
      <c r="CY22" s="17"/>
      <c r="CZ22" s="17"/>
      <c r="DA22" s="17"/>
      <c r="DB22" s="17"/>
      <c r="DC22" s="17"/>
      <c r="DD22" s="17"/>
      <c r="DE22" s="17"/>
      <c r="DF22" s="17"/>
      <c r="DG22" s="17"/>
      <c r="DH22" s="17"/>
      <c r="DI22" s="17"/>
      <c r="DJ22" s="17"/>
      <c r="DK22" s="17"/>
      <c r="DL22" s="17"/>
      <c r="DM22" s="17"/>
      <c r="DN22" s="17"/>
      <c r="DO22" s="17"/>
      <c r="DP22" s="17"/>
      <c r="DQ22" s="17"/>
      <c r="DR22" s="17"/>
      <c r="DS22" s="17"/>
      <c r="DT22" s="17"/>
      <c r="DU22" s="17"/>
      <c r="DV22" s="17"/>
      <c r="DW22" s="17"/>
      <c r="DX22" s="17"/>
      <c r="DY22" s="17"/>
      <c r="DZ22" s="17"/>
      <c r="EA22" s="17"/>
      <c r="EB22" s="17"/>
      <c r="EC22" s="17"/>
      <c r="ED22" s="17"/>
      <c r="EE22" s="17"/>
      <c r="EF22" s="17"/>
      <c r="EG22" s="17"/>
      <c r="EH22" s="17"/>
      <c r="EI22" s="17"/>
      <c r="EJ22" s="17"/>
      <c r="EK22" s="17"/>
      <c r="EL22" s="17"/>
      <c r="EM22" s="17"/>
      <c r="EN22" s="17"/>
      <c r="EO22" s="17"/>
      <c r="EP22" s="17"/>
      <c r="EQ22" s="17"/>
      <c r="ER22" s="17"/>
      <c r="ES22" s="17"/>
      <c r="ET22" s="17"/>
      <c r="EU22" s="17"/>
      <c r="EV22" s="17"/>
      <c r="EW22" s="17"/>
      <c r="EX22" s="17"/>
      <c r="EY22" s="17"/>
      <c r="EZ22" s="17"/>
      <c r="FA22" s="17"/>
      <c r="FB22" s="17"/>
      <c r="FC22" s="17"/>
      <c r="FD22" s="17"/>
      <c r="FE22" s="17"/>
      <c r="FF22" s="17"/>
      <c r="FG22" s="17"/>
      <c r="FH22" s="17"/>
      <c r="FI22" s="17"/>
      <c r="FJ22" s="17"/>
      <c r="FK22" s="17"/>
      <c r="FL22" s="17"/>
      <c r="FM22" s="17"/>
      <c r="FN22" s="17"/>
      <c r="FO22" s="17"/>
      <c r="FP22" s="17"/>
      <c r="FQ22" s="17"/>
      <c r="FR22" s="17"/>
      <c r="FS22" s="17"/>
      <c r="FT22" s="17"/>
      <c r="FU22" s="17"/>
      <c r="FV22" s="17"/>
      <c r="FW22" s="17"/>
      <c r="FX22" s="17"/>
      <c r="FY22" s="17"/>
      <c r="FZ22" s="17"/>
      <c r="GA22" s="17"/>
      <c r="GB22" s="17"/>
      <c r="GC22" s="17"/>
      <c r="GD22" s="17"/>
      <c r="GE22" s="17"/>
      <c r="GF22" s="17"/>
      <c r="GG22" s="17"/>
      <c r="GH22" s="17"/>
      <c r="GI22" s="17"/>
      <c r="GJ22" s="17"/>
      <c r="GK22" s="17"/>
      <c r="GL22" s="17"/>
      <c r="GM22" s="17"/>
      <c r="GN22" s="17"/>
      <c r="GO22" s="17"/>
      <c r="GP22" s="17"/>
      <c r="GQ22" s="17"/>
      <c r="GR22" s="17"/>
      <c r="GS22" s="17"/>
      <c r="GT22" s="17"/>
      <c r="GU22" s="17"/>
      <c r="GV22" s="17"/>
      <c r="GW22" s="17"/>
      <c r="GX22" s="17"/>
      <c r="GY22" s="17"/>
      <c r="GZ22" s="17"/>
      <c r="HA22" s="17"/>
      <c r="HB22" s="17"/>
      <c r="HC22" s="17"/>
      <c r="HD22" s="17"/>
      <c r="HE22" s="17"/>
      <c r="HF22" s="17"/>
      <c r="HG22" s="17"/>
      <c r="HH22" s="17"/>
      <c r="HI22" s="17"/>
    </row>
    <row r="23" spans="3:217" ht="7.5" customHeight="1" x14ac:dyDescent="0.25">
      <c r="C23" s="1442"/>
      <c r="D23" s="892"/>
      <c r="E23" s="892"/>
      <c r="F23" s="892"/>
      <c r="G23" s="892"/>
      <c r="H23" s="892"/>
      <c r="I23" s="892"/>
      <c r="J23" s="892"/>
      <c r="K23" s="892"/>
      <c r="L23" s="892"/>
      <c r="M23" s="892"/>
      <c r="N23" s="1443"/>
      <c r="Q23" s="1880"/>
      <c r="R23" s="1881"/>
      <c r="S23" s="1881"/>
      <c r="T23" s="1881"/>
      <c r="U23" s="1881"/>
      <c r="V23" s="1881"/>
      <c r="W23" s="1881"/>
      <c r="X23" s="1881"/>
      <c r="Y23" s="1881"/>
      <c r="Z23" s="1881"/>
      <c r="AA23" s="1881"/>
      <c r="AB23" s="1881"/>
      <c r="AC23" s="1881"/>
      <c r="AD23" s="1881"/>
      <c r="AE23" s="1882"/>
      <c r="AM23" s="1417"/>
      <c r="AN23" s="1418"/>
      <c r="AO23" s="1418"/>
      <c r="AP23" s="1418"/>
      <c r="AQ23" s="1418"/>
      <c r="AR23" s="1418"/>
      <c r="AS23" s="1418"/>
      <c r="AT23" s="1418"/>
      <c r="AU23" s="1418"/>
      <c r="AV23" s="1418"/>
      <c r="AW23" s="1418"/>
      <c r="AX23" s="1419"/>
      <c r="BA23" s="1393"/>
      <c r="BB23" s="1394"/>
      <c r="BC23" s="1394"/>
      <c r="BD23" s="1394"/>
      <c r="BE23" s="1394"/>
      <c r="BF23" s="1394"/>
      <c r="BG23" s="1394"/>
      <c r="BH23" s="1394"/>
      <c r="BI23" s="1394"/>
      <c r="BJ23" s="1394"/>
      <c r="BK23" s="1394"/>
      <c r="BL23" s="1394"/>
      <c r="BM23" s="1395"/>
      <c r="BN23" s="1383"/>
      <c r="BO23" s="1384"/>
      <c r="BP23" s="1384"/>
      <c r="BQ23" s="1384"/>
      <c r="BR23" s="1384"/>
      <c r="BS23" s="1384"/>
      <c r="BT23" s="1384"/>
      <c r="BU23" s="1384"/>
      <c r="BV23" s="1384"/>
      <c r="BW23" s="1384"/>
      <c r="BX23" s="1384"/>
      <c r="BY23" s="1384"/>
      <c r="BZ23" s="1384"/>
      <c r="CA23" s="1384"/>
      <c r="CB23" s="1384"/>
      <c r="CC23" s="1384"/>
      <c r="CD23" s="1384"/>
      <c r="CE23" s="1384"/>
      <c r="CF23" s="1384"/>
      <c r="CG23" s="1384"/>
      <c r="CH23" s="1384"/>
      <c r="CI23" s="1384"/>
      <c r="CJ23" s="1384"/>
      <c r="CK23" s="1384"/>
      <c r="CL23" s="1384"/>
      <c r="CM23" s="1384"/>
      <c r="CN23" s="1385"/>
      <c r="CO23" s="1456"/>
      <c r="CP23" s="1457"/>
      <c r="CQ23" s="1458"/>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c r="FH23" s="17"/>
      <c r="FI23" s="17"/>
      <c r="FJ23" s="17"/>
      <c r="FK23" s="17"/>
      <c r="FL23" s="17"/>
      <c r="FM23" s="17"/>
      <c r="FN23" s="17"/>
      <c r="FO23" s="17"/>
      <c r="FP23" s="17"/>
      <c r="FQ23" s="17"/>
      <c r="FR23" s="17"/>
      <c r="FS23" s="17"/>
      <c r="FT23" s="17"/>
      <c r="FU23" s="17"/>
      <c r="FV23" s="17"/>
      <c r="FW23" s="17"/>
      <c r="FX23" s="17"/>
      <c r="FY23" s="17"/>
      <c r="FZ23" s="17"/>
      <c r="GA23" s="17"/>
      <c r="GB23" s="17"/>
      <c r="GC23" s="17"/>
      <c r="GD23" s="17"/>
      <c r="GE23" s="17"/>
      <c r="GF23" s="17"/>
      <c r="GG23" s="17"/>
      <c r="GH23" s="17"/>
      <c r="GI23" s="17"/>
      <c r="GJ23" s="17"/>
      <c r="GK23" s="17"/>
      <c r="GL23" s="17"/>
      <c r="GM23" s="17"/>
      <c r="GN23" s="17"/>
      <c r="GO23" s="17"/>
      <c r="GP23" s="17"/>
      <c r="GQ23" s="17"/>
      <c r="GR23" s="17"/>
      <c r="GS23" s="17"/>
      <c r="GT23" s="17"/>
      <c r="GU23" s="17"/>
      <c r="GV23" s="17"/>
      <c r="GW23" s="17"/>
      <c r="GX23" s="17"/>
      <c r="GY23" s="17"/>
      <c r="GZ23" s="17"/>
      <c r="HA23" s="17"/>
      <c r="HB23" s="17"/>
      <c r="HC23" s="17"/>
      <c r="HD23" s="17"/>
      <c r="HE23" s="17"/>
      <c r="HF23" s="17"/>
      <c r="HG23" s="17"/>
      <c r="HH23" s="17"/>
      <c r="HI23" s="17"/>
    </row>
    <row r="24" spans="3:217" ht="7.5" customHeight="1" x14ac:dyDescent="0.25">
      <c r="C24" s="1442"/>
      <c r="D24" s="892"/>
      <c r="E24" s="892"/>
      <c r="F24" s="892"/>
      <c r="G24" s="892"/>
      <c r="H24" s="892"/>
      <c r="I24" s="892"/>
      <c r="J24" s="892"/>
      <c r="K24" s="892"/>
      <c r="L24" s="892"/>
      <c r="M24" s="892"/>
      <c r="N24" s="1443"/>
      <c r="Q24" s="1408"/>
      <c r="R24" s="1409"/>
      <c r="S24" s="1409"/>
      <c r="T24" s="1409"/>
      <c r="U24" s="1409"/>
      <c r="V24" s="1409"/>
      <c r="W24" s="1409"/>
      <c r="X24" s="1409"/>
      <c r="Y24" s="1409"/>
      <c r="Z24" s="1409"/>
      <c r="AA24" s="1409"/>
      <c r="AB24" s="1409"/>
      <c r="AC24" s="1409"/>
      <c r="AD24" s="1409"/>
      <c r="AE24" s="1883"/>
      <c r="AF24" s="117"/>
      <c r="AG24" s="1368" t="s">
        <v>17</v>
      </c>
      <c r="AH24" s="1369"/>
      <c r="AI24" s="1369"/>
      <c r="AJ24" s="1370"/>
      <c r="AM24" s="1417"/>
      <c r="AN24" s="1418"/>
      <c r="AO24" s="1418"/>
      <c r="AP24" s="1418"/>
      <c r="AQ24" s="1418"/>
      <c r="AR24" s="1418"/>
      <c r="AS24" s="1418"/>
      <c r="AT24" s="1418"/>
      <c r="AU24" s="1418"/>
      <c r="AV24" s="1418"/>
      <c r="AW24" s="1418"/>
      <c r="AX24" s="1419"/>
      <c r="BA24" s="1450"/>
      <c r="BB24" s="1451"/>
      <c r="BC24" s="1451"/>
      <c r="BD24" s="1451"/>
      <c r="BE24" s="1451"/>
      <c r="BF24" s="1451"/>
      <c r="BG24" s="1451"/>
      <c r="BH24" s="1451"/>
      <c r="BI24" s="1451"/>
      <c r="BJ24" s="1451"/>
      <c r="BK24" s="1451"/>
      <c r="BL24" s="1451"/>
      <c r="BM24" s="1452"/>
      <c r="BN24" s="1380"/>
      <c r="BO24" s="1381"/>
      <c r="BP24" s="1381"/>
      <c r="BQ24" s="1381"/>
      <c r="BR24" s="1381"/>
      <c r="BS24" s="1381"/>
      <c r="BT24" s="1381"/>
      <c r="BU24" s="1381"/>
      <c r="BV24" s="1381"/>
      <c r="BW24" s="1381"/>
      <c r="BX24" s="1381"/>
      <c r="BY24" s="1381"/>
      <c r="BZ24" s="1381"/>
      <c r="CA24" s="1381"/>
      <c r="CB24" s="1381"/>
      <c r="CC24" s="1381"/>
      <c r="CD24" s="1381"/>
      <c r="CE24" s="1381"/>
      <c r="CF24" s="1381"/>
      <c r="CG24" s="1381"/>
      <c r="CH24" s="1381"/>
      <c r="CI24" s="1381"/>
      <c r="CJ24" s="1381"/>
      <c r="CK24" s="1381"/>
      <c r="CL24" s="1381"/>
      <c r="CM24" s="1381"/>
      <c r="CN24" s="1382"/>
      <c r="CO24" s="1453"/>
      <c r="CP24" s="1454"/>
      <c r="CQ24" s="1455"/>
      <c r="CR24" s="17"/>
      <c r="CS24" s="17"/>
      <c r="CT24" s="17"/>
      <c r="CU24" s="17"/>
      <c r="CV24" s="17"/>
      <c r="CW24" s="17"/>
      <c r="CX24" s="17"/>
      <c r="CY24" s="17"/>
      <c r="CZ24" s="17"/>
      <c r="DA24" s="17"/>
      <c r="DB24" s="17"/>
      <c r="DC24" s="17"/>
      <c r="DD24" s="17"/>
      <c r="DE24" s="17"/>
      <c r="DF24" s="17"/>
      <c r="DG24" s="17"/>
      <c r="DH24" s="17"/>
      <c r="DI24" s="17"/>
      <c r="DJ24" s="17"/>
      <c r="DK24" s="17"/>
      <c r="DL24" s="17"/>
      <c r="DM24" s="17"/>
      <c r="DN24" s="17"/>
      <c r="DO24" s="17"/>
      <c r="DP24" s="17"/>
      <c r="DQ24" s="17"/>
      <c r="DR24" s="17"/>
      <c r="DS24" s="17"/>
      <c r="DT24" s="17"/>
      <c r="DU24" s="17"/>
      <c r="DV24" s="17"/>
      <c r="DW24" s="17"/>
      <c r="DX24" s="17"/>
      <c r="DY24" s="17"/>
      <c r="DZ24" s="17"/>
      <c r="EA24" s="17"/>
      <c r="EB24" s="17"/>
      <c r="EC24" s="17"/>
      <c r="ED24" s="17"/>
      <c r="EE24" s="17"/>
      <c r="EF24" s="17"/>
      <c r="EG24" s="17"/>
      <c r="EH24" s="17"/>
      <c r="EI24" s="17"/>
      <c r="EJ24" s="17"/>
      <c r="EK24" s="17"/>
      <c r="EL24" s="17"/>
      <c r="EM24" s="17"/>
      <c r="EN24" s="17"/>
      <c r="EO24" s="17"/>
      <c r="EP24" s="17"/>
      <c r="EQ24" s="17"/>
      <c r="ER24" s="17"/>
      <c r="ES24" s="17"/>
      <c r="ET24" s="17"/>
      <c r="EU24" s="17"/>
      <c r="EV24" s="17"/>
      <c r="EW24" s="17"/>
      <c r="EX24" s="17"/>
      <c r="EY24" s="17"/>
      <c r="EZ24" s="17"/>
      <c r="FA24" s="17"/>
      <c r="FB24" s="17"/>
      <c r="FC24" s="17"/>
      <c r="FD24" s="17"/>
      <c r="FE24" s="17"/>
      <c r="FF24" s="17"/>
      <c r="FG24" s="17"/>
      <c r="FH24" s="17"/>
      <c r="FI24" s="17"/>
      <c r="FJ24" s="17"/>
      <c r="FK24" s="17"/>
      <c r="FL24" s="17"/>
      <c r="FM24" s="17"/>
      <c r="FN24" s="17"/>
      <c r="FO24" s="17"/>
      <c r="FP24" s="17"/>
      <c r="FQ24" s="17"/>
      <c r="FR24" s="17"/>
      <c r="FS24" s="17"/>
      <c r="FT24" s="17"/>
      <c r="FU24" s="17"/>
      <c r="FV24" s="17"/>
      <c r="FW24" s="17"/>
      <c r="FX24" s="17"/>
      <c r="FY24" s="17"/>
      <c r="FZ24" s="17"/>
      <c r="GA24" s="17"/>
      <c r="GB24" s="17"/>
      <c r="GC24" s="17"/>
      <c r="GD24" s="17"/>
      <c r="GE24" s="17"/>
      <c r="GF24" s="17"/>
      <c r="GG24" s="17"/>
      <c r="GH24" s="17"/>
      <c r="GI24" s="17"/>
      <c r="GJ24" s="17"/>
      <c r="GK24" s="17"/>
      <c r="GL24" s="17"/>
      <c r="GM24" s="17"/>
      <c r="GN24" s="17"/>
      <c r="GO24" s="17"/>
      <c r="GP24" s="17"/>
      <c r="GQ24" s="17"/>
      <c r="GR24" s="17"/>
      <c r="GS24" s="17"/>
      <c r="GT24" s="17"/>
      <c r="GU24" s="17"/>
      <c r="GV24" s="17"/>
      <c r="GW24" s="17"/>
      <c r="GX24" s="17"/>
      <c r="GY24" s="17"/>
      <c r="GZ24" s="17"/>
      <c r="HA24" s="17"/>
      <c r="HB24" s="17"/>
      <c r="HC24" s="17"/>
      <c r="HD24" s="17"/>
      <c r="HE24" s="17"/>
      <c r="HF24" s="17"/>
      <c r="HG24" s="17"/>
      <c r="HH24" s="17"/>
      <c r="HI24" s="17"/>
    </row>
    <row r="25" spans="3:217" ht="7.5" customHeight="1" x14ac:dyDescent="0.25">
      <c r="C25" s="1442"/>
      <c r="D25" s="892"/>
      <c r="E25" s="892"/>
      <c r="F25" s="892"/>
      <c r="G25" s="892"/>
      <c r="H25" s="892"/>
      <c r="I25" s="892"/>
      <c r="J25" s="892"/>
      <c r="K25" s="892"/>
      <c r="L25" s="892"/>
      <c r="M25" s="892"/>
      <c r="N25" s="1443"/>
      <c r="Q25" s="1408"/>
      <c r="R25" s="1409"/>
      <c r="S25" s="1409"/>
      <c r="T25" s="1409"/>
      <c r="U25" s="1409"/>
      <c r="V25" s="1409"/>
      <c r="W25" s="1409"/>
      <c r="X25" s="1409"/>
      <c r="Y25" s="1409"/>
      <c r="Z25" s="1409"/>
      <c r="AA25" s="1409"/>
      <c r="AB25" s="1409"/>
      <c r="AC25" s="1409"/>
      <c r="AD25" s="1409"/>
      <c r="AE25" s="1883"/>
      <c r="AF25" s="117"/>
      <c r="AG25" s="1371"/>
      <c r="AH25" s="1372"/>
      <c r="AI25" s="1372"/>
      <c r="AJ25" s="1373"/>
      <c r="AM25" s="1417"/>
      <c r="AN25" s="1418"/>
      <c r="AO25" s="1418"/>
      <c r="AP25" s="1418"/>
      <c r="AQ25" s="1418"/>
      <c r="AR25" s="1418"/>
      <c r="AS25" s="1418"/>
      <c r="AT25" s="1418"/>
      <c r="AU25" s="1418"/>
      <c r="AV25" s="1418"/>
      <c r="AW25" s="1418"/>
      <c r="AX25" s="1419"/>
      <c r="BA25" s="1450"/>
      <c r="BB25" s="1451"/>
      <c r="BC25" s="1451"/>
      <c r="BD25" s="1451"/>
      <c r="BE25" s="1451"/>
      <c r="BF25" s="1451"/>
      <c r="BG25" s="1451"/>
      <c r="BH25" s="1451"/>
      <c r="BI25" s="1451"/>
      <c r="BJ25" s="1451"/>
      <c r="BK25" s="1451"/>
      <c r="BL25" s="1451"/>
      <c r="BM25" s="1452"/>
      <c r="BN25" s="1380"/>
      <c r="BO25" s="1381"/>
      <c r="BP25" s="1381"/>
      <c r="BQ25" s="1381"/>
      <c r="BR25" s="1381"/>
      <c r="BS25" s="1381"/>
      <c r="BT25" s="1381"/>
      <c r="BU25" s="1381"/>
      <c r="BV25" s="1381"/>
      <c r="BW25" s="1381"/>
      <c r="BX25" s="1381"/>
      <c r="BY25" s="1381"/>
      <c r="BZ25" s="1381"/>
      <c r="CA25" s="1381"/>
      <c r="CB25" s="1381"/>
      <c r="CC25" s="1381"/>
      <c r="CD25" s="1381"/>
      <c r="CE25" s="1381"/>
      <c r="CF25" s="1381"/>
      <c r="CG25" s="1381"/>
      <c r="CH25" s="1381"/>
      <c r="CI25" s="1381"/>
      <c r="CJ25" s="1381"/>
      <c r="CK25" s="1381"/>
      <c r="CL25" s="1381"/>
      <c r="CM25" s="1381"/>
      <c r="CN25" s="1382"/>
      <c r="CO25" s="1453"/>
      <c r="CP25" s="1454"/>
      <c r="CQ25" s="1455"/>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7"/>
      <c r="DZ25" s="17"/>
      <c r="EA25" s="17"/>
      <c r="EB25" s="17"/>
      <c r="EC25" s="17"/>
      <c r="ED25" s="17"/>
      <c r="EE25" s="17"/>
      <c r="EF25" s="17"/>
      <c r="EG25" s="17"/>
      <c r="EH25" s="17"/>
      <c r="EI25" s="17"/>
      <c r="EJ25" s="17"/>
      <c r="EK25" s="17"/>
      <c r="EL25" s="17"/>
      <c r="EM25" s="17"/>
      <c r="EN25" s="17"/>
      <c r="EO25" s="17"/>
      <c r="EP25" s="17"/>
      <c r="EQ25" s="17"/>
      <c r="ER25" s="17"/>
      <c r="ES25" s="17"/>
      <c r="ET25" s="17"/>
      <c r="EU25" s="17"/>
      <c r="EV25" s="17"/>
      <c r="EW25" s="17"/>
      <c r="EX25" s="17"/>
      <c r="EY25" s="17"/>
      <c r="EZ25" s="17"/>
      <c r="FA25" s="17"/>
      <c r="FB25" s="17"/>
      <c r="FC25" s="17"/>
      <c r="FD25" s="17"/>
      <c r="FE25" s="17"/>
      <c r="FF25" s="17"/>
      <c r="FG25" s="17"/>
      <c r="FH25" s="17"/>
      <c r="FI25" s="17"/>
      <c r="FJ25" s="17"/>
      <c r="FK25" s="17"/>
      <c r="FL25" s="17"/>
      <c r="FM25" s="17"/>
      <c r="FN25" s="17"/>
      <c r="FO25" s="17"/>
      <c r="FP25" s="17"/>
      <c r="FQ25" s="17"/>
      <c r="FR25" s="17"/>
      <c r="FS25" s="17"/>
      <c r="FT25" s="17"/>
      <c r="FU25" s="17"/>
      <c r="FV25" s="17"/>
      <c r="FW25" s="17"/>
      <c r="FX25" s="17"/>
      <c r="FY25" s="17"/>
      <c r="FZ25" s="17"/>
      <c r="GA25" s="17"/>
      <c r="GB25" s="17"/>
      <c r="GC25" s="17"/>
      <c r="GD25" s="17"/>
      <c r="GE25" s="17"/>
      <c r="GF25" s="17"/>
      <c r="GG25" s="17"/>
      <c r="GH25" s="17"/>
      <c r="GI25" s="17"/>
      <c r="GJ25" s="17"/>
      <c r="GK25" s="17"/>
      <c r="GL25" s="17"/>
      <c r="GM25" s="17"/>
      <c r="GN25" s="17"/>
      <c r="GO25" s="17"/>
      <c r="GP25" s="17"/>
      <c r="GQ25" s="17"/>
      <c r="GR25" s="17"/>
      <c r="GS25" s="17"/>
      <c r="GT25" s="17"/>
      <c r="GU25" s="17"/>
      <c r="GV25" s="17"/>
      <c r="GW25" s="17"/>
      <c r="GX25" s="17"/>
      <c r="GY25" s="17"/>
      <c r="GZ25" s="17"/>
      <c r="HA25" s="17"/>
      <c r="HB25" s="17"/>
      <c r="HC25" s="17"/>
      <c r="HD25" s="17"/>
      <c r="HE25" s="17"/>
      <c r="HF25" s="17"/>
      <c r="HG25" s="17"/>
      <c r="HH25" s="17"/>
      <c r="HI25" s="17"/>
    </row>
    <row r="26" spans="3:217" ht="7.5" customHeight="1" x14ac:dyDescent="0.25">
      <c r="C26" s="1442"/>
      <c r="D26" s="892"/>
      <c r="E26" s="892"/>
      <c r="F26" s="892"/>
      <c r="G26" s="892"/>
      <c r="H26" s="892"/>
      <c r="I26" s="892"/>
      <c r="J26" s="892"/>
      <c r="K26" s="892"/>
      <c r="L26" s="892"/>
      <c r="M26" s="892"/>
      <c r="N26" s="1443"/>
      <c r="Q26" s="1408"/>
      <c r="R26" s="1409"/>
      <c r="S26" s="1409"/>
      <c r="T26" s="1409"/>
      <c r="U26" s="1409"/>
      <c r="V26" s="1409"/>
      <c r="W26" s="1409"/>
      <c r="X26" s="1409"/>
      <c r="Y26" s="1409"/>
      <c r="Z26" s="1409"/>
      <c r="AA26" s="1409"/>
      <c r="AB26" s="1409"/>
      <c r="AC26" s="1409"/>
      <c r="AD26" s="1409"/>
      <c r="AE26" s="1883"/>
      <c r="AF26" s="117"/>
      <c r="AG26" s="1386"/>
      <c r="AH26" s="1375"/>
      <c r="AI26" s="1375"/>
      <c r="AJ26" s="1387"/>
      <c r="AM26" s="1417"/>
      <c r="AN26" s="1418"/>
      <c r="AO26" s="1418"/>
      <c r="AP26" s="1418"/>
      <c r="AQ26" s="1418"/>
      <c r="AR26" s="1418"/>
      <c r="AS26" s="1418"/>
      <c r="AT26" s="1418"/>
      <c r="AU26" s="1418"/>
      <c r="AV26" s="1418"/>
      <c r="AW26" s="1418"/>
      <c r="AX26" s="1419"/>
      <c r="BA26" s="1393"/>
      <c r="BB26" s="1394"/>
      <c r="BC26" s="1394"/>
      <c r="BD26" s="1394"/>
      <c r="BE26" s="1394"/>
      <c r="BF26" s="1394"/>
      <c r="BG26" s="1394"/>
      <c r="BH26" s="1394"/>
      <c r="BI26" s="1394"/>
      <c r="BJ26" s="1394"/>
      <c r="BK26" s="1394"/>
      <c r="BL26" s="1394"/>
      <c r="BM26" s="1395"/>
      <c r="BN26" s="1383"/>
      <c r="BO26" s="1384"/>
      <c r="BP26" s="1384"/>
      <c r="BQ26" s="1384"/>
      <c r="BR26" s="1384"/>
      <c r="BS26" s="1384"/>
      <c r="BT26" s="1384"/>
      <c r="BU26" s="1384"/>
      <c r="BV26" s="1384"/>
      <c r="BW26" s="1384"/>
      <c r="BX26" s="1384"/>
      <c r="BY26" s="1384"/>
      <c r="BZ26" s="1384"/>
      <c r="CA26" s="1384"/>
      <c r="CB26" s="1384"/>
      <c r="CC26" s="1384"/>
      <c r="CD26" s="1384"/>
      <c r="CE26" s="1384"/>
      <c r="CF26" s="1384"/>
      <c r="CG26" s="1384"/>
      <c r="CH26" s="1384"/>
      <c r="CI26" s="1384"/>
      <c r="CJ26" s="1384"/>
      <c r="CK26" s="1384"/>
      <c r="CL26" s="1384"/>
      <c r="CM26" s="1384"/>
      <c r="CN26" s="1385"/>
      <c r="CO26" s="1456"/>
      <c r="CP26" s="1457"/>
      <c r="CQ26" s="1458"/>
      <c r="CR26" s="17"/>
      <c r="CS26" s="17"/>
      <c r="CT26" s="17"/>
      <c r="DO26" s="17"/>
      <c r="DP26" s="17"/>
      <c r="DQ26" s="17"/>
      <c r="DR26" s="17"/>
      <c r="DS26" s="17"/>
      <c r="DT26" s="17"/>
      <c r="DU26" s="17"/>
      <c r="DV26" s="17"/>
      <c r="DW26" s="17"/>
      <c r="DX26" s="17"/>
      <c r="DY26" s="17"/>
      <c r="DZ26" s="17"/>
      <c r="EA26" s="17"/>
      <c r="EB26" s="17"/>
      <c r="EC26" s="17"/>
      <c r="ED26" s="17"/>
      <c r="EE26" s="17"/>
      <c r="EF26" s="17"/>
      <c r="EG26" s="17"/>
      <c r="EH26" s="17"/>
      <c r="EI26" s="17"/>
      <c r="EJ26" s="17"/>
      <c r="EK26" s="17"/>
      <c r="EL26" s="17"/>
      <c r="EM26" s="17"/>
      <c r="EN26" s="17"/>
      <c r="EO26" s="17"/>
      <c r="EP26" s="17"/>
      <c r="EQ26" s="17"/>
      <c r="ER26" s="17"/>
      <c r="ES26" s="17"/>
      <c r="ET26" s="17"/>
      <c r="EU26" s="17"/>
      <c r="EV26" s="17"/>
      <c r="EW26" s="17"/>
      <c r="EX26" s="17"/>
      <c r="EY26" s="17"/>
      <c r="EZ26" s="17"/>
      <c r="FA26" s="17"/>
      <c r="FB26" s="17"/>
      <c r="FC26" s="17"/>
      <c r="FD26" s="17"/>
      <c r="FE26" s="17"/>
      <c r="FF26" s="17"/>
      <c r="FG26" s="17"/>
      <c r="FH26" s="17"/>
      <c r="FI26" s="17"/>
      <c r="FJ26" s="17"/>
      <c r="FK26" s="17"/>
      <c r="FL26" s="17"/>
      <c r="FM26" s="17"/>
      <c r="FN26" s="17"/>
      <c r="FO26" s="17"/>
      <c r="FP26" s="17"/>
      <c r="FQ26" s="17"/>
      <c r="FR26" s="17"/>
      <c r="FS26" s="17"/>
      <c r="FT26" s="17"/>
      <c r="FU26" s="17"/>
      <c r="FV26" s="17"/>
      <c r="FW26" s="17"/>
      <c r="FX26" s="17"/>
      <c r="FY26" s="17"/>
      <c r="FZ26" s="17"/>
      <c r="GA26" s="17"/>
      <c r="GB26" s="17"/>
      <c r="GC26" s="17"/>
      <c r="GD26" s="17"/>
      <c r="GE26" s="17"/>
      <c r="GF26" s="17"/>
      <c r="GG26" s="17"/>
      <c r="GH26" s="17"/>
      <c r="GI26" s="17"/>
      <c r="GJ26" s="17"/>
      <c r="GK26" s="17"/>
      <c r="GL26" s="17"/>
      <c r="GM26" s="17"/>
      <c r="GN26" s="17"/>
      <c r="GO26" s="17"/>
      <c r="GP26" s="17"/>
      <c r="GQ26" s="17"/>
      <c r="GR26" s="17"/>
      <c r="GS26" s="17"/>
      <c r="GT26" s="17"/>
      <c r="GU26" s="17"/>
      <c r="GV26" s="17"/>
      <c r="GW26" s="17"/>
      <c r="GX26" s="17"/>
      <c r="GY26" s="17"/>
      <c r="GZ26" s="17"/>
      <c r="HA26" s="17"/>
      <c r="HB26" s="17"/>
      <c r="HC26" s="17"/>
      <c r="HD26" s="17"/>
      <c r="HE26" s="17"/>
      <c r="HF26" s="17"/>
      <c r="HG26" s="17"/>
      <c r="HH26" s="17"/>
      <c r="HI26" s="17"/>
    </row>
    <row r="27" spans="3:217" ht="7.5" customHeight="1" x14ac:dyDescent="0.25">
      <c r="C27" s="1442"/>
      <c r="D27" s="892"/>
      <c r="E27" s="892"/>
      <c r="F27" s="892"/>
      <c r="G27" s="892"/>
      <c r="H27" s="892"/>
      <c r="I27" s="892"/>
      <c r="J27" s="892"/>
      <c r="K27" s="892"/>
      <c r="L27" s="892"/>
      <c r="M27" s="892"/>
      <c r="N27" s="1443"/>
      <c r="Q27" s="1408"/>
      <c r="R27" s="1409"/>
      <c r="S27" s="1409"/>
      <c r="T27" s="1409"/>
      <c r="U27" s="1409"/>
      <c r="V27" s="1409"/>
      <c r="W27" s="1409"/>
      <c r="X27" s="1409"/>
      <c r="Y27" s="1409"/>
      <c r="Z27" s="1409"/>
      <c r="AA27" s="1409"/>
      <c r="AB27" s="1409"/>
      <c r="AC27" s="1409"/>
      <c r="AD27" s="1409"/>
      <c r="AE27" s="1883"/>
      <c r="AF27" s="117"/>
      <c r="AG27" s="1388"/>
      <c r="AH27" s="1389"/>
      <c r="AI27" s="1389"/>
      <c r="AJ27" s="1390"/>
      <c r="AM27" s="1417"/>
      <c r="AN27" s="1418"/>
      <c r="AO27" s="1418"/>
      <c r="AP27" s="1418"/>
      <c r="AQ27" s="1418"/>
      <c r="AR27" s="1418"/>
      <c r="AS27" s="1418"/>
      <c r="AT27" s="1418"/>
      <c r="AU27" s="1418"/>
      <c r="AV27" s="1418"/>
      <c r="AW27" s="1418"/>
      <c r="AX27" s="1419"/>
      <c r="BA27" s="1393"/>
      <c r="BB27" s="1394"/>
      <c r="BC27" s="1394"/>
      <c r="BD27" s="1394"/>
      <c r="BE27" s="1394"/>
      <c r="BF27" s="1394"/>
      <c r="BG27" s="1394"/>
      <c r="BH27" s="1394"/>
      <c r="BI27" s="1394"/>
      <c r="BJ27" s="1394"/>
      <c r="BK27" s="1394"/>
      <c r="BL27" s="1394"/>
      <c r="BM27" s="1395"/>
      <c r="BN27" s="1383"/>
      <c r="BO27" s="1384"/>
      <c r="BP27" s="1384"/>
      <c r="BQ27" s="1384"/>
      <c r="BR27" s="1384"/>
      <c r="BS27" s="1384"/>
      <c r="BT27" s="1384"/>
      <c r="BU27" s="1384"/>
      <c r="BV27" s="1384"/>
      <c r="BW27" s="1384"/>
      <c r="BX27" s="1384"/>
      <c r="BY27" s="1384"/>
      <c r="BZ27" s="1384"/>
      <c r="CA27" s="1384"/>
      <c r="CB27" s="1384"/>
      <c r="CC27" s="1384"/>
      <c r="CD27" s="1384"/>
      <c r="CE27" s="1384"/>
      <c r="CF27" s="1384"/>
      <c r="CG27" s="1384"/>
      <c r="CH27" s="1384"/>
      <c r="CI27" s="1384"/>
      <c r="CJ27" s="1384"/>
      <c r="CK27" s="1384"/>
      <c r="CL27" s="1384"/>
      <c r="CM27" s="1384"/>
      <c r="CN27" s="1385"/>
      <c r="CO27" s="1456"/>
      <c r="CP27" s="1457"/>
      <c r="CQ27" s="1458"/>
      <c r="CR27" s="17"/>
      <c r="CS27" s="17"/>
      <c r="CT27" s="17"/>
      <c r="DO27" s="17"/>
      <c r="DP27" s="17"/>
      <c r="DQ27" s="17"/>
      <c r="DR27" s="17"/>
      <c r="DS27" s="17"/>
      <c r="DT27" s="17"/>
      <c r="DU27" s="17"/>
      <c r="DV27" s="17"/>
      <c r="DW27" s="17"/>
      <c r="DX27" s="17"/>
      <c r="DY27" s="17"/>
      <c r="DZ27" s="17"/>
      <c r="EA27" s="17"/>
      <c r="EB27" s="17"/>
      <c r="EC27" s="17"/>
      <c r="ED27" s="17"/>
      <c r="EE27" s="17"/>
      <c r="EF27" s="17"/>
      <c r="EG27" s="17"/>
      <c r="EH27" s="17"/>
      <c r="EI27" s="17"/>
      <c r="EJ27" s="17"/>
      <c r="EK27" s="17"/>
      <c r="EL27" s="17"/>
      <c r="EM27" s="17"/>
      <c r="EN27" s="17"/>
      <c r="EO27" s="17"/>
      <c r="EP27" s="17"/>
      <c r="EQ27" s="17"/>
      <c r="ER27" s="17"/>
      <c r="ES27" s="17"/>
      <c r="ET27" s="17"/>
      <c r="EU27" s="17"/>
      <c r="EV27" s="17"/>
      <c r="EW27" s="17"/>
      <c r="EX27" s="17"/>
      <c r="EY27" s="17"/>
      <c r="EZ27" s="17"/>
      <c r="FA27" s="17"/>
      <c r="FB27" s="17"/>
      <c r="FC27" s="17"/>
      <c r="FD27" s="17"/>
      <c r="FE27" s="17"/>
      <c r="FF27" s="17"/>
      <c r="FG27" s="17"/>
      <c r="FH27" s="17"/>
      <c r="FI27" s="17"/>
      <c r="FJ27" s="17"/>
      <c r="FK27" s="17"/>
      <c r="FL27" s="17"/>
      <c r="FM27" s="17"/>
      <c r="FN27" s="17"/>
      <c r="FO27" s="17"/>
      <c r="FP27" s="17"/>
      <c r="FQ27" s="17"/>
      <c r="FR27" s="17"/>
      <c r="FS27" s="17"/>
      <c r="FT27" s="17"/>
      <c r="FU27" s="17"/>
      <c r="FV27" s="17"/>
      <c r="FW27" s="17"/>
      <c r="FX27" s="17"/>
      <c r="FY27" s="17"/>
      <c r="FZ27" s="17"/>
      <c r="GA27" s="17"/>
      <c r="GB27" s="17"/>
      <c r="GC27" s="17"/>
      <c r="GD27" s="17"/>
      <c r="GE27" s="17"/>
      <c r="GF27" s="17"/>
      <c r="GG27" s="17"/>
      <c r="GH27" s="17"/>
      <c r="GI27" s="17"/>
      <c r="GJ27" s="17"/>
      <c r="GK27" s="17"/>
      <c r="GL27" s="17"/>
      <c r="GM27" s="17"/>
      <c r="GN27" s="17"/>
      <c r="GO27" s="17"/>
      <c r="GP27" s="17"/>
      <c r="GQ27" s="17"/>
      <c r="GR27" s="17"/>
      <c r="GS27" s="17"/>
      <c r="GT27" s="17"/>
      <c r="GU27" s="17"/>
      <c r="GV27" s="17"/>
      <c r="GW27" s="17"/>
      <c r="GX27" s="17"/>
      <c r="GY27" s="17"/>
      <c r="GZ27" s="17"/>
      <c r="HA27" s="17"/>
      <c r="HB27" s="17"/>
      <c r="HC27" s="17"/>
      <c r="HD27" s="17"/>
      <c r="HE27" s="17"/>
      <c r="HF27" s="17"/>
      <c r="HG27" s="17"/>
      <c r="HH27" s="17"/>
      <c r="HI27" s="17"/>
    </row>
    <row r="28" spans="3:217" ht="7.5" customHeight="1" x14ac:dyDescent="0.25">
      <c r="C28" s="1442"/>
      <c r="D28" s="892"/>
      <c r="E28" s="892"/>
      <c r="F28" s="892"/>
      <c r="G28" s="892"/>
      <c r="H28" s="892"/>
      <c r="I28" s="892"/>
      <c r="J28" s="892"/>
      <c r="K28" s="892"/>
      <c r="L28" s="892"/>
      <c r="M28" s="892"/>
      <c r="N28" s="1443"/>
      <c r="Q28" s="1408"/>
      <c r="R28" s="1409"/>
      <c r="S28" s="1409"/>
      <c r="T28" s="1409"/>
      <c r="U28" s="1409"/>
      <c r="V28" s="1409"/>
      <c r="W28" s="1409"/>
      <c r="X28" s="1409"/>
      <c r="Y28" s="1409"/>
      <c r="Z28" s="1409"/>
      <c r="AA28" s="1409"/>
      <c r="AB28" s="1409"/>
      <c r="AC28" s="1409"/>
      <c r="AD28" s="1409"/>
      <c r="AE28" s="1883"/>
      <c r="AF28" s="117"/>
      <c r="AG28" s="1368" t="s">
        <v>427</v>
      </c>
      <c r="AH28" s="1369"/>
      <c r="AI28" s="1369"/>
      <c r="AJ28" s="1370"/>
      <c r="AM28" s="1417"/>
      <c r="AN28" s="1418"/>
      <c r="AO28" s="1418"/>
      <c r="AP28" s="1418"/>
      <c r="AQ28" s="1418"/>
      <c r="AR28" s="1418"/>
      <c r="AS28" s="1418"/>
      <c r="AT28" s="1418"/>
      <c r="AU28" s="1418"/>
      <c r="AV28" s="1418"/>
      <c r="AW28" s="1418"/>
      <c r="AX28" s="1419"/>
      <c r="BA28" s="1450"/>
      <c r="BB28" s="1451"/>
      <c r="BC28" s="1451"/>
      <c r="BD28" s="1451"/>
      <c r="BE28" s="1451"/>
      <c r="BF28" s="1451"/>
      <c r="BG28" s="1451"/>
      <c r="BH28" s="1451"/>
      <c r="BI28" s="1451"/>
      <c r="BJ28" s="1451"/>
      <c r="BK28" s="1451"/>
      <c r="BL28" s="1451"/>
      <c r="BM28" s="1452"/>
      <c r="BN28" s="1380"/>
      <c r="BO28" s="1381"/>
      <c r="BP28" s="1381"/>
      <c r="BQ28" s="1381"/>
      <c r="BR28" s="1381"/>
      <c r="BS28" s="1381"/>
      <c r="BT28" s="1381"/>
      <c r="BU28" s="1381"/>
      <c r="BV28" s="1381"/>
      <c r="BW28" s="1381"/>
      <c r="BX28" s="1381"/>
      <c r="BY28" s="1381"/>
      <c r="BZ28" s="1381"/>
      <c r="CA28" s="1381"/>
      <c r="CB28" s="1381"/>
      <c r="CC28" s="1381"/>
      <c r="CD28" s="1381"/>
      <c r="CE28" s="1381"/>
      <c r="CF28" s="1381"/>
      <c r="CG28" s="1381"/>
      <c r="CH28" s="1381"/>
      <c r="CI28" s="1381"/>
      <c r="CJ28" s="1381"/>
      <c r="CK28" s="1381"/>
      <c r="CL28" s="1381"/>
      <c r="CM28" s="1381"/>
      <c r="CN28" s="1382"/>
      <c r="CO28" s="1453"/>
      <c r="CP28" s="1454"/>
      <c r="CQ28" s="1455"/>
      <c r="CR28" s="17"/>
      <c r="CS28" s="17"/>
      <c r="CT28" s="17"/>
      <c r="CU28" s="17"/>
      <c r="CV28" s="17"/>
      <c r="CW28" s="17"/>
      <c r="CX28" s="17"/>
      <c r="CY28" s="17"/>
      <c r="CZ28" s="17"/>
      <c r="DA28" s="17"/>
      <c r="DB28" s="17"/>
      <c r="DC28" s="17"/>
      <c r="DD28" s="17"/>
      <c r="DE28" s="17"/>
      <c r="DF28" s="17"/>
      <c r="DG28" s="17"/>
      <c r="DH28" s="17"/>
      <c r="DI28" s="17"/>
      <c r="DJ28" s="17"/>
      <c r="DK28" s="17"/>
      <c r="DL28" s="17"/>
      <c r="DM28" s="17"/>
      <c r="DN28" s="17"/>
      <c r="DO28" s="17"/>
      <c r="DP28" s="17"/>
      <c r="DQ28" s="17"/>
      <c r="DR28" s="17"/>
      <c r="DS28" s="17"/>
      <c r="DT28" s="17"/>
      <c r="DU28" s="17"/>
      <c r="DV28" s="17"/>
      <c r="DW28" s="17"/>
      <c r="DX28" s="17"/>
      <c r="DY28" s="17"/>
      <c r="DZ28" s="17"/>
      <c r="EA28" s="17"/>
      <c r="EB28" s="17"/>
      <c r="EC28" s="17"/>
      <c r="ED28" s="17"/>
      <c r="EE28" s="17"/>
      <c r="EF28" s="17"/>
      <c r="EG28" s="17"/>
      <c r="EH28" s="17"/>
      <c r="EI28" s="17"/>
      <c r="EJ28" s="17"/>
      <c r="EK28" s="17"/>
      <c r="EL28" s="17"/>
      <c r="EM28" s="17"/>
      <c r="EN28" s="17"/>
      <c r="EO28" s="17"/>
      <c r="EP28" s="17"/>
      <c r="EQ28" s="17"/>
      <c r="ER28" s="17"/>
      <c r="ES28" s="17"/>
      <c r="ET28" s="17"/>
      <c r="EU28" s="17"/>
      <c r="EV28" s="17"/>
      <c r="EW28" s="17"/>
      <c r="EX28" s="17"/>
      <c r="EY28" s="17"/>
      <c r="EZ28" s="17"/>
      <c r="FA28" s="17"/>
      <c r="FB28" s="17"/>
      <c r="FC28" s="17"/>
      <c r="FD28" s="17"/>
      <c r="FE28" s="17"/>
      <c r="FF28" s="17"/>
      <c r="FG28" s="17"/>
      <c r="FH28" s="17"/>
      <c r="FI28" s="17"/>
      <c r="FJ28" s="17"/>
      <c r="FK28" s="17"/>
      <c r="FL28" s="17"/>
      <c r="FM28" s="17"/>
      <c r="FN28" s="17"/>
      <c r="FO28" s="17"/>
      <c r="FP28" s="17"/>
      <c r="FQ28" s="17"/>
      <c r="FR28" s="17"/>
      <c r="FS28" s="17"/>
      <c r="FT28" s="17"/>
      <c r="FU28" s="17"/>
      <c r="FV28" s="17"/>
      <c r="FW28" s="17"/>
      <c r="FX28" s="17"/>
      <c r="FY28" s="17"/>
      <c r="FZ28" s="17"/>
      <c r="GA28" s="17"/>
      <c r="GB28" s="17"/>
      <c r="GC28" s="17"/>
      <c r="GD28" s="17"/>
      <c r="GE28" s="17"/>
      <c r="GF28" s="17"/>
      <c r="GG28" s="17"/>
      <c r="GH28" s="17"/>
      <c r="GI28" s="17"/>
      <c r="GJ28" s="17"/>
      <c r="GK28" s="17"/>
      <c r="GL28" s="17"/>
      <c r="GM28" s="17"/>
      <c r="GN28" s="17"/>
      <c r="GO28" s="17"/>
      <c r="GP28" s="17"/>
      <c r="GQ28" s="17"/>
      <c r="GR28" s="17"/>
      <c r="GS28" s="17"/>
      <c r="GT28" s="17"/>
      <c r="GU28" s="17"/>
      <c r="GV28" s="17"/>
      <c r="GW28" s="17"/>
      <c r="GX28" s="17"/>
      <c r="GY28" s="17"/>
      <c r="GZ28" s="17"/>
      <c r="HA28" s="17"/>
      <c r="HB28" s="17"/>
      <c r="HC28" s="17"/>
      <c r="HD28" s="17"/>
      <c r="HE28" s="17"/>
      <c r="HF28" s="17"/>
      <c r="HG28" s="17"/>
      <c r="HH28" s="17"/>
      <c r="HI28" s="17"/>
    </row>
    <row r="29" spans="3:217" ht="7.5" customHeight="1" x14ac:dyDescent="0.25">
      <c r="C29" s="1442"/>
      <c r="D29" s="892"/>
      <c r="E29" s="892"/>
      <c r="F29" s="892"/>
      <c r="G29" s="892"/>
      <c r="H29" s="892"/>
      <c r="I29" s="892"/>
      <c r="J29" s="892"/>
      <c r="K29" s="892"/>
      <c r="L29" s="892"/>
      <c r="M29" s="892"/>
      <c r="N29" s="1443"/>
      <c r="Q29" s="1408"/>
      <c r="R29" s="1409"/>
      <c r="S29" s="1409"/>
      <c r="T29" s="1409"/>
      <c r="U29" s="1409"/>
      <c r="V29" s="1409"/>
      <c r="W29" s="1409"/>
      <c r="X29" s="1409"/>
      <c r="Y29" s="1409"/>
      <c r="Z29" s="1409"/>
      <c r="AA29" s="1409"/>
      <c r="AB29" s="1409"/>
      <c r="AC29" s="1409"/>
      <c r="AD29" s="1409"/>
      <c r="AE29" s="1883"/>
      <c r="AF29" s="117"/>
      <c r="AG29" s="1371"/>
      <c r="AH29" s="1372"/>
      <c r="AI29" s="1372"/>
      <c r="AJ29" s="1373"/>
      <c r="AM29" s="1417"/>
      <c r="AN29" s="1418"/>
      <c r="AO29" s="1418"/>
      <c r="AP29" s="1418"/>
      <c r="AQ29" s="1418"/>
      <c r="AR29" s="1418"/>
      <c r="AS29" s="1418"/>
      <c r="AT29" s="1418"/>
      <c r="AU29" s="1418"/>
      <c r="AV29" s="1418"/>
      <c r="AW29" s="1418"/>
      <c r="AX29" s="1419"/>
      <c r="BA29" s="1450"/>
      <c r="BB29" s="1451"/>
      <c r="BC29" s="1451"/>
      <c r="BD29" s="1451"/>
      <c r="BE29" s="1451"/>
      <c r="BF29" s="1451"/>
      <c r="BG29" s="1451"/>
      <c r="BH29" s="1451"/>
      <c r="BI29" s="1451"/>
      <c r="BJ29" s="1451"/>
      <c r="BK29" s="1451"/>
      <c r="BL29" s="1451"/>
      <c r="BM29" s="1452"/>
      <c r="BN29" s="1380"/>
      <c r="BO29" s="1381"/>
      <c r="BP29" s="1381"/>
      <c r="BQ29" s="1381"/>
      <c r="BR29" s="1381"/>
      <c r="BS29" s="1381"/>
      <c r="BT29" s="1381"/>
      <c r="BU29" s="1381"/>
      <c r="BV29" s="1381"/>
      <c r="BW29" s="1381"/>
      <c r="BX29" s="1381"/>
      <c r="BY29" s="1381"/>
      <c r="BZ29" s="1381"/>
      <c r="CA29" s="1381"/>
      <c r="CB29" s="1381"/>
      <c r="CC29" s="1381"/>
      <c r="CD29" s="1381"/>
      <c r="CE29" s="1381"/>
      <c r="CF29" s="1381"/>
      <c r="CG29" s="1381"/>
      <c r="CH29" s="1381"/>
      <c r="CI29" s="1381"/>
      <c r="CJ29" s="1381"/>
      <c r="CK29" s="1381"/>
      <c r="CL29" s="1381"/>
      <c r="CM29" s="1381"/>
      <c r="CN29" s="1382"/>
      <c r="CO29" s="1453"/>
      <c r="CP29" s="1454"/>
      <c r="CQ29" s="1455"/>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row>
    <row r="30" spans="3:217" ht="7.5" customHeight="1" x14ac:dyDescent="0.25">
      <c r="C30" s="1442"/>
      <c r="D30" s="892"/>
      <c r="E30" s="892"/>
      <c r="F30" s="892"/>
      <c r="G30" s="892"/>
      <c r="H30" s="892"/>
      <c r="I30" s="892"/>
      <c r="J30" s="892"/>
      <c r="K30" s="892"/>
      <c r="L30" s="892"/>
      <c r="M30" s="892"/>
      <c r="N30" s="1443"/>
      <c r="Q30" s="1408"/>
      <c r="R30" s="1409"/>
      <c r="S30" s="1409"/>
      <c r="T30" s="1409"/>
      <c r="U30" s="1409"/>
      <c r="V30" s="1409"/>
      <c r="W30" s="1409"/>
      <c r="X30" s="1409"/>
      <c r="Y30" s="1409"/>
      <c r="Z30" s="1409"/>
      <c r="AA30" s="1409"/>
      <c r="AB30" s="1409"/>
      <c r="AC30" s="1409"/>
      <c r="AD30" s="1409"/>
      <c r="AE30" s="1883"/>
      <c r="AF30" s="117"/>
      <c r="AG30" s="1386"/>
      <c r="AH30" s="1375"/>
      <c r="AI30" s="1375"/>
      <c r="AJ30" s="1387"/>
      <c r="AM30" s="1417"/>
      <c r="AN30" s="1418"/>
      <c r="AO30" s="1418"/>
      <c r="AP30" s="1418"/>
      <c r="AQ30" s="1418"/>
      <c r="AR30" s="1418"/>
      <c r="AS30" s="1418"/>
      <c r="AT30" s="1418"/>
      <c r="AU30" s="1418"/>
      <c r="AV30" s="1418"/>
      <c r="AW30" s="1418"/>
      <c r="AX30" s="1419"/>
      <c r="BA30" s="1393"/>
      <c r="BB30" s="1394"/>
      <c r="BC30" s="1394"/>
      <c r="BD30" s="1394"/>
      <c r="BE30" s="1394"/>
      <c r="BF30" s="1394"/>
      <c r="BG30" s="1394"/>
      <c r="BH30" s="1394"/>
      <c r="BI30" s="1394"/>
      <c r="BJ30" s="1394"/>
      <c r="BK30" s="1394"/>
      <c r="BL30" s="1394"/>
      <c r="BM30" s="1395"/>
      <c r="BN30" s="1383"/>
      <c r="BO30" s="1384"/>
      <c r="BP30" s="1384"/>
      <c r="BQ30" s="1384"/>
      <c r="BR30" s="1384"/>
      <c r="BS30" s="1384"/>
      <c r="BT30" s="1384"/>
      <c r="BU30" s="1384"/>
      <c r="BV30" s="1384"/>
      <c r="BW30" s="1384"/>
      <c r="BX30" s="1384"/>
      <c r="BY30" s="1384"/>
      <c r="BZ30" s="1384"/>
      <c r="CA30" s="1384"/>
      <c r="CB30" s="1384"/>
      <c r="CC30" s="1384"/>
      <c r="CD30" s="1384"/>
      <c r="CE30" s="1384"/>
      <c r="CF30" s="1384"/>
      <c r="CG30" s="1384"/>
      <c r="CH30" s="1384"/>
      <c r="CI30" s="1384"/>
      <c r="CJ30" s="1384"/>
      <c r="CK30" s="1384"/>
      <c r="CL30" s="1384"/>
      <c r="CM30" s="1384"/>
      <c r="CN30" s="1385"/>
      <c r="CO30" s="1456"/>
      <c r="CP30" s="1457"/>
      <c r="CQ30" s="1458"/>
    </row>
    <row r="31" spans="3:217" ht="7.5" customHeight="1" x14ac:dyDescent="0.25">
      <c r="C31" s="1442"/>
      <c r="D31" s="892"/>
      <c r="E31" s="892"/>
      <c r="F31" s="892"/>
      <c r="G31" s="892"/>
      <c r="H31" s="892"/>
      <c r="I31" s="892"/>
      <c r="J31" s="892"/>
      <c r="K31" s="892"/>
      <c r="L31" s="892"/>
      <c r="M31" s="892"/>
      <c r="N31" s="1443"/>
      <c r="Q31" s="1408"/>
      <c r="R31" s="1409"/>
      <c r="S31" s="1409"/>
      <c r="T31" s="1409"/>
      <c r="U31" s="1409"/>
      <c r="V31" s="1409"/>
      <c r="W31" s="1409"/>
      <c r="X31" s="1409"/>
      <c r="Y31" s="1409"/>
      <c r="Z31" s="1409"/>
      <c r="AA31" s="1409"/>
      <c r="AB31" s="1409"/>
      <c r="AC31" s="1409"/>
      <c r="AD31" s="1409"/>
      <c r="AE31" s="1883"/>
      <c r="AF31" s="117"/>
      <c r="AG31" s="1388"/>
      <c r="AH31" s="1389"/>
      <c r="AI31" s="1389"/>
      <c r="AJ31" s="1390"/>
      <c r="AM31" s="1417"/>
      <c r="AN31" s="1418"/>
      <c r="AO31" s="1418"/>
      <c r="AP31" s="1418"/>
      <c r="AQ31" s="1418"/>
      <c r="AR31" s="1418"/>
      <c r="AS31" s="1418"/>
      <c r="AT31" s="1418"/>
      <c r="AU31" s="1418"/>
      <c r="AV31" s="1418"/>
      <c r="AW31" s="1418"/>
      <c r="AX31" s="1419"/>
      <c r="BA31" s="1393"/>
      <c r="BB31" s="1394"/>
      <c r="BC31" s="1394"/>
      <c r="BD31" s="1394"/>
      <c r="BE31" s="1394"/>
      <c r="BF31" s="1394"/>
      <c r="BG31" s="1394"/>
      <c r="BH31" s="1394"/>
      <c r="BI31" s="1394"/>
      <c r="BJ31" s="1394"/>
      <c r="BK31" s="1394"/>
      <c r="BL31" s="1394"/>
      <c r="BM31" s="1395"/>
      <c r="BN31" s="1383"/>
      <c r="BO31" s="1384"/>
      <c r="BP31" s="1384"/>
      <c r="BQ31" s="1384"/>
      <c r="BR31" s="1384"/>
      <c r="BS31" s="1384"/>
      <c r="BT31" s="1384"/>
      <c r="BU31" s="1384"/>
      <c r="BV31" s="1384"/>
      <c r="BW31" s="1384"/>
      <c r="BX31" s="1384"/>
      <c r="BY31" s="1384"/>
      <c r="BZ31" s="1384"/>
      <c r="CA31" s="1384"/>
      <c r="CB31" s="1384"/>
      <c r="CC31" s="1384"/>
      <c r="CD31" s="1384"/>
      <c r="CE31" s="1384"/>
      <c r="CF31" s="1384"/>
      <c r="CG31" s="1384"/>
      <c r="CH31" s="1384"/>
      <c r="CI31" s="1384"/>
      <c r="CJ31" s="1384"/>
      <c r="CK31" s="1384"/>
      <c r="CL31" s="1384"/>
      <c r="CM31" s="1384"/>
      <c r="CN31" s="1385"/>
      <c r="CO31" s="1456"/>
      <c r="CP31" s="1457"/>
      <c r="CQ31" s="1458"/>
    </row>
    <row r="32" spans="3:217" ht="7.5" customHeight="1" x14ac:dyDescent="0.25">
      <c r="C32" s="1442"/>
      <c r="D32" s="892"/>
      <c r="E32" s="892"/>
      <c r="F32" s="892"/>
      <c r="G32" s="892"/>
      <c r="H32" s="892"/>
      <c r="I32" s="892"/>
      <c r="J32" s="892"/>
      <c r="K32" s="892"/>
      <c r="L32" s="892"/>
      <c r="M32" s="892"/>
      <c r="N32" s="1443"/>
      <c r="Q32" s="1408"/>
      <c r="R32" s="1409"/>
      <c r="S32" s="1409"/>
      <c r="T32" s="1409"/>
      <c r="U32" s="1409"/>
      <c r="V32" s="1409"/>
      <c r="W32" s="1409"/>
      <c r="X32" s="1409"/>
      <c r="Y32" s="1409"/>
      <c r="Z32" s="1409"/>
      <c r="AA32" s="1409"/>
      <c r="AB32" s="1409"/>
      <c r="AC32" s="1409"/>
      <c r="AD32" s="1409"/>
      <c r="AE32" s="1883"/>
      <c r="AF32" s="117"/>
      <c r="AG32" s="1368" t="s">
        <v>493</v>
      </c>
      <c r="AH32" s="1369"/>
      <c r="AI32" s="1369"/>
      <c r="AJ32" s="1370"/>
      <c r="AM32" s="1417"/>
      <c r="AN32" s="1418"/>
      <c r="AO32" s="1418"/>
      <c r="AP32" s="1418"/>
      <c r="AQ32" s="1418"/>
      <c r="AR32" s="1418"/>
      <c r="AS32" s="1418"/>
      <c r="AT32" s="1418"/>
      <c r="AU32" s="1418"/>
      <c r="AV32" s="1418"/>
      <c r="AW32" s="1418"/>
      <c r="AX32" s="1419"/>
      <c r="BA32" s="1450"/>
      <c r="BB32" s="1451"/>
      <c r="BC32" s="1451"/>
      <c r="BD32" s="1451"/>
      <c r="BE32" s="1451"/>
      <c r="BF32" s="1451"/>
      <c r="BG32" s="1451"/>
      <c r="BH32" s="1451"/>
      <c r="BI32" s="1451"/>
      <c r="BJ32" s="1451"/>
      <c r="BK32" s="1451"/>
      <c r="BL32" s="1451"/>
      <c r="BM32" s="1452"/>
      <c r="BN32" s="1380"/>
      <c r="BO32" s="1381"/>
      <c r="BP32" s="1381"/>
      <c r="BQ32" s="1381"/>
      <c r="BR32" s="1381"/>
      <c r="BS32" s="1381"/>
      <c r="BT32" s="1381"/>
      <c r="BU32" s="1381"/>
      <c r="BV32" s="1381"/>
      <c r="BW32" s="1381"/>
      <c r="BX32" s="1381"/>
      <c r="BY32" s="1381"/>
      <c r="BZ32" s="1381"/>
      <c r="CA32" s="1381"/>
      <c r="CB32" s="1381"/>
      <c r="CC32" s="1381"/>
      <c r="CD32" s="1381"/>
      <c r="CE32" s="1381"/>
      <c r="CF32" s="1381"/>
      <c r="CG32" s="1381"/>
      <c r="CH32" s="1381"/>
      <c r="CI32" s="1381"/>
      <c r="CJ32" s="1381"/>
      <c r="CK32" s="1381"/>
      <c r="CL32" s="1381"/>
      <c r="CM32" s="1381"/>
      <c r="CN32" s="1382"/>
      <c r="CO32" s="1453"/>
      <c r="CP32" s="1454"/>
      <c r="CQ32" s="1455"/>
    </row>
    <row r="33" spans="3:95" ht="7.5" customHeight="1" x14ac:dyDescent="0.25">
      <c r="C33" s="1442"/>
      <c r="D33" s="892"/>
      <c r="E33" s="892"/>
      <c r="F33" s="892"/>
      <c r="G33" s="892"/>
      <c r="H33" s="892"/>
      <c r="I33" s="892"/>
      <c r="J33" s="892"/>
      <c r="K33" s="892"/>
      <c r="L33" s="892"/>
      <c r="M33" s="892"/>
      <c r="N33" s="1443"/>
      <c r="Q33" s="1408"/>
      <c r="R33" s="1409"/>
      <c r="S33" s="1409"/>
      <c r="T33" s="1409"/>
      <c r="U33" s="1409"/>
      <c r="V33" s="1409"/>
      <c r="W33" s="1409"/>
      <c r="X33" s="1409"/>
      <c r="Y33" s="1409"/>
      <c r="Z33" s="1409"/>
      <c r="AA33" s="1409"/>
      <c r="AB33" s="1409"/>
      <c r="AC33" s="1409"/>
      <c r="AD33" s="1409"/>
      <c r="AE33" s="1883"/>
      <c r="AF33" s="117"/>
      <c r="AG33" s="1371"/>
      <c r="AH33" s="1372"/>
      <c r="AI33" s="1372"/>
      <c r="AJ33" s="1373"/>
      <c r="AM33" s="1417"/>
      <c r="AN33" s="1418"/>
      <c r="AO33" s="1418"/>
      <c r="AP33" s="1418"/>
      <c r="AQ33" s="1418"/>
      <c r="AR33" s="1418"/>
      <c r="AS33" s="1418"/>
      <c r="AT33" s="1418"/>
      <c r="AU33" s="1418"/>
      <c r="AV33" s="1418"/>
      <c r="AW33" s="1418"/>
      <c r="AX33" s="1419"/>
      <c r="BA33" s="1450"/>
      <c r="BB33" s="1451"/>
      <c r="BC33" s="1451"/>
      <c r="BD33" s="1451"/>
      <c r="BE33" s="1451"/>
      <c r="BF33" s="1451"/>
      <c r="BG33" s="1451"/>
      <c r="BH33" s="1451"/>
      <c r="BI33" s="1451"/>
      <c r="BJ33" s="1451"/>
      <c r="BK33" s="1451"/>
      <c r="BL33" s="1451"/>
      <c r="BM33" s="1452"/>
      <c r="BN33" s="1380"/>
      <c r="BO33" s="1381"/>
      <c r="BP33" s="1381"/>
      <c r="BQ33" s="1381"/>
      <c r="BR33" s="1381"/>
      <c r="BS33" s="1381"/>
      <c r="BT33" s="1381"/>
      <c r="BU33" s="1381"/>
      <c r="BV33" s="1381"/>
      <c r="BW33" s="1381"/>
      <c r="BX33" s="1381"/>
      <c r="BY33" s="1381"/>
      <c r="BZ33" s="1381"/>
      <c r="CA33" s="1381"/>
      <c r="CB33" s="1381"/>
      <c r="CC33" s="1381"/>
      <c r="CD33" s="1381"/>
      <c r="CE33" s="1381"/>
      <c r="CF33" s="1381"/>
      <c r="CG33" s="1381"/>
      <c r="CH33" s="1381"/>
      <c r="CI33" s="1381"/>
      <c r="CJ33" s="1381"/>
      <c r="CK33" s="1381"/>
      <c r="CL33" s="1381"/>
      <c r="CM33" s="1381"/>
      <c r="CN33" s="1382"/>
      <c r="CO33" s="1453"/>
      <c r="CP33" s="1454"/>
      <c r="CQ33" s="1455"/>
    </row>
    <row r="34" spans="3:95" ht="7.5" customHeight="1" x14ac:dyDescent="0.25">
      <c r="C34" s="1442"/>
      <c r="D34" s="892"/>
      <c r="E34" s="892"/>
      <c r="F34" s="892"/>
      <c r="G34" s="892"/>
      <c r="H34" s="892"/>
      <c r="I34" s="892"/>
      <c r="J34" s="892"/>
      <c r="K34" s="892"/>
      <c r="L34" s="892"/>
      <c r="M34" s="892"/>
      <c r="N34" s="1443"/>
      <c r="Q34" s="1408"/>
      <c r="R34" s="1409"/>
      <c r="S34" s="1409"/>
      <c r="T34" s="1409"/>
      <c r="U34" s="1409"/>
      <c r="V34" s="1409"/>
      <c r="W34" s="1409"/>
      <c r="X34" s="1409"/>
      <c r="Y34" s="1409"/>
      <c r="Z34" s="1409"/>
      <c r="AA34" s="1409"/>
      <c r="AB34" s="1409"/>
      <c r="AC34" s="1409"/>
      <c r="AD34" s="1409"/>
      <c r="AE34" s="1883"/>
      <c r="AF34" s="117"/>
      <c r="AG34" s="1386"/>
      <c r="AH34" s="1375"/>
      <c r="AI34" s="1375"/>
      <c r="AJ34" s="1387"/>
      <c r="AM34" s="1417"/>
      <c r="AN34" s="1418"/>
      <c r="AO34" s="1418"/>
      <c r="AP34" s="1418"/>
      <c r="AQ34" s="1418"/>
      <c r="AR34" s="1418"/>
      <c r="AS34" s="1418"/>
      <c r="AT34" s="1418"/>
      <c r="AU34" s="1418"/>
      <c r="AV34" s="1418"/>
      <c r="AW34" s="1418"/>
      <c r="AX34" s="1419"/>
      <c r="BA34" s="1393"/>
      <c r="BB34" s="1394"/>
      <c r="BC34" s="1394"/>
      <c r="BD34" s="1394"/>
      <c r="BE34" s="1394"/>
      <c r="BF34" s="1394"/>
      <c r="BG34" s="1394"/>
      <c r="BH34" s="1394"/>
      <c r="BI34" s="1394"/>
      <c r="BJ34" s="1394"/>
      <c r="BK34" s="1394"/>
      <c r="BL34" s="1394"/>
      <c r="BM34" s="1395"/>
      <c r="BN34" s="1383"/>
      <c r="BO34" s="1384"/>
      <c r="BP34" s="1384"/>
      <c r="BQ34" s="1384"/>
      <c r="BR34" s="1384"/>
      <c r="BS34" s="1384"/>
      <c r="BT34" s="1384"/>
      <c r="BU34" s="1384"/>
      <c r="BV34" s="1384"/>
      <c r="BW34" s="1384"/>
      <c r="BX34" s="1384"/>
      <c r="BY34" s="1384"/>
      <c r="BZ34" s="1384"/>
      <c r="CA34" s="1384"/>
      <c r="CB34" s="1384"/>
      <c r="CC34" s="1384"/>
      <c r="CD34" s="1384"/>
      <c r="CE34" s="1384"/>
      <c r="CF34" s="1384"/>
      <c r="CG34" s="1384"/>
      <c r="CH34" s="1384"/>
      <c r="CI34" s="1384"/>
      <c r="CJ34" s="1384"/>
      <c r="CK34" s="1384"/>
      <c r="CL34" s="1384"/>
      <c r="CM34" s="1384"/>
      <c r="CN34" s="1385"/>
      <c r="CO34" s="1456"/>
      <c r="CP34" s="1457"/>
      <c r="CQ34" s="1458"/>
    </row>
    <row r="35" spans="3:95" ht="7.5" customHeight="1" x14ac:dyDescent="0.25">
      <c r="C35" s="860"/>
      <c r="D35" s="1444"/>
      <c r="E35" s="1444"/>
      <c r="F35" s="1444"/>
      <c r="G35" s="1444"/>
      <c r="H35" s="1444"/>
      <c r="I35" s="1444"/>
      <c r="J35" s="1444"/>
      <c r="K35" s="1444"/>
      <c r="L35" s="1444"/>
      <c r="M35" s="1444"/>
      <c r="N35" s="885"/>
      <c r="Q35" s="1884"/>
      <c r="R35" s="1885"/>
      <c r="S35" s="1885"/>
      <c r="T35" s="1885"/>
      <c r="U35" s="1885"/>
      <c r="V35" s="1885"/>
      <c r="W35" s="1885"/>
      <c r="X35" s="1885"/>
      <c r="Y35" s="1885"/>
      <c r="Z35" s="1885"/>
      <c r="AA35" s="1885"/>
      <c r="AB35" s="1885"/>
      <c r="AC35" s="1885"/>
      <c r="AD35" s="1885"/>
      <c r="AE35" s="1886"/>
      <c r="AF35" s="117"/>
      <c r="AG35" s="1388"/>
      <c r="AH35" s="1389"/>
      <c r="AI35" s="1389"/>
      <c r="AJ35" s="1390"/>
      <c r="AM35" s="1420"/>
      <c r="AN35" s="1421"/>
      <c r="AO35" s="1421"/>
      <c r="AP35" s="1421"/>
      <c r="AQ35" s="1421"/>
      <c r="AR35" s="1421"/>
      <c r="AS35" s="1421"/>
      <c r="AT35" s="1421"/>
      <c r="AU35" s="1421"/>
      <c r="AV35" s="1421"/>
      <c r="AW35" s="1421"/>
      <c r="AX35" s="1422"/>
      <c r="BA35" s="1393"/>
      <c r="BB35" s="1394"/>
      <c r="BC35" s="1394"/>
      <c r="BD35" s="1394"/>
      <c r="BE35" s="1394"/>
      <c r="BF35" s="1394"/>
      <c r="BG35" s="1394"/>
      <c r="BH35" s="1394"/>
      <c r="BI35" s="1394"/>
      <c r="BJ35" s="1394"/>
      <c r="BK35" s="1394"/>
      <c r="BL35" s="1394"/>
      <c r="BM35" s="1395"/>
      <c r="BN35" s="1383"/>
      <c r="BO35" s="1384"/>
      <c r="BP35" s="1384"/>
      <c r="BQ35" s="1384"/>
      <c r="BR35" s="1384"/>
      <c r="BS35" s="1384"/>
      <c r="BT35" s="1384"/>
      <c r="BU35" s="1384"/>
      <c r="BV35" s="1384"/>
      <c r="BW35" s="1384"/>
      <c r="BX35" s="1384"/>
      <c r="BY35" s="1384"/>
      <c r="BZ35" s="1384"/>
      <c r="CA35" s="1384"/>
      <c r="CB35" s="1384"/>
      <c r="CC35" s="1384"/>
      <c r="CD35" s="1384"/>
      <c r="CE35" s="1384"/>
      <c r="CF35" s="1384"/>
      <c r="CG35" s="1384"/>
      <c r="CH35" s="1384"/>
      <c r="CI35" s="1384"/>
      <c r="CJ35" s="1384"/>
      <c r="CK35" s="1384"/>
      <c r="CL35" s="1384"/>
      <c r="CM35" s="1384"/>
      <c r="CN35" s="1385"/>
      <c r="CO35" s="1456"/>
      <c r="CP35" s="1457"/>
      <c r="CQ35" s="1458"/>
    </row>
    <row r="36" spans="3:95" ht="7.5" customHeight="1" x14ac:dyDescent="0.25">
      <c r="BA36" s="1450"/>
      <c r="BB36" s="1451"/>
      <c r="BC36" s="1451"/>
      <c r="BD36" s="1451"/>
      <c r="BE36" s="1451"/>
      <c r="BF36" s="1451"/>
      <c r="BG36" s="1451"/>
      <c r="BH36" s="1451"/>
      <c r="BI36" s="1451"/>
      <c r="BJ36" s="1451"/>
      <c r="BK36" s="1451"/>
      <c r="BL36" s="1451"/>
      <c r="BM36" s="1452"/>
      <c r="BN36" s="1380"/>
      <c r="BO36" s="1381"/>
      <c r="BP36" s="1381"/>
      <c r="BQ36" s="1381"/>
      <c r="BR36" s="1381"/>
      <c r="BS36" s="1381"/>
      <c r="BT36" s="1381"/>
      <c r="BU36" s="1381"/>
      <c r="BV36" s="1381"/>
      <c r="BW36" s="1381"/>
      <c r="BX36" s="1381"/>
      <c r="BY36" s="1381"/>
      <c r="BZ36" s="1381"/>
      <c r="CA36" s="1381"/>
      <c r="CB36" s="1381"/>
      <c r="CC36" s="1381"/>
      <c r="CD36" s="1381"/>
      <c r="CE36" s="1381"/>
      <c r="CF36" s="1381"/>
      <c r="CG36" s="1381"/>
      <c r="CH36" s="1381"/>
      <c r="CI36" s="1381"/>
      <c r="CJ36" s="1381"/>
      <c r="CK36" s="1381"/>
      <c r="CL36" s="1381"/>
      <c r="CM36" s="1381"/>
      <c r="CN36" s="1382"/>
      <c r="CO36" s="1453"/>
      <c r="CP36" s="1454"/>
      <c r="CQ36" s="1455"/>
    </row>
    <row r="37" spans="3:95" ht="7.5" customHeight="1" x14ac:dyDescent="0.25">
      <c r="C37" s="1887" t="s">
        <v>93</v>
      </c>
      <c r="D37" s="1888"/>
      <c r="E37" s="1888"/>
      <c r="F37" s="1888"/>
      <c r="G37" s="1888"/>
      <c r="H37" s="1888"/>
      <c r="I37" s="1888"/>
      <c r="J37" s="1888"/>
      <c r="K37" s="1888"/>
      <c r="L37" s="1888"/>
      <c r="M37" s="1888"/>
      <c r="N37" s="1888"/>
      <c r="O37" s="1888"/>
      <c r="P37" s="1888"/>
      <c r="Q37" s="1889"/>
      <c r="R37" s="1361"/>
      <c r="S37" s="1429"/>
      <c r="T37" s="1429"/>
      <c r="U37" s="1391" t="s">
        <v>428</v>
      </c>
      <c r="V37" s="1391"/>
      <c r="Y37" s="1445" t="s">
        <v>34</v>
      </c>
      <c r="Z37" s="1446"/>
      <c r="AA37" s="1446"/>
      <c r="AB37" s="1447"/>
      <c r="AE37" s="1887" t="s">
        <v>92</v>
      </c>
      <c r="AF37" s="1888"/>
      <c r="AG37" s="1888"/>
      <c r="AH37" s="1888"/>
      <c r="AI37" s="1888"/>
      <c r="AJ37" s="1888"/>
      <c r="AK37" s="1888"/>
      <c r="AL37" s="1888"/>
      <c r="AM37" s="1888"/>
      <c r="AN37" s="1888"/>
      <c r="AO37" s="1888"/>
      <c r="AP37" s="1888"/>
      <c r="AQ37" s="1888"/>
      <c r="AR37" s="1888"/>
      <c r="AS37" s="1889"/>
      <c r="AT37" s="1361"/>
      <c r="AU37" s="1429"/>
      <c r="AV37" s="1429"/>
      <c r="AW37" s="1391" t="s">
        <v>428</v>
      </c>
      <c r="AX37" s="1391"/>
      <c r="BA37" s="1450"/>
      <c r="BB37" s="1451"/>
      <c r="BC37" s="1451"/>
      <c r="BD37" s="1451"/>
      <c r="BE37" s="1451"/>
      <c r="BF37" s="1451"/>
      <c r="BG37" s="1451"/>
      <c r="BH37" s="1451"/>
      <c r="BI37" s="1451"/>
      <c r="BJ37" s="1451"/>
      <c r="BK37" s="1451"/>
      <c r="BL37" s="1451"/>
      <c r="BM37" s="1452"/>
      <c r="BN37" s="1380"/>
      <c r="BO37" s="1381"/>
      <c r="BP37" s="1381"/>
      <c r="BQ37" s="1381"/>
      <c r="BR37" s="1381"/>
      <c r="BS37" s="1381"/>
      <c r="BT37" s="1381"/>
      <c r="BU37" s="1381"/>
      <c r="BV37" s="1381"/>
      <c r="BW37" s="1381"/>
      <c r="BX37" s="1381"/>
      <c r="BY37" s="1381"/>
      <c r="BZ37" s="1381"/>
      <c r="CA37" s="1381"/>
      <c r="CB37" s="1381"/>
      <c r="CC37" s="1381"/>
      <c r="CD37" s="1381"/>
      <c r="CE37" s="1381"/>
      <c r="CF37" s="1381"/>
      <c r="CG37" s="1381"/>
      <c r="CH37" s="1381"/>
      <c r="CI37" s="1381"/>
      <c r="CJ37" s="1381"/>
      <c r="CK37" s="1381"/>
      <c r="CL37" s="1381"/>
      <c r="CM37" s="1381"/>
      <c r="CN37" s="1382"/>
      <c r="CO37" s="1453"/>
      <c r="CP37" s="1454"/>
      <c r="CQ37" s="1455"/>
    </row>
    <row r="38" spans="3:95" ht="7.5" customHeight="1" x14ac:dyDescent="0.25">
      <c r="C38" s="1437"/>
      <c r="D38" s="1438"/>
      <c r="E38" s="1438"/>
      <c r="F38" s="1438"/>
      <c r="G38" s="1438"/>
      <c r="H38" s="1438"/>
      <c r="I38" s="1438"/>
      <c r="J38" s="1438"/>
      <c r="K38" s="1438"/>
      <c r="L38" s="1438"/>
      <c r="M38" s="1438"/>
      <c r="N38" s="1438"/>
      <c r="O38" s="1438"/>
      <c r="P38" s="1438"/>
      <c r="Q38" s="1890"/>
      <c r="R38" s="1363"/>
      <c r="S38" s="1430"/>
      <c r="T38" s="1430"/>
      <c r="U38" s="1392"/>
      <c r="V38" s="1392"/>
      <c r="Y38" s="1464"/>
      <c r="Z38" s="1465"/>
      <c r="AA38" s="1465"/>
      <c r="AB38" s="1466"/>
      <c r="AE38" s="1437"/>
      <c r="AF38" s="1438"/>
      <c r="AG38" s="1438"/>
      <c r="AH38" s="1438"/>
      <c r="AI38" s="1438"/>
      <c r="AJ38" s="1438"/>
      <c r="AK38" s="1438"/>
      <c r="AL38" s="1438"/>
      <c r="AM38" s="1438"/>
      <c r="AN38" s="1438"/>
      <c r="AO38" s="1438"/>
      <c r="AP38" s="1438"/>
      <c r="AQ38" s="1438"/>
      <c r="AR38" s="1438"/>
      <c r="AS38" s="1890"/>
      <c r="AT38" s="1363"/>
      <c r="AU38" s="1430"/>
      <c r="AV38" s="1430"/>
      <c r="AW38" s="1392"/>
      <c r="AX38" s="1392"/>
      <c r="BA38" s="1393"/>
      <c r="BB38" s="1394"/>
      <c r="BC38" s="1394"/>
      <c r="BD38" s="1394"/>
      <c r="BE38" s="1394"/>
      <c r="BF38" s="1394"/>
      <c r="BG38" s="1394"/>
      <c r="BH38" s="1394"/>
      <c r="BI38" s="1394"/>
      <c r="BJ38" s="1394"/>
      <c r="BK38" s="1394"/>
      <c r="BL38" s="1394"/>
      <c r="BM38" s="1395"/>
      <c r="BN38" s="1383"/>
      <c r="BO38" s="1384"/>
      <c r="BP38" s="1384"/>
      <c r="BQ38" s="1384"/>
      <c r="BR38" s="1384"/>
      <c r="BS38" s="1384"/>
      <c r="BT38" s="1384"/>
      <c r="BU38" s="1384"/>
      <c r="BV38" s="1384"/>
      <c r="BW38" s="1384"/>
      <c r="BX38" s="1384"/>
      <c r="BY38" s="1384"/>
      <c r="BZ38" s="1384"/>
      <c r="CA38" s="1384"/>
      <c r="CB38" s="1384"/>
      <c r="CC38" s="1384"/>
      <c r="CD38" s="1384"/>
      <c r="CE38" s="1384"/>
      <c r="CF38" s="1384"/>
      <c r="CG38" s="1384"/>
      <c r="CH38" s="1384"/>
      <c r="CI38" s="1384"/>
      <c r="CJ38" s="1384"/>
      <c r="CK38" s="1384"/>
      <c r="CL38" s="1384"/>
      <c r="CM38" s="1384"/>
      <c r="CN38" s="1385"/>
      <c r="CO38" s="1456"/>
      <c r="CP38" s="1457"/>
      <c r="CQ38" s="1458"/>
    </row>
    <row r="39" spans="3:95" ht="7.5" customHeight="1" x14ac:dyDescent="0.25">
      <c r="C39" s="1899"/>
      <c r="D39" s="1900"/>
      <c r="E39" s="1900"/>
      <c r="F39" s="1900"/>
      <c r="G39" s="1900"/>
      <c r="H39" s="1900"/>
      <c r="I39" s="1900"/>
      <c r="J39" s="1900"/>
      <c r="K39" s="1900"/>
      <c r="L39" s="1900"/>
      <c r="M39" s="1900"/>
      <c r="N39" s="1900"/>
      <c r="O39" s="1900"/>
      <c r="P39" s="1900"/>
      <c r="Q39" s="1901"/>
      <c r="S39" s="106" t="b">
        <f>IF(C51&lt;&gt;"",TRUE)</f>
        <v>0</v>
      </c>
      <c r="T39" s="106" t="b">
        <f>IF(H51&lt;&gt;"",TRUE)</f>
        <v>0</v>
      </c>
      <c r="U39" s="106" t="b">
        <f>IF(M51&lt;&gt;"",TRUE)</f>
        <v>0</v>
      </c>
      <c r="Y39" s="1467"/>
      <c r="Z39" s="1468"/>
      <c r="AA39" s="1468"/>
      <c r="AB39" s="1469"/>
      <c r="AE39" s="1880"/>
      <c r="AF39" s="1881"/>
      <c r="AG39" s="1881"/>
      <c r="AH39" s="1881"/>
      <c r="AI39" s="1881"/>
      <c r="AJ39" s="1881"/>
      <c r="AK39" s="1881"/>
      <c r="AL39" s="1881"/>
      <c r="AM39" s="1881"/>
      <c r="AN39" s="1881"/>
      <c r="AO39" s="1881"/>
      <c r="AP39" s="1881"/>
      <c r="AQ39" s="1881"/>
      <c r="AR39" s="1881"/>
      <c r="AS39" s="1882"/>
      <c r="AT39" s="116"/>
      <c r="BA39" s="1393"/>
      <c r="BB39" s="1394"/>
      <c r="BC39" s="1394"/>
      <c r="BD39" s="1394"/>
      <c r="BE39" s="1394"/>
      <c r="BF39" s="1394"/>
      <c r="BG39" s="1394"/>
      <c r="BH39" s="1394"/>
      <c r="BI39" s="1394"/>
      <c r="BJ39" s="1394"/>
      <c r="BK39" s="1394"/>
      <c r="BL39" s="1394"/>
      <c r="BM39" s="1395"/>
      <c r="BN39" s="1383"/>
      <c r="BO39" s="1384"/>
      <c r="BP39" s="1384"/>
      <c r="BQ39" s="1384"/>
      <c r="BR39" s="1384"/>
      <c r="BS39" s="1384"/>
      <c r="BT39" s="1384"/>
      <c r="BU39" s="1384"/>
      <c r="BV39" s="1384"/>
      <c r="BW39" s="1384"/>
      <c r="BX39" s="1384"/>
      <c r="BY39" s="1384"/>
      <c r="BZ39" s="1384"/>
      <c r="CA39" s="1384"/>
      <c r="CB39" s="1384"/>
      <c r="CC39" s="1384"/>
      <c r="CD39" s="1384"/>
      <c r="CE39" s="1384"/>
      <c r="CF39" s="1384"/>
      <c r="CG39" s="1384"/>
      <c r="CH39" s="1384"/>
      <c r="CI39" s="1384"/>
      <c r="CJ39" s="1384"/>
      <c r="CK39" s="1384"/>
      <c r="CL39" s="1384"/>
      <c r="CM39" s="1384"/>
      <c r="CN39" s="1385"/>
      <c r="CO39" s="1456"/>
      <c r="CP39" s="1457"/>
      <c r="CQ39" s="1458"/>
    </row>
    <row r="40" spans="3:95" ht="7.5" customHeight="1" x14ac:dyDescent="0.25">
      <c r="C40" s="1425"/>
      <c r="D40" s="1426"/>
      <c r="E40" s="1426"/>
      <c r="F40" s="1426"/>
      <c r="G40" s="1426"/>
      <c r="H40" s="1426"/>
      <c r="I40" s="1426"/>
      <c r="J40" s="1426"/>
      <c r="K40" s="1426"/>
      <c r="L40" s="1426"/>
      <c r="M40" s="1426"/>
      <c r="N40" s="1426"/>
      <c r="O40" s="1426"/>
      <c r="P40" s="1426"/>
      <c r="Q40" s="1902"/>
      <c r="R40" s="117"/>
      <c r="S40" s="1368" t="s">
        <v>498</v>
      </c>
      <c r="T40" s="1369"/>
      <c r="U40" s="1369"/>
      <c r="V40" s="1370"/>
      <c r="AE40" s="1408"/>
      <c r="AF40" s="1409"/>
      <c r="AG40" s="1409"/>
      <c r="AH40" s="1409"/>
      <c r="AI40" s="1409"/>
      <c r="AJ40" s="1409"/>
      <c r="AK40" s="1409"/>
      <c r="AL40" s="1409"/>
      <c r="AM40" s="1409"/>
      <c r="AN40" s="1409"/>
      <c r="AO40" s="1409"/>
      <c r="AP40" s="1409"/>
      <c r="AQ40" s="1409"/>
      <c r="AR40" s="1409"/>
      <c r="AS40" s="1883"/>
      <c r="AT40" s="117"/>
      <c r="AU40" s="1368" t="s">
        <v>24</v>
      </c>
      <c r="AV40" s="1369"/>
      <c r="AW40" s="1369"/>
      <c r="AX40" s="1370"/>
      <c r="BA40" s="1450"/>
      <c r="BB40" s="1451"/>
      <c r="BC40" s="1451"/>
      <c r="BD40" s="1451"/>
      <c r="BE40" s="1451"/>
      <c r="BF40" s="1451"/>
      <c r="BG40" s="1451"/>
      <c r="BH40" s="1451"/>
      <c r="BI40" s="1451"/>
      <c r="BJ40" s="1451"/>
      <c r="BK40" s="1451"/>
      <c r="BL40" s="1451"/>
      <c r="BM40" s="1452"/>
      <c r="BN40" s="1380"/>
      <c r="BO40" s="1381"/>
      <c r="BP40" s="1381"/>
      <c r="BQ40" s="1381"/>
      <c r="BR40" s="1381"/>
      <c r="BS40" s="1381"/>
      <c r="BT40" s="1381"/>
      <c r="BU40" s="1381"/>
      <c r="BV40" s="1381"/>
      <c r="BW40" s="1381"/>
      <c r="BX40" s="1381"/>
      <c r="BY40" s="1381"/>
      <c r="BZ40" s="1381"/>
      <c r="CA40" s="1381"/>
      <c r="CB40" s="1381"/>
      <c r="CC40" s="1381"/>
      <c r="CD40" s="1381"/>
      <c r="CE40" s="1381"/>
      <c r="CF40" s="1381"/>
      <c r="CG40" s="1381"/>
      <c r="CH40" s="1381"/>
      <c r="CI40" s="1381"/>
      <c r="CJ40" s="1381"/>
      <c r="CK40" s="1381"/>
      <c r="CL40" s="1381"/>
      <c r="CM40" s="1381"/>
      <c r="CN40" s="1382"/>
      <c r="CO40" s="1453"/>
      <c r="CP40" s="1454"/>
      <c r="CQ40" s="1455"/>
    </row>
    <row r="41" spans="3:95" ht="7.5" customHeight="1" x14ac:dyDescent="0.25">
      <c r="C41" s="1425"/>
      <c r="D41" s="1426"/>
      <c r="E41" s="1426"/>
      <c r="F41" s="1426"/>
      <c r="G41" s="1426"/>
      <c r="H41" s="1426"/>
      <c r="I41" s="1426"/>
      <c r="J41" s="1426"/>
      <c r="K41" s="1426"/>
      <c r="L41" s="1426"/>
      <c r="M41" s="1426"/>
      <c r="N41" s="1426"/>
      <c r="O41" s="1426"/>
      <c r="P41" s="1426"/>
      <c r="Q41" s="1902"/>
      <c r="R41" s="117"/>
      <c r="S41" s="1371"/>
      <c r="T41" s="1372"/>
      <c r="U41" s="1372"/>
      <c r="V41" s="1373"/>
      <c r="Y41" s="1445" t="s">
        <v>439</v>
      </c>
      <c r="Z41" s="1446"/>
      <c r="AA41" s="1446"/>
      <c r="AB41" s="1447"/>
      <c r="AE41" s="1408"/>
      <c r="AF41" s="1409"/>
      <c r="AG41" s="1409"/>
      <c r="AH41" s="1409"/>
      <c r="AI41" s="1409"/>
      <c r="AJ41" s="1409"/>
      <c r="AK41" s="1409"/>
      <c r="AL41" s="1409"/>
      <c r="AM41" s="1409"/>
      <c r="AN41" s="1409"/>
      <c r="AO41" s="1409"/>
      <c r="AP41" s="1409"/>
      <c r="AQ41" s="1409"/>
      <c r="AR41" s="1409"/>
      <c r="AS41" s="1883"/>
      <c r="AT41" s="117"/>
      <c r="AU41" s="1371"/>
      <c r="AV41" s="1372"/>
      <c r="AW41" s="1372"/>
      <c r="AX41" s="1373"/>
      <c r="BA41" s="1450"/>
      <c r="BB41" s="1451"/>
      <c r="BC41" s="1451"/>
      <c r="BD41" s="1451"/>
      <c r="BE41" s="1451"/>
      <c r="BF41" s="1451"/>
      <c r="BG41" s="1451"/>
      <c r="BH41" s="1451"/>
      <c r="BI41" s="1451"/>
      <c r="BJ41" s="1451"/>
      <c r="BK41" s="1451"/>
      <c r="BL41" s="1451"/>
      <c r="BM41" s="1452"/>
      <c r="BN41" s="1380"/>
      <c r="BO41" s="1381"/>
      <c r="BP41" s="1381"/>
      <c r="BQ41" s="1381"/>
      <c r="BR41" s="1381"/>
      <c r="BS41" s="1381"/>
      <c r="BT41" s="1381"/>
      <c r="BU41" s="1381"/>
      <c r="BV41" s="1381"/>
      <c r="BW41" s="1381"/>
      <c r="BX41" s="1381"/>
      <c r="BY41" s="1381"/>
      <c r="BZ41" s="1381"/>
      <c r="CA41" s="1381"/>
      <c r="CB41" s="1381"/>
      <c r="CC41" s="1381"/>
      <c r="CD41" s="1381"/>
      <c r="CE41" s="1381"/>
      <c r="CF41" s="1381"/>
      <c r="CG41" s="1381"/>
      <c r="CH41" s="1381"/>
      <c r="CI41" s="1381"/>
      <c r="CJ41" s="1381"/>
      <c r="CK41" s="1381"/>
      <c r="CL41" s="1381"/>
      <c r="CM41" s="1381"/>
      <c r="CN41" s="1382"/>
      <c r="CO41" s="1453"/>
      <c r="CP41" s="1454"/>
      <c r="CQ41" s="1455"/>
    </row>
    <row r="42" spans="3:95" ht="7.5" customHeight="1" x14ac:dyDescent="0.25">
      <c r="C42" s="1425"/>
      <c r="D42" s="1426"/>
      <c r="E42" s="1426"/>
      <c r="F42" s="1426"/>
      <c r="G42" s="1426"/>
      <c r="H42" s="1426"/>
      <c r="I42" s="1426"/>
      <c r="J42" s="1426"/>
      <c r="K42" s="1426"/>
      <c r="L42" s="1426"/>
      <c r="M42" s="1426"/>
      <c r="N42" s="1426"/>
      <c r="O42" s="1426"/>
      <c r="P42" s="1426"/>
      <c r="Q42" s="1902"/>
      <c r="R42" s="117"/>
      <c r="S42" s="1386"/>
      <c r="T42" s="1375"/>
      <c r="U42" s="1375"/>
      <c r="V42" s="1387"/>
      <c r="Y42" s="1464"/>
      <c r="Z42" s="1465"/>
      <c r="AA42" s="1465"/>
      <c r="AB42" s="1466"/>
      <c r="AE42" s="1408"/>
      <c r="AF42" s="1409"/>
      <c r="AG42" s="1409"/>
      <c r="AH42" s="1409"/>
      <c r="AI42" s="1409"/>
      <c r="AJ42" s="1409"/>
      <c r="AK42" s="1409"/>
      <c r="AL42" s="1409"/>
      <c r="AM42" s="1409"/>
      <c r="AN42" s="1409"/>
      <c r="AO42" s="1409"/>
      <c r="AP42" s="1409"/>
      <c r="AQ42" s="1409"/>
      <c r="AR42" s="1409"/>
      <c r="AS42" s="1883"/>
      <c r="AT42" s="117"/>
      <c r="AU42" s="1386"/>
      <c r="AV42" s="1375"/>
      <c r="AW42" s="1375"/>
      <c r="AX42" s="1387"/>
      <c r="BA42" s="1393"/>
      <c r="BB42" s="1394"/>
      <c r="BC42" s="1394"/>
      <c r="BD42" s="1394"/>
      <c r="BE42" s="1394"/>
      <c r="BF42" s="1394"/>
      <c r="BG42" s="1394"/>
      <c r="BH42" s="1394"/>
      <c r="BI42" s="1394"/>
      <c r="BJ42" s="1394"/>
      <c r="BK42" s="1394"/>
      <c r="BL42" s="1394"/>
      <c r="BM42" s="1395"/>
      <c r="BN42" s="1383"/>
      <c r="BO42" s="1384"/>
      <c r="BP42" s="1384"/>
      <c r="BQ42" s="1384"/>
      <c r="BR42" s="1384"/>
      <c r="BS42" s="1384"/>
      <c r="BT42" s="1384"/>
      <c r="BU42" s="1384"/>
      <c r="BV42" s="1384"/>
      <c r="BW42" s="1384"/>
      <c r="BX42" s="1384"/>
      <c r="BY42" s="1384"/>
      <c r="BZ42" s="1384"/>
      <c r="CA42" s="1384"/>
      <c r="CB42" s="1384"/>
      <c r="CC42" s="1384"/>
      <c r="CD42" s="1384"/>
      <c r="CE42" s="1384"/>
      <c r="CF42" s="1384"/>
      <c r="CG42" s="1384"/>
      <c r="CH42" s="1384"/>
      <c r="CI42" s="1384"/>
      <c r="CJ42" s="1384"/>
      <c r="CK42" s="1384"/>
      <c r="CL42" s="1384"/>
      <c r="CM42" s="1384"/>
      <c r="CN42" s="1385"/>
      <c r="CO42" s="1456"/>
      <c r="CP42" s="1457"/>
      <c r="CQ42" s="1458"/>
    </row>
    <row r="43" spans="3:95" ht="7.5" customHeight="1" x14ac:dyDescent="0.25">
      <c r="C43" s="1425"/>
      <c r="D43" s="1426"/>
      <c r="E43" s="1426"/>
      <c r="F43" s="1426"/>
      <c r="G43" s="1426"/>
      <c r="H43" s="1426"/>
      <c r="I43" s="1426"/>
      <c r="J43" s="1426"/>
      <c r="K43" s="1426"/>
      <c r="L43" s="1426"/>
      <c r="M43" s="1426"/>
      <c r="N43" s="1426"/>
      <c r="O43" s="1426"/>
      <c r="P43" s="1426"/>
      <c r="Q43" s="1902"/>
      <c r="R43" s="117"/>
      <c r="S43" s="1388"/>
      <c r="T43" s="1389"/>
      <c r="U43" s="1389"/>
      <c r="V43" s="1390"/>
      <c r="Y43" s="1467"/>
      <c r="Z43" s="1468"/>
      <c r="AA43" s="1468"/>
      <c r="AB43" s="1469"/>
      <c r="AE43" s="1408"/>
      <c r="AF43" s="1409"/>
      <c r="AG43" s="1409"/>
      <c r="AH43" s="1409"/>
      <c r="AI43" s="1409"/>
      <c r="AJ43" s="1409"/>
      <c r="AK43" s="1409"/>
      <c r="AL43" s="1409"/>
      <c r="AM43" s="1409"/>
      <c r="AN43" s="1409"/>
      <c r="AO43" s="1409"/>
      <c r="AP43" s="1409"/>
      <c r="AQ43" s="1409"/>
      <c r="AR43" s="1409"/>
      <c r="AS43" s="1883"/>
      <c r="AT43" s="117"/>
      <c r="AU43" s="1388"/>
      <c r="AV43" s="1389"/>
      <c r="AW43" s="1389"/>
      <c r="AX43" s="1390"/>
      <c r="BA43" s="1393"/>
      <c r="BB43" s="1394"/>
      <c r="BC43" s="1394"/>
      <c r="BD43" s="1394"/>
      <c r="BE43" s="1394"/>
      <c r="BF43" s="1394"/>
      <c r="BG43" s="1394"/>
      <c r="BH43" s="1394"/>
      <c r="BI43" s="1394"/>
      <c r="BJ43" s="1394"/>
      <c r="BK43" s="1394"/>
      <c r="BL43" s="1394"/>
      <c r="BM43" s="1395"/>
      <c r="BN43" s="1383"/>
      <c r="BO43" s="1384"/>
      <c r="BP43" s="1384"/>
      <c r="BQ43" s="1384"/>
      <c r="BR43" s="1384"/>
      <c r="BS43" s="1384"/>
      <c r="BT43" s="1384"/>
      <c r="BU43" s="1384"/>
      <c r="BV43" s="1384"/>
      <c r="BW43" s="1384"/>
      <c r="BX43" s="1384"/>
      <c r="BY43" s="1384"/>
      <c r="BZ43" s="1384"/>
      <c r="CA43" s="1384"/>
      <c r="CB43" s="1384"/>
      <c r="CC43" s="1384"/>
      <c r="CD43" s="1384"/>
      <c r="CE43" s="1384"/>
      <c r="CF43" s="1384"/>
      <c r="CG43" s="1384"/>
      <c r="CH43" s="1384"/>
      <c r="CI43" s="1384"/>
      <c r="CJ43" s="1384"/>
      <c r="CK43" s="1384"/>
      <c r="CL43" s="1384"/>
      <c r="CM43" s="1384"/>
      <c r="CN43" s="1385"/>
      <c r="CO43" s="1456"/>
      <c r="CP43" s="1457"/>
      <c r="CQ43" s="1458"/>
    </row>
    <row r="44" spans="3:95" ht="7.5" customHeight="1" x14ac:dyDescent="0.25">
      <c r="C44" s="1425"/>
      <c r="D44" s="1426"/>
      <c r="E44" s="1426"/>
      <c r="F44" s="1426"/>
      <c r="G44" s="1426"/>
      <c r="H44" s="1426"/>
      <c r="I44" s="1426"/>
      <c r="J44" s="1426"/>
      <c r="K44" s="1426"/>
      <c r="L44" s="1426"/>
      <c r="M44" s="1426"/>
      <c r="N44" s="1426"/>
      <c r="O44" s="1426"/>
      <c r="P44" s="1426"/>
      <c r="Q44" s="1902"/>
      <c r="R44" s="117"/>
      <c r="S44" s="1368" t="s">
        <v>497</v>
      </c>
      <c r="T44" s="1369"/>
      <c r="U44" s="1369"/>
      <c r="V44" s="1370"/>
      <c r="AE44" s="1408"/>
      <c r="AF44" s="1409"/>
      <c r="AG44" s="1409"/>
      <c r="AH44" s="1409"/>
      <c r="AI44" s="1409"/>
      <c r="AJ44" s="1409"/>
      <c r="AK44" s="1409"/>
      <c r="AL44" s="1409"/>
      <c r="AM44" s="1409"/>
      <c r="AN44" s="1409"/>
      <c r="AO44" s="1409"/>
      <c r="AP44" s="1409"/>
      <c r="AQ44" s="1409"/>
      <c r="AR44" s="1409"/>
      <c r="AS44" s="1883"/>
      <c r="AT44" s="117"/>
      <c r="AU44" s="1368" t="s">
        <v>429</v>
      </c>
      <c r="AV44" s="1369"/>
      <c r="AW44" s="1369"/>
      <c r="AX44" s="1370"/>
      <c r="BA44" s="1450"/>
      <c r="BB44" s="1451"/>
      <c r="BC44" s="1451"/>
      <c r="BD44" s="1451"/>
      <c r="BE44" s="1451"/>
      <c r="BF44" s="1451"/>
      <c r="BG44" s="1451"/>
      <c r="BH44" s="1451"/>
      <c r="BI44" s="1451"/>
      <c r="BJ44" s="1451"/>
      <c r="BK44" s="1451"/>
      <c r="BL44" s="1451"/>
      <c r="BM44" s="1452"/>
      <c r="BN44" s="1380"/>
      <c r="BO44" s="1381"/>
      <c r="BP44" s="1381"/>
      <c r="BQ44" s="1381"/>
      <c r="BR44" s="1381"/>
      <c r="BS44" s="1381"/>
      <c r="BT44" s="1381"/>
      <c r="BU44" s="1381"/>
      <c r="BV44" s="1381"/>
      <c r="BW44" s="1381"/>
      <c r="BX44" s="1381"/>
      <c r="BY44" s="1381"/>
      <c r="BZ44" s="1381"/>
      <c r="CA44" s="1381"/>
      <c r="CB44" s="1381"/>
      <c r="CC44" s="1381"/>
      <c r="CD44" s="1381"/>
      <c r="CE44" s="1381"/>
      <c r="CF44" s="1381"/>
      <c r="CG44" s="1381"/>
      <c r="CH44" s="1381"/>
      <c r="CI44" s="1381"/>
      <c r="CJ44" s="1381"/>
      <c r="CK44" s="1381"/>
      <c r="CL44" s="1381"/>
      <c r="CM44" s="1381"/>
      <c r="CN44" s="1382"/>
      <c r="CO44" s="1453"/>
      <c r="CP44" s="1454"/>
      <c r="CQ44" s="1455"/>
    </row>
    <row r="45" spans="3:95" ht="7.5" customHeight="1" x14ac:dyDescent="0.25">
      <c r="C45" s="1425"/>
      <c r="D45" s="1426"/>
      <c r="E45" s="1426"/>
      <c r="F45" s="1426"/>
      <c r="G45" s="1426"/>
      <c r="H45" s="1426"/>
      <c r="I45" s="1426"/>
      <c r="J45" s="1426"/>
      <c r="K45" s="1426"/>
      <c r="L45" s="1426"/>
      <c r="M45" s="1426"/>
      <c r="N45" s="1426"/>
      <c r="O45" s="1426"/>
      <c r="P45" s="1426"/>
      <c r="Q45" s="1902"/>
      <c r="R45" s="117"/>
      <c r="S45" s="1371"/>
      <c r="T45" s="1372"/>
      <c r="U45" s="1372"/>
      <c r="V45" s="1373"/>
      <c r="Y45" s="1445" t="s">
        <v>46</v>
      </c>
      <c r="Z45" s="1446"/>
      <c r="AA45" s="1446"/>
      <c r="AB45" s="1447"/>
      <c r="AE45" s="1408"/>
      <c r="AF45" s="1409"/>
      <c r="AG45" s="1409"/>
      <c r="AH45" s="1409"/>
      <c r="AI45" s="1409"/>
      <c r="AJ45" s="1409"/>
      <c r="AK45" s="1409"/>
      <c r="AL45" s="1409"/>
      <c r="AM45" s="1409"/>
      <c r="AN45" s="1409"/>
      <c r="AO45" s="1409"/>
      <c r="AP45" s="1409"/>
      <c r="AQ45" s="1409"/>
      <c r="AR45" s="1409"/>
      <c r="AS45" s="1883"/>
      <c r="AT45" s="117"/>
      <c r="AU45" s="1371"/>
      <c r="AV45" s="1372"/>
      <c r="AW45" s="1372"/>
      <c r="AX45" s="1373"/>
      <c r="BA45" s="1450"/>
      <c r="BB45" s="1451"/>
      <c r="BC45" s="1451"/>
      <c r="BD45" s="1451"/>
      <c r="BE45" s="1451"/>
      <c r="BF45" s="1451"/>
      <c r="BG45" s="1451"/>
      <c r="BH45" s="1451"/>
      <c r="BI45" s="1451"/>
      <c r="BJ45" s="1451"/>
      <c r="BK45" s="1451"/>
      <c r="BL45" s="1451"/>
      <c r="BM45" s="1452"/>
      <c r="BN45" s="1380"/>
      <c r="BO45" s="1381"/>
      <c r="BP45" s="1381"/>
      <c r="BQ45" s="1381"/>
      <c r="BR45" s="1381"/>
      <c r="BS45" s="1381"/>
      <c r="BT45" s="1381"/>
      <c r="BU45" s="1381"/>
      <c r="BV45" s="1381"/>
      <c r="BW45" s="1381"/>
      <c r="BX45" s="1381"/>
      <c r="BY45" s="1381"/>
      <c r="BZ45" s="1381"/>
      <c r="CA45" s="1381"/>
      <c r="CB45" s="1381"/>
      <c r="CC45" s="1381"/>
      <c r="CD45" s="1381"/>
      <c r="CE45" s="1381"/>
      <c r="CF45" s="1381"/>
      <c r="CG45" s="1381"/>
      <c r="CH45" s="1381"/>
      <c r="CI45" s="1381"/>
      <c r="CJ45" s="1381"/>
      <c r="CK45" s="1381"/>
      <c r="CL45" s="1381"/>
      <c r="CM45" s="1381"/>
      <c r="CN45" s="1382"/>
      <c r="CO45" s="1453"/>
      <c r="CP45" s="1454"/>
      <c r="CQ45" s="1455"/>
    </row>
    <row r="46" spans="3:95" ht="7.5" customHeight="1" x14ac:dyDescent="0.25">
      <c r="C46" s="1425"/>
      <c r="D46" s="1426"/>
      <c r="E46" s="1426"/>
      <c r="F46" s="1426"/>
      <c r="G46" s="1426"/>
      <c r="H46" s="1426"/>
      <c r="I46" s="1426"/>
      <c r="J46" s="1426"/>
      <c r="K46" s="1426"/>
      <c r="L46" s="1426"/>
      <c r="M46" s="1426"/>
      <c r="N46" s="1426"/>
      <c r="O46" s="1426"/>
      <c r="P46" s="1426"/>
      <c r="Q46" s="1902"/>
      <c r="R46" s="117"/>
      <c r="S46" s="1386"/>
      <c r="T46" s="1375"/>
      <c r="U46" s="1375"/>
      <c r="V46" s="1387"/>
      <c r="Y46" s="1464"/>
      <c r="Z46" s="1465"/>
      <c r="AA46" s="1465"/>
      <c r="AB46" s="1466"/>
      <c r="AE46" s="1408"/>
      <c r="AF46" s="1409"/>
      <c r="AG46" s="1409"/>
      <c r="AH46" s="1409"/>
      <c r="AI46" s="1409"/>
      <c r="AJ46" s="1409"/>
      <c r="AK46" s="1409"/>
      <c r="AL46" s="1409"/>
      <c r="AM46" s="1409"/>
      <c r="AN46" s="1409"/>
      <c r="AO46" s="1409"/>
      <c r="AP46" s="1409"/>
      <c r="AQ46" s="1409"/>
      <c r="AR46" s="1409"/>
      <c r="AS46" s="1883"/>
      <c r="AT46" s="117"/>
      <c r="AU46" s="1386"/>
      <c r="AV46" s="1375"/>
      <c r="AW46" s="1375"/>
      <c r="AX46" s="1387"/>
      <c r="BA46" s="1393"/>
      <c r="BB46" s="1394"/>
      <c r="BC46" s="1394"/>
      <c r="BD46" s="1394"/>
      <c r="BE46" s="1394"/>
      <c r="BF46" s="1394"/>
      <c r="BG46" s="1394"/>
      <c r="BH46" s="1394"/>
      <c r="BI46" s="1394"/>
      <c r="BJ46" s="1394"/>
      <c r="BK46" s="1394"/>
      <c r="BL46" s="1394"/>
      <c r="BM46" s="1395"/>
      <c r="BN46" s="1383"/>
      <c r="BO46" s="1384"/>
      <c r="BP46" s="1384"/>
      <c r="BQ46" s="1384"/>
      <c r="BR46" s="1384"/>
      <c r="BS46" s="1384"/>
      <c r="BT46" s="1384"/>
      <c r="BU46" s="1384"/>
      <c r="BV46" s="1384"/>
      <c r="BW46" s="1384"/>
      <c r="BX46" s="1384"/>
      <c r="BY46" s="1384"/>
      <c r="BZ46" s="1384"/>
      <c r="CA46" s="1384"/>
      <c r="CB46" s="1384"/>
      <c r="CC46" s="1384"/>
      <c r="CD46" s="1384"/>
      <c r="CE46" s="1384"/>
      <c r="CF46" s="1384"/>
      <c r="CG46" s="1384"/>
      <c r="CH46" s="1384"/>
      <c r="CI46" s="1384"/>
      <c r="CJ46" s="1384"/>
      <c r="CK46" s="1384"/>
      <c r="CL46" s="1384"/>
      <c r="CM46" s="1384"/>
      <c r="CN46" s="1385"/>
      <c r="CO46" s="1456"/>
      <c r="CP46" s="1457"/>
      <c r="CQ46" s="1458"/>
    </row>
    <row r="47" spans="3:95" ht="7.5" customHeight="1" x14ac:dyDescent="0.25">
      <c r="C47" s="1425"/>
      <c r="D47" s="1426"/>
      <c r="E47" s="1426"/>
      <c r="F47" s="1426"/>
      <c r="G47" s="1426"/>
      <c r="H47" s="1426"/>
      <c r="I47" s="1426"/>
      <c r="J47" s="1426"/>
      <c r="K47" s="1426"/>
      <c r="L47" s="1426"/>
      <c r="M47" s="1426"/>
      <c r="N47" s="1426"/>
      <c r="O47" s="1426"/>
      <c r="P47" s="1426"/>
      <c r="Q47" s="1902"/>
      <c r="R47" s="117"/>
      <c r="S47" s="1388"/>
      <c r="T47" s="1389"/>
      <c r="U47" s="1389"/>
      <c r="V47" s="1390"/>
      <c r="Y47" s="1467"/>
      <c r="Z47" s="1468"/>
      <c r="AA47" s="1468"/>
      <c r="AB47" s="1469"/>
      <c r="AE47" s="1408"/>
      <c r="AF47" s="1409"/>
      <c r="AG47" s="1409"/>
      <c r="AH47" s="1409"/>
      <c r="AI47" s="1409"/>
      <c r="AJ47" s="1409"/>
      <c r="AK47" s="1409"/>
      <c r="AL47" s="1409"/>
      <c r="AM47" s="1409"/>
      <c r="AN47" s="1409"/>
      <c r="AO47" s="1409"/>
      <c r="AP47" s="1409"/>
      <c r="AQ47" s="1409"/>
      <c r="AR47" s="1409"/>
      <c r="AS47" s="1883"/>
      <c r="AT47" s="117"/>
      <c r="AU47" s="1388"/>
      <c r="AV47" s="1389"/>
      <c r="AW47" s="1389"/>
      <c r="AX47" s="1390"/>
      <c r="BA47" s="1393"/>
      <c r="BB47" s="1394"/>
      <c r="BC47" s="1394"/>
      <c r="BD47" s="1394"/>
      <c r="BE47" s="1394"/>
      <c r="BF47" s="1394"/>
      <c r="BG47" s="1394"/>
      <c r="BH47" s="1394"/>
      <c r="BI47" s="1394"/>
      <c r="BJ47" s="1394"/>
      <c r="BK47" s="1394"/>
      <c r="BL47" s="1394"/>
      <c r="BM47" s="1395"/>
      <c r="BN47" s="1383"/>
      <c r="BO47" s="1384"/>
      <c r="BP47" s="1384"/>
      <c r="BQ47" s="1384"/>
      <c r="BR47" s="1384"/>
      <c r="BS47" s="1384"/>
      <c r="BT47" s="1384"/>
      <c r="BU47" s="1384"/>
      <c r="BV47" s="1384"/>
      <c r="BW47" s="1384"/>
      <c r="BX47" s="1384"/>
      <c r="BY47" s="1384"/>
      <c r="BZ47" s="1384"/>
      <c r="CA47" s="1384"/>
      <c r="CB47" s="1384"/>
      <c r="CC47" s="1384"/>
      <c r="CD47" s="1384"/>
      <c r="CE47" s="1384"/>
      <c r="CF47" s="1384"/>
      <c r="CG47" s="1384"/>
      <c r="CH47" s="1384"/>
      <c r="CI47" s="1384"/>
      <c r="CJ47" s="1384"/>
      <c r="CK47" s="1384"/>
      <c r="CL47" s="1384"/>
      <c r="CM47" s="1384"/>
      <c r="CN47" s="1385"/>
      <c r="CO47" s="1456"/>
      <c r="CP47" s="1457"/>
      <c r="CQ47" s="1458"/>
    </row>
    <row r="48" spans="3:95" ht="7.5" customHeight="1" x14ac:dyDescent="0.25">
      <c r="C48" s="1425"/>
      <c r="D48" s="1426"/>
      <c r="E48" s="1426"/>
      <c r="F48" s="1426"/>
      <c r="G48" s="1426"/>
      <c r="H48" s="1426"/>
      <c r="I48" s="1426"/>
      <c r="J48" s="1426"/>
      <c r="K48" s="1426"/>
      <c r="L48" s="1426"/>
      <c r="M48" s="1426"/>
      <c r="N48" s="1426"/>
      <c r="O48" s="1426"/>
      <c r="P48" s="1426"/>
      <c r="Q48" s="1902"/>
      <c r="R48" s="117"/>
      <c r="S48" s="1368" t="s">
        <v>493</v>
      </c>
      <c r="T48" s="1369"/>
      <c r="U48" s="1369"/>
      <c r="V48" s="1370"/>
      <c r="AE48" s="1408"/>
      <c r="AF48" s="1409"/>
      <c r="AG48" s="1409"/>
      <c r="AH48" s="1409"/>
      <c r="AI48" s="1409"/>
      <c r="AJ48" s="1409"/>
      <c r="AK48" s="1409"/>
      <c r="AL48" s="1409"/>
      <c r="AM48" s="1409"/>
      <c r="AN48" s="1409"/>
      <c r="AO48" s="1409"/>
      <c r="AP48" s="1409"/>
      <c r="AQ48" s="1409"/>
      <c r="AR48" s="1409"/>
      <c r="AS48" s="1883"/>
      <c r="AT48" s="117"/>
      <c r="AU48" s="1368" t="s">
        <v>432</v>
      </c>
      <c r="AV48" s="1369"/>
      <c r="AW48" s="1369"/>
      <c r="AX48" s="1370"/>
      <c r="BA48" s="1450"/>
      <c r="BB48" s="1451"/>
      <c r="BC48" s="1451"/>
      <c r="BD48" s="1451"/>
      <c r="BE48" s="1451"/>
      <c r="BF48" s="1451"/>
      <c r="BG48" s="1451"/>
      <c r="BH48" s="1451"/>
      <c r="BI48" s="1451"/>
      <c r="BJ48" s="1451"/>
      <c r="BK48" s="1451"/>
      <c r="BL48" s="1451"/>
      <c r="BM48" s="1452"/>
      <c r="BN48" s="1380"/>
      <c r="BO48" s="1381"/>
      <c r="BP48" s="1381"/>
      <c r="BQ48" s="1381"/>
      <c r="BR48" s="1381"/>
      <c r="BS48" s="1381"/>
      <c r="BT48" s="1381"/>
      <c r="BU48" s="1381"/>
      <c r="BV48" s="1381"/>
      <c r="BW48" s="1381"/>
      <c r="BX48" s="1381"/>
      <c r="BY48" s="1381"/>
      <c r="BZ48" s="1381"/>
      <c r="CA48" s="1381"/>
      <c r="CB48" s="1381"/>
      <c r="CC48" s="1381"/>
      <c r="CD48" s="1381"/>
      <c r="CE48" s="1381"/>
      <c r="CF48" s="1381"/>
      <c r="CG48" s="1381"/>
      <c r="CH48" s="1381"/>
      <c r="CI48" s="1381"/>
      <c r="CJ48" s="1381"/>
      <c r="CK48" s="1381"/>
      <c r="CL48" s="1381"/>
      <c r="CM48" s="1381"/>
      <c r="CN48" s="1382"/>
      <c r="CO48" s="1453"/>
      <c r="CP48" s="1454"/>
      <c r="CQ48" s="1455"/>
    </row>
    <row r="49" spans="3:95" ht="7.5" customHeight="1" x14ac:dyDescent="0.25">
      <c r="C49" s="1425"/>
      <c r="D49" s="1426"/>
      <c r="E49" s="1426"/>
      <c r="F49" s="1426"/>
      <c r="G49" s="1426"/>
      <c r="H49" s="1426"/>
      <c r="I49" s="1426"/>
      <c r="J49" s="1426"/>
      <c r="K49" s="1426"/>
      <c r="L49" s="1426"/>
      <c r="M49" s="1426"/>
      <c r="N49" s="1426"/>
      <c r="O49" s="1426"/>
      <c r="P49" s="1426"/>
      <c r="Q49" s="1902"/>
      <c r="R49" s="117"/>
      <c r="S49" s="1371"/>
      <c r="T49" s="1372"/>
      <c r="U49" s="1372"/>
      <c r="V49" s="1373"/>
      <c r="Y49" s="1445" t="s">
        <v>49</v>
      </c>
      <c r="Z49" s="1446"/>
      <c r="AA49" s="1446"/>
      <c r="AB49" s="1447"/>
      <c r="AE49" s="1408"/>
      <c r="AF49" s="1409"/>
      <c r="AG49" s="1409"/>
      <c r="AH49" s="1409"/>
      <c r="AI49" s="1409"/>
      <c r="AJ49" s="1409"/>
      <c r="AK49" s="1409"/>
      <c r="AL49" s="1409"/>
      <c r="AM49" s="1409"/>
      <c r="AN49" s="1409"/>
      <c r="AO49" s="1409"/>
      <c r="AP49" s="1409"/>
      <c r="AQ49" s="1409"/>
      <c r="AR49" s="1409"/>
      <c r="AS49" s="1883"/>
      <c r="AT49" s="117"/>
      <c r="AU49" s="1371"/>
      <c r="AV49" s="1372"/>
      <c r="AW49" s="1372"/>
      <c r="AX49" s="1373"/>
      <c r="BA49" s="1450"/>
      <c r="BB49" s="1451"/>
      <c r="BC49" s="1451"/>
      <c r="BD49" s="1451"/>
      <c r="BE49" s="1451"/>
      <c r="BF49" s="1451"/>
      <c r="BG49" s="1451"/>
      <c r="BH49" s="1451"/>
      <c r="BI49" s="1451"/>
      <c r="BJ49" s="1451"/>
      <c r="BK49" s="1451"/>
      <c r="BL49" s="1451"/>
      <c r="BM49" s="1452"/>
      <c r="BN49" s="1380"/>
      <c r="BO49" s="1381"/>
      <c r="BP49" s="1381"/>
      <c r="BQ49" s="1381"/>
      <c r="BR49" s="1381"/>
      <c r="BS49" s="1381"/>
      <c r="BT49" s="1381"/>
      <c r="BU49" s="1381"/>
      <c r="BV49" s="1381"/>
      <c r="BW49" s="1381"/>
      <c r="BX49" s="1381"/>
      <c r="BY49" s="1381"/>
      <c r="BZ49" s="1381"/>
      <c r="CA49" s="1381"/>
      <c r="CB49" s="1381"/>
      <c r="CC49" s="1381"/>
      <c r="CD49" s="1381"/>
      <c r="CE49" s="1381"/>
      <c r="CF49" s="1381"/>
      <c r="CG49" s="1381"/>
      <c r="CH49" s="1381"/>
      <c r="CI49" s="1381"/>
      <c r="CJ49" s="1381"/>
      <c r="CK49" s="1381"/>
      <c r="CL49" s="1381"/>
      <c r="CM49" s="1381"/>
      <c r="CN49" s="1382"/>
      <c r="CO49" s="1453"/>
      <c r="CP49" s="1454"/>
      <c r="CQ49" s="1455"/>
    </row>
    <row r="50" spans="3:95" ht="7.5" customHeight="1" thickBot="1" x14ac:dyDescent="0.3">
      <c r="C50" s="1425"/>
      <c r="D50" s="1426"/>
      <c r="E50" s="1426"/>
      <c r="F50" s="1426"/>
      <c r="G50" s="1426"/>
      <c r="H50" s="1426"/>
      <c r="I50" s="1426"/>
      <c r="J50" s="1426"/>
      <c r="K50" s="1426"/>
      <c r="L50" s="1426"/>
      <c r="M50" s="1426"/>
      <c r="N50" s="1426"/>
      <c r="O50" s="1426"/>
      <c r="P50" s="1426"/>
      <c r="Q50" s="1902"/>
      <c r="R50" s="117"/>
      <c r="S50" s="1386"/>
      <c r="T50" s="1375"/>
      <c r="U50" s="1375"/>
      <c r="V50" s="1387"/>
      <c r="Y50" s="1464"/>
      <c r="Z50" s="1465"/>
      <c r="AA50" s="1465"/>
      <c r="AB50" s="1466"/>
      <c r="AE50" s="1408"/>
      <c r="AF50" s="1409"/>
      <c r="AG50" s="1409"/>
      <c r="AH50" s="1409"/>
      <c r="AI50" s="1409"/>
      <c r="AJ50" s="1409"/>
      <c r="AK50" s="1409"/>
      <c r="AL50" s="1409"/>
      <c r="AM50" s="1409"/>
      <c r="AN50" s="1409"/>
      <c r="AO50" s="1409"/>
      <c r="AP50" s="1409"/>
      <c r="AQ50" s="1409"/>
      <c r="AR50" s="1409"/>
      <c r="AS50" s="1883"/>
      <c r="AT50" s="117"/>
      <c r="AU50" s="1386"/>
      <c r="AV50" s="1375"/>
      <c r="AW50" s="1375"/>
      <c r="AX50" s="1387"/>
      <c r="BA50" s="1393"/>
      <c r="BB50" s="1394"/>
      <c r="BC50" s="1394"/>
      <c r="BD50" s="1394"/>
      <c r="BE50" s="1394"/>
      <c r="BF50" s="1394"/>
      <c r="BG50" s="1394"/>
      <c r="BH50" s="1394"/>
      <c r="BI50" s="1394"/>
      <c r="BJ50" s="1394"/>
      <c r="BK50" s="1394"/>
      <c r="BL50" s="1394"/>
      <c r="BM50" s="1395"/>
      <c r="BN50" s="1383"/>
      <c r="BO50" s="1384"/>
      <c r="BP50" s="1384"/>
      <c r="BQ50" s="1384"/>
      <c r="BR50" s="1384"/>
      <c r="BS50" s="1384"/>
      <c r="BT50" s="1384"/>
      <c r="BU50" s="1384"/>
      <c r="BV50" s="1384"/>
      <c r="BW50" s="1384"/>
      <c r="BX50" s="1384"/>
      <c r="BY50" s="1384"/>
      <c r="BZ50" s="1384"/>
      <c r="CA50" s="1384"/>
      <c r="CB50" s="1384"/>
      <c r="CC50" s="1384"/>
      <c r="CD50" s="1384"/>
      <c r="CE50" s="1384"/>
      <c r="CF50" s="1384"/>
      <c r="CG50" s="1384"/>
      <c r="CH50" s="1384"/>
      <c r="CI50" s="1384"/>
      <c r="CJ50" s="1384"/>
      <c r="CK50" s="1384"/>
      <c r="CL50" s="1384"/>
      <c r="CM50" s="1384"/>
      <c r="CN50" s="1385"/>
      <c r="CO50" s="1456"/>
      <c r="CP50" s="1457"/>
      <c r="CQ50" s="1458"/>
    </row>
    <row r="51" spans="3:95" ht="7.5" customHeight="1" thickBot="1" x14ac:dyDescent="0.3">
      <c r="C51" s="280"/>
      <c r="D51" s="1903" t="s">
        <v>23</v>
      </c>
      <c r="E51" s="1903"/>
      <c r="F51" s="1903"/>
      <c r="G51" s="279"/>
      <c r="H51" s="280"/>
      <c r="I51" s="1904" t="s">
        <v>80</v>
      </c>
      <c r="J51" s="1905"/>
      <c r="K51" s="1905"/>
      <c r="L51" s="279"/>
      <c r="M51" s="280"/>
      <c r="N51" s="1904" t="s">
        <v>505</v>
      </c>
      <c r="O51" s="1905"/>
      <c r="P51" s="1905"/>
      <c r="Q51" s="1906"/>
      <c r="R51" s="117"/>
      <c r="S51" s="1388"/>
      <c r="T51" s="1389"/>
      <c r="U51" s="1389"/>
      <c r="V51" s="1390"/>
      <c r="Y51" s="1467"/>
      <c r="Z51" s="1468"/>
      <c r="AA51" s="1468"/>
      <c r="AB51" s="1469"/>
      <c r="AE51" s="1884"/>
      <c r="AF51" s="1885"/>
      <c r="AG51" s="1885"/>
      <c r="AH51" s="1885"/>
      <c r="AI51" s="1885"/>
      <c r="AJ51" s="1885"/>
      <c r="AK51" s="1885"/>
      <c r="AL51" s="1885"/>
      <c r="AM51" s="1885"/>
      <c r="AN51" s="1885"/>
      <c r="AO51" s="1885"/>
      <c r="AP51" s="1885"/>
      <c r="AQ51" s="1885"/>
      <c r="AR51" s="1885"/>
      <c r="AS51" s="1886"/>
      <c r="AU51" s="1388"/>
      <c r="AV51" s="1389"/>
      <c r="AW51" s="1389"/>
      <c r="AX51" s="1390"/>
      <c r="BA51" s="1393"/>
      <c r="BB51" s="1394"/>
      <c r="BC51" s="1394"/>
      <c r="BD51" s="1394"/>
      <c r="BE51" s="1394"/>
      <c r="BF51" s="1394"/>
      <c r="BG51" s="1394"/>
      <c r="BH51" s="1394"/>
      <c r="BI51" s="1394"/>
      <c r="BJ51" s="1394"/>
      <c r="BK51" s="1394"/>
      <c r="BL51" s="1394"/>
      <c r="BM51" s="1395"/>
      <c r="BN51" s="1383"/>
      <c r="BO51" s="1384"/>
      <c r="BP51" s="1384"/>
      <c r="BQ51" s="1384"/>
      <c r="BR51" s="1384"/>
      <c r="BS51" s="1384"/>
      <c r="BT51" s="1384"/>
      <c r="BU51" s="1384"/>
      <c r="BV51" s="1384"/>
      <c r="BW51" s="1384"/>
      <c r="BX51" s="1384"/>
      <c r="BY51" s="1384"/>
      <c r="BZ51" s="1384"/>
      <c r="CA51" s="1384"/>
      <c r="CB51" s="1384"/>
      <c r="CC51" s="1384"/>
      <c r="CD51" s="1384"/>
      <c r="CE51" s="1384"/>
      <c r="CF51" s="1384"/>
      <c r="CG51" s="1384"/>
      <c r="CH51" s="1384"/>
      <c r="CI51" s="1384"/>
      <c r="CJ51" s="1384"/>
      <c r="CK51" s="1384"/>
      <c r="CL51" s="1384"/>
      <c r="CM51" s="1384"/>
      <c r="CN51" s="1385"/>
      <c r="CO51" s="1456"/>
      <c r="CP51" s="1457"/>
      <c r="CQ51" s="1458"/>
    </row>
    <row r="52" spans="3:95" ht="7.5" customHeight="1" x14ac:dyDescent="0.25">
      <c r="BA52" s="1450"/>
      <c r="BB52" s="1451"/>
      <c r="BC52" s="1451"/>
      <c r="BD52" s="1451"/>
      <c r="BE52" s="1451"/>
      <c r="BF52" s="1451"/>
      <c r="BG52" s="1451"/>
      <c r="BH52" s="1451"/>
      <c r="BI52" s="1451"/>
      <c r="BJ52" s="1451"/>
      <c r="BK52" s="1451"/>
      <c r="BL52" s="1451"/>
      <c r="BM52" s="1452"/>
      <c r="BN52" s="1380"/>
      <c r="BO52" s="1381"/>
      <c r="BP52" s="1381"/>
      <c r="BQ52" s="1381"/>
      <c r="BR52" s="1381"/>
      <c r="BS52" s="1381"/>
      <c r="BT52" s="1381"/>
      <c r="BU52" s="1381"/>
      <c r="BV52" s="1381"/>
      <c r="BW52" s="1381"/>
      <c r="BX52" s="1381"/>
      <c r="BY52" s="1381"/>
      <c r="BZ52" s="1381"/>
      <c r="CA52" s="1381"/>
      <c r="CB52" s="1381"/>
      <c r="CC52" s="1381"/>
      <c r="CD52" s="1381"/>
      <c r="CE52" s="1381"/>
      <c r="CF52" s="1381"/>
      <c r="CG52" s="1381"/>
      <c r="CH52" s="1381"/>
      <c r="CI52" s="1381"/>
      <c r="CJ52" s="1381"/>
      <c r="CK52" s="1381"/>
      <c r="CL52" s="1381"/>
      <c r="CM52" s="1381"/>
      <c r="CN52" s="1382"/>
      <c r="CO52" s="1453"/>
      <c r="CP52" s="1454"/>
      <c r="CQ52" s="1455"/>
    </row>
    <row r="53" spans="3:95" ht="7.5" customHeight="1" x14ac:dyDescent="0.25">
      <c r="W53" s="17"/>
      <c r="AB53" s="17"/>
      <c r="BA53" s="1450"/>
      <c r="BB53" s="1451"/>
      <c r="BC53" s="1451"/>
      <c r="BD53" s="1451"/>
      <c r="BE53" s="1451"/>
      <c r="BF53" s="1451"/>
      <c r="BG53" s="1451"/>
      <c r="BH53" s="1451"/>
      <c r="BI53" s="1451"/>
      <c r="BJ53" s="1451"/>
      <c r="BK53" s="1451"/>
      <c r="BL53" s="1451"/>
      <c r="BM53" s="1452"/>
      <c r="BN53" s="1380"/>
      <c r="BO53" s="1381"/>
      <c r="BP53" s="1381"/>
      <c r="BQ53" s="1381"/>
      <c r="BR53" s="1381"/>
      <c r="BS53" s="1381"/>
      <c r="BT53" s="1381"/>
      <c r="BU53" s="1381"/>
      <c r="BV53" s="1381"/>
      <c r="BW53" s="1381"/>
      <c r="BX53" s="1381"/>
      <c r="BY53" s="1381"/>
      <c r="BZ53" s="1381"/>
      <c r="CA53" s="1381"/>
      <c r="CB53" s="1381"/>
      <c r="CC53" s="1381"/>
      <c r="CD53" s="1381"/>
      <c r="CE53" s="1381"/>
      <c r="CF53" s="1381"/>
      <c r="CG53" s="1381"/>
      <c r="CH53" s="1381"/>
      <c r="CI53" s="1381"/>
      <c r="CJ53" s="1381"/>
      <c r="CK53" s="1381"/>
      <c r="CL53" s="1381"/>
      <c r="CM53" s="1381"/>
      <c r="CN53" s="1382"/>
      <c r="CO53" s="1453"/>
      <c r="CP53" s="1454"/>
      <c r="CQ53" s="1455"/>
    </row>
    <row r="54" spans="3:95" ht="7.5" customHeight="1" x14ac:dyDescent="0.25">
      <c r="C54" s="1435" t="s">
        <v>430</v>
      </c>
      <c r="D54" s="1436"/>
      <c r="E54" s="1436"/>
      <c r="F54" s="1436"/>
      <c r="G54" s="1436"/>
      <c r="H54" s="1436"/>
      <c r="I54" s="1436"/>
      <c r="J54" s="1436"/>
      <c r="K54" s="1436"/>
      <c r="L54" s="1436"/>
      <c r="M54" s="1436"/>
      <c r="N54" s="1436"/>
      <c r="O54" s="1391"/>
      <c r="P54" s="1391"/>
      <c r="Q54" s="17"/>
      <c r="R54" s="17"/>
      <c r="W54" s="17"/>
      <c r="AK54" s="1435" t="s">
        <v>431</v>
      </c>
      <c r="AL54" s="1436"/>
      <c r="AM54" s="1436"/>
      <c r="AN54" s="1436"/>
      <c r="AO54" s="1436"/>
      <c r="AP54" s="1436"/>
      <c r="AQ54" s="1436"/>
      <c r="AR54" s="1436"/>
      <c r="AS54" s="1436"/>
      <c r="AT54" s="1436"/>
      <c r="AU54" s="1436"/>
      <c r="AV54" s="1436"/>
      <c r="AW54" s="1391"/>
      <c r="AX54" s="1391"/>
      <c r="BA54" s="1393"/>
      <c r="BB54" s="1394"/>
      <c r="BC54" s="1394"/>
      <c r="BD54" s="1394"/>
      <c r="BE54" s="1394"/>
      <c r="BF54" s="1394"/>
      <c r="BG54" s="1394"/>
      <c r="BH54" s="1394"/>
      <c r="BI54" s="1394"/>
      <c r="BJ54" s="1394"/>
      <c r="BK54" s="1394"/>
      <c r="BL54" s="1394"/>
      <c r="BM54" s="1395"/>
      <c r="BN54" s="1383"/>
      <c r="BO54" s="1384"/>
      <c r="BP54" s="1384"/>
      <c r="BQ54" s="1384"/>
      <c r="BR54" s="1384"/>
      <c r="BS54" s="1384"/>
      <c r="BT54" s="1384"/>
      <c r="BU54" s="1384"/>
      <c r="BV54" s="1384"/>
      <c r="BW54" s="1384"/>
      <c r="BX54" s="1384"/>
      <c r="BY54" s="1384"/>
      <c r="BZ54" s="1384"/>
      <c r="CA54" s="1384"/>
      <c r="CB54" s="1384"/>
      <c r="CC54" s="1384"/>
      <c r="CD54" s="1384"/>
      <c r="CE54" s="1384"/>
      <c r="CF54" s="1384"/>
      <c r="CG54" s="1384"/>
      <c r="CH54" s="1384"/>
      <c r="CI54" s="1384"/>
      <c r="CJ54" s="1384"/>
      <c r="CK54" s="1384"/>
      <c r="CL54" s="1384"/>
      <c r="CM54" s="1384"/>
      <c r="CN54" s="1385"/>
      <c r="CO54" s="1456"/>
      <c r="CP54" s="1457"/>
      <c r="CQ54" s="1458"/>
    </row>
    <row r="55" spans="3:95" ht="7.5" customHeight="1" x14ac:dyDescent="0.25">
      <c r="C55" s="1437"/>
      <c r="D55" s="1438"/>
      <c r="E55" s="1438"/>
      <c r="F55" s="1438"/>
      <c r="G55" s="1438"/>
      <c r="H55" s="1438"/>
      <c r="I55" s="1438"/>
      <c r="J55" s="1438"/>
      <c r="K55" s="1438"/>
      <c r="L55" s="1438"/>
      <c r="M55" s="1438"/>
      <c r="N55" s="1438"/>
      <c r="O55" s="1392"/>
      <c r="P55" s="1392"/>
      <c r="Q55" s="17"/>
      <c r="R55" s="17"/>
      <c r="W55" s="17"/>
      <c r="AK55" s="1437"/>
      <c r="AL55" s="1438"/>
      <c r="AM55" s="1438"/>
      <c r="AN55" s="1438"/>
      <c r="AO55" s="1438"/>
      <c r="AP55" s="1438"/>
      <c r="AQ55" s="1438"/>
      <c r="AR55" s="1438"/>
      <c r="AS55" s="1438"/>
      <c r="AT55" s="1438"/>
      <c r="AU55" s="1438"/>
      <c r="AV55" s="1438"/>
      <c r="AW55" s="1392"/>
      <c r="AX55" s="1392"/>
      <c r="BA55" s="1393"/>
      <c r="BB55" s="1394"/>
      <c r="BC55" s="1394"/>
      <c r="BD55" s="1394"/>
      <c r="BE55" s="1394"/>
      <c r="BF55" s="1394"/>
      <c r="BG55" s="1394"/>
      <c r="BH55" s="1394"/>
      <c r="BI55" s="1394"/>
      <c r="BJ55" s="1394"/>
      <c r="BK55" s="1394"/>
      <c r="BL55" s="1394"/>
      <c r="BM55" s="1395"/>
      <c r="BN55" s="1383"/>
      <c r="BO55" s="1384"/>
      <c r="BP55" s="1384"/>
      <c r="BQ55" s="1384"/>
      <c r="BR55" s="1384"/>
      <c r="BS55" s="1384"/>
      <c r="BT55" s="1384"/>
      <c r="BU55" s="1384"/>
      <c r="BV55" s="1384"/>
      <c r="BW55" s="1384"/>
      <c r="BX55" s="1384"/>
      <c r="BY55" s="1384"/>
      <c r="BZ55" s="1384"/>
      <c r="CA55" s="1384"/>
      <c r="CB55" s="1384"/>
      <c r="CC55" s="1384"/>
      <c r="CD55" s="1384"/>
      <c r="CE55" s="1384"/>
      <c r="CF55" s="1384"/>
      <c r="CG55" s="1384"/>
      <c r="CH55" s="1384"/>
      <c r="CI55" s="1384"/>
      <c r="CJ55" s="1384"/>
      <c r="CK55" s="1384"/>
      <c r="CL55" s="1384"/>
      <c r="CM55" s="1384"/>
      <c r="CN55" s="1385"/>
      <c r="CO55" s="1456"/>
      <c r="CP55" s="1457"/>
      <c r="CQ55" s="1458"/>
    </row>
    <row r="56" spans="3:95" ht="7.5" customHeight="1" x14ac:dyDescent="0.25">
      <c r="C56" s="1414"/>
      <c r="D56" s="1415"/>
      <c r="E56" s="1415"/>
      <c r="F56" s="1415"/>
      <c r="G56" s="1415"/>
      <c r="H56" s="1415"/>
      <c r="I56" s="1415"/>
      <c r="J56" s="1415"/>
      <c r="K56" s="1415"/>
      <c r="L56" s="1415"/>
      <c r="M56" s="1415"/>
      <c r="N56" s="1415"/>
      <c r="O56" s="1415"/>
      <c r="P56" s="1416"/>
      <c r="Q56" s="17"/>
      <c r="R56" s="17"/>
      <c r="W56" s="17"/>
      <c r="X56" s="17"/>
      <c r="AC56" s="17"/>
      <c r="AD56" s="17"/>
      <c r="AK56" s="1414"/>
      <c r="AL56" s="1415"/>
      <c r="AM56" s="1415"/>
      <c r="AN56" s="1415"/>
      <c r="AO56" s="1415"/>
      <c r="AP56" s="1415"/>
      <c r="AQ56" s="1415"/>
      <c r="AR56" s="1415"/>
      <c r="AS56" s="1415"/>
      <c r="AT56" s="1415"/>
      <c r="AU56" s="1415"/>
      <c r="AV56" s="1415"/>
      <c r="AW56" s="1415"/>
      <c r="AX56" s="1416"/>
      <c r="BA56" s="1450"/>
      <c r="BB56" s="1451"/>
      <c r="BC56" s="1451"/>
      <c r="BD56" s="1451"/>
      <c r="BE56" s="1451"/>
      <c r="BF56" s="1451"/>
      <c r="BG56" s="1451"/>
      <c r="BH56" s="1451"/>
      <c r="BI56" s="1451"/>
      <c r="BJ56" s="1451"/>
      <c r="BK56" s="1451"/>
      <c r="BL56" s="1451"/>
      <c r="BM56" s="1452"/>
      <c r="BN56" s="1380"/>
      <c r="BO56" s="1381"/>
      <c r="BP56" s="1381"/>
      <c r="BQ56" s="1381"/>
      <c r="BR56" s="1381"/>
      <c r="BS56" s="1381"/>
      <c r="BT56" s="1381"/>
      <c r="BU56" s="1381"/>
      <c r="BV56" s="1381"/>
      <c r="BW56" s="1381"/>
      <c r="BX56" s="1381"/>
      <c r="BY56" s="1381"/>
      <c r="BZ56" s="1381"/>
      <c r="CA56" s="1381"/>
      <c r="CB56" s="1381"/>
      <c r="CC56" s="1381"/>
      <c r="CD56" s="1381"/>
      <c r="CE56" s="1381"/>
      <c r="CF56" s="1381"/>
      <c r="CG56" s="1381"/>
      <c r="CH56" s="1381"/>
      <c r="CI56" s="1381"/>
      <c r="CJ56" s="1381"/>
      <c r="CK56" s="1381"/>
      <c r="CL56" s="1381"/>
      <c r="CM56" s="1381"/>
      <c r="CN56" s="1382"/>
      <c r="CO56" s="1453"/>
      <c r="CP56" s="1454"/>
      <c r="CQ56" s="1455"/>
    </row>
    <row r="57" spans="3:95" ht="7.5" customHeight="1" x14ac:dyDescent="0.25">
      <c r="C57" s="1417"/>
      <c r="D57" s="1418"/>
      <c r="E57" s="1418"/>
      <c r="F57" s="1418"/>
      <c r="G57" s="1418"/>
      <c r="H57" s="1418"/>
      <c r="I57" s="1418"/>
      <c r="J57" s="1418"/>
      <c r="K57" s="1418"/>
      <c r="L57" s="1418"/>
      <c r="M57" s="1418"/>
      <c r="N57" s="1418"/>
      <c r="O57" s="1418"/>
      <c r="P57" s="1419"/>
      <c r="Q57" s="17"/>
      <c r="R57" s="17"/>
      <c r="AK57" s="1417"/>
      <c r="AL57" s="1418"/>
      <c r="AM57" s="1418"/>
      <c r="AN57" s="1418"/>
      <c r="AO57" s="1418"/>
      <c r="AP57" s="1418"/>
      <c r="AQ57" s="1418"/>
      <c r="AR57" s="1418"/>
      <c r="AS57" s="1418"/>
      <c r="AT57" s="1418"/>
      <c r="AU57" s="1418"/>
      <c r="AV57" s="1418"/>
      <c r="AW57" s="1418"/>
      <c r="AX57" s="1419"/>
      <c r="BA57" s="1450"/>
      <c r="BB57" s="1451"/>
      <c r="BC57" s="1451"/>
      <c r="BD57" s="1451"/>
      <c r="BE57" s="1451"/>
      <c r="BF57" s="1451"/>
      <c r="BG57" s="1451"/>
      <c r="BH57" s="1451"/>
      <c r="BI57" s="1451"/>
      <c r="BJ57" s="1451"/>
      <c r="BK57" s="1451"/>
      <c r="BL57" s="1451"/>
      <c r="BM57" s="1452"/>
      <c r="BN57" s="1380"/>
      <c r="BO57" s="1381"/>
      <c r="BP57" s="1381"/>
      <c r="BQ57" s="1381"/>
      <c r="BR57" s="1381"/>
      <c r="BS57" s="1381"/>
      <c r="BT57" s="1381"/>
      <c r="BU57" s="1381"/>
      <c r="BV57" s="1381"/>
      <c r="BW57" s="1381"/>
      <c r="BX57" s="1381"/>
      <c r="BY57" s="1381"/>
      <c r="BZ57" s="1381"/>
      <c r="CA57" s="1381"/>
      <c r="CB57" s="1381"/>
      <c r="CC57" s="1381"/>
      <c r="CD57" s="1381"/>
      <c r="CE57" s="1381"/>
      <c r="CF57" s="1381"/>
      <c r="CG57" s="1381"/>
      <c r="CH57" s="1381"/>
      <c r="CI57" s="1381"/>
      <c r="CJ57" s="1381"/>
      <c r="CK57" s="1381"/>
      <c r="CL57" s="1381"/>
      <c r="CM57" s="1381"/>
      <c r="CN57" s="1382"/>
      <c r="CO57" s="1453"/>
      <c r="CP57" s="1454"/>
      <c r="CQ57" s="1455"/>
    </row>
    <row r="58" spans="3:95" ht="7.5" customHeight="1" x14ac:dyDescent="0.25">
      <c r="C58" s="1417"/>
      <c r="D58" s="1418"/>
      <c r="E58" s="1418"/>
      <c r="F58" s="1418"/>
      <c r="G58" s="1418"/>
      <c r="H58" s="1418"/>
      <c r="I58" s="1418"/>
      <c r="J58" s="1418"/>
      <c r="K58" s="1418"/>
      <c r="L58" s="1418"/>
      <c r="M58" s="1418"/>
      <c r="N58" s="1418"/>
      <c r="O58" s="1418"/>
      <c r="P58" s="1419"/>
      <c r="Q58" s="17"/>
      <c r="R58" s="17"/>
      <c r="AK58" s="1417"/>
      <c r="AL58" s="1418"/>
      <c r="AM58" s="1418"/>
      <c r="AN58" s="1418"/>
      <c r="AO58" s="1418"/>
      <c r="AP58" s="1418"/>
      <c r="AQ58" s="1418"/>
      <c r="AR58" s="1418"/>
      <c r="AS58" s="1418"/>
      <c r="AT58" s="1418"/>
      <c r="AU58" s="1418"/>
      <c r="AV58" s="1418"/>
      <c r="AW58" s="1418"/>
      <c r="AX58" s="1419"/>
      <c r="BA58" s="1393"/>
      <c r="BB58" s="1394"/>
      <c r="BC58" s="1394"/>
      <c r="BD58" s="1394"/>
      <c r="BE58" s="1394"/>
      <c r="BF58" s="1394"/>
      <c r="BG58" s="1394"/>
      <c r="BH58" s="1394"/>
      <c r="BI58" s="1394"/>
      <c r="BJ58" s="1394"/>
      <c r="BK58" s="1394"/>
      <c r="BL58" s="1394"/>
      <c r="BM58" s="1395"/>
      <c r="BN58" s="1383"/>
      <c r="BO58" s="1384"/>
      <c r="BP58" s="1384"/>
      <c r="BQ58" s="1384"/>
      <c r="BR58" s="1384"/>
      <c r="BS58" s="1384"/>
      <c r="BT58" s="1384"/>
      <c r="BU58" s="1384"/>
      <c r="BV58" s="1384"/>
      <c r="BW58" s="1384"/>
      <c r="BX58" s="1384"/>
      <c r="BY58" s="1384"/>
      <c r="BZ58" s="1384"/>
      <c r="CA58" s="1384"/>
      <c r="CB58" s="1384"/>
      <c r="CC58" s="1384"/>
      <c r="CD58" s="1384"/>
      <c r="CE58" s="1384"/>
      <c r="CF58" s="1384"/>
      <c r="CG58" s="1384"/>
      <c r="CH58" s="1384"/>
      <c r="CI58" s="1384"/>
      <c r="CJ58" s="1384"/>
      <c r="CK58" s="1384"/>
      <c r="CL58" s="1384"/>
      <c r="CM58" s="1384"/>
      <c r="CN58" s="1385"/>
      <c r="CO58" s="1456"/>
      <c r="CP58" s="1457"/>
      <c r="CQ58" s="1458"/>
    </row>
    <row r="59" spans="3:95" ht="7.5" customHeight="1" x14ac:dyDescent="0.25">
      <c r="C59" s="1417"/>
      <c r="D59" s="1418"/>
      <c r="E59" s="1418"/>
      <c r="F59" s="1418"/>
      <c r="G59" s="1418"/>
      <c r="H59" s="1418"/>
      <c r="I59" s="1418"/>
      <c r="J59" s="1418"/>
      <c r="K59" s="1418"/>
      <c r="L59" s="1418"/>
      <c r="M59" s="1418"/>
      <c r="N59" s="1418"/>
      <c r="O59" s="1418"/>
      <c r="P59" s="1419"/>
      <c r="Q59" s="17"/>
      <c r="R59" s="17"/>
      <c r="AK59" s="1417"/>
      <c r="AL59" s="1418"/>
      <c r="AM59" s="1418"/>
      <c r="AN59" s="1418"/>
      <c r="AO59" s="1418"/>
      <c r="AP59" s="1418"/>
      <c r="AQ59" s="1418"/>
      <c r="AR59" s="1418"/>
      <c r="AS59" s="1418"/>
      <c r="AT59" s="1418"/>
      <c r="AU59" s="1418"/>
      <c r="AV59" s="1418"/>
      <c r="AW59" s="1418"/>
      <c r="AX59" s="1419"/>
      <c r="BA59" s="1393"/>
      <c r="BB59" s="1394"/>
      <c r="BC59" s="1394"/>
      <c r="BD59" s="1394"/>
      <c r="BE59" s="1394"/>
      <c r="BF59" s="1394"/>
      <c r="BG59" s="1394"/>
      <c r="BH59" s="1394"/>
      <c r="BI59" s="1394"/>
      <c r="BJ59" s="1394"/>
      <c r="BK59" s="1394"/>
      <c r="BL59" s="1394"/>
      <c r="BM59" s="1395"/>
      <c r="BN59" s="1383"/>
      <c r="BO59" s="1384"/>
      <c r="BP59" s="1384"/>
      <c r="BQ59" s="1384"/>
      <c r="BR59" s="1384"/>
      <c r="BS59" s="1384"/>
      <c r="BT59" s="1384"/>
      <c r="BU59" s="1384"/>
      <c r="BV59" s="1384"/>
      <c r="BW59" s="1384"/>
      <c r="BX59" s="1384"/>
      <c r="BY59" s="1384"/>
      <c r="BZ59" s="1384"/>
      <c r="CA59" s="1384"/>
      <c r="CB59" s="1384"/>
      <c r="CC59" s="1384"/>
      <c r="CD59" s="1384"/>
      <c r="CE59" s="1384"/>
      <c r="CF59" s="1384"/>
      <c r="CG59" s="1384"/>
      <c r="CH59" s="1384"/>
      <c r="CI59" s="1384"/>
      <c r="CJ59" s="1384"/>
      <c r="CK59" s="1384"/>
      <c r="CL59" s="1384"/>
      <c r="CM59" s="1384"/>
      <c r="CN59" s="1385"/>
      <c r="CO59" s="1456"/>
      <c r="CP59" s="1457"/>
      <c r="CQ59" s="1458"/>
    </row>
    <row r="60" spans="3:95" ht="7.5" customHeight="1" x14ac:dyDescent="0.25">
      <c r="C60" s="1417"/>
      <c r="D60" s="1418"/>
      <c r="E60" s="1418"/>
      <c r="F60" s="1418"/>
      <c r="G60" s="1418"/>
      <c r="H60" s="1418"/>
      <c r="I60" s="1418"/>
      <c r="J60" s="1418"/>
      <c r="K60" s="1418"/>
      <c r="L60" s="1418"/>
      <c r="M60" s="1418"/>
      <c r="N60" s="1418"/>
      <c r="O60" s="1418"/>
      <c r="P60" s="1419"/>
      <c r="Q60" s="17"/>
      <c r="R60" s="17"/>
      <c r="AK60" s="1417"/>
      <c r="AL60" s="1418"/>
      <c r="AM60" s="1418"/>
      <c r="AN60" s="1418"/>
      <c r="AO60" s="1418"/>
      <c r="AP60" s="1418"/>
      <c r="AQ60" s="1418"/>
      <c r="AR60" s="1418"/>
      <c r="AS60" s="1418"/>
      <c r="AT60" s="1418"/>
      <c r="AU60" s="1418"/>
      <c r="AV60" s="1418"/>
      <c r="AW60" s="1418"/>
      <c r="AX60" s="1419"/>
      <c r="BA60" s="1450"/>
      <c r="BB60" s="1451"/>
      <c r="BC60" s="1451"/>
      <c r="BD60" s="1451"/>
      <c r="BE60" s="1451"/>
      <c r="BF60" s="1451"/>
      <c r="BG60" s="1451"/>
      <c r="BH60" s="1451"/>
      <c r="BI60" s="1451"/>
      <c r="BJ60" s="1451"/>
      <c r="BK60" s="1451"/>
      <c r="BL60" s="1451"/>
      <c r="BM60" s="1452"/>
      <c r="BN60" s="1380"/>
      <c r="BO60" s="1381"/>
      <c r="BP60" s="1381"/>
      <c r="BQ60" s="1381"/>
      <c r="BR60" s="1381"/>
      <c r="BS60" s="1381"/>
      <c r="BT60" s="1381"/>
      <c r="BU60" s="1381"/>
      <c r="BV60" s="1381"/>
      <c r="BW60" s="1381"/>
      <c r="BX60" s="1381"/>
      <c r="BY60" s="1381"/>
      <c r="BZ60" s="1381"/>
      <c r="CA60" s="1381"/>
      <c r="CB60" s="1381"/>
      <c r="CC60" s="1381"/>
      <c r="CD60" s="1381"/>
      <c r="CE60" s="1381"/>
      <c r="CF60" s="1381"/>
      <c r="CG60" s="1381"/>
      <c r="CH60" s="1381"/>
      <c r="CI60" s="1381"/>
      <c r="CJ60" s="1381"/>
      <c r="CK60" s="1381"/>
      <c r="CL60" s="1381"/>
      <c r="CM60" s="1381"/>
      <c r="CN60" s="1382"/>
      <c r="CO60" s="1453"/>
      <c r="CP60" s="1454"/>
      <c r="CQ60" s="1455"/>
    </row>
    <row r="61" spans="3:95" ht="7.5" customHeight="1" x14ac:dyDescent="0.25">
      <c r="C61" s="1417"/>
      <c r="D61" s="1418"/>
      <c r="E61" s="1418"/>
      <c r="F61" s="1418"/>
      <c r="G61" s="1418"/>
      <c r="H61" s="1418"/>
      <c r="I61" s="1418"/>
      <c r="J61" s="1418"/>
      <c r="K61" s="1418"/>
      <c r="L61" s="1418"/>
      <c r="M61" s="1418"/>
      <c r="N61" s="1418"/>
      <c r="O61" s="1418"/>
      <c r="P61" s="1419"/>
      <c r="Q61" s="17"/>
      <c r="R61" s="17"/>
      <c r="S61" s="1435" t="s">
        <v>37</v>
      </c>
      <c r="T61" s="1436"/>
      <c r="U61" s="1436"/>
      <c r="V61" s="1436"/>
      <c r="W61" s="1436"/>
      <c r="X61" s="1436"/>
      <c r="Y61" s="1436"/>
      <c r="Z61" s="1436"/>
      <c r="AA61" s="1436"/>
      <c r="AB61" s="1436"/>
      <c r="AC61" s="1436"/>
      <c r="AD61" s="1436"/>
      <c r="AE61" s="1361"/>
      <c r="AF61" s="1429"/>
      <c r="AG61" s="1391" t="s">
        <v>428</v>
      </c>
      <c r="AH61" s="1391"/>
      <c r="AK61" s="1417"/>
      <c r="AL61" s="1418"/>
      <c r="AM61" s="1418"/>
      <c r="AN61" s="1418"/>
      <c r="AO61" s="1418"/>
      <c r="AP61" s="1418"/>
      <c r="AQ61" s="1418"/>
      <c r="AR61" s="1418"/>
      <c r="AS61" s="1418"/>
      <c r="AT61" s="1418"/>
      <c r="AU61" s="1418"/>
      <c r="AV61" s="1418"/>
      <c r="AW61" s="1418"/>
      <c r="AX61" s="1419"/>
      <c r="BA61" s="1450"/>
      <c r="BB61" s="1451"/>
      <c r="BC61" s="1451"/>
      <c r="BD61" s="1451"/>
      <c r="BE61" s="1451"/>
      <c r="BF61" s="1451"/>
      <c r="BG61" s="1451"/>
      <c r="BH61" s="1451"/>
      <c r="BI61" s="1451"/>
      <c r="BJ61" s="1451"/>
      <c r="BK61" s="1451"/>
      <c r="BL61" s="1451"/>
      <c r="BM61" s="1452"/>
      <c r="BN61" s="1380"/>
      <c r="BO61" s="1381"/>
      <c r="BP61" s="1381"/>
      <c r="BQ61" s="1381"/>
      <c r="BR61" s="1381"/>
      <c r="BS61" s="1381"/>
      <c r="BT61" s="1381"/>
      <c r="BU61" s="1381"/>
      <c r="BV61" s="1381"/>
      <c r="BW61" s="1381"/>
      <c r="BX61" s="1381"/>
      <c r="BY61" s="1381"/>
      <c r="BZ61" s="1381"/>
      <c r="CA61" s="1381"/>
      <c r="CB61" s="1381"/>
      <c r="CC61" s="1381"/>
      <c r="CD61" s="1381"/>
      <c r="CE61" s="1381"/>
      <c r="CF61" s="1381"/>
      <c r="CG61" s="1381"/>
      <c r="CH61" s="1381"/>
      <c r="CI61" s="1381"/>
      <c r="CJ61" s="1381"/>
      <c r="CK61" s="1381"/>
      <c r="CL61" s="1381"/>
      <c r="CM61" s="1381"/>
      <c r="CN61" s="1382"/>
      <c r="CO61" s="1453"/>
      <c r="CP61" s="1454"/>
      <c r="CQ61" s="1455"/>
    </row>
    <row r="62" spans="3:95" ht="7.5" customHeight="1" x14ac:dyDescent="0.25">
      <c r="C62" s="1417"/>
      <c r="D62" s="1418"/>
      <c r="E62" s="1418"/>
      <c r="F62" s="1418"/>
      <c r="G62" s="1418"/>
      <c r="H62" s="1418"/>
      <c r="I62" s="1418"/>
      <c r="J62" s="1418"/>
      <c r="K62" s="1418"/>
      <c r="L62" s="1418"/>
      <c r="M62" s="1418"/>
      <c r="N62" s="1418"/>
      <c r="O62" s="1418"/>
      <c r="P62" s="1419"/>
      <c r="Q62" s="17"/>
      <c r="R62" s="17"/>
      <c r="S62" s="1437"/>
      <c r="T62" s="1438"/>
      <c r="U62" s="1438"/>
      <c r="V62" s="1438"/>
      <c r="W62" s="1438"/>
      <c r="X62" s="1438"/>
      <c r="Y62" s="1438"/>
      <c r="Z62" s="1438"/>
      <c r="AA62" s="1438"/>
      <c r="AB62" s="1438"/>
      <c r="AC62" s="1438"/>
      <c r="AD62" s="1438"/>
      <c r="AE62" s="1363"/>
      <c r="AF62" s="1430"/>
      <c r="AG62" s="1392"/>
      <c r="AH62" s="1392"/>
      <c r="AK62" s="1417"/>
      <c r="AL62" s="1418"/>
      <c r="AM62" s="1418"/>
      <c r="AN62" s="1418"/>
      <c r="AO62" s="1418"/>
      <c r="AP62" s="1418"/>
      <c r="AQ62" s="1418"/>
      <c r="AR62" s="1418"/>
      <c r="AS62" s="1418"/>
      <c r="AT62" s="1418"/>
      <c r="AU62" s="1418"/>
      <c r="AV62" s="1418"/>
      <c r="AW62" s="1418"/>
      <c r="AX62" s="1419"/>
      <c r="BA62" s="1393"/>
      <c r="BB62" s="1394"/>
      <c r="BC62" s="1394"/>
      <c r="BD62" s="1394"/>
      <c r="BE62" s="1394"/>
      <c r="BF62" s="1394"/>
      <c r="BG62" s="1394"/>
      <c r="BH62" s="1394"/>
      <c r="BI62" s="1394"/>
      <c r="BJ62" s="1394"/>
      <c r="BK62" s="1394"/>
      <c r="BL62" s="1394"/>
      <c r="BM62" s="1395"/>
      <c r="BN62" s="1383"/>
      <c r="BO62" s="1384"/>
      <c r="BP62" s="1384"/>
      <c r="BQ62" s="1384"/>
      <c r="BR62" s="1384"/>
      <c r="BS62" s="1384"/>
      <c r="BT62" s="1384"/>
      <c r="BU62" s="1384"/>
      <c r="BV62" s="1384"/>
      <c r="BW62" s="1384"/>
      <c r="BX62" s="1384"/>
      <c r="BY62" s="1384"/>
      <c r="BZ62" s="1384"/>
      <c r="CA62" s="1384"/>
      <c r="CB62" s="1384"/>
      <c r="CC62" s="1384"/>
      <c r="CD62" s="1384"/>
      <c r="CE62" s="1384"/>
      <c r="CF62" s="1384"/>
      <c r="CG62" s="1384"/>
      <c r="CH62" s="1384"/>
      <c r="CI62" s="1384"/>
      <c r="CJ62" s="1384"/>
      <c r="CK62" s="1384"/>
      <c r="CL62" s="1384"/>
      <c r="CM62" s="1384"/>
      <c r="CN62" s="1385"/>
      <c r="CO62" s="1456"/>
      <c r="CP62" s="1457"/>
      <c r="CQ62" s="1458"/>
    </row>
    <row r="63" spans="3:95" ht="7.5" customHeight="1" x14ac:dyDescent="0.25">
      <c r="C63" s="1417"/>
      <c r="D63" s="1418"/>
      <c r="E63" s="1418"/>
      <c r="F63" s="1418"/>
      <c r="G63" s="1418"/>
      <c r="H63" s="1418"/>
      <c r="I63" s="1418"/>
      <c r="J63" s="1418"/>
      <c r="K63" s="1418"/>
      <c r="L63" s="1418"/>
      <c r="M63" s="1418"/>
      <c r="N63" s="1418"/>
      <c r="O63" s="1418"/>
      <c r="P63" s="1419"/>
      <c r="S63" s="1414"/>
      <c r="T63" s="1415"/>
      <c r="U63" s="1415"/>
      <c r="V63" s="1415"/>
      <c r="W63" s="1415"/>
      <c r="X63" s="1415"/>
      <c r="Y63" s="1415"/>
      <c r="Z63" s="1415"/>
      <c r="AA63" s="1415"/>
      <c r="AB63" s="1415"/>
      <c r="AC63" s="1415"/>
      <c r="AD63" s="1415"/>
      <c r="AE63" s="1415"/>
      <c r="AF63" s="1415"/>
      <c r="AG63" s="1415"/>
      <c r="AH63" s="1416"/>
      <c r="AK63" s="1417"/>
      <c r="AL63" s="1418"/>
      <c r="AM63" s="1418"/>
      <c r="AN63" s="1418"/>
      <c r="AO63" s="1418"/>
      <c r="AP63" s="1418"/>
      <c r="AQ63" s="1418"/>
      <c r="AR63" s="1418"/>
      <c r="AS63" s="1418"/>
      <c r="AT63" s="1418"/>
      <c r="AU63" s="1418"/>
      <c r="AV63" s="1418"/>
      <c r="AW63" s="1418"/>
      <c r="AX63" s="1419"/>
      <c r="BA63" s="1393"/>
      <c r="BB63" s="1394"/>
      <c r="BC63" s="1394"/>
      <c r="BD63" s="1394"/>
      <c r="BE63" s="1394"/>
      <c r="BF63" s="1394"/>
      <c r="BG63" s="1394"/>
      <c r="BH63" s="1394"/>
      <c r="BI63" s="1394"/>
      <c r="BJ63" s="1394"/>
      <c r="BK63" s="1394"/>
      <c r="BL63" s="1394"/>
      <c r="BM63" s="1395"/>
      <c r="BN63" s="1383"/>
      <c r="BO63" s="1384"/>
      <c r="BP63" s="1384"/>
      <c r="BQ63" s="1384"/>
      <c r="BR63" s="1384"/>
      <c r="BS63" s="1384"/>
      <c r="BT63" s="1384"/>
      <c r="BU63" s="1384"/>
      <c r="BV63" s="1384"/>
      <c r="BW63" s="1384"/>
      <c r="BX63" s="1384"/>
      <c r="BY63" s="1384"/>
      <c r="BZ63" s="1384"/>
      <c r="CA63" s="1384"/>
      <c r="CB63" s="1384"/>
      <c r="CC63" s="1384"/>
      <c r="CD63" s="1384"/>
      <c r="CE63" s="1384"/>
      <c r="CF63" s="1384"/>
      <c r="CG63" s="1384"/>
      <c r="CH63" s="1384"/>
      <c r="CI63" s="1384"/>
      <c r="CJ63" s="1384"/>
      <c r="CK63" s="1384"/>
      <c r="CL63" s="1384"/>
      <c r="CM63" s="1384"/>
      <c r="CN63" s="1385"/>
      <c r="CO63" s="1456"/>
      <c r="CP63" s="1457"/>
      <c r="CQ63" s="1458"/>
    </row>
    <row r="64" spans="3:95" ht="7.5" customHeight="1" x14ac:dyDescent="0.25">
      <c r="C64" s="1417"/>
      <c r="D64" s="1418"/>
      <c r="E64" s="1418"/>
      <c r="F64" s="1418"/>
      <c r="G64" s="1418"/>
      <c r="H64" s="1418"/>
      <c r="I64" s="1418"/>
      <c r="J64" s="1418"/>
      <c r="K64" s="1418"/>
      <c r="L64" s="1418"/>
      <c r="M64" s="1418"/>
      <c r="N64" s="1418"/>
      <c r="O64" s="1418"/>
      <c r="P64" s="1419"/>
      <c r="S64" s="1417"/>
      <c r="T64" s="1418"/>
      <c r="U64" s="1418"/>
      <c r="V64" s="1418"/>
      <c r="W64" s="1418"/>
      <c r="X64" s="1418"/>
      <c r="Y64" s="1418"/>
      <c r="Z64" s="1418"/>
      <c r="AA64" s="1418"/>
      <c r="AB64" s="1418"/>
      <c r="AC64" s="1418"/>
      <c r="AD64" s="1418"/>
      <c r="AE64" s="1418"/>
      <c r="AF64" s="1418"/>
      <c r="AG64" s="1418"/>
      <c r="AH64" s="1419"/>
      <c r="AK64" s="1417"/>
      <c r="AL64" s="1418"/>
      <c r="AM64" s="1418"/>
      <c r="AN64" s="1418"/>
      <c r="AO64" s="1418"/>
      <c r="AP64" s="1418"/>
      <c r="AQ64" s="1418"/>
      <c r="AR64" s="1418"/>
      <c r="AS64" s="1418"/>
      <c r="AT64" s="1418"/>
      <c r="AU64" s="1418"/>
      <c r="AV64" s="1418"/>
      <c r="AW64" s="1418"/>
      <c r="AX64" s="1419"/>
      <c r="BA64" s="1450"/>
      <c r="BB64" s="1451"/>
      <c r="BC64" s="1451"/>
      <c r="BD64" s="1451"/>
      <c r="BE64" s="1451"/>
      <c r="BF64" s="1451"/>
      <c r="BG64" s="1451"/>
      <c r="BH64" s="1451"/>
      <c r="BI64" s="1451"/>
      <c r="BJ64" s="1451"/>
      <c r="BK64" s="1451"/>
      <c r="BL64" s="1451"/>
      <c r="BM64" s="1452"/>
      <c r="BN64" s="1380"/>
      <c r="BO64" s="1381"/>
      <c r="BP64" s="1381"/>
      <c r="BQ64" s="1381"/>
      <c r="BR64" s="1381"/>
      <c r="BS64" s="1381"/>
      <c r="BT64" s="1381"/>
      <c r="BU64" s="1381"/>
      <c r="BV64" s="1381"/>
      <c r="BW64" s="1381"/>
      <c r="BX64" s="1381"/>
      <c r="BY64" s="1381"/>
      <c r="BZ64" s="1381"/>
      <c r="CA64" s="1381"/>
      <c r="CB64" s="1381"/>
      <c r="CC64" s="1381"/>
      <c r="CD64" s="1381"/>
      <c r="CE64" s="1381"/>
      <c r="CF64" s="1381"/>
      <c r="CG64" s="1381"/>
      <c r="CH64" s="1381"/>
      <c r="CI64" s="1381"/>
      <c r="CJ64" s="1381"/>
      <c r="CK64" s="1381"/>
      <c r="CL64" s="1381"/>
      <c r="CM64" s="1381"/>
      <c r="CN64" s="1382"/>
      <c r="CO64" s="1453"/>
      <c r="CP64" s="1454"/>
      <c r="CQ64" s="1455"/>
    </row>
    <row r="65" spans="1:95" ht="7.5" customHeight="1" x14ac:dyDescent="0.25">
      <c r="C65" s="1420"/>
      <c r="D65" s="1421"/>
      <c r="E65" s="1421"/>
      <c r="F65" s="1421"/>
      <c r="G65" s="1421"/>
      <c r="H65" s="1421"/>
      <c r="I65" s="1421"/>
      <c r="J65" s="1421"/>
      <c r="K65" s="1421"/>
      <c r="L65" s="1421"/>
      <c r="M65" s="1421"/>
      <c r="N65" s="1421"/>
      <c r="O65" s="1421"/>
      <c r="P65" s="1422"/>
      <c r="S65" s="1417"/>
      <c r="T65" s="1418"/>
      <c r="U65" s="1418"/>
      <c r="V65" s="1418"/>
      <c r="W65" s="1418"/>
      <c r="X65" s="1418"/>
      <c r="Y65" s="1418"/>
      <c r="Z65" s="1418"/>
      <c r="AA65" s="1418"/>
      <c r="AB65" s="1418"/>
      <c r="AC65" s="1418"/>
      <c r="AD65" s="1418"/>
      <c r="AE65" s="1418"/>
      <c r="AF65" s="1418"/>
      <c r="AG65" s="1418"/>
      <c r="AH65" s="1419"/>
      <c r="AK65" s="1420"/>
      <c r="AL65" s="1421"/>
      <c r="AM65" s="1421"/>
      <c r="AN65" s="1421"/>
      <c r="AO65" s="1421"/>
      <c r="AP65" s="1421"/>
      <c r="AQ65" s="1421"/>
      <c r="AR65" s="1421"/>
      <c r="AS65" s="1421"/>
      <c r="AT65" s="1421"/>
      <c r="AU65" s="1421"/>
      <c r="AV65" s="1421"/>
      <c r="AW65" s="1421"/>
      <c r="AX65" s="1422"/>
      <c r="BA65" s="1450"/>
      <c r="BB65" s="1451"/>
      <c r="BC65" s="1451"/>
      <c r="BD65" s="1451"/>
      <c r="BE65" s="1451"/>
      <c r="BF65" s="1451"/>
      <c r="BG65" s="1451"/>
      <c r="BH65" s="1451"/>
      <c r="BI65" s="1451"/>
      <c r="BJ65" s="1451"/>
      <c r="BK65" s="1451"/>
      <c r="BL65" s="1451"/>
      <c r="BM65" s="1452"/>
      <c r="BN65" s="1380"/>
      <c r="BO65" s="1381"/>
      <c r="BP65" s="1381"/>
      <c r="BQ65" s="1381"/>
      <c r="BR65" s="1381"/>
      <c r="BS65" s="1381"/>
      <c r="BT65" s="1381"/>
      <c r="BU65" s="1381"/>
      <c r="BV65" s="1381"/>
      <c r="BW65" s="1381"/>
      <c r="BX65" s="1381"/>
      <c r="BY65" s="1381"/>
      <c r="BZ65" s="1381"/>
      <c r="CA65" s="1381"/>
      <c r="CB65" s="1381"/>
      <c r="CC65" s="1381"/>
      <c r="CD65" s="1381"/>
      <c r="CE65" s="1381"/>
      <c r="CF65" s="1381"/>
      <c r="CG65" s="1381"/>
      <c r="CH65" s="1381"/>
      <c r="CI65" s="1381"/>
      <c r="CJ65" s="1381"/>
      <c r="CK65" s="1381"/>
      <c r="CL65" s="1381"/>
      <c r="CM65" s="1381"/>
      <c r="CN65" s="1382"/>
      <c r="CO65" s="1453"/>
      <c r="CP65" s="1454"/>
      <c r="CQ65" s="1455"/>
    </row>
    <row r="66" spans="1:95" ht="7.5" customHeight="1" x14ac:dyDescent="0.25">
      <c r="S66" s="1417"/>
      <c r="T66" s="1418"/>
      <c r="U66" s="1418"/>
      <c r="V66" s="1418"/>
      <c r="W66" s="1418"/>
      <c r="X66" s="1418"/>
      <c r="Y66" s="1418"/>
      <c r="Z66" s="1418"/>
      <c r="AA66" s="1418"/>
      <c r="AB66" s="1418"/>
      <c r="AC66" s="1418"/>
      <c r="AD66" s="1418"/>
      <c r="AE66" s="1418"/>
      <c r="AF66" s="1418"/>
      <c r="AG66" s="1418"/>
      <c r="AH66" s="1419"/>
      <c r="BA66" s="1393"/>
      <c r="BB66" s="1394"/>
      <c r="BC66" s="1394"/>
      <c r="BD66" s="1394"/>
      <c r="BE66" s="1394"/>
      <c r="BF66" s="1394"/>
      <c r="BG66" s="1394"/>
      <c r="BH66" s="1394"/>
      <c r="BI66" s="1394"/>
      <c r="BJ66" s="1394"/>
      <c r="BK66" s="1394"/>
      <c r="BL66" s="1394"/>
      <c r="BM66" s="1395"/>
      <c r="BN66" s="1383"/>
      <c r="BO66" s="1384"/>
      <c r="BP66" s="1384"/>
      <c r="BQ66" s="1384"/>
      <c r="BR66" s="1384"/>
      <c r="BS66" s="1384"/>
      <c r="BT66" s="1384"/>
      <c r="BU66" s="1384"/>
      <c r="BV66" s="1384"/>
      <c r="BW66" s="1384"/>
      <c r="BX66" s="1384"/>
      <c r="BY66" s="1384"/>
      <c r="BZ66" s="1384"/>
      <c r="CA66" s="1384"/>
      <c r="CB66" s="1384"/>
      <c r="CC66" s="1384"/>
      <c r="CD66" s="1384"/>
      <c r="CE66" s="1384"/>
      <c r="CF66" s="1384"/>
      <c r="CG66" s="1384"/>
      <c r="CH66" s="1384"/>
      <c r="CI66" s="1384"/>
      <c r="CJ66" s="1384"/>
      <c r="CK66" s="1384"/>
      <c r="CL66" s="1384"/>
      <c r="CM66" s="1384"/>
      <c r="CN66" s="1385"/>
      <c r="CO66" s="1456"/>
      <c r="CP66" s="1457"/>
      <c r="CQ66" s="1458"/>
    </row>
    <row r="67" spans="1:95" ht="7.5" customHeight="1" x14ac:dyDescent="0.25">
      <c r="S67" s="1417"/>
      <c r="T67" s="1418"/>
      <c r="U67" s="1418"/>
      <c r="V67" s="1418"/>
      <c r="W67" s="1418"/>
      <c r="X67" s="1418"/>
      <c r="Y67" s="1418"/>
      <c r="Z67" s="1418"/>
      <c r="AA67" s="1418"/>
      <c r="AB67" s="1418"/>
      <c r="AC67" s="1418"/>
      <c r="AD67" s="1418"/>
      <c r="AE67" s="1418"/>
      <c r="AF67" s="1418"/>
      <c r="AG67" s="1418"/>
      <c r="AH67" s="1419"/>
      <c r="BA67" s="1393"/>
      <c r="BB67" s="1394"/>
      <c r="BC67" s="1394"/>
      <c r="BD67" s="1394"/>
      <c r="BE67" s="1394"/>
      <c r="BF67" s="1394"/>
      <c r="BG67" s="1394"/>
      <c r="BH67" s="1394"/>
      <c r="BI67" s="1394"/>
      <c r="BJ67" s="1394"/>
      <c r="BK67" s="1394"/>
      <c r="BL67" s="1394"/>
      <c r="BM67" s="1395"/>
      <c r="BN67" s="1383"/>
      <c r="BO67" s="1384"/>
      <c r="BP67" s="1384"/>
      <c r="BQ67" s="1384"/>
      <c r="BR67" s="1384"/>
      <c r="BS67" s="1384"/>
      <c r="BT67" s="1384"/>
      <c r="BU67" s="1384"/>
      <c r="BV67" s="1384"/>
      <c r="BW67" s="1384"/>
      <c r="BX67" s="1384"/>
      <c r="BY67" s="1384"/>
      <c r="BZ67" s="1384"/>
      <c r="CA67" s="1384"/>
      <c r="CB67" s="1384"/>
      <c r="CC67" s="1384"/>
      <c r="CD67" s="1384"/>
      <c r="CE67" s="1384"/>
      <c r="CF67" s="1384"/>
      <c r="CG67" s="1384"/>
      <c r="CH67" s="1384"/>
      <c r="CI67" s="1384"/>
      <c r="CJ67" s="1384"/>
      <c r="CK67" s="1384"/>
      <c r="CL67" s="1384"/>
      <c r="CM67" s="1384"/>
      <c r="CN67" s="1385"/>
      <c r="CO67" s="1456"/>
      <c r="CP67" s="1457"/>
      <c r="CQ67" s="1458"/>
    </row>
    <row r="68" spans="1:95" ht="7.5" customHeight="1" x14ac:dyDescent="0.25">
      <c r="C68" s="1435" t="s">
        <v>97</v>
      </c>
      <c r="D68" s="1436"/>
      <c r="E68" s="1436"/>
      <c r="F68" s="1436"/>
      <c r="G68" s="1436"/>
      <c r="H68" s="1436"/>
      <c r="I68" s="1436"/>
      <c r="J68" s="1436"/>
      <c r="K68" s="1436"/>
      <c r="L68" s="1436"/>
      <c r="M68" s="1436"/>
      <c r="N68" s="1436"/>
      <c r="O68" s="1391"/>
      <c r="P68" s="1391"/>
      <c r="S68" s="1417"/>
      <c r="T68" s="1418"/>
      <c r="U68" s="1418"/>
      <c r="V68" s="1418"/>
      <c r="W68" s="1418"/>
      <c r="X68" s="1418"/>
      <c r="Y68" s="1418"/>
      <c r="Z68" s="1418"/>
      <c r="AA68" s="1418"/>
      <c r="AB68" s="1418"/>
      <c r="AC68" s="1418"/>
      <c r="AD68" s="1418"/>
      <c r="AE68" s="1418"/>
      <c r="AF68" s="1418"/>
      <c r="AG68" s="1418"/>
      <c r="AH68" s="1419"/>
      <c r="AK68" s="1459" t="s">
        <v>98</v>
      </c>
      <c r="AL68" s="1460"/>
      <c r="AM68" s="1460"/>
      <c r="AN68" s="1460"/>
      <c r="AO68" s="1460"/>
      <c r="AP68" s="1460"/>
      <c r="AQ68" s="1460"/>
      <c r="AR68" s="1460"/>
      <c r="AS68" s="1460"/>
      <c r="AT68" s="1460"/>
      <c r="AU68" s="1460"/>
      <c r="AV68" s="1460"/>
      <c r="AW68" s="1391"/>
      <c r="AX68" s="1391"/>
      <c r="BA68" s="1450"/>
      <c r="BB68" s="1451"/>
      <c r="BC68" s="1451"/>
      <c r="BD68" s="1451"/>
      <c r="BE68" s="1451"/>
      <c r="BF68" s="1451"/>
      <c r="BG68" s="1451"/>
      <c r="BH68" s="1451"/>
      <c r="BI68" s="1451"/>
      <c r="BJ68" s="1451"/>
      <c r="BK68" s="1451"/>
      <c r="BL68" s="1451"/>
      <c r="BM68" s="1452"/>
      <c r="BN68" s="1380"/>
      <c r="BO68" s="1381"/>
      <c r="BP68" s="1381"/>
      <c r="BQ68" s="1381"/>
      <c r="BR68" s="1381"/>
      <c r="BS68" s="1381"/>
      <c r="BT68" s="1381"/>
      <c r="BU68" s="1381"/>
      <c r="BV68" s="1381"/>
      <c r="BW68" s="1381"/>
      <c r="BX68" s="1381"/>
      <c r="BY68" s="1381"/>
      <c r="BZ68" s="1381"/>
      <c r="CA68" s="1381"/>
      <c r="CB68" s="1381"/>
      <c r="CC68" s="1381"/>
      <c r="CD68" s="1381"/>
      <c r="CE68" s="1381"/>
      <c r="CF68" s="1381"/>
      <c r="CG68" s="1381"/>
      <c r="CH68" s="1381"/>
      <c r="CI68" s="1381"/>
      <c r="CJ68" s="1381"/>
      <c r="CK68" s="1381"/>
      <c r="CL68" s="1381"/>
      <c r="CM68" s="1381"/>
      <c r="CN68" s="1382"/>
      <c r="CO68" s="1453"/>
      <c r="CP68" s="1454"/>
      <c r="CQ68" s="1455"/>
    </row>
    <row r="69" spans="1:95" ht="7.5" customHeight="1" x14ac:dyDescent="0.25">
      <c r="C69" s="1437"/>
      <c r="D69" s="1438"/>
      <c r="E69" s="1438"/>
      <c r="F69" s="1438"/>
      <c r="G69" s="1438"/>
      <c r="H69" s="1438"/>
      <c r="I69" s="1438"/>
      <c r="J69" s="1438"/>
      <c r="K69" s="1438"/>
      <c r="L69" s="1438"/>
      <c r="M69" s="1438"/>
      <c r="N69" s="1438"/>
      <c r="O69" s="1392"/>
      <c r="P69" s="1392"/>
      <c r="S69" s="1420"/>
      <c r="T69" s="1421"/>
      <c r="U69" s="1421"/>
      <c r="V69" s="1421"/>
      <c r="W69" s="1421"/>
      <c r="X69" s="1421"/>
      <c r="Y69" s="1421"/>
      <c r="Z69" s="1421"/>
      <c r="AA69" s="1421"/>
      <c r="AB69" s="1421"/>
      <c r="AC69" s="1421"/>
      <c r="AD69" s="1421"/>
      <c r="AE69" s="1421"/>
      <c r="AF69" s="1421"/>
      <c r="AG69" s="1421"/>
      <c r="AH69" s="1422"/>
      <c r="AK69" s="1437"/>
      <c r="AL69" s="1438"/>
      <c r="AM69" s="1438"/>
      <c r="AN69" s="1438"/>
      <c r="AO69" s="1438"/>
      <c r="AP69" s="1438"/>
      <c r="AQ69" s="1438"/>
      <c r="AR69" s="1438"/>
      <c r="AS69" s="1438"/>
      <c r="AT69" s="1438"/>
      <c r="AU69" s="1438"/>
      <c r="AV69" s="1438"/>
      <c r="AW69" s="1392"/>
      <c r="AX69" s="1392"/>
      <c r="BA69" s="1450"/>
      <c r="BB69" s="1451"/>
      <c r="BC69" s="1451"/>
      <c r="BD69" s="1451"/>
      <c r="BE69" s="1451"/>
      <c r="BF69" s="1451"/>
      <c r="BG69" s="1451"/>
      <c r="BH69" s="1451"/>
      <c r="BI69" s="1451"/>
      <c r="BJ69" s="1451"/>
      <c r="BK69" s="1451"/>
      <c r="BL69" s="1451"/>
      <c r="BM69" s="1452"/>
      <c r="BN69" s="1380"/>
      <c r="BO69" s="1381"/>
      <c r="BP69" s="1381"/>
      <c r="BQ69" s="1381"/>
      <c r="BR69" s="1381"/>
      <c r="BS69" s="1381"/>
      <c r="BT69" s="1381"/>
      <c r="BU69" s="1381"/>
      <c r="BV69" s="1381"/>
      <c r="BW69" s="1381"/>
      <c r="BX69" s="1381"/>
      <c r="BY69" s="1381"/>
      <c r="BZ69" s="1381"/>
      <c r="CA69" s="1381"/>
      <c r="CB69" s="1381"/>
      <c r="CC69" s="1381"/>
      <c r="CD69" s="1381"/>
      <c r="CE69" s="1381"/>
      <c r="CF69" s="1381"/>
      <c r="CG69" s="1381"/>
      <c r="CH69" s="1381"/>
      <c r="CI69" s="1381"/>
      <c r="CJ69" s="1381"/>
      <c r="CK69" s="1381"/>
      <c r="CL69" s="1381"/>
      <c r="CM69" s="1381"/>
      <c r="CN69" s="1382"/>
      <c r="CO69" s="1453"/>
      <c r="CP69" s="1454"/>
      <c r="CQ69" s="1455"/>
    </row>
    <row r="70" spans="1:95" ht="7.5" customHeight="1" x14ac:dyDescent="0.25">
      <c r="A70" s="231"/>
      <c r="C70" s="1439"/>
      <c r="D70" s="1440"/>
      <c r="E70" s="1440"/>
      <c r="F70" s="1440"/>
      <c r="G70" s="1440"/>
      <c r="H70" s="1440"/>
      <c r="I70" s="1440"/>
      <c r="J70" s="1440"/>
      <c r="K70" s="1440"/>
      <c r="L70" s="1440"/>
      <c r="M70" s="1440"/>
      <c r="N70" s="1440"/>
      <c r="O70" s="1440"/>
      <c r="P70" s="1441"/>
      <c r="AK70" s="1414"/>
      <c r="AL70" s="1415"/>
      <c r="AM70" s="1415"/>
      <c r="AN70" s="1415"/>
      <c r="AO70" s="1415"/>
      <c r="AP70" s="1415"/>
      <c r="AQ70" s="1415"/>
      <c r="AR70" s="1415"/>
      <c r="AS70" s="1415"/>
      <c r="AT70" s="1415"/>
      <c r="AU70" s="1415"/>
      <c r="AV70" s="1415"/>
      <c r="AW70" s="1415"/>
      <c r="AX70" s="1416"/>
      <c r="BA70" s="1393"/>
      <c r="BB70" s="1394"/>
      <c r="BC70" s="1394"/>
      <c r="BD70" s="1394"/>
      <c r="BE70" s="1394"/>
      <c r="BF70" s="1394"/>
      <c r="BG70" s="1394"/>
      <c r="BH70" s="1394"/>
      <c r="BI70" s="1394"/>
      <c r="BJ70" s="1394"/>
      <c r="BK70" s="1394"/>
      <c r="BL70" s="1394"/>
      <c r="BM70" s="1395"/>
      <c r="BN70" s="1383"/>
      <c r="BO70" s="1384"/>
      <c r="BP70" s="1384"/>
      <c r="BQ70" s="1384"/>
      <c r="BR70" s="1384"/>
      <c r="BS70" s="1384"/>
      <c r="BT70" s="1384"/>
      <c r="BU70" s="1384"/>
      <c r="BV70" s="1384"/>
      <c r="BW70" s="1384"/>
      <c r="BX70" s="1384"/>
      <c r="BY70" s="1384"/>
      <c r="BZ70" s="1384"/>
      <c r="CA70" s="1384"/>
      <c r="CB70" s="1384"/>
      <c r="CC70" s="1384"/>
      <c r="CD70" s="1384"/>
      <c r="CE70" s="1384"/>
      <c r="CF70" s="1384"/>
      <c r="CG70" s="1384"/>
      <c r="CH70" s="1384"/>
      <c r="CI70" s="1384"/>
      <c r="CJ70" s="1384"/>
      <c r="CK70" s="1384"/>
      <c r="CL70" s="1384"/>
      <c r="CM70" s="1384"/>
      <c r="CN70" s="1385"/>
      <c r="CO70" s="1456"/>
      <c r="CP70" s="1457"/>
      <c r="CQ70" s="1458"/>
    </row>
    <row r="71" spans="1:95" ht="7.5" customHeight="1" x14ac:dyDescent="0.25">
      <c r="C71" s="1442"/>
      <c r="D71" s="892"/>
      <c r="E71" s="892"/>
      <c r="F71" s="892"/>
      <c r="G71" s="892"/>
      <c r="H71" s="892"/>
      <c r="I71" s="892"/>
      <c r="J71" s="892"/>
      <c r="K71" s="892"/>
      <c r="L71" s="892"/>
      <c r="M71" s="892"/>
      <c r="N71" s="892"/>
      <c r="O71" s="892"/>
      <c r="P71" s="1443"/>
      <c r="S71" s="1435" t="s">
        <v>38</v>
      </c>
      <c r="T71" s="1436"/>
      <c r="U71" s="1436"/>
      <c r="V71" s="1436"/>
      <c r="W71" s="1436"/>
      <c r="X71" s="1436"/>
      <c r="Y71" s="1436"/>
      <c r="Z71" s="1436"/>
      <c r="AA71" s="1436"/>
      <c r="AB71" s="1436"/>
      <c r="AC71" s="1436"/>
      <c r="AD71" s="1436"/>
      <c r="AE71" s="1361"/>
      <c r="AF71" s="1429"/>
      <c r="AG71" s="1391" t="s">
        <v>428</v>
      </c>
      <c r="AH71" s="1391"/>
      <c r="AK71" s="1417"/>
      <c r="AL71" s="1418"/>
      <c r="AM71" s="1418"/>
      <c r="AN71" s="1418"/>
      <c r="AO71" s="1418"/>
      <c r="AP71" s="1418"/>
      <c r="AQ71" s="1418"/>
      <c r="AR71" s="1418"/>
      <c r="AS71" s="1418"/>
      <c r="AT71" s="1418"/>
      <c r="AU71" s="1418"/>
      <c r="AV71" s="1418"/>
      <c r="AW71" s="1418"/>
      <c r="AX71" s="1419"/>
      <c r="BA71" s="1393"/>
      <c r="BB71" s="1394"/>
      <c r="BC71" s="1394"/>
      <c r="BD71" s="1394"/>
      <c r="BE71" s="1394"/>
      <c r="BF71" s="1394"/>
      <c r="BG71" s="1394"/>
      <c r="BH71" s="1394"/>
      <c r="BI71" s="1394"/>
      <c r="BJ71" s="1394"/>
      <c r="BK71" s="1394"/>
      <c r="BL71" s="1394"/>
      <c r="BM71" s="1395"/>
      <c r="BN71" s="1383"/>
      <c r="BO71" s="1384"/>
      <c r="BP71" s="1384"/>
      <c r="BQ71" s="1384"/>
      <c r="BR71" s="1384"/>
      <c r="BS71" s="1384"/>
      <c r="BT71" s="1384"/>
      <c r="BU71" s="1384"/>
      <c r="BV71" s="1384"/>
      <c r="BW71" s="1384"/>
      <c r="BX71" s="1384"/>
      <c r="BY71" s="1384"/>
      <c r="BZ71" s="1384"/>
      <c r="CA71" s="1384"/>
      <c r="CB71" s="1384"/>
      <c r="CC71" s="1384"/>
      <c r="CD71" s="1384"/>
      <c r="CE71" s="1384"/>
      <c r="CF71" s="1384"/>
      <c r="CG71" s="1384"/>
      <c r="CH71" s="1384"/>
      <c r="CI71" s="1384"/>
      <c r="CJ71" s="1384"/>
      <c r="CK71" s="1384"/>
      <c r="CL71" s="1384"/>
      <c r="CM71" s="1384"/>
      <c r="CN71" s="1385"/>
      <c r="CO71" s="1456"/>
      <c r="CP71" s="1457"/>
      <c r="CQ71" s="1458"/>
    </row>
    <row r="72" spans="1:95" ht="7.5" customHeight="1" x14ac:dyDescent="0.25">
      <c r="C72" s="1442"/>
      <c r="D72" s="892"/>
      <c r="E72" s="892"/>
      <c r="F72" s="892"/>
      <c r="G72" s="892"/>
      <c r="H72" s="892"/>
      <c r="I72" s="892"/>
      <c r="J72" s="892"/>
      <c r="K72" s="892"/>
      <c r="L72" s="892"/>
      <c r="M72" s="892"/>
      <c r="N72" s="892"/>
      <c r="O72" s="892"/>
      <c r="P72" s="1443"/>
      <c r="S72" s="1437"/>
      <c r="T72" s="1438"/>
      <c r="U72" s="1438"/>
      <c r="V72" s="1438"/>
      <c r="W72" s="1438"/>
      <c r="X72" s="1438"/>
      <c r="Y72" s="1438"/>
      <c r="Z72" s="1438"/>
      <c r="AA72" s="1438"/>
      <c r="AB72" s="1438"/>
      <c r="AC72" s="1438"/>
      <c r="AD72" s="1438"/>
      <c r="AE72" s="1363"/>
      <c r="AF72" s="1430"/>
      <c r="AG72" s="1392"/>
      <c r="AH72" s="1392"/>
      <c r="AK72" s="1417"/>
      <c r="AL72" s="1418"/>
      <c r="AM72" s="1418"/>
      <c r="AN72" s="1418"/>
      <c r="AO72" s="1418"/>
      <c r="AP72" s="1418"/>
      <c r="AQ72" s="1418"/>
      <c r="AR72" s="1418"/>
      <c r="AS72" s="1418"/>
      <c r="AT72" s="1418"/>
      <c r="AU72" s="1418"/>
      <c r="AV72" s="1418"/>
      <c r="AW72" s="1418"/>
      <c r="AX72" s="1419"/>
      <c r="BA72" s="1450"/>
      <c r="BB72" s="1451"/>
      <c r="BC72" s="1451"/>
      <c r="BD72" s="1451"/>
      <c r="BE72" s="1451"/>
      <c r="BF72" s="1451"/>
      <c r="BG72" s="1451"/>
      <c r="BH72" s="1451"/>
      <c r="BI72" s="1451"/>
      <c r="BJ72" s="1451"/>
      <c r="BK72" s="1451"/>
      <c r="BL72" s="1451"/>
      <c r="BM72" s="1452"/>
      <c r="BN72" s="1380"/>
      <c r="BO72" s="1381"/>
      <c r="BP72" s="1381"/>
      <c r="BQ72" s="1381"/>
      <c r="BR72" s="1381"/>
      <c r="BS72" s="1381"/>
      <c r="BT72" s="1381"/>
      <c r="BU72" s="1381"/>
      <c r="BV72" s="1381"/>
      <c r="BW72" s="1381"/>
      <c r="BX72" s="1381"/>
      <c r="BY72" s="1381"/>
      <c r="BZ72" s="1381"/>
      <c r="CA72" s="1381"/>
      <c r="CB72" s="1381"/>
      <c r="CC72" s="1381"/>
      <c r="CD72" s="1381"/>
      <c r="CE72" s="1381"/>
      <c r="CF72" s="1381"/>
      <c r="CG72" s="1381"/>
      <c r="CH72" s="1381"/>
      <c r="CI72" s="1381"/>
      <c r="CJ72" s="1381"/>
      <c r="CK72" s="1381"/>
      <c r="CL72" s="1381"/>
      <c r="CM72" s="1381"/>
      <c r="CN72" s="1382"/>
      <c r="CO72" s="1453"/>
      <c r="CP72" s="1454"/>
      <c r="CQ72" s="1455"/>
    </row>
    <row r="73" spans="1:95" ht="7.5" customHeight="1" x14ac:dyDescent="0.25">
      <c r="C73" s="1442"/>
      <c r="D73" s="892"/>
      <c r="E73" s="892"/>
      <c r="F73" s="892"/>
      <c r="G73" s="892"/>
      <c r="H73" s="892"/>
      <c r="I73" s="892"/>
      <c r="J73" s="892"/>
      <c r="K73" s="892"/>
      <c r="L73" s="892"/>
      <c r="M73" s="892"/>
      <c r="N73" s="892"/>
      <c r="O73" s="892"/>
      <c r="P73" s="1443"/>
      <c r="S73" s="1414"/>
      <c r="T73" s="1415"/>
      <c r="U73" s="1415"/>
      <c r="V73" s="1415"/>
      <c r="W73" s="1415"/>
      <c r="X73" s="1415"/>
      <c r="Y73" s="1415"/>
      <c r="Z73" s="1415"/>
      <c r="AA73" s="1415"/>
      <c r="AB73" s="1415"/>
      <c r="AC73" s="1415"/>
      <c r="AD73" s="1415"/>
      <c r="AE73" s="1415"/>
      <c r="AF73" s="1415"/>
      <c r="AG73" s="1415"/>
      <c r="AH73" s="1416"/>
      <c r="AK73" s="1417"/>
      <c r="AL73" s="1418"/>
      <c r="AM73" s="1418"/>
      <c r="AN73" s="1418"/>
      <c r="AO73" s="1418"/>
      <c r="AP73" s="1418"/>
      <c r="AQ73" s="1418"/>
      <c r="AR73" s="1418"/>
      <c r="AS73" s="1418"/>
      <c r="AT73" s="1418"/>
      <c r="AU73" s="1418"/>
      <c r="AV73" s="1418"/>
      <c r="AW73" s="1418"/>
      <c r="AX73" s="1419"/>
      <c r="BA73" s="1450"/>
      <c r="BB73" s="1451"/>
      <c r="BC73" s="1451"/>
      <c r="BD73" s="1451"/>
      <c r="BE73" s="1451"/>
      <c r="BF73" s="1451"/>
      <c r="BG73" s="1451"/>
      <c r="BH73" s="1451"/>
      <c r="BI73" s="1451"/>
      <c r="BJ73" s="1451"/>
      <c r="BK73" s="1451"/>
      <c r="BL73" s="1451"/>
      <c r="BM73" s="1452"/>
      <c r="BN73" s="1380"/>
      <c r="BO73" s="1381"/>
      <c r="BP73" s="1381"/>
      <c r="BQ73" s="1381"/>
      <c r="BR73" s="1381"/>
      <c r="BS73" s="1381"/>
      <c r="BT73" s="1381"/>
      <c r="BU73" s="1381"/>
      <c r="BV73" s="1381"/>
      <c r="BW73" s="1381"/>
      <c r="BX73" s="1381"/>
      <c r="BY73" s="1381"/>
      <c r="BZ73" s="1381"/>
      <c r="CA73" s="1381"/>
      <c r="CB73" s="1381"/>
      <c r="CC73" s="1381"/>
      <c r="CD73" s="1381"/>
      <c r="CE73" s="1381"/>
      <c r="CF73" s="1381"/>
      <c r="CG73" s="1381"/>
      <c r="CH73" s="1381"/>
      <c r="CI73" s="1381"/>
      <c r="CJ73" s="1381"/>
      <c r="CK73" s="1381"/>
      <c r="CL73" s="1381"/>
      <c r="CM73" s="1381"/>
      <c r="CN73" s="1382"/>
      <c r="CO73" s="1453"/>
      <c r="CP73" s="1454"/>
      <c r="CQ73" s="1455"/>
    </row>
    <row r="74" spans="1:95" ht="7.5" customHeight="1" x14ac:dyDescent="0.25">
      <c r="C74" s="1442"/>
      <c r="D74" s="892"/>
      <c r="E74" s="892"/>
      <c r="F74" s="892"/>
      <c r="G74" s="892"/>
      <c r="H74" s="892"/>
      <c r="I74" s="892"/>
      <c r="J74" s="892"/>
      <c r="K74" s="892"/>
      <c r="L74" s="892"/>
      <c r="M74" s="892"/>
      <c r="N74" s="892"/>
      <c r="O74" s="892"/>
      <c r="P74" s="1443"/>
      <c r="S74" s="1417"/>
      <c r="T74" s="1418"/>
      <c r="U74" s="1418"/>
      <c r="V74" s="1418"/>
      <c r="W74" s="1418"/>
      <c r="X74" s="1418"/>
      <c r="Y74" s="1418"/>
      <c r="Z74" s="1418"/>
      <c r="AA74" s="1418"/>
      <c r="AB74" s="1418"/>
      <c r="AC74" s="1418"/>
      <c r="AD74" s="1418"/>
      <c r="AE74" s="1418"/>
      <c r="AF74" s="1418"/>
      <c r="AG74" s="1418"/>
      <c r="AH74" s="1419"/>
      <c r="AK74" s="1417"/>
      <c r="AL74" s="1418"/>
      <c r="AM74" s="1418"/>
      <c r="AN74" s="1418"/>
      <c r="AO74" s="1418"/>
      <c r="AP74" s="1418"/>
      <c r="AQ74" s="1418"/>
      <c r="AR74" s="1418"/>
      <c r="AS74" s="1418"/>
      <c r="AT74" s="1418"/>
      <c r="AU74" s="1418"/>
      <c r="AV74" s="1418"/>
      <c r="AW74" s="1418"/>
      <c r="AX74" s="1419"/>
      <c r="BA74" s="1393"/>
      <c r="BB74" s="1394"/>
      <c r="BC74" s="1394"/>
      <c r="BD74" s="1394"/>
      <c r="BE74" s="1394"/>
      <c r="BF74" s="1394"/>
      <c r="BG74" s="1394"/>
      <c r="BH74" s="1394"/>
      <c r="BI74" s="1394"/>
      <c r="BJ74" s="1394"/>
      <c r="BK74" s="1394"/>
      <c r="BL74" s="1394"/>
      <c r="BM74" s="1395"/>
      <c r="BN74" s="1383"/>
      <c r="BO74" s="1384"/>
      <c r="BP74" s="1384"/>
      <c r="BQ74" s="1384"/>
      <c r="BR74" s="1384"/>
      <c r="BS74" s="1384"/>
      <c r="BT74" s="1384"/>
      <c r="BU74" s="1384"/>
      <c r="BV74" s="1384"/>
      <c r="BW74" s="1384"/>
      <c r="BX74" s="1384"/>
      <c r="BY74" s="1384"/>
      <c r="BZ74" s="1384"/>
      <c r="CA74" s="1384"/>
      <c r="CB74" s="1384"/>
      <c r="CC74" s="1384"/>
      <c r="CD74" s="1384"/>
      <c r="CE74" s="1384"/>
      <c r="CF74" s="1384"/>
      <c r="CG74" s="1384"/>
      <c r="CH74" s="1384"/>
      <c r="CI74" s="1384"/>
      <c r="CJ74" s="1384"/>
      <c r="CK74" s="1384"/>
      <c r="CL74" s="1384"/>
      <c r="CM74" s="1384"/>
      <c r="CN74" s="1385"/>
      <c r="CO74" s="1456"/>
      <c r="CP74" s="1457"/>
      <c r="CQ74" s="1458"/>
    </row>
    <row r="75" spans="1:95" ht="7.5" customHeight="1" x14ac:dyDescent="0.25">
      <c r="C75" s="1442"/>
      <c r="D75" s="892"/>
      <c r="E75" s="892"/>
      <c r="F75" s="892"/>
      <c r="G75" s="892"/>
      <c r="H75" s="892"/>
      <c r="I75" s="892"/>
      <c r="J75" s="892"/>
      <c r="K75" s="892"/>
      <c r="L75" s="892"/>
      <c r="M75" s="892"/>
      <c r="N75" s="892"/>
      <c r="O75" s="892"/>
      <c r="P75" s="1443"/>
      <c r="S75" s="1417"/>
      <c r="T75" s="1418"/>
      <c r="U75" s="1418"/>
      <c r="V75" s="1418"/>
      <c r="W75" s="1418"/>
      <c r="X75" s="1418"/>
      <c r="Y75" s="1418"/>
      <c r="Z75" s="1418"/>
      <c r="AA75" s="1418"/>
      <c r="AB75" s="1418"/>
      <c r="AC75" s="1418"/>
      <c r="AD75" s="1418"/>
      <c r="AE75" s="1418"/>
      <c r="AF75" s="1418"/>
      <c r="AG75" s="1418"/>
      <c r="AH75" s="1419"/>
      <c r="AK75" s="1417"/>
      <c r="AL75" s="1418"/>
      <c r="AM75" s="1418"/>
      <c r="AN75" s="1418"/>
      <c r="AO75" s="1418"/>
      <c r="AP75" s="1418"/>
      <c r="AQ75" s="1418"/>
      <c r="AR75" s="1418"/>
      <c r="AS75" s="1418"/>
      <c r="AT75" s="1418"/>
      <c r="AU75" s="1418"/>
      <c r="AV75" s="1418"/>
      <c r="AW75" s="1418"/>
      <c r="AX75" s="1419"/>
      <c r="BA75" s="1393"/>
      <c r="BB75" s="1394"/>
      <c r="BC75" s="1394"/>
      <c r="BD75" s="1394"/>
      <c r="BE75" s="1394"/>
      <c r="BF75" s="1394"/>
      <c r="BG75" s="1394"/>
      <c r="BH75" s="1394"/>
      <c r="BI75" s="1394"/>
      <c r="BJ75" s="1394"/>
      <c r="BK75" s="1394"/>
      <c r="BL75" s="1394"/>
      <c r="BM75" s="1395"/>
      <c r="BN75" s="1383"/>
      <c r="BO75" s="1384"/>
      <c r="BP75" s="1384"/>
      <c r="BQ75" s="1384"/>
      <c r="BR75" s="1384"/>
      <c r="BS75" s="1384"/>
      <c r="BT75" s="1384"/>
      <c r="BU75" s="1384"/>
      <c r="BV75" s="1384"/>
      <c r="BW75" s="1384"/>
      <c r="BX75" s="1384"/>
      <c r="BY75" s="1384"/>
      <c r="BZ75" s="1384"/>
      <c r="CA75" s="1384"/>
      <c r="CB75" s="1384"/>
      <c r="CC75" s="1384"/>
      <c r="CD75" s="1384"/>
      <c r="CE75" s="1384"/>
      <c r="CF75" s="1384"/>
      <c r="CG75" s="1384"/>
      <c r="CH75" s="1384"/>
      <c r="CI75" s="1384"/>
      <c r="CJ75" s="1384"/>
      <c r="CK75" s="1384"/>
      <c r="CL75" s="1384"/>
      <c r="CM75" s="1384"/>
      <c r="CN75" s="1385"/>
      <c r="CO75" s="1456"/>
      <c r="CP75" s="1457"/>
      <c r="CQ75" s="1458"/>
    </row>
    <row r="76" spans="1:95" ht="7.5" customHeight="1" x14ac:dyDescent="0.25">
      <c r="C76" s="1442"/>
      <c r="D76" s="892"/>
      <c r="E76" s="892"/>
      <c r="F76" s="892"/>
      <c r="G76" s="892"/>
      <c r="H76" s="892"/>
      <c r="I76" s="892"/>
      <c r="J76" s="892"/>
      <c r="K76" s="892"/>
      <c r="L76" s="892"/>
      <c r="M76" s="892"/>
      <c r="N76" s="892"/>
      <c r="O76" s="892"/>
      <c r="P76" s="1443"/>
      <c r="S76" s="1417"/>
      <c r="T76" s="1418"/>
      <c r="U76" s="1418"/>
      <c r="V76" s="1418"/>
      <c r="W76" s="1418"/>
      <c r="X76" s="1418"/>
      <c r="Y76" s="1418"/>
      <c r="Z76" s="1418"/>
      <c r="AA76" s="1418"/>
      <c r="AB76" s="1418"/>
      <c r="AC76" s="1418"/>
      <c r="AD76" s="1418"/>
      <c r="AE76" s="1418"/>
      <c r="AF76" s="1418"/>
      <c r="AG76" s="1418"/>
      <c r="AH76" s="1419"/>
      <c r="AK76" s="1417"/>
      <c r="AL76" s="1418"/>
      <c r="AM76" s="1418"/>
      <c r="AN76" s="1418"/>
      <c r="AO76" s="1418"/>
      <c r="AP76" s="1418"/>
      <c r="AQ76" s="1418"/>
      <c r="AR76" s="1418"/>
      <c r="AS76" s="1418"/>
      <c r="AT76" s="1418"/>
      <c r="AU76" s="1418"/>
      <c r="AV76" s="1418"/>
      <c r="AW76" s="1418"/>
      <c r="AX76" s="1419"/>
      <c r="BA76" s="1450"/>
      <c r="BB76" s="1451"/>
      <c r="BC76" s="1451"/>
      <c r="BD76" s="1451"/>
      <c r="BE76" s="1451"/>
      <c r="BF76" s="1451"/>
      <c r="BG76" s="1451"/>
      <c r="BH76" s="1451"/>
      <c r="BI76" s="1451"/>
      <c r="BJ76" s="1451"/>
      <c r="BK76" s="1451"/>
      <c r="BL76" s="1451"/>
      <c r="BM76" s="1452"/>
      <c r="BN76" s="1380"/>
      <c r="BO76" s="1381"/>
      <c r="BP76" s="1381"/>
      <c r="BQ76" s="1381"/>
      <c r="BR76" s="1381"/>
      <c r="BS76" s="1381"/>
      <c r="BT76" s="1381"/>
      <c r="BU76" s="1381"/>
      <c r="BV76" s="1381"/>
      <c r="BW76" s="1381"/>
      <c r="BX76" s="1381"/>
      <c r="BY76" s="1381"/>
      <c r="BZ76" s="1381"/>
      <c r="CA76" s="1381"/>
      <c r="CB76" s="1381"/>
      <c r="CC76" s="1381"/>
      <c r="CD76" s="1381"/>
      <c r="CE76" s="1381"/>
      <c r="CF76" s="1381"/>
      <c r="CG76" s="1381"/>
      <c r="CH76" s="1381"/>
      <c r="CI76" s="1381"/>
      <c r="CJ76" s="1381"/>
      <c r="CK76" s="1381"/>
      <c r="CL76" s="1381"/>
      <c r="CM76" s="1381"/>
      <c r="CN76" s="1382"/>
      <c r="CO76" s="1453"/>
      <c r="CP76" s="1454"/>
      <c r="CQ76" s="1455"/>
    </row>
    <row r="77" spans="1:95" ht="7.5" customHeight="1" x14ac:dyDescent="0.25">
      <c r="C77" s="1442"/>
      <c r="D77" s="892"/>
      <c r="E77" s="892"/>
      <c r="F77" s="892"/>
      <c r="G77" s="892"/>
      <c r="H77" s="892"/>
      <c r="I77" s="892"/>
      <c r="J77" s="892"/>
      <c r="K77" s="892"/>
      <c r="L77" s="892"/>
      <c r="M77" s="892"/>
      <c r="N77" s="892"/>
      <c r="O77" s="892"/>
      <c r="P77" s="1443"/>
      <c r="S77" s="1417"/>
      <c r="T77" s="1418"/>
      <c r="U77" s="1418"/>
      <c r="V77" s="1418"/>
      <c r="W77" s="1418"/>
      <c r="X77" s="1418"/>
      <c r="Y77" s="1418"/>
      <c r="Z77" s="1418"/>
      <c r="AA77" s="1418"/>
      <c r="AB77" s="1418"/>
      <c r="AC77" s="1418"/>
      <c r="AD77" s="1418"/>
      <c r="AE77" s="1418"/>
      <c r="AF77" s="1418"/>
      <c r="AG77" s="1418"/>
      <c r="AH77" s="1419"/>
      <c r="AK77" s="1417"/>
      <c r="AL77" s="1418"/>
      <c r="AM77" s="1418"/>
      <c r="AN77" s="1418"/>
      <c r="AO77" s="1418"/>
      <c r="AP77" s="1418"/>
      <c r="AQ77" s="1418"/>
      <c r="AR77" s="1418"/>
      <c r="AS77" s="1418"/>
      <c r="AT77" s="1418"/>
      <c r="AU77" s="1418"/>
      <c r="AV77" s="1418"/>
      <c r="AW77" s="1418"/>
      <c r="AX77" s="1419"/>
      <c r="BA77" s="1450"/>
      <c r="BB77" s="1451"/>
      <c r="BC77" s="1451"/>
      <c r="BD77" s="1451"/>
      <c r="BE77" s="1451"/>
      <c r="BF77" s="1451"/>
      <c r="BG77" s="1451"/>
      <c r="BH77" s="1451"/>
      <c r="BI77" s="1451"/>
      <c r="BJ77" s="1451"/>
      <c r="BK77" s="1451"/>
      <c r="BL77" s="1451"/>
      <c r="BM77" s="1452"/>
      <c r="BN77" s="1380"/>
      <c r="BO77" s="1381"/>
      <c r="BP77" s="1381"/>
      <c r="BQ77" s="1381"/>
      <c r="BR77" s="1381"/>
      <c r="BS77" s="1381"/>
      <c r="BT77" s="1381"/>
      <c r="BU77" s="1381"/>
      <c r="BV77" s="1381"/>
      <c r="BW77" s="1381"/>
      <c r="BX77" s="1381"/>
      <c r="BY77" s="1381"/>
      <c r="BZ77" s="1381"/>
      <c r="CA77" s="1381"/>
      <c r="CB77" s="1381"/>
      <c r="CC77" s="1381"/>
      <c r="CD77" s="1381"/>
      <c r="CE77" s="1381"/>
      <c r="CF77" s="1381"/>
      <c r="CG77" s="1381"/>
      <c r="CH77" s="1381"/>
      <c r="CI77" s="1381"/>
      <c r="CJ77" s="1381"/>
      <c r="CK77" s="1381"/>
      <c r="CL77" s="1381"/>
      <c r="CM77" s="1381"/>
      <c r="CN77" s="1382"/>
      <c r="CO77" s="1453"/>
      <c r="CP77" s="1454"/>
      <c r="CQ77" s="1455"/>
    </row>
    <row r="78" spans="1:95" ht="7.5" customHeight="1" x14ac:dyDescent="0.25">
      <c r="C78" s="1442"/>
      <c r="D78" s="892"/>
      <c r="E78" s="892"/>
      <c r="F78" s="892"/>
      <c r="G78" s="892"/>
      <c r="H78" s="892"/>
      <c r="I78" s="892"/>
      <c r="J78" s="892"/>
      <c r="K78" s="892"/>
      <c r="L78" s="892"/>
      <c r="M78" s="892"/>
      <c r="N78" s="892"/>
      <c r="O78" s="892"/>
      <c r="P78" s="1443"/>
      <c r="S78" s="1417"/>
      <c r="T78" s="1418"/>
      <c r="U78" s="1418"/>
      <c r="V78" s="1418"/>
      <c r="W78" s="1418"/>
      <c r="X78" s="1418"/>
      <c r="Y78" s="1418"/>
      <c r="Z78" s="1418"/>
      <c r="AA78" s="1418"/>
      <c r="AB78" s="1418"/>
      <c r="AC78" s="1418"/>
      <c r="AD78" s="1418"/>
      <c r="AE78" s="1418"/>
      <c r="AF78" s="1418"/>
      <c r="AG78" s="1418"/>
      <c r="AH78" s="1419"/>
      <c r="AK78" s="1417"/>
      <c r="AL78" s="1418"/>
      <c r="AM78" s="1418"/>
      <c r="AN78" s="1418"/>
      <c r="AO78" s="1418"/>
      <c r="AP78" s="1418"/>
      <c r="AQ78" s="1418"/>
      <c r="AR78" s="1418"/>
      <c r="AS78" s="1418"/>
      <c r="AT78" s="1418"/>
      <c r="AU78" s="1418"/>
      <c r="AV78" s="1418"/>
      <c r="AW78" s="1418"/>
      <c r="AX78" s="1419"/>
      <c r="BA78" s="1393"/>
      <c r="BB78" s="1394"/>
      <c r="BC78" s="1394"/>
      <c r="BD78" s="1394"/>
      <c r="BE78" s="1394"/>
      <c r="BF78" s="1394"/>
      <c r="BG78" s="1394"/>
      <c r="BH78" s="1394"/>
      <c r="BI78" s="1394"/>
      <c r="BJ78" s="1394"/>
      <c r="BK78" s="1394"/>
      <c r="BL78" s="1394"/>
      <c r="BM78" s="1395"/>
      <c r="BN78" s="1383"/>
      <c r="BO78" s="1384"/>
      <c r="BP78" s="1384"/>
      <c r="BQ78" s="1384"/>
      <c r="BR78" s="1384"/>
      <c r="BS78" s="1384"/>
      <c r="BT78" s="1384"/>
      <c r="BU78" s="1384"/>
      <c r="BV78" s="1384"/>
      <c r="BW78" s="1384"/>
      <c r="BX78" s="1384"/>
      <c r="BY78" s="1384"/>
      <c r="BZ78" s="1384"/>
      <c r="CA78" s="1384"/>
      <c r="CB78" s="1384"/>
      <c r="CC78" s="1384"/>
      <c r="CD78" s="1384"/>
      <c r="CE78" s="1384"/>
      <c r="CF78" s="1384"/>
      <c r="CG78" s="1384"/>
      <c r="CH78" s="1384"/>
      <c r="CI78" s="1384"/>
      <c r="CJ78" s="1384"/>
      <c r="CK78" s="1384"/>
      <c r="CL78" s="1384"/>
      <c r="CM78" s="1384"/>
      <c r="CN78" s="1385"/>
      <c r="CO78" s="1456"/>
      <c r="CP78" s="1457"/>
      <c r="CQ78" s="1458"/>
    </row>
    <row r="79" spans="1:95" ht="7.5" customHeight="1" x14ac:dyDescent="0.25">
      <c r="C79" s="860"/>
      <c r="D79" s="1444"/>
      <c r="E79" s="1444"/>
      <c r="F79" s="1444"/>
      <c r="G79" s="1444"/>
      <c r="H79" s="1444"/>
      <c r="I79" s="1444"/>
      <c r="J79" s="1444"/>
      <c r="K79" s="1444"/>
      <c r="L79" s="1444"/>
      <c r="M79" s="1444"/>
      <c r="N79" s="1444"/>
      <c r="O79" s="1444"/>
      <c r="P79" s="885"/>
      <c r="S79" s="1420"/>
      <c r="T79" s="1421"/>
      <c r="U79" s="1421"/>
      <c r="V79" s="1421"/>
      <c r="W79" s="1421"/>
      <c r="X79" s="1421"/>
      <c r="Y79" s="1421"/>
      <c r="Z79" s="1421"/>
      <c r="AA79" s="1421"/>
      <c r="AB79" s="1421"/>
      <c r="AC79" s="1421"/>
      <c r="AD79" s="1421"/>
      <c r="AE79" s="1421"/>
      <c r="AF79" s="1421"/>
      <c r="AG79" s="1421"/>
      <c r="AH79" s="1422"/>
      <c r="AK79" s="1420"/>
      <c r="AL79" s="1421"/>
      <c r="AM79" s="1421"/>
      <c r="AN79" s="1421"/>
      <c r="AO79" s="1421"/>
      <c r="AP79" s="1421"/>
      <c r="AQ79" s="1421"/>
      <c r="AR79" s="1421"/>
      <c r="AS79" s="1421"/>
      <c r="AT79" s="1421"/>
      <c r="AU79" s="1421"/>
      <c r="AV79" s="1421"/>
      <c r="AW79" s="1421"/>
      <c r="AX79" s="1422"/>
      <c r="BA79" s="1475"/>
      <c r="BB79" s="1476"/>
      <c r="BC79" s="1476"/>
      <c r="BD79" s="1476"/>
      <c r="BE79" s="1476"/>
      <c r="BF79" s="1476"/>
      <c r="BG79" s="1476"/>
      <c r="BH79" s="1476"/>
      <c r="BI79" s="1476"/>
      <c r="BJ79" s="1476"/>
      <c r="BK79" s="1476"/>
      <c r="BL79" s="1476"/>
      <c r="BM79" s="1477"/>
      <c r="BN79" s="1481"/>
      <c r="BO79" s="1482"/>
      <c r="BP79" s="1482"/>
      <c r="BQ79" s="1482"/>
      <c r="BR79" s="1482"/>
      <c r="BS79" s="1482"/>
      <c r="BT79" s="1482"/>
      <c r="BU79" s="1482"/>
      <c r="BV79" s="1482"/>
      <c r="BW79" s="1482"/>
      <c r="BX79" s="1482"/>
      <c r="BY79" s="1482"/>
      <c r="BZ79" s="1482"/>
      <c r="CA79" s="1482"/>
      <c r="CB79" s="1482"/>
      <c r="CC79" s="1482"/>
      <c r="CD79" s="1482"/>
      <c r="CE79" s="1482"/>
      <c r="CF79" s="1482"/>
      <c r="CG79" s="1482"/>
      <c r="CH79" s="1482"/>
      <c r="CI79" s="1482"/>
      <c r="CJ79" s="1482"/>
      <c r="CK79" s="1482"/>
      <c r="CL79" s="1482"/>
      <c r="CM79" s="1482"/>
      <c r="CN79" s="1483"/>
      <c r="CO79" s="1478"/>
      <c r="CP79" s="1479"/>
      <c r="CQ79" s="1480"/>
    </row>
  </sheetData>
  <mergeCells count="210">
    <mergeCell ref="C39:Q50"/>
    <mergeCell ref="D51:F51"/>
    <mergeCell ref="I51:K51"/>
    <mergeCell ref="N51:Q51"/>
    <mergeCell ref="S1:AD2"/>
    <mergeCell ref="AE1:AF2"/>
    <mergeCell ref="AG1:AH2"/>
    <mergeCell ref="BA1:CQ3"/>
    <mergeCell ref="AJ2:AL3"/>
    <mergeCell ref="AM2:AM3"/>
    <mergeCell ref="AN2:AP3"/>
    <mergeCell ref="AW2:AZ3"/>
    <mergeCell ref="C5:P17"/>
    <mergeCell ref="AO6:AT7"/>
    <mergeCell ref="BA6:BM7"/>
    <mergeCell ref="BN6:CN7"/>
    <mergeCell ref="CO6:CQ7"/>
    <mergeCell ref="BA8:BM9"/>
    <mergeCell ref="C3:L4"/>
    <mergeCell ref="M3:N4"/>
    <mergeCell ref="O3:P4"/>
    <mergeCell ref="S3:AH9"/>
    <mergeCell ref="AJ4:AP4"/>
    <mergeCell ref="BN8:CN9"/>
    <mergeCell ref="CO8:CQ9"/>
    <mergeCell ref="AN9:AU10"/>
    <mergeCell ref="BA10:BM11"/>
    <mergeCell ref="BN10:CN11"/>
    <mergeCell ref="CO10:CQ11"/>
    <mergeCell ref="AW4:AZ4"/>
    <mergeCell ref="BA4:BM5"/>
    <mergeCell ref="BN4:CN5"/>
    <mergeCell ref="CO4:CQ5"/>
    <mergeCell ref="CO14:CQ15"/>
    <mergeCell ref="AF15:AH16"/>
    <mergeCell ref="AN15:AU16"/>
    <mergeCell ref="BA16:BM17"/>
    <mergeCell ref="BN16:CN17"/>
    <mergeCell ref="CO16:CQ17"/>
    <mergeCell ref="AF17:AH17"/>
    <mergeCell ref="S11:AF12"/>
    <mergeCell ref="AG11:AH12"/>
    <mergeCell ref="AN12:AU13"/>
    <mergeCell ref="BA12:BM13"/>
    <mergeCell ref="BN12:CN13"/>
    <mergeCell ref="CO12:CQ13"/>
    <mergeCell ref="S13:AD19"/>
    <mergeCell ref="AF14:AH14"/>
    <mergeCell ref="BA14:BM15"/>
    <mergeCell ref="BN14:CN15"/>
    <mergeCell ref="AF18:AH19"/>
    <mergeCell ref="BA18:BM19"/>
    <mergeCell ref="BN18:CN19"/>
    <mergeCell ref="CO18:CQ19"/>
    <mergeCell ref="C20:L21"/>
    <mergeCell ref="M20:N21"/>
    <mergeCell ref="AM20:AT21"/>
    <mergeCell ref="AU20:AV21"/>
    <mergeCell ref="AW20:AX21"/>
    <mergeCell ref="BA20:BM21"/>
    <mergeCell ref="BN20:CN21"/>
    <mergeCell ref="CO20:CQ21"/>
    <mergeCell ref="Q21:AE22"/>
    <mergeCell ref="AF21:AH22"/>
    <mergeCell ref="AI21:AJ22"/>
    <mergeCell ref="C22:N35"/>
    <mergeCell ref="AM22:AX35"/>
    <mergeCell ref="BA22:BM23"/>
    <mergeCell ref="BN22:CN23"/>
    <mergeCell ref="CO22:CQ23"/>
    <mergeCell ref="Q23:AE35"/>
    <mergeCell ref="AG24:AJ24"/>
    <mergeCell ref="BA24:BM25"/>
    <mergeCell ref="BN24:CN25"/>
    <mergeCell ref="CO24:CQ25"/>
    <mergeCell ref="AG25:AJ27"/>
    <mergeCell ref="BA26:BM27"/>
    <mergeCell ref="BN26:CN27"/>
    <mergeCell ref="CO26:CQ27"/>
    <mergeCell ref="AG28:AJ28"/>
    <mergeCell ref="AG32:AJ32"/>
    <mergeCell ref="BA32:BM33"/>
    <mergeCell ref="BN32:CN33"/>
    <mergeCell ref="CO32:CQ33"/>
    <mergeCell ref="AG33:AJ35"/>
    <mergeCell ref="BA34:BM35"/>
    <mergeCell ref="BN34:CN35"/>
    <mergeCell ref="CO34:CQ35"/>
    <mergeCell ref="BA28:BM29"/>
    <mergeCell ref="BN28:CN29"/>
    <mergeCell ref="CO28:CQ29"/>
    <mergeCell ref="AG29:AJ31"/>
    <mergeCell ref="BA30:BM31"/>
    <mergeCell ref="BN30:CN31"/>
    <mergeCell ref="CO30:CQ31"/>
    <mergeCell ref="BA36:BM37"/>
    <mergeCell ref="BN36:CN37"/>
    <mergeCell ref="CO36:CQ37"/>
    <mergeCell ref="C37:Q38"/>
    <mergeCell ref="R37:T38"/>
    <mergeCell ref="U37:V38"/>
    <mergeCell ref="Y37:AB37"/>
    <mergeCell ref="AE37:AS38"/>
    <mergeCell ref="AT37:AV38"/>
    <mergeCell ref="AW37:AX38"/>
    <mergeCell ref="CO44:CQ45"/>
    <mergeCell ref="S45:V47"/>
    <mergeCell ref="Y45:AB45"/>
    <mergeCell ref="AU45:AX47"/>
    <mergeCell ref="Y46:AB47"/>
    <mergeCell ref="BA46:BM47"/>
    <mergeCell ref="Y50:AB51"/>
    <mergeCell ref="BA50:BM51"/>
    <mergeCell ref="AE39:AS51"/>
    <mergeCell ref="S40:V40"/>
    <mergeCell ref="AU40:AX40"/>
    <mergeCell ref="BA40:BM41"/>
    <mergeCell ref="BN40:CN41"/>
    <mergeCell ref="CO40:CQ41"/>
    <mergeCell ref="S41:V43"/>
    <mergeCell ref="Y41:AB41"/>
    <mergeCell ref="AU41:AX43"/>
    <mergeCell ref="Y42:AB43"/>
    <mergeCell ref="BA42:BM43"/>
    <mergeCell ref="BN42:CN43"/>
    <mergeCell ref="CO42:CQ43"/>
    <mergeCell ref="BN52:CN53"/>
    <mergeCell ref="CO52:CQ53"/>
    <mergeCell ref="BN46:CN47"/>
    <mergeCell ref="CO46:CQ47"/>
    <mergeCell ref="CO62:CQ63"/>
    <mergeCell ref="S63:AH69"/>
    <mergeCell ref="BA64:BM65"/>
    <mergeCell ref="CO54:CQ55"/>
    <mergeCell ref="Y38:AB39"/>
    <mergeCell ref="BA38:BM39"/>
    <mergeCell ref="BN38:CN39"/>
    <mergeCell ref="CO38:CQ39"/>
    <mergeCell ref="S48:V48"/>
    <mergeCell ref="AU48:AX48"/>
    <mergeCell ref="BA48:BM49"/>
    <mergeCell ref="BN48:CN49"/>
    <mergeCell ref="CO48:CQ49"/>
    <mergeCell ref="S49:V51"/>
    <mergeCell ref="Y49:AB49"/>
    <mergeCell ref="AU49:AX51"/>
    <mergeCell ref="S44:V44"/>
    <mergeCell ref="AU44:AX44"/>
    <mergeCell ref="BA44:BM45"/>
    <mergeCell ref="BN44:CN45"/>
    <mergeCell ref="C54:N55"/>
    <mergeCell ref="O54:P55"/>
    <mergeCell ref="AK54:AV55"/>
    <mergeCell ref="AW54:AX55"/>
    <mergeCell ref="BA54:BM55"/>
    <mergeCell ref="BN54:CN55"/>
    <mergeCell ref="C70:P79"/>
    <mergeCell ref="AK70:AX79"/>
    <mergeCell ref="BA70:BM71"/>
    <mergeCell ref="BN70:CN71"/>
    <mergeCell ref="C68:N69"/>
    <mergeCell ref="O68:P69"/>
    <mergeCell ref="BA78:BM79"/>
    <mergeCell ref="BN78:CN79"/>
    <mergeCell ref="C56:P65"/>
    <mergeCell ref="AK56:AX65"/>
    <mergeCell ref="BA56:BM57"/>
    <mergeCell ref="BN56:CN57"/>
    <mergeCell ref="AE71:AF72"/>
    <mergeCell ref="AG71:AH72"/>
    <mergeCell ref="BN64:CN65"/>
    <mergeCell ref="S73:AH79"/>
    <mergeCell ref="S61:AD62"/>
    <mergeCell ref="AE61:AF62"/>
    <mergeCell ref="CO78:CQ79"/>
    <mergeCell ref="AR2:AU3"/>
    <mergeCell ref="AR4:AU4"/>
    <mergeCell ref="BA72:BM73"/>
    <mergeCell ref="BN72:CN73"/>
    <mergeCell ref="CO72:CQ73"/>
    <mergeCell ref="BA74:BM75"/>
    <mergeCell ref="BN74:CN75"/>
    <mergeCell ref="CO74:CQ75"/>
    <mergeCell ref="BA76:BM77"/>
    <mergeCell ref="BN76:CN77"/>
    <mergeCell ref="CO76:CQ77"/>
    <mergeCell ref="BN68:CN69"/>
    <mergeCell ref="CO68:CQ69"/>
    <mergeCell ref="BN60:CN61"/>
    <mergeCell ref="CO60:CQ61"/>
    <mergeCell ref="CO56:CQ57"/>
    <mergeCell ref="BA58:BM59"/>
    <mergeCell ref="BN58:CN59"/>
    <mergeCell ref="CO58:CQ59"/>
    <mergeCell ref="BA60:BM61"/>
    <mergeCell ref="BN50:CN51"/>
    <mergeCell ref="CO50:CQ51"/>
    <mergeCell ref="BA52:BM53"/>
    <mergeCell ref="AG61:AH62"/>
    <mergeCell ref="BA62:BM63"/>
    <mergeCell ref="BN62:CN63"/>
    <mergeCell ref="CO70:CQ71"/>
    <mergeCell ref="S71:AD72"/>
    <mergeCell ref="CO64:CQ65"/>
    <mergeCell ref="BA66:BM67"/>
    <mergeCell ref="BN66:CN67"/>
    <mergeCell ref="CO66:CQ67"/>
    <mergeCell ref="AK68:AV69"/>
    <mergeCell ref="AW68:AX69"/>
    <mergeCell ref="BA68:BM69"/>
  </mergeCells>
  <phoneticPr fontId="99" type="noConversion"/>
  <conditionalFormatting sqref="S1:AD2">
    <cfRule type="expression" dxfId="102" priority="9">
      <formula>$S$1&lt;&gt;"Head"</formula>
    </cfRule>
  </conditionalFormatting>
  <conditionalFormatting sqref="C3:L4">
    <cfRule type="expression" dxfId="101" priority="8">
      <formula>$C$3&lt;&gt;"Back"</formula>
    </cfRule>
  </conditionalFormatting>
  <conditionalFormatting sqref="S11:AF12">
    <cfRule type="expression" dxfId="100" priority="7">
      <formula>$S$11&lt;&gt;"Ward"</formula>
    </cfRule>
  </conditionalFormatting>
  <conditionalFormatting sqref="AM20:AT21">
    <cfRule type="expression" dxfId="99" priority="6">
      <formula>$AM$20&lt;&gt;"Arms"</formula>
    </cfRule>
  </conditionalFormatting>
  <conditionalFormatting sqref="Q21:AE22">
    <cfRule type="expression" priority="5">
      <formula>$Q$21&lt;&gt;"Body"</formula>
    </cfRule>
  </conditionalFormatting>
  <conditionalFormatting sqref="C20:L21">
    <cfRule type="expression" dxfId="98" priority="4">
      <formula>$C$20&lt;&gt;"Hands"</formula>
    </cfRule>
  </conditionalFormatting>
  <conditionalFormatting sqref="AE37:AS38">
    <cfRule type="expression" dxfId="97" priority="2">
      <formula>$AE$37&lt;&gt;"Main Hand"</formula>
    </cfRule>
  </conditionalFormatting>
  <conditionalFormatting sqref="C37:Q38">
    <cfRule type="expression" dxfId="96" priority="1">
      <formula>$C$37&lt;&gt;"Off Hand"</formula>
    </cfRule>
  </conditionalFormatting>
  <printOptions horizontalCentered="1" verticalCentered="1"/>
  <pageMargins left="0.5" right="0.5" top="0.5" bottom="0.5" header="0.3" footer="0.3"/>
  <pageSetup scale="94" orientation="landscape" r:id="rId1"/>
  <headerFooter>
    <oddHeader>&amp;L&amp;G</oddHeader>
  </headerFooter>
  <legacyDrawingHF r:id="rId2"/>
  <extLst>
    <ext xmlns:mx="http://schemas.microsoft.com/office/mac/excel/2008/main" uri="{64002731-A6B0-56B0-2670-7721B7C09600}">
      <mx:PLV Mode="1"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V97"/>
  <sheetViews>
    <sheetView topLeftCell="A25" zoomScale="130" zoomScaleNormal="130" zoomScalePageLayoutView="130" workbookViewId="0">
      <selection activeCell="CZ66" sqref="CZ66:DB68"/>
    </sheetView>
  </sheetViews>
  <sheetFormatPr defaultColWidth="1.42578125" defaultRowHeight="7.5" customHeight="1" x14ac:dyDescent="0.25"/>
  <sheetData>
    <row r="1" spans="1:178" ht="7.5" customHeight="1" x14ac:dyDescent="0.25">
      <c r="A1" s="1103" t="e">
        <f>IF(Name&gt;0,PROPER(Name),"")</f>
        <v>#REF!</v>
      </c>
      <c r="B1" s="1103"/>
      <c r="C1" s="1103"/>
      <c r="D1" s="1103"/>
      <c r="E1" s="1103"/>
      <c r="F1" s="1103"/>
      <c r="G1" s="1103"/>
      <c r="H1" s="1103"/>
      <c r="I1" s="1103"/>
      <c r="J1" s="1103"/>
      <c r="K1" s="1103"/>
      <c r="L1" s="1103"/>
      <c r="M1" s="1103"/>
      <c r="N1" s="1103"/>
      <c r="O1" s="1103"/>
      <c r="P1" s="1103"/>
      <c r="Q1" s="17"/>
      <c r="R1" s="1106" t="e">
        <f>IF(Role&lt;&gt;"",PROPER(Role),"")</f>
        <v>#REF!</v>
      </c>
      <c r="S1" s="1106"/>
      <c r="T1" s="1106"/>
      <c r="U1" s="1106"/>
      <c r="V1" s="1106"/>
      <c r="W1" s="1106"/>
      <c r="X1" s="1106"/>
      <c r="Y1" s="1106"/>
      <c r="Z1" s="1106"/>
      <c r="AA1" s="1106"/>
      <c r="AB1" s="17"/>
      <c r="AC1" s="1968" t="s">
        <v>22</v>
      </c>
      <c r="AD1" s="1968"/>
      <c r="AE1" s="1968"/>
      <c r="AF1" s="1968"/>
      <c r="AG1" s="1968"/>
      <c r="AH1" s="1968"/>
      <c r="AI1" s="1968"/>
      <c r="AJ1" s="1968"/>
      <c r="AK1" s="1968"/>
      <c r="AL1" s="1968"/>
      <c r="AM1" s="1968"/>
      <c r="AN1" s="1968"/>
      <c r="AO1" s="1968"/>
      <c r="AP1" s="1968"/>
      <c r="AQ1" s="1968"/>
      <c r="AR1" s="1968"/>
      <c r="AT1" s="1103" t="e">
        <f>IF(Name&gt;0,PROPER(Name),"")</f>
        <v>#REF!</v>
      </c>
      <c r="AU1" s="1103"/>
      <c r="AV1" s="1103"/>
      <c r="AW1" s="1103"/>
      <c r="AX1" s="1103"/>
      <c r="AY1" s="1103"/>
      <c r="AZ1" s="1103"/>
      <c r="BA1" s="1103"/>
      <c r="BB1" s="1103"/>
      <c r="BC1" s="1103"/>
      <c r="BD1" s="1103"/>
      <c r="BE1" s="1103"/>
      <c r="BF1" s="1103"/>
      <c r="BG1" s="1103"/>
      <c r="BH1" s="1103"/>
      <c r="BI1" s="1103"/>
      <c r="BJ1" s="17"/>
      <c r="BK1" s="1106" t="e">
        <f>IF(Role&lt;&gt;"",PROPER(Role),"")</f>
        <v>#REF!</v>
      </c>
      <c r="BL1" s="1106"/>
      <c r="BM1" s="1106"/>
      <c r="BN1" s="1106"/>
      <c r="BO1" s="1106"/>
      <c r="BP1" s="1106"/>
      <c r="BQ1" s="1106"/>
      <c r="BR1" s="1106"/>
      <c r="BS1" s="1106"/>
      <c r="BT1" s="1106"/>
      <c r="BU1" s="17"/>
      <c r="BV1" s="1968" t="s">
        <v>22</v>
      </c>
      <c r="BW1" s="1968"/>
      <c r="BX1" s="1968"/>
      <c r="BY1" s="1968"/>
      <c r="BZ1" s="1968"/>
      <c r="CA1" s="1968"/>
      <c r="CB1" s="1968"/>
      <c r="CC1" s="1968"/>
      <c r="CD1" s="1968"/>
      <c r="CE1" s="1968"/>
      <c r="CF1" s="1968"/>
      <c r="CG1" s="1968"/>
      <c r="CH1" s="1968"/>
      <c r="CI1" s="1968"/>
      <c r="CJ1" s="1968"/>
      <c r="CK1" s="1968"/>
      <c r="DQ1" s="242"/>
      <c r="DR1" s="243"/>
      <c r="DS1" s="243"/>
      <c r="DT1" s="243"/>
      <c r="DU1" s="243"/>
      <c r="DV1" s="243"/>
      <c r="DW1" s="243"/>
      <c r="DX1" s="243"/>
      <c r="DY1" s="243"/>
      <c r="DZ1" s="243"/>
      <c r="EA1" s="243"/>
      <c r="EB1" s="243"/>
      <c r="EC1" s="243"/>
      <c r="ED1" s="1968" t="s">
        <v>22</v>
      </c>
      <c r="EE1" s="1968"/>
      <c r="EF1" s="1968"/>
      <c r="EG1" s="1968"/>
      <c r="EH1" s="1968"/>
      <c r="EI1" s="1968"/>
      <c r="EJ1" s="1968"/>
      <c r="EK1" s="1968"/>
      <c r="EL1" s="1968"/>
      <c r="EM1" s="1968"/>
      <c r="EN1" s="1968"/>
      <c r="EO1" s="1968"/>
      <c r="EP1" s="1968"/>
      <c r="EQ1" s="1968"/>
      <c r="ER1" s="1968"/>
      <c r="ES1" s="1968"/>
      <c r="EU1" s="242"/>
      <c r="EV1" s="243"/>
      <c r="EW1" s="243"/>
      <c r="EX1" s="243"/>
      <c r="EY1" s="243"/>
      <c r="EZ1" s="243"/>
      <c r="FA1" s="243"/>
      <c r="FB1" s="243"/>
      <c r="FC1" s="243"/>
      <c r="FD1" s="243"/>
      <c r="FE1" s="243"/>
      <c r="FF1" s="243"/>
      <c r="FG1" s="243"/>
      <c r="FH1" s="243"/>
      <c r="FI1" s="243"/>
      <c r="FJ1" s="243"/>
      <c r="FK1" s="243"/>
      <c r="FL1" s="243"/>
      <c r="FM1" s="243"/>
      <c r="FN1" s="243"/>
      <c r="FO1" s="243"/>
      <c r="FP1" s="243"/>
      <c r="FQ1" s="243"/>
      <c r="FR1" s="243"/>
      <c r="FS1" s="243"/>
      <c r="FT1" s="243"/>
      <c r="FU1" s="243"/>
      <c r="FV1" s="243"/>
    </row>
    <row r="2" spans="1:178" ht="7.5" customHeight="1" x14ac:dyDescent="0.25">
      <c r="A2" s="1104"/>
      <c r="B2" s="1104"/>
      <c r="C2" s="1104"/>
      <c r="D2" s="1104"/>
      <c r="E2" s="1104"/>
      <c r="F2" s="1104"/>
      <c r="G2" s="1104"/>
      <c r="H2" s="1104"/>
      <c r="I2" s="1104"/>
      <c r="J2" s="1104"/>
      <c r="K2" s="1104"/>
      <c r="L2" s="1104"/>
      <c r="M2" s="1104"/>
      <c r="N2" s="1104"/>
      <c r="O2" s="1104"/>
      <c r="P2" s="1104"/>
      <c r="Q2" s="30"/>
      <c r="R2" s="1107"/>
      <c r="S2" s="1107"/>
      <c r="T2" s="1107"/>
      <c r="U2" s="1107"/>
      <c r="V2" s="1107"/>
      <c r="W2" s="1107"/>
      <c r="X2" s="1107"/>
      <c r="Y2" s="1107"/>
      <c r="Z2" s="1107"/>
      <c r="AA2" s="1107"/>
      <c r="AB2" s="30"/>
      <c r="AC2" s="1969"/>
      <c r="AD2" s="1969"/>
      <c r="AE2" s="1969"/>
      <c r="AF2" s="1969"/>
      <c r="AG2" s="1969"/>
      <c r="AH2" s="1969"/>
      <c r="AI2" s="1969"/>
      <c r="AJ2" s="1969"/>
      <c r="AK2" s="1969"/>
      <c r="AL2" s="1969"/>
      <c r="AM2" s="1969"/>
      <c r="AN2" s="1969"/>
      <c r="AO2" s="1969"/>
      <c r="AP2" s="1969"/>
      <c r="AQ2" s="1969"/>
      <c r="AR2" s="1969"/>
      <c r="AT2" s="1104"/>
      <c r="AU2" s="1104"/>
      <c r="AV2" s="1104"/>
      <c r="AW2" s="1104"/>
      <c r="AX2" s="1104"/>
      <c r="AY2" s="1104"/>
      <c r="AZ2" s="1104"/>
      <c r="BA2" s="1104"/>
      <c r="BB2" s="1104"/>
      <c r="BC2" s="1104"/>
      <c r="BD2" s="1104"/>
      <c r="BE2" s="1104"/>
      <c r="BF2" s="1104"/>
      <c r="BG2" s="1104"/>
      <c r="BH2" s="1104"/>
      <c r="BI2" s="1104"/>
      <c r="BJ2" s="30"/>
      <c r="BK2" s="1107"/>
      <c r="BL2" s="1107"/>
      <c r="BM2" s="1107"/>
      <c r="BN2" s="1107"/>
      <c r="BO2" s="1107"/>
      <c r="BP2" s="1107"/>
      <c r="BQ2" s="1107"/>
      <c r="BR2" s="1107"/>
      <c r="BS2" s="1107"/>
      <c r="BT2" s="1107"/>
      <c r="BU2" s="30"/>
      <c r="BV2" s="1969"/>
      <c r="BW2" s="1969"/>
      <c r="BX2" s="1969"/>
      <c r="BY2" s="1969"/>
      <c r="BZ2" s="1969"/>
      <c r="CA2" s="1969"/>
      <c r="CB2" s="1969"/>
      <c r="CC2" s="1969"/>
      <c r="CD2" s="1969"/>
      <c r="CE2" s="1969"/>
      <c r="CF2" s="1969"/>
      <c r="CG2" s="1969"/>
      <c r="CH2" s="1969"/>
      <c r="CI2" s="1969"/>
      <c r="CJ2" s="1969"/>
      <c r="CK2" s="1969"/>
      <c r="DQ2" s="244"/>
      <c r="DR2" s="30"/>
      <c r="DS2" s="30"/>
      <c r="DT2" s="30"/>
      <c r="DU2" s="30"/>
      <c r="DV2" s="30"/>
      <c r="DW2" s="30"/>
      <c r="DX2" s="30"/>
      <c r="DY2" s="30"/>
      <c r="DZ2" s="30"/>
      <c r="EA2" s="30"/>
      <c r="EB2" s="30"/>
      <c r="EC2" s="30"/>
      <c r="ED2" s="1969"/>
      <c r="EE2" s="1969"/>
      <c r="EF2" s="1969"/>
      <c r="EG2" s="1969"/>
      <c r="EH2" s="1969"/>
      <c r="EI2" s="1969"/>
      <c r="EJ2" s="1969"/>
      <c r="EK2" s="1969"/>
      <c r="EL2" s="1969"/>
      <c r="EM2" s="1969"/>
      <c r="EN2" s="1969"/>
      <c r="EO2" s="1969"/>
      <c r="EP2" s="1969"/>
      <c r="EQ2" s="1969"/>
      <c r="ER2" s="1969"/>
      <c r="ES2" s="1969"/>
      <c r="EU2" s="244"/>
      <c r="EV2" s="30"/>
      <c r="EW2" s="30"/>
      <c r="EX2" s="30"/>
      <c r="EY2" s="30"/>
      <c r="EZ2" s="30"/>
      <c r="FA2" s="30"/>
      <c r="FB2" s="30"/>
      <c r="FC2" s="30"/>
      <c r="FD2" s="30"/>
      <c r="FE2" s="30"/>
      <c r="FF2" s="30"/>
      <c r="FG2" s="30"/>
      <c r="FH2" s="30"/>
      <c r="FI2" s="30"/>
      <c r="FJ2" s="30"/>
      <c r="FK2" s="30"/>
      <c r="FL2" s="30"/>
      <c r="FM2" s="30"/>
      <c r="FN2" s="30"/>
      <c r="FO2" s="30"/>
      <c r="FP2" s="30"/>
      <c r="FQ2" s="30"/>
      <c r="FR2" s="30"/>
      <c r="FS2" s="30"/>
      <c r="FT2" s="30"/>
      <c r="FU2" s="30"/>
      <c r="FV2" s="30"/>
    </row>
    <row r="3" spans="1:178" ht="7.5" customHeight="1" x14ac:dyDescent="0.25">
      <c r="A3" s="1105" t="s">
        <v>499</v>
      </c>
      <c r="B3" s="1105"/>
      <c r="C3" s="1105"/>
      <c r="D3" s="1105"/>
      <c r="E3" s="1105"/>
      <c r="F3" s="1105"/>
      <c r="G3" s="1105"/>
      <c r="H3" s="1105"/>
      <c r="I3" s="1105"/>
      <c r="J3" s="1105"/>
      <c r="K3" s="1105"/>
      <c r="L3" s="1105"/>
      <c r="M3" s="1105"/>
      <c r="N3" s="1105"/>
      <c r="O3" s="1105"/>
      <c r="P3" s="1105"/>
      <c r="Q3" s="30"/>
      <c r="R3" s="1134" t="s">
        <v>26</v>
      </c>
      <c r="S3" s="1134"/>
      <c r="T3" s="1134"/>
      <c r="U3" s="1134"/>
      <c r="V3" s="1134"/>
      <c r="W3" s="1134"/>
      <c r="X3" s="1134"/>
      <c r="Y3" s="1134"/>
      <c r="Z3" s="1134"/>
      <c r="AA3" s="1134"/>
      <c r="AB3" s="30"/>
      <c r="AC3" s="1970"/>
      <c r="AD3" s="1971"/>
      <c r="AE3" s="1971"/>
      <c r="AF3" s="1971"/>
      <c r="AG3" s="1970"/>
      <c r="AH3" s="1971"/>
      <c r="AI3" s="1971"/>
      <c r="AJ3" s="1971"/>
      <c r="AK3" s="1970"/>
      <c r="AL3" s="1971"/>
      <c r="AM3" s="1971"/>
      <c r="AN3" s="1971"/>
      <c r="AO3" s="1970"/>
      <c r="AP3" s="1971"/>
      <c r="AQ3" s="1971"/>
      <c r="AR3" s="1981"/>
      <c r="AT3" s="1105" t="s">
        <v>499</v>
      </c>
      <c r="AU3" s="1105"/>
      <c r="AV3" s="1105"/>
      <c r="AW3" s="1105"/>
      <c r="AX3" s="1105"/>
      <c r="AY3" s="1105"/>
      <c r="AZ3" s="1105"/>
      <c r="BA3" s="1105"/>
      <c r="BB3" s="1105"/>
      <c r="BC3" s="1105"/>
      <c r="BD3" s="1105"/>
      <c r="BE3" s="1105"/>
      <c r="BF3" s="1105"/>
      <c r="BG3" s="1105"/>
      <c r="BH3" s="1105"/>
      <c r="BI3" s="1105"/>
      <c r="BJ3" s="30"/>
      <c r="BK3" s="1134" t="s">
        <v>26</v>
      </c>
      <c r="BL3" s="1134"/>
      <c r="BM3" s="1134"/>
      <c r="BN3" s="1134"/>
      <c r="BO3" s="1134"/>
      <c r="BP3" s="1134"/>
      <c r="BQ3" s="1134"/>
      <c r="BR3" s="1134"/>
      <c r="BS3" s="1134"/>
      <c r="BT3" s="1134"/>
      <c r="BU3" s="30"/>
      <c r="BV3" s="1970"/>
      <c r="BW3" s="1971"/>
      <c r="BX3" s="1971"/>
      <c r="BY3" s="1971"/>
      <c r="BZ3" s="1970"/>
      <c r="CA3" s="1971"/>
      <c r="CB3" s="1971"/>
      <c r="CC3" s="1971"/>
      <c r="CD3" s="1970"/>
      <c r="CE3" s="1971"/>
      <c r="CF3" s="1971"/>
      <c r="CG3" s="1971"/>
      <c r="CH3" s="1970"/>
      <c r="CI3" s="1971"/>
      <c r="CJ3" s="1971"/>
      <c r="CK3" s="1981"/>
      <c r="DQ3" s="244"/>
      <c r="DR3" s="30"/>
      <c r="DS3" s="30"/>
      <c r="DT3" s="30"/>
      <c r="DU3" s="30"/>
      <c r="DV3" s="30"/>
      <c r="DW3" s="30"/>
      <c r="DX3" s="30"/>
      <c r="DY3" s="30"/>
      <c r="DZ3" s="30"/>
      <c r="EA3" s="30"/>
      <c r="EB3" s="30"/>
      <c r="EC3" s="30"/>
      <c r="ED3" s="1970"/>
      <c r="EE3" s="1971"/>
      <c r="EF3" s="1971"/>
      <c r="EG3" s="1971"/>
      <c r="EH3" s="1970"/>
      <c r="EI3" s="1971"/>
      <c r="EJ3" s="1971"/>
      <c r="EK3" s="1971"/>
      <c r="EL3" s="1970"/>
      <c r="EM3" s="1971"/>
      <c r="EN3" s="1971"/>
      <c r="EO3" s="1971"/>
      <c r="EP3" s="1970"/>
      <c r="EQ3" s="1971"/>
      <c r="ER3" s="1971"/>
      <c r="ES3" s="1981"/>
      <c r="EU3" s="244"/>
      <c r="EV3" s="30"/>
      <c r="EW3" s="30"/>
      <c r="EX3" s="30"/>
      <c r="EY3" s="30"/>
      <c r="EZ3" s="30"/>
      <c r="FA3" s="30"/>
      <c r="FB3" s="30"/>
      <c r="FC3" s="30"/>
      <c r="FD3" s="30"/>
      <c r="FE3" s="30"/>
      <c r="FF3" s="30"/>
      <c r="FG3" s="30"/>
      <c r="FH3" s="30"/>
      <c r="FI3" s="30"/>
      <c r="FJ3" s="30"/>
      <c r="FK3" s="30"/>
      <c r="FL3" s="30"/>
      <c r="FM3" s="30"/>
      <c r="FN3" s="30"/>
      <c r="FO3" s="30"/>
      <c r="FP3" s="30"/>
      <c r="FQ3" s="30"/>
      <c r="FR3" s="30"/>
      <c r="FS3" s="30"/>
      <c r="FT3" s="30"/>
      <c r="FU3" s="30"/>
      <c r="FV3" s="30"/>
    </row>
    <row r="4" spans="1:178" ht="7.5" customHeight="1" x14ac:dyDescent="0.25">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30"/>
      <c r="AC4" s="1972"/>
      <c r="AD4" s="1973"/>
      <c r="AE4" s="1973"/>
      <c r="AF4" s="1973"/>
      <c r="AG4" s="1972"/>
      <c r="AH4" s="1973"/>
      <c r="AI4" s="1973"/>
      <c r="AJ4" s="1973"/>
      <c r="AK4" s="1972"/>
      <c r="AL4" s="1973"/>
      <c r="AM4" s="1973"/>
      <c r="AN4" s="1973"/>
      <c r="AO4" s="1980"/>
      <c r="AP4" s="1747"/>
      <c r="AQ4" s="1747"/>
      <c r="AR4" s="1982"/>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30"/>
      <c r="BV4" s="1972"/>
      <c r="BW4" s="1973"/>
      <c r="BX4" s="1973"/>
      <c r="BY4" s="1973"/>
      <c r="BZ4" s="1972"/>
      <c r="CA4" s="1973"/>
      <c r="CB4" s="1973"/>
      <c r="CC4" s="1973"/>
      <c r="CD4" s="1972"/>
      <c r="CE4" s="1973"/>
      <c r="CF4" s="1973"/>
      <c r="CG4" s="1973"/>
      <c r="CH4" s="1980"/>
      <c r="CI4" s="1747"/>
      <c r="CJ4" s="1747"/>
      <c r="CK4" s="1982"/>
      <c r="DQ4" s="244"/>
      <c r="DR4" s="30"/>
      <c r="DS4" s="30"/>
      <c r="DT4" s="30"/>
      <c r="DU4" s="30"/>
      <c r="DV4" s="30"/>
      <c r="DW4" s="30"/>
      <c r="DX4" s="30"/>
      <c r="DY4" s="30"/>
      <c r="DZ4" s="30"/>
      <c r="EA4" s="30"/>
      <c r="EB4" s="30"/>
      <c r="EC4" s="30"/>
      <c r="ED4" s="1972"/>
      <c r="EE4" s="1973"/>
      <c r="EF4" s="1973"/>
      <c r="EG4" s="1973"/>
      <c r="EH4" s="1972"/>
      <c r="EI4" s="1973"/>
      <c r="EJ4" s="1973"/>
      <c r="EK4" s="1973"/>
      <c r="EL4" s="1972"/>
      <c r="EM4" s="1973"/>
      <c r="EN4" s="1973"/>
      <c r="EO4" s="1973"/>
      <c r="EP4" s="1980"/>
      <c r="EQ4" s="1747"/>
      <c r="ER4" s="1747"/>
      <c r="ES4" s="1982"/>
      <c r="EU4" s="244"/>
      <c r="EV4" s="30"/>
      <c r="EW4" s="30"/>
      <c r="EX4" s="30"/>
      <c r="EY4" s="30"/>
      <c r="EZ4" s="30"/>
      <c r="FA4" s="30"/>
      <c r="FB4" s="30"/>
      <c r="FC4" s="30"/>
      <c r="FD4" s="30"/>
      <c r="FE4" s="30"/>
      <c r="FF4" s="30"/>
      <c r="FG4" s="30"/>
      <c r="FH4" s="30"/>
      <c r="FI4" s="30"/>
      <c r="FJ4" s="30"/>
      <c r="FK4" s="30"/>
      <c r="FL4" s="30"/>
      <c r="FM4" s="30"/>
      <c r="FN4" s="30"/>
      <c r="FO4" s="30"/>
      <c r="FP4" s="30"/>
      <c r="FQ4" s="30"/>
      <c r="FR4" s="30"/>
      <c r="FS4" s="30"/>
      <c r="FT4" s="30"/>
      <c r="FU4" s="30"/>
      <c r="FV4" s="30"/>
    </row>
    <row r="5" spans="1:178" ht="7.5" customHeight="1" x14ac:dyDescent="0.25">
      <c r="A5" s="17"/>
      <c r="B5" s="17"/>
      <c r="C5" s="17"/>
      <c r="D5" s="17"/>
      <c r="E5" s="17"/>
      <c r="F5" s="17"/>
      <c r="G5" s="17"/>
      <c r="H5" s="17"/>
      <c r="I5" s="17"/>
      <c r="J5" s="17"/>
      <c r="K5" s="17"/>
      <c r="L5" s="17"/>
      <c r="M5" s="17"/>
      <c r="N5" s="17"/>
      <c r="O5" s="17"/>
      <c r="P5" s="17"/>
      <c r="Q5" s="1916" t="s">
        <v>81</v>
      </c>
      <c r="R5" s="1917"/>
      <c r="S5" s="1917"/>
      <c r="T5" s="1917"/>
      <c r="U5" s="1918"/>
      <c r="V5" s="17"/>
      <c r="W5" s="1919" t="s">
        <v>500</v>
      </c>
      <c r="X5" s="1920"/>
      <c r="Y5" s="1920"/>
      <c r="Z5" s="1920"/>
      <c r="AA5" s="1921"/>
      <c r="AB5" s="30"/>
      <c r="AC5" s="1987" t="s">
        <v>34</v>
      </c>
      <c r="AD5" s="1988"/>
      <c r="AE5" s="1988"/>
      <c r="AF5" s="1988"/>
      <c r="AG5" s="1987" t="s">
        <v>440</v>
      </c>
      <c r="AH5" s="1988"/>
      <c r="AI5" s="1988"/>
      <c r="AJ5" s="1988"/>
      <c r="AK5" s="1987" t="s">
        <v>17</v>
      </c>
      <c r="AL5" s="1988"/>
      <c r="AM5" s="1988"/>
      <c r="AN5" s="1988"/>
      <c r="AO5" s="1987" t="s">
        <v>46</v>
      </c>
      <c r="AP5" s="1988"/>
      <c r="AQ5" s="1988"/>
      <c r="AR5" s="1989"/>
      <c r="AT5" s="17"/>
      <c r="AU5" s="17"/>
      <c r="AV5" s="17"/>
      <c r="AW5" s="17"/>
      <c r="AX5" s="17"/>
      <c r="AY5" s="17"/>
      <c r="AZ5" s="17"/>
      <c r="BA5" s="17"/>
      <c r="BB5" s="17"/>
      <c r="BC5" s="17"/>
      <c r="BD5" s="17"/>
      <c r="BE5" s="17"/>
      <c r="BF5" s="17"/>
      <c r="BG5" s="17"/>
      <c r="BH5" s="17"/>
      <c r="BI5" s="17"/>
      <c r="BJ5" s="1916" t="s">
        <v>81</v>
      </c>
      <c r="BK5" s="1917"/>
      <c r="BL5" s="1917"/>
      <c r="BM5" s="1917"/>
      <c r="BN5" s="1918"/>
      <c r="BO5" s="17"/>
      <c r="BP5" s="1919" t="s">
        <v>500</v>
      </c>
      <c r="BQ5" s="1920"/>
      <c r="BR5" s="1920"/>
      <c r="BS5" s="1920"/>
      <c r="BT5" s="1921"/>
      <c r="BU5" s="30"/>
      <c r="BV5" s="1987" t="s">
        <v>34</v>
      </c>
      <c r="BW5" s="1988"/>
      <c r="BX5" s="1988"/>
      <c r="BY5" s="1988"/>
      <c r="BZ5" s="1987" t="s">
        <v>440</v>
      </c>
      <c r="CA5" s="1988"/>
      <c r="CB5" s="1988"/>
      <c r="CC5" s="1988"/>
      <c r="CD5" s="1987" t="s">
        <v>17</v>
      </c>
      <c r="CE5" s="1988"/>
      <c r="CF5" s="1988"/>
      <c r="CG5" s="1988"/>
      <c r="CH5" s="1987" t="s">
        <v>46</v>
      </c>
      <c r="CI5" s="1988"/>
      <c r="CJ5" s="1988"/>
      <c r="CK5" s="1989"/>
      <c r="DQ5" s="244"/>
      <c r="DR5" s="30"/>
      <c r="DS5" s="30"/>
      <c r="DT5" s="30"/>
      <c r="DU5" s="30"/>
      <c r="DV5" s="30"/>
      <c r="DW5" s="30"/>
      <c r="DX5" s="30"/>
      <c r="DY5" s="30"/>
      <c r="DZ5" s="30"/>
      <c r="EA5" s="30"/>
      <c r="EB5" s="30"/>
      <c r="EC5" s="30"/>
      <c r="ED5" s="1987" t="s">
        <v>34</v>
      </c>
      <c r="EE5" s="1988"/>
      <c r="EF5" s="1988"/>
      <c r="EG5" s="1988"/>
      <c r="EH5" s="1987" t="s">
        <v>440</v>
      </c>
      <c r="EI5" s="1988"/>
      <c r="EJ5" s="1988"/>
      <c r="EK5" s="1988"/>
      <c r="EL5" s="1987" t="s">
        <v>17</v>
      </c>
      <c r="EM5" s="1988"/>
      <c r="EN5" s="1988"/>
      <c r="EO5" s="1988"/>
      <c r="EP5" s="1987" t="s">
        <v>46</v>
      </c>
      <c r="EQ5" s="1988"/>
      <c r="ER5" s="1988"/>
      <c r="ES5" s="1989"/>
      <c r="EU5" s="244"/>
      <c r="EV5" s="30"/>
      <c r="EW5" s="30"/>
      <c r="EX5" s="30"/>
      <c r="EY5" s="30"/>
      <c r="EZ5" s="30"/>
      <c r="FA5" s="30"/>
      <c r="FB5" s="30"/>
      <c r="FC5" s="30"/>
      <c r="FD5" s="30"/>
      <c r="FE5" s="30"/>
      <c r="FF5" s="30"/>
      <c r="FG5" s="30"/>
      <c r="FH5" s="30"/>
      <c r="FI5" s="30"/>
      <c r="FJ5" s="30"/>
      <c r="FK5" s="30"/>
      <c r="FL5" s="30"/>
      <c r="FM5" s="30"/>
      <c r="FN5" s="30"/>
      <c r="FO5" s="30"/>
      <c r="FP5" s="30"/>
      <c r="FQ5" s="30"/>
      <c r="FR5" s="30"/>
      <c r="FS5" s="30"/>
      <c r="FT5" s="30"/>
      <c r="FU5" s="30"/>
      <c r="FV5" s="30"/>
    </row>
    <row r="6" spans="1:178" ht="7.5" customHeight="1" x14ac:dyDescent="0.25">
      <c r="A6" s="17"/>
      <c r="B6" s="17"/>
      <c r="C6" s="17"/>
      <c r="D6" s="17"/>
      <c r="E6" s="17"/>
      <c r="F6" s="17"/>
      <c r="G6" s="17"/>
      <c r="H6" s="17"/>
      <c r="I6" s="17"/>
      <c r="J6" s="17"/>
      <c r="K6" s="17"/>
      <c r="L6" s="17"/>
      <c r="M6" s="17"/>
      <c r="N6" s="17"/>
      <c r="O6" s="17"/>
      <c r="P6" s="17"/>
      <c r="Q6" s="1922"/>
      <c r="R6" s="1923"/>
      <c r="S6" s="1923"/>
      <c r="T6" s="1923"/>
      <c r="U6" s="1924"/>
      <c r="V6" s="17"/>
      <c r="W6" s="1922"/>
      <c r="X6" s="1923"/>
      <c r="Y6" s="1923"/>
      <c r="Z6" s="1923"/>
      <c r="AA6" s="1924"/>
      <c r="AB6" s="30"/>
      <c r="AC6" s="17"/>
      <c r="AD6" s="17"/>
      <c r="AE6" s="17"/>
      <c r="AF6" s="17"/>
      <c r="AG6" s="1970"/>
      <c r="AH6" s="1971"/>
      <c r="AI6" s="1971"/>
      <c r="AJ6" s="1971"/>
      <c r="AK6" s="1970"/>
      <c r="AL6" s="1971"/>
      <c r="AM6" s="1971"/>
      <c r="AN6" s="1981"/>
      <c r="AO6" s="1970"/>
      <c r="AP6" s="1971"/>
      <c r="AQ6" s="1971"/>
      <c r="AR6" s="1971"/>
      <c r="AT6" s="17"/>
      <c r="AU6" s="17"/>
      <c r="AV6" s="17"/>
      <c r="AW6" s="17"/>
      <c r="AX6" s="17"/>
      <c r="AY6" s="17"/>
      <c r="AZ6" s="17"/>
      <c r="BA6" s="17"/>
      <c r="BB6" s="17"/>
      <c r="BC6" s="17"/>
      <c r="BD6" s="17"/>
      <c r="BE6" s="17"/>
      <c r="BF6" s="17"/>
      <c r="BG6" s="17"/>
      <c r="BH6" s="17"/>
      <c r="BI6" s="17"/>
      <c r="BJ6" s="1922"/>
      <c r="BK6" s="1923"/>
      <c r="BL6" s="1923"/>
      <c r="BM6" s="1923"/>
      <c r="BN6" s="1924"/>
      <c r="BO6" s="17"/>
      <c r="BP6" s="1922"/>
      <c r="BQ6" s="1923"/>
      <c r="BR6" s="1923"/>
      <c r="BS6" s="1923"/>
      <c r="BT6" s="1924"/>
      <c r="BU6" s="30"/>
      <c r="BV6" s="17"/>
      <c r="BW6" s="17"/>
      <c r="BX6" s="17"/>
      <c r="BY6" s="17"/>
      <c r="BZ6" s="1970"/>
      <c r="CA6" s="1971"/>
      <c r="CB6" s="1971"/>
      <c r="CC6" s="1971"/>
      <c r="CD6" s="1970"/>
      <c r="CE6" s="1971"/>
      <c r="CF6" s="1971"/>
      <c r="CG6" s="1981"/>
      <c r="CH6" s="1970"/>
      <c r="CI6" s="1971"/>
      <c r="CJ6" s="1971"/>
      <c r="CK6" s="1971"/>
      <c r="CP6" s="1968" t="s">
        <v>22</v>
      </c>
      <c r="CQ6" s="1968"/>
      <c r="CR6" s="1968"/>
      <c r="CS6" s="1968"/>
      <c r="CT6" s="1968"/>
      <c r="CU6" s="1968"/>
      <c r="CV6" s="1968"/>
      <c r="CW6" s="1968"/>
      <c r="CX6" s="1968"/>
      <c r="CY6" s="1968"/>
      <c r="CZ6" s="1968"/>
      <c r="DA6" s="1968"/>
      <c r="DB6" s="1968"/>
      <c r="DC6" s="1968"/>
      <c r="DD6" s="1968"/>
      <c r="DE6" s="1968"/>
      <c r="DF6" s="1968"/>
      <c r="DG6" s="1968"/>
      <c r="DH6" s="1968"/>
      <c r="DI6" s="1968"/>
      <c r="DQ6" s="244"/>
      <c r="DR6" s="30"/>
      <c r="DS6" s="30"/>
      <c r="DT6" s="30"/>
      <c r="DU6" s="30"/>
      <c r="DV6" s="30"/>
      <c r="DW6" s="30"/>
      <c r="DX6" s="30"/>
      <c r="DY6" s="30"/>
      <c r="DZ6" s="30"/>
      <c r="EA6" s="30"/>
      <c r="EB6" s="30"/>
      <c r="EC6" s="30"/>
      <c r="EH6" s="1970"/>
      <c r="EI6" s="1971"/>
      <c r="EJ6" s="1971"/>
      <c r="EK6" s="1971"/>
      <c r="EL6" s="1970"/>
      <c r="EM6" s="1971"/>
      <c r="EN6" s="1971"/>
      <c r="EO6" s="1981"/>
      <c r="EP6" s="1970"/>
      <c r="EQ6" s="1971"/>
      <c r="ER6" s="1971"/>
      <c r="ES6" s="1971"/>
      <c r="EU6" s="244"/>
      <c r="EV6" s="30"/>
      <c r="EW6" s="30"/>
      <c r="EX6" s="30"/>
      <c r="EY6" s="30"/>
      <c r="EZ6" s="30"/>
      <c r="FA6" s="30"/>
      <c r="FB6" s="30"/>
      <c r="FC6" s="30"/>
      <c r="FD6" s="30"/>
      <c r="FE6" s="30"/>
      <c r="FF6" s="30"/>
      <c r="FG6" s="30"/>
      <c r="FH6" s="30"/>
      <c r="FI6" s="30"/>
      <c r="FJ6" s="30"/>
      <c r="FK6" s="30"/>
      <c r="FL6" s="30"/>
      <c r="FM6" s="30"/>
      <c r="FN6" s="30"/>
      <c r="FO6" s="30"/>
      <c r="FP6" s="30"/>
      <c r="FQ6" s="30"/>
      <c r="FR6" s="30"/>
      <c r="FS6" s="30"/>
      <c r="FT6" s="30"/>
      <c r="FU6" s="30"/>
      <c r="FV6" s="30"/>
    </row>
    <row r="7" spans="1:178" ht="7.5" customHeight="1" x14ac:dyDescent="0.25">
      <c r="A7" s="17"/>
      <c r="B7" s="17"/>
      <c r="C7" s="17"/>
      <c r="D7" s="17"/>
      <c r="E7" s="17"/>
      <c r="F7" s="17"/>
      <c r="G7" s="17"/>
      <c r="H7" s="17"/>
      <c r="I7" s="17"/>
      <c r="J7" s="17"/>
      <c r="K7" s="17"/>
      <c r="L7" s="17"/>
      <c r="M7" s="17"/>
      <c r="N7" s="17"/>
      <c r="O7" s="17"/>
      <c r="P7" s="17"/>
      <c r="Q7" s="1925"/>
      <c r="R7" s="741"/>
      <c r="S7" s="741"/>
      <c r="T7" s="741"/>
      <c r="U7" s="1926"/>
      <c r="V7" s="17"/>
      <c r="W7" s="1925"/>
      <c r="X7" s="741"/>
      <c r="Y7" s="741"/>
      <c r="Z7" s="741"/>
      <c r="AA7" s="1926"/>
      <c r="AB7" s="30"/>
      <c r="AC7" s="165"/>
      <c r="AD7" s="165"/>
      <c r="AE7" s="165"/>
      <c r="AF7" s="17"/>
      <c r="AG7" s="1980"/>
      <c r="AH7" s="1747"/>
      <c r="AI7" s="1747"/>
      <c r="AJ7" s="1747"/>
      <c r="AK7" s="1980"/>
      <c r="AL7" s="1747"/>
      <c r="AM7" s="1747"/>
      <c r="AN7" s="1982"/>
      <c r="AO7" s="1972"/>
      <c r="AP7" s="1973"/>
      <c r="AQ7" s="1973"/>
      <c r="AR7" s="1973"/>
      <c r="AT7" s="17"/>
      <c r="AU7" s="17"/>
      <c r="AV7" s="17"/>
      <c r="AW7" s="17"/>
      <c r="AX7" s="17"/>
      <c r="AY7" s="17"/>
      <c r="AZ7" s="17"/>
      <c r="BA7" s="17"/>
      <c r="BB7" s="17"/>
      <c r="BC7" s="17"/>
      <c r="BD7" s="17"/>
      <c r="BE7" s="17"/>
      <c r="BF7" s="17"/>
      <c r="BG7" s="17"/>
      <c r="BH7" s="17"/>
      <c r="BI7" s="17"/>
      <c r="BJ7" s="1925"/>
      <c r="BK7" s="741"/>
      <c r="BL7" s="741"/>
      <c r="BM7" s="741"/>
      <c r="BN7" s="1926"/>
      <c r="BO7" s="17"/>
      <c r="BP7" s="1925"/>
      <c r="BQ7" s="741"/>
      <c r="BR7" s="741"/>
      <c r="BS7" s="741"/>
      <c r="BT7" s="1926"/>
      <c r="BU7" s="30"/>
      <c r="BV7" s="165"/>
      <c r="BW7" s="165"/>
      <c r="BX7" s="165"/>
      <c r="BY7" s="17"/>
      <c r="BZ7" s="1980"/>
      <c r="CA7" s="1747"/>
      <c r="CB7" s="1747"/>
      <c r="CC7" s="1747"/>
      <c r="CD7" s="1980"/>
      <c r="CE7" s="1747"/>
      <c r="CF7" s="1747"/>
      <c r="CG7" s="1982"/>
      <c r="CH7" s="1972"/>
      <c r="CI7" s="1973"/>
      <c r="CJ7" s="1973"/>
      <c r="CK7" s="1973"/>
      <c r="CP7" s="2022"/>
      <c r="CQ7" s="2022"/>
      <c r="CR7" s="2022"/>
      <c r="CS7" s="2022"/>
      <c r="CT7" s="2022"/>
      <c r="CU7" s="2022"/>
      <c r="CV7" s="2022"/>
      <c r="CW7" s="2022"/>
      <c r="CX7" s="2022"/>
      <c r="CY7" s="2022"/>
      <c r="CZ7" s="2022"/>
      <c r="DA7" s="2022"/>
      <c r="DB7" s="2022"/>
      <c r="DC7" s="2022"/>
      <c r="DD7" s="2022"/>
      <c r="DE7" s="2022"/>
      <c r="DF7" s="2022"/>
      <c r="DG7" s="2022"/>
      <c r="DH7" s="2022"/>
      <c r="DI7" s="2022"/>
      <c r="DQ7" s="244"/>
      <c r="DR7" s="30"/>
      <c r="DS7" s="30"/>
      <c r="DT7" s="30"/>
      <c r="DU7" s="30"/>
      <c r="DV7" s="30"/>
      <c r="DW7" s="30"/>
      <c r="DX7" s="30"/>
      <c r="DY7" s="30"/>
      <c r="DZ7" s="30"/>
      <c r="EA7" s="30"/>
      <c r="EB7" s="30"/>
      <c r="EC7" s="30"/>
      <c r="ED7" s="165"/>
      <c r="EE7" s="165"/>
      <c r="EF7" s="165"/>
      <c r="EH7" s="1980"/>
      <c r="EI7" s="1747"/>
      <c r="EJ7" s="1747"/>
      <c r="EK7" s="1747"/>
      <c r="EL7" s="1980"/>
      <c r="EM7" s="1747"/>
      <c r="EN7" s="1747"/>
      <c r="EO7" s="1982"/>
      <c r="EP7" s="1972"/>
      <c r="EQ7" s="1973"/>
      <c r="ER7" s="1973"/>
      <c r="ES7" s="1973"/>
      <c r="EU7" s="244"/>
      <c r="EV7" s="30"/>
      <c r="EW7" s="30"/>
      <c r="EX7" s="30"/>
      <c r="EY7" s="30"/>
      <c r="EZ7" s="30"/>
      <c r="FA7" s="30"/>
      <c r="FB7" s="30"/>
      <c r="FC7" s="30"/>
      <c r="FD7" s="30"/>
      <c r="FE7" s="30"/>
      <c r="FF7" s="30"/>
      <c r="FG7" s="30"/>
      <c r="FH7" s="30"/>
      <c r="FI7" s="30"/>
      <c r="FJ7" s="30"/>
      <c r="FK7" s="30"/>
      <c r="FL7" s="30"/>
      <c r="FM7" s="30"/>
      <c r="FN7" s="30"/>
      <c r="FO7" s="30"/>
      <c r="FP7" s="30"/>
      <c r="FQ7" s="30"/>
      <c r="FR7" s="30"/>
      <c r="FS7" s="30"/>
      <c r="FT7" s="30"/>
      <c r="FU7" s="30"/>
      <c r="FV7" s="30"/>
    </row>
    <row r="8" spans="1:178" ht="7.5" customHeight="1" x14ac:dyDescent="0.25">
      <c r="A8" s="17"/>
      <c r="B8" s="17"/>
      <c r="C8" s="17"/>
      <c r="D8" s="17"/>
      <c r="E8" s="17"/>
      <c r="F8" s="17"/>
      <c r="G8" s="17"/>
      <c r="H8" s="17"/>
      <c r="I8" s="17"/>
      <c r="J8" s="17"/>
      <c r="K8" s="17"/>
      <c r="L8" s="17"/>
      <c r="M8" s="17"/>
      <c r="N8" s="17"/>
      <c r="O8" s="17"/>
      <c r="P8" s="17"/>
      <c r="Q8" s="1927"/>
      <c r="R8" s="1928"/>
      <c r="S8" s="1928"/>
      <c r="T8" s="1928"/>
      <c r="U8" s="1929"/>
      <c r="V8" s="17"/>
      <c r="W8" s="1927"/>
      <c r="X8" s="1928"/>
      <c r="Y8" s="1928"/>
      <c r="Z8" s="1928"/>
      <c r="AA8" s="1929"/>
      <c r="AB8" s="30"/>
      <c r="AC8" s="30"/>
      <c r="AD8" s="17"/>
      <c r="AE8" s="17"/>
      <c r="AF8" s="30"/>
      <c r="AG8" s="30"/>
      <c r="AH8" s="30"/>
      <c r="AI8" s="30"/>
      <c r="AJ8" s="30"/>
      <c r="AK8" s="30"/>
      <c r="AL8" s="30"/>
      <c r="AM8" s="30"/>
      <c r="AN8" s="30"/>
      <c r="AO8" s="30"/>
      <c r="AP8" s="30"/>
      <c r="AQ8" s="30"/>
      <c r="AR8" s="17"/>
      <c r="AT8" s="17"/>
      <c r="AU8" s="17"/>
      <c r="AV8" s="17"/>
      <c r="AW8" s="17"/>
      <c r="AX8" s="17"/>
      <c r="AY8" s="17"/>
      <c r="AZ8" s="17"/>
      <c r="BA8" s="17"/>
      <c r="BB8" s="17"/>
      <c r="BC8" s="17"/>
      <c r="BD8" s="17"/>
      <c r="BE8" s="17"/>
      <c r="BF8" s="17"/>
      <c r="BG8" s="17"/>
      <c r="BH8" s="17"/>
      <c r="BI8" s="17"/>
      <c r="BJ8" s="1927"/>
      <c r="BK8" s="1928"/>
      <c r="BL8" s="1928"/>
      <c r="BM8" s="1928"/>
      <c r="BN8" s="1929"/>
      <c r="BO8" s="17"/>
      <c r="BP8" s="1927"/>
      <c r="BQ8" s="1928"/>
      <c r="BR8" s="1928"/>
      <c r="BS8" s="1928"/>
      <c r="BT8" s="1929"/>
      <c r="BU8" s="30"/>
      <c r="BV8" s="30"/>
      <c r="BW8" s="17"/>
      <c r="BX8" s="17"/>
      <c r="BY8" s="30"/>
      <c r="BZ8" s="30"/>
      <c r="CA8" s="30"/>
      <c r="CB8" s="30"/>
      <c r="CC8" s="30"/>
      <c r="CD8" s="30"/>
      <c r="CE8" s="30"/>
      <c r="CF8" s="30"/>
      <c r="CG8" s="30"/>
      <c r="CH8" s="30"/>
      <c r="CI8" s="30"/>
      <c r="CJ8" s="30"/>
      <c r="CK8" s="17"/>
      <c r="CP8" s="2012"/>
      <c r="CQ8" s="2013"/>
      <c r="CR8" s="2013"/>
      <c r="CS8" s="2013"/>
      <c r="CT8" s="2014"/>
      <c r="CU8" s="2012"/>
      <c r="CV8" s="2013"/>
      <c r="CW8" s="2013"/>
      <c r="CX8" s="2013"/>
      <c r="CY8" s="2014"/>
      <c r="CZ8" s="2012"/>
      <c r="DA8" s="2013"/>
      <c r="DB8" s="2013"/>
      <c r="DC8" s="2013"/>
      <c r="DD8" s="2014"/>
      <c r="DE8" s="2012"/>
      <c r="DF8" s="2013"/>
      <c r="DG8" s="2013"/>
      <c r="DH8" s="2013"/>
      <c r="DI8" s="2014"/>
      <c r="DQ8" s="244"/>
      <c r="DR8" s="30"/>
      <c r="DS8" s="30"/>
      <c r="DT8" s="30"/>
      <c r="DU8" s="30"/>
      <c r="DV8" s="30"/>
      <c r="DW8" s="30"/>
      <c r="DX8" s="30"/>
      <c r="DY8" s="30"/>
      <c r="DZ8" s="30"/>
      <c r="EA8" s="30"/>
      <c r="EB8" s="30"/>
      <c r="EC8" s="30"/>
      <c r="ED8" s="1968" t="s">
        <v>33</v>
      </c>
      <c r="EE8" s="1968"/>
      <c r="EF8" s="1968"/>
      <c r="EG8" s="1968"/>
      <c r="EH8" s="1968"/>
      <c r="EI8" s="1968"/>
      <c r="EJ8" s="1968"/>
      <c r="EK8" s="1968"/>
      <c r="EL8" s="1968"/>
      <c r="EM8" s="1968"/>
      <c r="EN8" s="1968"/>
      <c r="EO8" s="1968"/>
      <c r="EP8" s="1968"/>
      <c r="EQ8" s="1968"/>
      <c r="ER8" s="1968"/>
      <c r="ES8" s="1968"/>
      <c r="EU8" s="244"/>
      <c r="EV8" s="30"/>
      <c r="EW8" s="30"/>
      <c r="EX8" s="30"/>
      <c r="EY8" s="30"/>
      <c r="EZ8" s="30"/>
      <c r="FA8" s="30"/>
      <c r="FB8" s="30"/>
      <c r="FC8" s="30"/>
      <c r="FD8" s="30"/>
      <c r="FE8" s="30"/>
      <c r="FF8" s="30"/>
      <c r="FG8" s="30"/>
      <c r="FH8" s="30"/>
      <c r="FI8" s="30"/>
      <c r="FJ8" s="30"/>
      <c r="FK8" s="30"/>
      <c r="FL8" s="30"/>
      <c r="FM8" s="30"/>
      <c r="FN8" s="30"/>
      <c r="FO8" s="30"/>
      <c r="FP8" s="30"/>
      <c r="FQ8" s="30"/>
      <c r="FR8" s="30"/>
      <c r="FS8" s="30"/>
      <c r="FT8" s="30"/>
      <c r="FU8" s="30"/>
      <c r="FV8" s="30"/>
    </row>
    <row r="9" spans="1:178" ht="7.5" customHeight="1" x14ac:dyDescent="0.25">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30"/>
      <c r="AC9" s="1968" t="s">
        <v>33</v>
      </c>
      <c r="AD9" s="1968"/>
      <c r="AE9" s="1968"/>
      <c r="AF9" s="1968"/>
      <c r="AG9" s="1968"/>
      <c r="AH9" s="1968"/>
      <c r="AI9" s="1968"/>
      <c r="AJ9" s="1968"/>
      <c r="AK9" s="1968"/>
      <c r="AL9" s="1968"/>
      <c r="AM9" s="1968"/>
      <c r="AN9" s="1968"/>
      <c r="AO9" s="1968"/>
      <c r="AP9" s="1968"/>
      <c r="AQ9" s="1968"/>
      <c r="AR9" s="1968"/>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30"/>
      <c r="BV9" s="1968" t="s">
        <v>33</v>
      </c>
      <c r="BW9" s="1968"/>
      <c r="BX9" s="1968"/>
      <c r="BY9" s="1968"/>
      <c r="BZ9" s="1968"/>
      <c r="CA9" s="1968"/>
      <c r="CB9" s="1968"/>
      <c r="CC9" s="1968"/>
      <c r="CD9" s="1968"/>
      <c r="CE9" s="1968"/>
      <c r="CF9" s="1968"/>
      <c r="CG9" s="1968"/>
      <c r="CH9" s="1968"/>
      <c r="CI9" s="1968"/>
      <c r="CJ9" s="1968"/>
      <c r="CK9" s="1968"/>
      <c r="CP9" s="1972"/>
      <c r="CQ9" s="1973"/>
      <c r="CR9" s="1973"/>
      <c r="CS9" s="1973"/>
      <c r="CT9" s="2015"/>
      <c r="CU9" s="1972"/>
      <c r="CV9" s="1973"/>
      <c r="CW9" s="1973"/>
      <c r="CX9" s="1973"/>
      <c r="CY9" s="2015"/>
      <c r="CZ9" s="1972"/>
      <c r="DA9" s="1973"/>
      <c r="DB9" s="1973"/>
      <c r="DC9" s="1973"/>
      <c r="DD9" s="2015"/>
      <c r="DE9" s="1972"/>
      <c r="DF9" s="1973"/>
      <c r="DG9" s="1973"/>
      <c r="DH9" s="1973"/>
      <c r="DI9" s="2015"/>
      <c r="DQ9" s="244"/>
      <c r="DR9" s="30"/>
      <c r="DS9" s="30"/>
      <c r="DT9" s="30"/>
      <c r="DU9" s="30"/>
      <c r="DV9" s="30"/>
      <c r="DW9" s="30"/>
      <c r="DX9" s="30"/>
      <c r="DY9" s="30"/>
      <c r="DZ9" s="30"/>
      <c r="EA9" s="30"/>
      <c r="EB9" s="30"/>
      <c r="EC9" s="30"/>
      <c r="ED9" s="1969"/>
      <c r="EE9" s="1969"/>
      <c r="EF9" s="1969"/>
      <c r="EG9" s="1969"/>
      <c r="EH9" s="1969"/>
      <c r="EI9" s="1969"/>
      <c r="EJ9" s="1969"/>
      <c r="EK9" s="1969"/>
      <c r="EL9" s="1969"/>
      <c r="EM9" s="1969"/>
      <c r="EN9" s="1969"/>
      <c r="EO9" s="1969"/>
      <c r="EP9" s="1969"/>
      <c r="EQ9" s="1969"/>
      <c r="ER9" s="1969"/>
      <c r="ES9" s="1969"/>
      <c r="EU9" s="244"/>
      <c r="EV9" s="30"/>
      <c r="EW9" s="30"/>
      <c r="EX9" s="30"/>
      <c r="EY9" s="30"/>
      <c r="EZ9" s="30"/>
      <c r="FA9" s="30"/>
      <c r="FB9" s="30"/>
      <c r="FC9" s="30"/>
      <c r="FD9" s="30"/>
      <c r="FE9" s="30"/>
      <c r="FF9" s="30"/>
      <c r="FG9" s="30"/>
      <c r="FH9" s="30"/>
      <c r="FI9" s="30"/>
      <c r="FJ9" s="30"/>
      <c r="FK9" s="30"/>
      <c r="FL9" s="30"/>
      <c r="FM9" s="30"/>
      <c r="FN9" s="30"/>
      <c r="FO9" s="30"/>
      <c r="FP9" s="30"/>
      <c r="FQ9" s="30"/>
      <c r="FR9" s="30"/>
      <c r="FS9" s="30"/>
      <c r="FT9" s="30"/>
      <c r="FU9" s="30"/>
      <c r="FV9" s="30"/>
    </row>
    <row r="10" spans="1:178" ht="7.5" customHeight="1" x14ac:dyDescent="0.25">
      <c r="A10" s="1086" t="s">
        <v>85</v>
      </c>
      <c r="B10" s="1932"/>
      <c r="C10" s="1932"/>
      <c r="D10" s="267"/>
      <c r="E10" s="267"/>
      <c r="F10" s="267"/>
      <c r="G10" s="267"/>
      <c r="H10" s="267"/>
      <c r="I10" s="267"/>
      <c r="J10" s="267"/>
      <c r="K10" s="267"/>
      <c r="L10" s="267"/>
      <c r="M10" s="267"/>
      <c r="N10" s="268"/>
      <c r="O10" s="252" t="s">
        <v>89</v>
      </c>
      <c r="P10" s="253"/>
      <c r="Q10" s="253"/>
      <c r="R10" s="253"/>
      <c r="S10" s="254"/>
      <c r="T10" s="254"/>
      <c r="U10" s="255"/>
      <c r="V10" s="249" t="s">
        <v>88</v>
      </c>
      <c r="W10" s="250"/>
      <c r="X10" s="250"/>
      <c r="Y10" s="250"/>
      <c r="Z10" s="250"/>
      <c r="AA10" s="251"/>
      <c r="AB10" s="30"/>
      <c r="AC10" s="1969"/>
      <c r="AD10" s="1969"/>
      <c r="AE10" s="1969"/>
      <c r="AF10" s="1969"/>
      <c r="AG10" s="1969"/>
      <c r="AH10" s="1969"/>
      <c r="AI10" s="1969"/>
      <c r="AJ10" s="1969"/>
      <c r="AK10" s="1969"/>
      <c r="AL10" s="1969"/>
      <c r="AM10" s="1969"/>
      <c r="AN10" s="1969"/>
      <c r="AO10" s="1969"/>
      <c r="AP10" s="1969"/>
      <c r="AQ10" s="1969"/>
      <c r="AR10" s="1969"/>
      <c r="AT10" s="1086" t="s">
        <v>85</v>
      </c>
      <c r="AU10" s="1932"/>
      <c r="AV10" s="1932"/>
      <c r="AW10" s="267"/>
      <c r="AX10" s="267"/>
      <c r="AY10" s="267"/>
      <c r="AZ10" s="267"/>
      <c r="BA10" s="267"/>
      <c r="BB10" s="267"/>
      <c r="BC10" s="267"/>
      <c r="BD10" s="267"/>
      <c r="BE10" s="267"/>
      <c r="BF10" s="267"/>
      <c r="BG10" s="268"/>
      <c r="BH10" s="252" t="s">
        <v>89</v>
      </c>
      <c r="BI10" s="253"/>
      <c r="BJ10" s="253"/>
      <c r="BK10" s="253"/>
      <c r="BL10" s="254"/>
      <c r="BM10" s="254"/>
      <c r="BN10" s="255"/>
      <c r="BO10" s="249" t="s">
        <v>88</v>
      </c>
      <c r="BP10" s="250"/>
      <c r="BQ10" s="250"/>
      <c r="BR10" s="250"/>
      <c r="BS10" s="250"/>
      <c r="BT10" s="251"/>
      <c r="BU10" s="30"/>
      <c r="BV10" s="1969"/>
      <c r="BW10" s="1969"/>
      <c r="BX10" s="1969"/>
      <c r="BY10" s="1969"/>
      <c r="BZ10" s="1969"/>
      <c r="CA10" s="1969"/>
      <c r="CB10" s="1969"/>
      <c r="CC10" s="1969"/>
      <c r="CD10" s="1969"/>
      <c r="CE10" s="1969"/>
      <c r="CF10" s="1969"/>
      <c r="CG10" s="1969"/>
      <c r="CH10" s="1969"/>
      <c r="CI10" s="1969"/>
      <c r="CJ10" s="1969"/>
      <c r="CK10" s="1969"/>
      <c r="CP10" s="1980"/>
      <c r="CQ10" s="2016"/>
      <c r="CR10" s="2016"/>
      <c r="CS10" s="2016"/>
      <c r="CT10" s="2017"/>
      <c r="CU10" s="1980"/>
      <c r="CV10" s="2016"/>
      <c r="CW10" s="2016"/>
      <c r="CX10" s="2016"/>
      <c r="CY10" s="2017"/>
      <c r="CZ10" s="1980"/>
      <c r="DA10" s="2016"/>
      <c r="DB10" s="2016"/>
      <c r="DC10" s="2016"/>
      <c r="DD10" s="2017"/>
      <c r="DE10" s="1980"/>
      <c r="DF10" s="2016"/>
      <c r="DG10" s="2016"/>
      <c r="DH10" s="2016"/>
      <c r="DI10" s="2017"/>
      <c r="DQ10" s="244"/>
      <c r="DR10" s="30"/>
      <c r="DS10" s="30"/>
      <c r="DT10" s="30"/>
      <c r="DU10" s="30"/>
      <c r="DV10" s="30"/>
      <c r="DW10" s="30"/>
      <c r="DX10" s="30"/>
      <c r="DY10" s="30"/>
      <c r="DZ10" s="30"/>
      <c r="EA10" s="30"/>
      <c r="EB10" s="30"/>
      <c r="EC10" s="30"/>
      <c r="ED10" s="1970"/>
      <c r="EE10" s="1971"/>
      <c r="EF10" s="1971"/>
      <c r="EG10" s="1971"/>
      <c r="EH10" s="1970"/>
      <c r="EI10" s="1971"/>
      <c r="EJ10" s="1971"/>
      <c r="EK10" s="1971"/>
      <c r="EL10" s="1970"/>
      <c r="EM10" s="1971"/>
      <c r="EN10" s="1971"/>
      <c r="EO10" s="1971"/>
      <c r="EP10" s="1970"/>
      <c r="EQ10" s="1971"/>
      <c r="ER10" s="1971"/>
      <c r="ES10" s="1981"/>
      <c r="EU10" s="244"/>
      <c r="EV10" s="30"/>
      <c r="EW10" s="30"/>
      <c r="EX10" s="30"/>
      <c r="EY10" s="30"/>
      <c r="EZ10" s="30"/>
      <c r="FA10" s="30"/>
      <c r="FB10" s="30"/>
      <c r="FC10" s="30"/>
      <c r="FD10" s="30"/>
      <c r="FE10" s="30"/>
      <c r="FF10" s="30"/>
      <c r="FG10" s="30"/>
      <c r="FH10" s="30"/>
      <c r="FI10" s="30"/>
      <c r="FJ10" s="30"/>
      <c r="FK10" s="30"/>
      <c r="FL10" s="30"/>
      <c r="FM10" s="30"/>
      <c r="FN10" s="30"/>
      <c r="FO10" s="30"/>
      <c r="FP10" s="30"/>
      <c r="FQ10" s="30"/>
      <c r="FR10" s="30"/>
      <c r="FS10" s="30"/>
      <c r="FT10" s="30"/>
      <c r="FU10" s="30"/>
      <c r="FV10" s="30"/>
    </row>
    <row r="11" spans="1:178" ht="7.5" customHeight="1" x14ac:dyDescent="0.25">
      <c r="A11" s="950"/>
      <c r="B11" s="951"/>
      <c r="C11" s="951"/>
      <c r="D11" s="951"/>
      <c r="E11" s="951"/>
      <c r="F11" s="951"/>
      <c r="G11" s="951"/>
      <c r="H11" s="951"/>
      <c r="I11" s="951"/>
      <c r="J11" s="951"/>
      <c r="K11" s="951"/>
      <c r="L11" s="951"/>
      <c r="M11" s="951"/>
      <c r="N11" s="951"/>
      <c r="O11" s="981"/>
      <c r="P11" s="982"/>
      <c r="Q11" s="982"/>
      <c r="R11" s="982"/>
      <c r="S11" s="982"/>
      <c r="T11" s="982"/>
      <c r="U11" s="1935"/>
      <c r="V11" s="1939"/>
      <c r="W11" s="1081"/>
      <c r="X11" s="1081"/>
      <c r="Y11" s="1081"/>
      <c r="Z11" s="1081"/>
      <c r="AA11" s="1940"/>
      <c r="AB11" s="30"/>
      <c r="AC11" s="1970"/>
      <c r="AD11" s="1971"/>
      <c r="AE11" s="1971"/>
      <c r="AF11" s="1971"/>
      <c r="AG11" s="1970"/>
      <c r="AH11" s="1971"/>
      <c r="AI11" s="1971"/>
      <c r="AJ11" s="1971"/>
      <c r="AK11" s="1970"/>
      <c r="AL11" s="1971"/>
      <c r="AM11" s="1971"/>
      <c r="AN11" s="1971"/>
      <c r="AO11" s="1970"/>
      <c r="AP11" s="1971"/>
      <c r="AQ11" s="1971"/>
      <c r="AR11" s="1981"/>
      <c r="AT11" s="950"/>
      <c r="AU11" s="951"/>
      <c r="AV11" s="951"/>
      <c r="AW11" s="951"/>
      <c r="AX11" s="951"/>
      <c r="AY11" s="951"/>
      <c r="AZ11" s="951"/>
      <c r="BA11" s="951"/>
      <c r="BB11" s="951"/>
      <c r="BC11" s="951"/>
      <c r="BD11" s="951"/>
      <c r="BE11" s="951"/>
      <c r="BF11" s="951"/>
      <c r="BG11" s="951"/>
      <c r="BH11" s="981"/>
      <c r="BI11" s="982"/>
      <c r="BJ11" s="982"/>
      <c r="BK11" s="982"/>
      <c r="BL11" s="982"/>
      <c r="BM11" s="982"/>
      <c r="BN11" s="1935"/>
      <c r="BO11" s="1939"/>
      <c r="BP11" s="1081"/>
      <c r="BQ11" s="1081"/>
      <c r="BR11" s="1081"/>
      <c r="BS11" s="1081"/>
      <c r="BT11" s="1940"/>
      <c r="BU11" s="30"/>
      <c r="BV11" s="1970"/>
      <c r="BW11" s="1971"/>
      <c r="BX11" s="1971"/>
      <c r="BY11" s="1971"/>
      <c r="BZ11" s="1970"/>
      <c r="CA11" s="1971"/>
      <c r="CB11" s="1971"/>
      <c r="CC11" s="1971"/>
      <c r="CD11" s="1970"/>
      <c r="CE11" s="1971"/>
      <c r="CF11" s="1971"/>
      <c r="CG11" s="1971"/>
      <c r="CH11" s="1970"/>
      <c r="CI11" s="1971"/>
      <c r="CJ11" s="1971"/>
      <c r="CK11" s="1981"/>
      <c r="CP11" s="1987" t="s">
        <v>34</v>
      </c>
      <c r="CQ11" s="1988"/>
      <c r="CR11" s="1988"/>
      <c r="CS11" s="1988"/>
      <c r="CT11" s="1989"/>
      <c r="CU11" s="1987" t="s">
        <v>440</v>
      </c>
      <c r="CV11" s="1988"/>
      <c r="CW11" s="1988"/>
      <c r="CX11" s="1988"/>
      <c r="CY11" s="1989"/>
      <c r="CZ11" s="1987" t="s">
        <v>17</v>
      </c>
      <c r="DA11" s="1988"/>
      <c r="DB11" s="1988"/>
      <c r="DC11" s="1988"/>
      <c r="DD11" s="1989"/>
      <c r="DE11" s="1987" t="s">
        <v>46</v>
      </c>
      <c r="DF11" s="1988"/>
      <c r="DG11" s="1988"/>
      <c r="DH11" s="1988"/>
      <c r="DI11" s="1989"/>
      <c r="DQ11" s="244"/>
      <c r="DR11" s="30"/>
      <c r="DS11" s="30"/>
      <c r="DT11" s="30"/>
      <c r="DU11" s="30"/>
      <c r="DV11" s="30"/>
      <c r="DW11" s="30"/>
      <c r="DX11" s="30"/>
      <c r="DY11" s="30"/>
      <c r="DZ11" s="30"/>
      <c r="EA11" s="30"/>
      <c r="EB11" s="30"/>
      <c r="EC11" s="30"/>
      <c r="ED11" s="1972"/>
      <c r="EE11" s="1973"/>
      <c r="EF11" s="1973"/>
      <c r="EG11" s="1973"/>
      <c r="EH11" s="1972"/>
      <c r="EI11" s="1973"/>
      <c r="EJ11" s="1973"/>
      <c r="EK11" s="1973"/>
      <c r="EL11" s="1972"/>
      <c r="EM11" s="1973"/>
      <c r="EN11" s="1973"/>
      <c r="EO11" s="1973"/>
      <c r="EP11" s="1980"/>
      <c r="EQ11" s="1747"/>
      <c r="ER11" s="1747"/>
      <c r="ES11" s="1982"/>
      <c r="EU11" s="244"/>
      <c r="EV11" s="30"/>
      <c r="EW11" s="30"/>
      <c r="EX11" s="30"/>
      <c r="EY11" s="30"/>
      <c r="EZ11" s="30"/>
      <c r="FA11" s="30"/>
      <c r="FB11" s="30"/>
      <c r="FC11" s="30"/>
      <c r="FD11" s="30"/>
      <c r="FE11" s="30"/>
      <c r="FF11" s="30"/>
      <c r="FG11" s="30"/>
      <c r="FH11" s="30"/>
      <c r="FI11" s="30"/>
      <c r="FJ11" s="30"/>
      <c r="FK11" s="30"/>
      <c r="FL11" s="30"/>
      <c r="FM11" s="30"/>
      <c r="FN11" s="30"/>
      <c r="FO11" s="30"/>
      <c r="FP11" s="30"/>
      <c r="FQ11" s="30"/>
      <c r="FR11" s="30"/>
      <c r="FS11" s="30"/>
      <c r="FT11" s="30"/>
      <c r="FU11" s="30"/>
      <c r="FV11" s="30"/>
    </row>
    <row r="12" spans="1:178" ht="7.5" customHeight="1" x14ac:dyDescent="0.25">
      <c r="A12" s="1933"/>
      <c r="B12" s="1934"/>
      <c r="C12" s="1934"/>
      <c r="D12" s="1934"/>
      <c r="E12" s="1934"/>
      <c r="F12" s="1934"/>
      <c r="G12" s="1934"/>
      <c r="H12" s="1934"/>
      <c r="I12" s="1934"/>
      <c r="J12" s="1934"/>
      <c r="K12" s="1934"/>
      <c r="L12" s="1934"/>
      <c r="M12" s="1934"/>
      <c r="N12" s="1934"/>
      <c r="O12" s="1936"/>
      <c r="P12" s="1937"/>
      <c r="Q12" s="1937"/>
      <c r="R12" s="1937"/>
      <c r="S12" s="1937"/>
      <c r="T12" s="1937"/>
      <c r="U12" s="1938"/>
      <c r="V12" s="1941"/>
      <c r="W12" s="1942"/>
      <c r="X12" s="1942"/>
      <c r="Y12" s="1942"/>
      <c r="Z12" s="1942"/>
      <c r="AA12" s="1943"/>
      <c r="AB12" s="30"/>
      <c r="AC12" s="1972"/>
      <c r="AD12" s="1973"/>
      <c r="AE12" s="1973"/>
      <c r="AF12" s="1973"/>
      <c r="AG12" s="1972"/>
      <c r="AH12" s="1973"/>
      <c r="AI12" s="1973"/>
      <c r="AJ12" s="1973"/>
      <c r="AK12" s="1972"/>
      <c r="AL12" s="1973"/>
      <c r="AM12" s="1973"/>
      <c r="AN12" s="1973"/>
      <c r="AO12" s="1980"/>
      <c r="AP12" s="1747"/>
      <c r="AQ12" s="1747"/>
      <c r="AR12" s="1982"/>
      <c r="AT12" s="1933"/>
      <c r="AU12" s="1934"/>
      <c r="AV12" s="1934"/>
      <c r="AW12" s="1934"/>
      <c r="AX12" s="1934"/>
      <c r="AY12" s="1934"/>
      <c r="AZ12" s="1934"/>
      <c r="BA12" s="1934"/>
      <c r="BB12" s="1934"/>
      <c r="BC12" s="1934"/>
      <c r="BD12" s="1934"/>
      <c r="BE12" s="1934"/>
      <c r="BF12" s="1934"/>
      <c r="BG12" s="1934"/>
      <c r="BH12" s="1936"/>
      <c r="BI12" s="1937"/>
      <c r="BJ12" s="1937"/>
      <c r="BK12" s="1937"/>
      <c r="BL12" s="1937"/>
      <c r="BM12" s="1937"/>
      <c r="BN12" s="1938"/>
      <c r="BO12" s="1941"/>
      <c r="BP12" s="1942"/>
      <c r="BQ12" s="1942"/>
      <c r="BR12" s="1942"/>
      <c r="BS12" s="1942"/>
      <c r="BT12" s="1943"/>
      <c r="BU12" s="30"/>
      <c r="BV12" s="1972"/>
      <c r="BW12" s="1973"/>
      <c r="BX12" s="1973"/>
      <c r="BY12" s="1973"/>
      <c r="BZ12" s="1972"/>
      <c r="CA12" s="1973"/>
      <c r="CB12" s="1973"/>
      <c r="CC12" s="1973"/>
      <c r="CD12" s="1972"/>
      <c r="CE12" s="1973"/>
      <c r="CF12" s="1973"/>
      <c r="CG12" s="1973"/>
      <c r="CH12" s="1980"/>
      <c r="CI12" s="1747"/>
      <c r="CJ12" s="1747"/>
      <c r="CK12" s="1982"/>
      <c r="CP12" s="165"/>
      <c r="CQ12" s="165"/>
      <c r="CR12" s="165"/>
      <c r="CS12" s="165"/>
      <c r="CT12" s="166"/>
      <c r="CU12" s="2012" t="s">
        <v>28</v>
      </c>
      <c r="CV12" s="2013"/>
      <c r="CW12" s="2013"/>
      <c r="CX12" s="2013"/>
      <c r="CY12" s="2014"/>
      <c r="CZ12" s="2012" t="s">
        <v>28</v>
      </c>
      <c r="DA12" s="2013"/>
      <c r="DB12" s="2013"/>
      <c r="DC12" s="2013"/>
      <c r="DD12" s="2014"/>
      <c r="DE12" s="2012"/>
      <c r="DF12" s="2013"/>
      <c r="DG12" s="2013"/>
      <c r="DH12" s="2013"/>
      <c r="DI12" s="2014"/>
      <c r="DQ12" s="244"/>
      <c r="DR12" s="30"/>
      <c r="DS12" s="30"/>
      <c r="DT12" s="30"/>
      <c r="DU12" s="30"/>
      <c r="DV12" s="30"/>
      <c r="DW12" s="30"/>
      <c r="DX12" s="30"/>
      <c r="DY12" s="30"/>
      <c r="DZ12" s="30"/>
      <c r="EA12" s="30"/>
      <c r="EB12" s="30"/>
      <c r="EC12" s="30"/>
      <c r="ED12" s="1987" t="s">
        <v>439</v>
      </c>
      <c r="EE12" s="1988"/>
      <c r="EF12" s="1988"/>
      <c r="EG12" s="1988"/>
      <c r="EH12" s="1987" t="s">
        <v>80</v>
      </c>
      <c r="EI12" s="1988"/>
      <c r="EJ12" s="1988"/>
      <c r="EK12" s="1988"/>
      <c r="EL12" s="1987" t="s">
        <v>53</v>
      </c>
      <c r="EM12" s="1988"/>
      <c r="EN12" s="1988"/>
      <c r="EO12" s="1988"/>
      <c r="EP12" s="1987" t="s">
        <v>49</v>
      </c>
      <c r="EQ12" s="1988"/>
      <c r="ER12" s="1988"/>
      <c r="ES12" s="1989"/>
      <c r="EU12" s="244"/>
      <c r="EV12" s="30"/>
      <c r="EW12" s="30"/>
      <c r="EX12" s="30"/>
      <c r="EY12" s="30"/>
      <c r="EZ12" s="30"/>
      <c r="FA12" s="30"/>
      <c r="FB12" s="30"/>
      <c r="FC12" s="30"/>
      <c r="FD12" s="30"/>
      <c r="FE12" s="30"/>
      <c r="FF12" s="30"/>
      <c r="FG12" s="30"/>
      <c r="FH12" s="30"/>
      <c r="FI12" s="30"/>
      <c r="FJ12" s="30"/>
      <c r="FK12" s="30"/>
      <c r="FL12" s="30"/>
      <c r="FM12" s="30"/>
      <c r="FN12" s="30"/>
      <c r="FO12" s="30"/>
      <c r="FP12" s="30"/>
      <c r="FQ12" s="30"/>
      <c r="FR12" s="30"/>
      <c r="FS12" s="30"/>
      <c r="FT12" s="30"/>
      <c r="FU12" s="30"/>
      <c r="FV12" s="30"/>
    </row>
    <row r="13" spans="1:178" ht="7.5" customHeight="1" x14ac:dyDescent="0.25">
      <c r="A13" s="979" t="s">
        <v>86</v>
      </c>
      <c r="B13" s="980"/>
      <c r="C13" s="980"/>
      <c r="D13" s="980"/>
      <c r="E13" s="980"/>
      <c r="F13" s="980"/>
      <c r="G13" s="980"/>
      <c r="H13" s="980"/>
      <c r="I13" s="980"/>
      <c r="J13" s="980"/>
      <c r="K13" s="980"/>
      <c r="L13" s="980"/>
      <c r="M13" s="980"/>
      <c r="N13" s="980"/>
      <c r="O13" s="980"/>
      <c r="P13" s="980"/>
      <c r="Q13" s="980"/>
      <c r="R13" s="980"/>
      <c r="S13" s="980"/>
      <c r="T13" s="980"/>
      <c r="U13" s="980"/>
      <c r="V13" s="1930" t="s">
        <v>91</v>
      </c>
      <c r="W13" s="1930"/>
      <c r="X13" s="1930"/>
      <c r="Y13" s="1930"/>
      <c r="Z13" s="1930"/>
      <c r="AA13" s="1931"/>
      <c r="AB13" s="30"/>
      <c r="AC13" s="1987" t="s">
        <v>439</v>
      </c>
      <c r="AD13" s="1988"/>
      <c r="AE13" s="1988"/>
      <c r="AF13" s="1988"/>
      <c r="AG13" s="1987" t="s">
        <v>80</v>
      </c>
      <c r="AH13" s="1988"/>
      <c r="AI13" s="1988"/>
      <c r="AJ13" s="1988"/>
      <c r="AK13" s="1987" t="s">
        <v>53</v>
      </c>
      <c r="AL13" s="1988"/>
      <c r="AM13" s="1988"/>
      <c r="AN13" s="1988"/>
      <c r="AO13" s="1987" t="s">
        <v>49</v>
      </c>
      <c r="AP13" s="1988"/>
      <c r="AQ13" s="1988"/>
      <c r="AR13" s="1989"/>
      <c r="AT13" s="979" t="s">
        <v>86</v>
      </c>
      <c r="AU13" s="980"/>
      <c r="AV13" s="980"/>
      <c r="AW13" s="980"/>
      <c r="AX13" s="980"/>
      <c r="AY13" s="980"/>
      <c r="AZ13" s="980"/>
      <c r="BA13" s="980"/>
      <c r="BB13" s="980"/>
      <c r="BC13" s="980"/>
      <c r="BD13" s="980"/>
      <c r="BE13" s="980"/>
      <c r="BF13" s="980"/>
      <c r="BG13" s="980"/>
      <c r="BH13" s="980"/>
      <c r="BI13" s="980"/>
      <c r="BJ13" s="980"/>
      <c r="BK13" s="980"/>
      <c r="BL13" s="980"/>
      <c r="BM13" s="980"/>
      <c r="BN13" s="980"/>
      <c r="BO13" s="1930" t="s">
        <v>91</v>
      </c>
      <c r="BP13" s="1930"/>
      <c r="BQ13" s="1930"/>
      <c r="BR13" s="1930"/>
      <c r="BS13" s="1930"/>
      <c r="BT13" s="1931"/>
      <c r="BU13" s="30"/>
      <c r="BV13" s="1987" t="s">
        <v>439</v>
      </c>
      <c r="BW13" s="1988"/>
      <c r="BX13" s="1988"/>
      <c r="BY13" s="1988"/>
      <c r="BZ13" s="1987" t="s">
        <v>80</v>
      </c>
      <c r="CA13" s="1988"/>
      <c r="CB13" s="1988"/>
      <c r="CC13" s="1988"/>
      <c r="CD13" s="1987" t="s">
        <v>53</v>
      </c>
      <c r="CE13" s="1988"/>
      <c r="CF13" s="1988"/>
      <c r="CG13" s="1988"/>
      <c r="CH13" s="1987" t="s">
        <v>49</v>
      </c>
      <c r="CI13" s="1988"/>
      <c r="CJ13" s="1988"/>
      <c r="CK13" s="1989"/>
      <c r="CP13" s="130"/>
      <c r="CQ13" s="130"/>
      <c r="CR13" s="130"/>
      <c r="CS13" s="130"/>
      <c r="CT13" s="130"/>
      <c r="CU13" s="1972"/>
      <c r="CV13" s="1973"/>
      <c r="CW13" s="1973"/>
      <c r="CX13" s="1973"/>
      <c r="CY13" s="2015"/>
      <c r="CZ13" s="1972"/>
      <c r="DA13" s="1973"/>
      <c r="DB13" s="1973"/>
      <c r="DC13" s="1973"/>
      <c r="DD13" s="2015"/>
      <c r="DE13" s="1972"/>
      <c r="DF13" s="1973"/>
      <c r="DG13" s="1973"/>
      <c r="DH13" s="1973"/>
      <c r="DI13" s="2015"/>
      <c r="DK13" s="130"/>
      <c r="DL13" s="130"/>
      <c r="DM13" s="130"/>
      <c r="DQ13" s="244"/>
      <c r="DR13" s="30"/>
      <c r="DS13" s="30"/>
      <c r="DT13" s="30"/>
      <c r="DU13" s="30"/>
      <c r="DV13" s="30"/>
      <c r="DW13" s="30"/>
      <c r="DX13" s="30"/>
      <c r="DY13" s="30"/>
      <c r="DZ13" s="30"/>
      <c r="EA13" s="30"/>
      <c r="EB13" s="30"/>
      <c r="EC13" s="30"/>
      <c r="ED13" s="17"/>
      <c r="EE13" s="17"/>
      <c r="EF13" s="17"/>
      <c r="EG13" s="17"/>
      <c r="EH13" s="1970"/>
      <c r="EI13" s="1971"/>
      <c r="EJ13" s="1971"/>
      <c r="EK13" s="1971"/>
      <c r="EL13" s="1970"/>
      <c r="EM13" s="1971"/>
      <c r="EN13" s="1971"/>
      <c r="EO13" s="1981"/>
      <c r="EP13" s="1970"/>
      <c r="EQ13" s="1971"/>
      <c r="ER13" s="1971"/>
      <c r="ES13" s="1971"/>
      <c r="EU13" s="244"/>
      <c r="EV13" s="30"/>
      <c r="EW13" s="30"/>
      <c r="EX13" s="30"/>
      <c r="EY13" s="30"/>
      <c r="EZ13" s="30"/>
      <c r="FA13" s="30"/>
      <c r="FB13" s="30"/>
      <c r="FC13" s="30"/>
      <c r="FD13" s="30"/>
      <c r="FE13" s="30"/>
      <c r="FF13" s="30"/>
      <c r="FG13" s="30"/>
      <c r="FH13" s="30"/>
      <c r="FI13" s="30"/>
      <c r="FJ13" s="30"/>
      <c r="FK13" s="30"/>
      <c r="FL13" s="30"/>
      <c r="FM13" s="30"/>
      <c r="FN13" s="30"/>
      <c r="FO13" s="30"/>
      <c r="FP13" s="30"/>
      <c r="FQ13" s="30"/>
      <c r="FR13" s="30"/>
      <c r="FS13" s="30"/>
      <c r="FT13" s="30"/>
      <c r="FU13" s="30"/>
      <c r="FV13" s="30"/>
    </row>
    <row r="14" spans="1:178" ht="7.5" customHeight="1" x14ac:dyDescent="0.25">
      <c r="A14" s="1953"/>
      <c r="B14" s="1954"/>
      <c r="C14" s="1954"/>
      <c r="D14" s="1954"/>
      <c r="E14" s="1954"/>
      <c r="F14" s="1954"/>
      <c r="G14" s="1954"/>
      <c r="H14" s="1954"/>
      <c r="I14" s="1954"/>
      <c r="J14" s="1954"/>
      <c r="K14" s="1954"/>
      <c r="L14" s="1954"/>
      <c r="M14" s="1954"/>
      <c r="N14" s="1954"/>
      <c r="O14" s="1954"/>
      <c r="P14" s="1954"/>
      <c r="Q14" s="1954"/>
      <c r="R14" s="1954"/>
      <c r="S14" s="1954"/>
      <c r="T14" s="1954"/>
      <c r="U14" s="1954"/>
      <c r="V14" s="956"/>
      <c r="W14" s="1945"/>
      <c r="X14" s="1945"/>
      <c r="Y14" s="1945"/>
      <c r="Z14" s="1945"/>
      <c r="AA14" s="958"/>
      <c r="AB14" s="30"/>
      <c r="AC14" s="17"/>
      <c r="AD14" s="17"/>
      <c r="AE14" s="17"/>
      <c r="AF14" s="17"/>
      <c r="AG14" s="1970"/>
      <c r="AH14" s="1971"/>
      <c r="AI14" s="1971"/>
      <c r="AJ14" s="1971"/>
      <c r="AK14" s="1970"/>
      <c r="AL14" s="1971"/>
      <c r="AM14" s="1971"/>
      <c r="AN14" s="1981"/>
      <c r="AO14" s="1970"/>
      <c r="AP14" s="1971"/>
      <c r="AQ14" s="1971"/>
      <c r="AR14" s="1971"/>
      <c r="AT14" s="1953"/>
      <c r="AU14" s="1954"/>
      <c r="AV14" s="1954"/>
      <c r="AW14" s="1954"/>
      <c r="AX14" s="1954"/>
      <c r="AY14" s="1954"/>
      <c r="AZ14" s="1954"/>
      <c r="BA14" s="1954"/>
      <c r="BB14" s="1954"/>
      <c r="BC14" s="1954"/>
      <c r="BD14" s="1954"/>
      <c r="BE14" s="1954"/>
      <c r="BF14" s="1954"/>
      <c r="BG14" s="1954"/>
      <c r="BH14" s="1954"/>
      <c r="BI14" s="1954"/>
      <c r="BJ14" s="1954"/>
      <c r="BK14" s="1954"/>
      <c r="BL14" s="1954"/>
      <c r="BM14" s="1954"/>
      <c r="BN14" s="1954"/>
      <c r="BO14" s="956"/>
      <c r="BP14" s="1945"/>
      <c r="BQ14" s="1945"/>
      <c r="BR14" s="1945"/>
      <c r="BS14" s="1945"/>
      <c r="BT14" s="958"/>
      <c r="BU14" s="30"/>
      <c r="BV14" s="17"/>
      <c r="BW14" s="17"/>
      <c r="BX14" s="17"/>
      <c r="BY14" s="17"/>
      <c r="BZ14" s="1970"/>
      <c r="CA14" s="1971"/>
      <c r="CB14" s="1971"/>
      <c r="CC14" s="1971"/>
      <c r="CD14" s="1970"/>
      <c r="CE14" s="1971"/>
      <c r="CF14" s="1971"/>
      <c r="CG14" s="1981"/>
      <c r="CH14" s="1970"/>
      <c r="CI14" s="1971"/>
      <c r="CJ14" s="1971"/>
      <c r="CK14" s="1971"/>
      <c r="CP14" s="130"/>
      <c r="CQ14" s="130"/>
      <c r="CR14" s="130"/>
      <c r="CS14" s="130"/>
      <c r="CT14" s="130"/>
      <c r="CU14" s="1980"/>
      <c r="CV14" s="2016"/>
      <c r="CW14" s="2016"/>
      <c r="CX14" s="2016"/>
      <c r="CY14" s="2017"/>
      <c r="CZ14" s="1980"/>
      <c r="DA14" s="2016"/>
      <c r="DB14" s="2016"/>
      <c r="DC14" s="2016"/>
      <c r="DD14" s="2017"/>
      <c r="DE14" s="1980"/>
      <c r="DF14" s="2016"/>
      <c r="DG14" s="2016"/>
      <c r="DH14" s="2016"/>
      <c r="DI14" s="2017"/>
      <c r="DQ14" s="244"/>
      <c r="DR14" s="30"/>
      <c r="DS14" s="30"/>
      <c r="DT14" s="30"/>
      <c r="DU14" s="30"/>
      <c r="DV14" s="30"/>
      <c r="DW14" s="30"/>
      <c r="DX14" s="30"/>
      <c r="DY14" s="30"/>
      <c r="DZ14" s="30"/>
      <c r="EA14" s="30"/>
      <c r="EB14" s="30"/>
      <c r="EC14" s="30"/>
      <c r="ED14" s="165"/>
      <c r="EE14" s="165"/>
      <c r="EF14" s="165"/>
      <c r="EG14" s="17"/>
      <c r="EH14" s="1980"/>
      <c r="EI14" s="1747"/>
      <c r="EJ14" s="1747"/>
      <c r="EK14" s="1747"/>
      <c r="EL14" s="1980"/>
      <c r="EM14" s="1747"/>
      <c r="EN14" s="1747"/>
      <c r="EO14" s="1982"/>
      <c r="EP14" s="1972"/>
      <c r="EQ14" s="1973"/>
      <c r="ER14" s="1973"/>
      <c r="ES14" s="1973"/>
      <c r="EU14" s="244"/>
      <c r="EV14" s="30"/>
      <c r="EW14" s="30"/>
      <c r="EX14" s="30"/>
      <c r="EY14" s="30"/>
      <c r="EZ14" s="30"/>
      <c r="FA14" s="30"/>
      <c r="FB14" s="30"/>
      <c r="FC14" s="30"/>
      <c r="FD14" s="30"/>
      <c r="FE14" s="30"/>
      <c r="FF14" s="30"/>
      <c r="FG14" s="30"/>
      <c r="FH14" s="30"/>
      <c r="FI14" s="30"/>
      <c r="FJ14" s="30"/>
      <c r="FK14" s="30"/>
      <c r="FL14" s="30"/>
      <c r="FM14" s="30"/>
      <c r="FN14" s="30"/>
      <c r="FO14" s="30"/>
      <c r="FP14" s="30"/>
      <c r="FQ14" s="30"/>
      <c r="FR14" s="30"/>
      <c r="FS14" s="30"/>
      <c r="FT14" s="30"/>
      <c r="FU14" s="30"/>
      <c r="FV14" s="30"/>
    </row>
    <row r="15" spans="1:178" ht="7.5" customHeight="1" thickBot="1" x14ac:dyDescent="0.3">
      <c r="A15" s="1953"/>
      <c r="B15" s="1954"/>
      <c r="C15" s="1954"/>
      <c r="D15" s="1954"/>
      <c r="E15" s="1954"/>
      <c r="F15" s="1954"/>
      <c r="G15" s="1954"/>
      <c r="H15" s="1954"/>
      <c r="I15" s="1954"/>
      <c r="J15" s="1954"/>
      <c r="K15" s="1954"/>
      <c r="L15" s="1954"/>
      <c r="M15" s="1954"/>
      <c r="N15" s="1954"/>
      <c r="O15" s="1954"/>
      <c r="P15" s="1954"/>
      <c r="Q15" s="1954"/>
      <c r="R15" s="1954"/>
      <c r="S15" s="1954"/>
      <c r="T15" s="1954"/>
      <c r="U15" s="1954"/>
      <c r="V15" s="1957"/>
      <c r="W15" s="960"/>
      <c r="X15" s="960"/>
      <c r="Y15" s="960"/>
      <c r="Z15" s="960"/>
      <c r="AA15" s="1958"/>
      <c r="AB15" s="30"/>
      <c r="AC15" s="165"/>
      <c r="AD15" s="165"/>
      <c r="AE15" s="165"/>
      <c r="AF15" s="17"/>
      <c r="AG15" s="1980"/>
      <c r="AH15" s="1747"/>
      <c r="AI15" s="1747"/>
      <c r="AJ15" s="1747"/>
      <c r="AK15" s="1980"/>
      <c r="AL15" s="1747"/>
      <c r="AM15" s="1747"/>
      <c r="AN15" s="1982"/>
      <c r="AO15" s="1972"/>
      <c r="AP15" s="1973"/>
      <c r="AQ15" s="1973"/>
      <c r="AR15" s="1973"/>
      <c r="AT15" s="1953"/>
      <c r="AU15" s="1954"/>
      <c r="AV15" s="1954"/>
      <c r="AW15" s="1954"/>
      <c r="AX15" s="1954"/>
      <c r="AY15" s="1954"/>
      <c r="AZ15" s="1954"/>
      <c r="BA15" s="1954"/>
      <c r="BB15" s="1954"/>
      <c r="BC15" s="1954"/>
      <c r="BD15" s="1954"/>
      <c r="BE15" s="1954"/>
      <c r="BF15" s="1954"/>
      <c r="BG15" s="1954"/>
      <c r="BH15" s="1954"/>
      <c r="BI15" s="1954"/>
      <c r="BJ15" s="1954"/>
      <c r="BK15" s="1954"/>
      <c r="BL15" s="1954"/>
      <c r="BM15" s="1954"/>
      <c r="BN15" s="1954"/>
      <c r="BO15" s="1957"/>
      <c r="BP15" s="960"/>
      <c r="BQ15" s="960"/>
      <c r="BR15" s="960"/>
      <c r="BS15" s="960"/>
      <c r="BT15" s="1958"/>
      <c r="BU15" s="30"/>
      <c r="BV15" s="165"/>
      <c r="BW15" s="165"/>
      <c r="BX15" s="165"/>
      <c r="BY15" s="17"/>
      <c r="BZ15" s="1980"/>
      <c r="CA15" s="1747"/>
      <c r="CB15" s="1747"/>
      <c r="CC15" s="1747"/>
      <c r="CD15" s="1980"/>
      <c r="CE15" s="1747"/>
      <c r="CF15" s="1747"/>
      <c r="CG15" s="1982"/>
      <c r="CH15" s="1972"/>
      <c r="CI15" s="1973"/>
      <c r="CJ15" s="1973"/>
      <c r="CK15" s="1973"/>
      <c r="CP15" s="2020" t="s">
        <v>33</v>
      </c>
      <c r="CQ15" s="2020"/>
      <c r="CR15" s="2020"/>
      <c r="CS15" s="2020"/>
      <c r="CT15" s="2020"/>
      <c r="CU15" s="2020"/>
      <c r="CV15" s="2020"/>
      <c r="CW15" s="2020"/>
      <c r="CX15" s="2020"/>
      <c r="CY15" s="2020"/>
      <c r="CZ15" s="2020"/>
      <c r="DA15" s="2020"/>
      <c r="DB15" s="2020"/>
      <c r="DC15" s="2020"/>
      <c r="DD15" s="2020"/>
      <c r="DE15" s="2020"/>
      <c r="DF15" s="2020"/>
      <c r="DG15" s="2020"/>
      <c r="DH15" s="2020"/>
      <c r="DI15" s="2020"/>
      <c r="DQ15" s="244"/>
      <c r="DR15" s="30"/>
      <c r="DS15" s="30"/>
      <c r="DT15" s="30"/>
      <c r="DU15" s="30"/>
      <c r="DV15" s="30"/>
      <c r="DW15" s="30"/>
      <c r="DX15" s="30"/>
      <c r="DY15" s="30"/>
      <c r="DZ15" s="30"/>
      <c r="EA15" s="30"/>
      <c r="EB15" s="30"/>
      <c r="EC15" s="30"/>
      <c r="ED15" s="30"/>
      <c r="EE15" s="30"/>
      <c r="EF15" s="30"/>
      <c r="EG15" s="30"/>
      <c r="EH15" s="30"/>
      <c r="EI15" s="30"/>
      <c r="EJ15" s="30"/>
      <c r="EK15" s="30"/>
      <c r="EL15" s="30"/>
      <c r="EM15" s="30"/>
      <c r="EN15" s="30"/>
      <c r="EO15" s="30"/>
      <c r="EP15" s="30"/>
      <c r="EQ15" s="30"/>
      <c r="ER15" s="30"/>
      <c r="EU15" s="244"/>
      <c r="EV15" s="30"/>
      <c r="EW15" s="30"/>
      <c r="EX15" s="30"/>
      <c r="EY15" s="30"/>
      <c r="EZ15" s="30"/>
      <c r="FA15" s="30"/>
      <c r="FB15" s="30"/>
      <c r="FC15" s="30"/>
      <c r="FD15" s="30"/>
      <c r="FE15" s="30"/>
      <c r="FF15" s="30"/>
      <c r="FG15" s="30"/>
      <c r="FH15" s="30"/>
      <c r="FI15" s="30"/>
      <c r="FJ15" s="30"/>
      <c r="FK15" s="30"/>
      <c r="FL15" s="30"/>
      <c r="FM15" s="30"/>
      <c r="FN15" s="30"/>
      <c r="FO15" s="30"/>
      <c r="FP15" s="30"/>
      <c r="FQ15" s="30"/>
      <c r="FR15" s="30"/>
      <c r="FS15" s="30"/>
      <c r="FT15" s="30"/>
      <c r="FU15" s="30"/>
      <c r="FV15" s="30"/>
    </row>
    <row r="16" spans="1:178" ht="7.5" customHeight="1" thickBot="1" x14ac:dyDescent="0.3">
      <c r="A16" s="1953"/>
      <c r="B16" s="1954"/>
      <c r="C16" s="1954"/>
      <c r="D16" s="1954"/>
      <c r="E16" s="1954"/>
      <c r="F16" s="1954"/>
      <c r="G16" s="1954"/>
      <c r="H16" s="1954"/>
      <c r="I16" s="1954"/>
      <c r="J16" s="1954"/>
      <c r="K16" s="1954"/>
      <c r="L16" s="1954"/>
      <c r="M16" s="1954"/>
      <c r="N16" s="1954"/>
      <c r="O16" s="1954"/>
      <c r="P16" s="1954"/>
      <c r="Q16" s="1954"/>
      <c r="R16" s="1954"/>
      <c r="S16" s="1954"/>
      <c r="T16" s="1954"/>
      <c r="U16" s="1954"/>
      <c r="V16" s="1930" t="s">
        <v>90</v>
      </c>
      <c r="W16" s="1930"/>
      <c r="X16" s="1930"/>
      <c r="Y16" s="1930"/>
      <c r="Z16" s="1930"/>
      <c r="AA16" s="1931"/>
      <c r="AB16" s="30"/>
      <c r="AC16" s="30"/>
      <c r="AD16" s="17"/>
      <c r="AE16" s="17"/>
      <c r="AF16" s="30"/>
      <c r="AG16" s="30"/>
      <c r="AH16" s="30"/>
      <c r="AI16" s="30"/>
      <c r="AJ16" s="30"/>
      <c r="AK16" s="30"/>
      <c r="AL16" s="30"/>
      <c r="AM16" s="30"/>
      <c r="AN16" s="30"/>
      <c r="AO16" s="30"/>
      <c r="AP16" s="30"/>
      <c r="AQ16" s="30"/>
      <c r="AR16" s="17"/>
      <c r="AT16" s="1953"/>
      <c r="AU16" s="1954"/>
      <c r="AV16" s="1954"/>
      <c r="AW16" s="1954"/>
      <c r="AX16" s="1954"/>
      <c r="AY16" s="1954"/>
      <c r="AZ16" s="1954"/>
      <c r="BA16" s="1954"/>
      <c r="BB16" s="1954"/>
      <c r="BC16" s="1954"/>
      <c r="BD16" s="1954"/>
      <c r="BE16" s="1954"/>
      <c r="BF16" s="1954"/>
      <c r="BG16" s="1954"/>
      <c r="BH16" s="1954"/>
      <c r="BI16" s="1954"/>
      <c r="BJ16" s="1954"/>
      <c r="BK16" s="1954"/>
      <c r="BL16" s="1954"/>
      <c r="BM16" s="1954"/>
      <c r="BN16" s="1954"/>
      <c r="BO16" s="1930" t="s">
        <v>90</v>
      </c>
      <c r="BP16" s="1930"/>
      <c r="BQ16" s="1930"/>
      <c r="BR16" s="1930"/>
      <c r="BS16" s="1930"/>
      <c r="BT16" s="1931"/>
      <c r="BU16" s="30"/>
      <c r="BV16" s="30"/>
      <c r="BW16" s="17"/>
      <c r="BX16" s="17"/>
      <c r="BY16" s="30"/>
      <c r="BZ16" s="30"/>
      <c r="CA16" s="30"/>
      <c r="CB16" s="30"/>
      <c r="CC16" s="30"/>
      <c r="CD16" s="30"/>
      <c r="CE16" s="30"/>
      <c r="CF16" s="30"/>
      <c r="CG16" s="30"/>
      <c r="CH16" s="30"/>
      <c r="CI16" s="30"/>
      <c r="CJ16" s="30"/>
      <c r="CK16" s="17"/>
      <c r="CP16" s="2021"/>
      <c r="CQ16" s="2021"/>
      <c r="CR16" s="2021"/>
      <c r="CS16" s="2021"/>
      <c r="CT16" s="2021"/>
      <c r="CU16" s="2021"/>
      <c r="CV16" s="2021"/>
      <c r="CW16" s="2021"/>
      <c r="CX16" s="2021"/>
      <c r="CY16" s="2021"/>
      <c r="CZ16" s="2021"/>
      <c r="DA16" s="2021"/>
      <c r="DB16" s="2021"/>
      <c r="DC16" s="2021"/>
      <c r="DD16" s="2021"/>
      <c r="DE16" s="2021"/>
      <c r="DF16" s="2021"/>
      <c r="DG16" s="2021"/>
      <c r="DH16" s="2021"/>
      <c r="DI16" s="2021"/>
      <c r="DQ16" s="244"/>
      <c r="DR16" s="30"/>
      <c r="DS16" s="30"/>
      <c r="DT16" s="30"/>
      <c r="DU16" s="30"/>
      <c r="DV16" s="30"/>
      <c r="DW16" s="30"/>
      <c r="DX16" s="30"/>
      <c r="DY16" s="30"/>
      <c r="DZ16" s="30"/>
      <c r="EA16" s="30"/>
      <c r="EB16" s="30"/>
      <c r="EC16" s="30"/>
      <c r="ED16" s="1976"/>
      <c r="EE16" s="1979"/>
      <c r="EF16" s="1757" t="s">
        <v>57</v>
      </c>
      <c r="EG16" s="1758"/>
      <c r="EH16" s="1758"/>
      <c r="EI16" s="1758"/>
      <c r="EJ16" s="1758"/>
      <c r="EK16" s="1759"/>
      <c r="EL16" s="1983" t="s">
        <v>59</v>
      </c>
      <c r="EM16" s="1983"/>
      <c r="EN16" s="1983"/>
      <c r="EO16" s="1983"/>
      <c r="EP16" s="1983"/>
      <c r="EQ16" s="1984"/>
      <c r="ER16" s="1976"/>
      <c r="ES16" s="1977"/>
      <c r="EU16" s="244"/>
      <c r="EV16" s="30"/>
      <c r="EW16" s="30"/>
      <c r="EX16" s="30"/>
      <c r="EY16" s="30"/>
      <c r="EZ16" s="30"/>
      <c r="FA16" s="30"/>
      <c r="FB16" s="30"/>
      <c r="FC16" s="30"/>
      <c r="FD16" s="30"/>
      <c r="FE16" s="30"/>
      <c r="FF16" s="30"/>
      <c r="FG16" s="30"/>
      <c r="FH16" s="30"/>
      <c r="FI16" s="30"/>
      <c r="FJ16" s="30"/>
      <c r="FK16" s="30"/>
      <c r="FL16" s="30"/>
      <c r="FM16" s="30"/>
      <c r="FN16" s="30"/>
      <c r="FO16" s="30"/>
      <c r="FP16" s="30"/>
      <c r="FQ16" s="30"/>
      <c r="FR16" s="30"/>
      <c r="FS16" s="30"/>
      <c r="FT16" s="30"/>
      <c r="FU16" s="30"/>
      <c r="FV16" s="30"/>
    </row>
    <row r="17" spans="1:178" ht="7.5" customHeight="1" thickBot="1" x14ac:dyDescent="0.3">
      <c r="A17" s="1953"/>
      <c r="B17" s="1954"/>
      <c r="C17" s="1954"/>
      <c r="D17" s="1954"/>
      <c r="E17" s="1954"/>
      <c r="F17" s="1954"/>
      <c r="G17" s="1954"/>
      <c r="H17" s="1954"/>
      <c r="I17" s="1954"/>
      <c r="J17" s="1954"/>
      <c r="K17" s="1954"/>
      <c r="L17" s="1954"/>
      <c r="M17" s="1954"/>
      <c r="N17" s="1954"/>
      <c r="O17" s="1954"/>
      <c r="P17" s="1954"/>
      <c r="Q17" s="1954"/>
      <c r="R17" s="1954"/>
      <c r="S17" s="1954"/>
      <c r="T17" s="1954"/>
      <c r="U17" s="1954"/>
      <c r="V17" s="956"/>
      <c r="W17" s="1945"/>
      <c r="X17" s="1945"/>
      <c r="Y17" s="1945"/>
      <c r="Z17" s="1945"/>
      <c r="AA17" s="958"/>
      <c r="AB17" s="30"/>
      <c r="AC17" s="1976"/>
      <c r="AD17" s="1979"/>
      <c r="AE17" s="1757" t="s">
        <v>57</v>
      </c>
      <c r="AF17" s="1758"/>
      <c r="AG17" s="1758"/>
      <c r="AH17" s="1758"/>
      <c r="AI17" s="1758"/>
      <c r="AJ17" s="1759"/>
      <c r="AK17" s="1983" t="s">
        <v>59</v>
      </c>
      <c r="AL17" s="1983"/>
      <c r="AM17" s="1983"/>
      <c r="AN17" s="1983"/>
      <c r="AO17" s="1983"/>
      <c r="AP17" s="1984"/>
      <c r="AQ17" s="1976"/>
      <c r="AR17" s="1977"/>
      <c r="AT17" s="1953"/>
      <c r="AU17" s="1954"/>
      <c r="AV17" s="1954"/>
      <c r="AW17" s="1954"/>
      <c r="AX17" s="1954"/>
      <c r="AY17" s="1954"/>
      <c r="AZ17" s="1954"/>
      <c r="BA17" s="1954"/>
      <c r="BB17" s="1954"/>
      <c r="BC17" s="1954"/>
      <c r="BD17" s="1954"/>
      <c r="BE17" s="1954"/>
      <c r="BF17" s="1954"/>
      <c r="BG17" s="1954"/>
      <c r="BH17" s="1954"/>
      <c r="BI17" s="1954"/>
      <c r="BJ17" s="1954"/>
      <c r="BK17" s="1954"/>
      <c r="BL17" s="1954"/>
      <c r="BM17" s="1954"/>
      <c r="BN17" s="1954"/>
      <c r="BO17" s="956"/>
      <c r="BP17" s="1945"/>
      <c r="BQ17" s="1945"/>
      <c r="BR17" s="1945"/>
      <c r="BS17" s="1945"/>
      <c r="BT17" s="958"/>
      <c r="BU17" s="30"/>
      <c r="BV17" s="1976"/>
      <c r="BW17" s="1979"/>
      <c r="BX17" s="1757" t="s">
        <v>57</v>
      </c>
      <c r="BY17" s="1758"/>
      <c r="BZ17" s="1758"/>
      <c r="CA17" s="1758"/>
      <c r="CB17" s="1758"/>
      <c r="CC17" s="1759"/>
      <c r="CD17" s="1983" t="s">
        <v>59</v>
      </c>
      <c r="CE17" s="1983"/>
      <c r="CF17" s="1983"/>
      <c r="CG17" s="1983"/>
      <c r="CH17" s="1983"/>
      <c r="CI17" s="1984"/>
      <c r="CJ17" s="1976"/>
      <c r="CK17" s="1977"/>
      <c r="CP17" s="2012"/>
      <c r="CQ17" s="2013"/>
      <c r="CR17" s="2013"/>
      <c r="CS17" s="2013"/>
      <c r="CT17" s="2014"/>
      <c r="CU17" s="2012"/>
      <c r="CV17" s="2013"/>
      <c r="CW17" s="2013"/>
      <c r="CX17" s="2013"/>
      <c r="CY17" s="2014"/>
      <c r="CZ17" s="2012"/>
      <c r="DA17" s="2013"/>
      <c r="DB17" s="2013"/>
      <c r="DC17" s="2013"/>
      <c r="DD17" s="2014"/>
      <c r="DE17" s="2012"/>
      <c r="DF17" s="2013"/>
      <c r="DG17" s="2013"/>
      <c r="DH17" s="2013"/>
      <c r="DI17" s="2014"/>
      <c r="DQ17" s="244"/>
      <c r="DR17" s="30"/>
      <c r="DS17" s="30"/>
      <c r="DT17" s="30"/>
      <c r="DU17" s="30"/>
      <c r="DV17" s="30"/>
      <c r="DW17" s="30"/>
      <c r="DX17" s="30"/>
      <c r="DY17" s="30"/>
      <c r="DZ17" s="30"/>
      <c r="EA17" s="30"/>
      <c r="EB17" s="30"/>
      <c r="EC17" s="30"/>
      <c r="ED17" s="1978"/>
      <c r="EE17" s="1007"/>
      <c r="EF17" s="1760"/>
      <c r="EG17" s="1761"/>
      <c r="EH17" s="1761"/>
      <c r="EI17" s="1761"/>
      <c r="EJ17" s="1761"/>
      <c r="EK17" s="1762"/>
      <c r="EL17" s="1985"/>
      <c r="EM17" s="1985"/>
      <c r="EN17" s="1985"/>
      <c r="EO17" s="1985"/>
      <c r="EP17" s="1985"/>
      <c r="EQ17" s="1986"/>
      <c r="ER17" s="1978"/>
      <c r="ES17" s="1043"/>
      <c r="EU17" s="244"/>
      <c r="EV17" s="30"/>
      <c r="EW17" s="30"/>
      <c r="EX17" s="30"/>
      <c r="EY17" s="30"/>
      <c r="EZ17" s="30"/>
      <c r="FA17" s="30"/>
      <c r="FB17" s="30"/>
      <c r="FC17" s="30"/>
      <c r="FD17" s="30"/>
      <c r="FE17" s="30"/>
      <c r="FF17" s="30"/>
      <c r="FG17" s="30"/>
      <c r="FH17" s="30"/>
      <c r="FI17" s="30"/>
      <c r="FJ17" s="30"/>
      <c r="FK17" s="30"/>
      <c r="FL17" s="30"/>
      <c r="FM17" s="30"/>
      <c r="FN17" s="30"/>
      <c r="FO17" s="30"/>
      <c r="FP17" s="30"/>
      <c r="FQ17" s="30"/>
      <c r="FR17" s="30"/>
      <c r="FS17" s="30"/>
      <c r="FT17" s="30"/>
      <c r="FU17" s="30"/>
      <c r="FV17" s="30"/>
    </row>
    <row r="18" spans="1:178" ht="7.5" customHeight="1" thickBot="1" x14ac:dyDescent="0.3">
      <c r="A18" s="1953"/>
      <c r="B18" s="1954"/>
      <c r="C18" s="1954"/>
      <c r="D18" s="1954"/>
      <c r="E18" s="1954"/>
      <c r="F18" s="1954"/>
      <c r="G18" s="1954"/>
      <c r="H18" s="1954"/>
      <c r="I18" s="1954"/>
      <c r="J18" s="1954"/>
      <c r="K18" s="1954"/>
      <c r="L18" s="1954"/>
      <c r="M18" s="1954"/>
      <c r="N18" s="1954"/>
      <c r="O18" s="1954"/>
      <c r="P18" s="1954"/>
      <c r="Q18" s="1954"/>
      <c r="R18" s="1954"/>
      <c r="S18" s="1954"/>
      <c r="T18" s="1954"/>
      <c r="U18" s="1954"/>
      <c r="V18" s="1957"/>
      <c r="W18" s="960"/>
      <c r="X18" s="960"/>
      <c r="Y18" s="960"/>
      <c r="Z18" s="960"/>
      <c r="AA18" s="1958"/>
      <c r="AB18" s="30"/>
      <c r="AC18" s="1978"/>
      <c r="AD18" s="1007"/>
      <c r="AE18" s="1760"/>
      <c r="AF18" s="1761"/>
      <c r="AG18" s="1761"/>
      <c r="AH18" s="1761"/>
      <c r="AI18" s="1761"/>
      <c r="AJ18" s="1762"/>
      <c r="AK18" s="1985"/>
      <c r="AL18" s="1985"/>
      <c r="AM18" s="1985"/>
      <c r="AN18" s="1985"/>
      <c r="AO18" s="1985"/>
      <c r="AP18" s="1986"/>
      <c r="AQ18" s="1978"/>
      <c r="AR18" s="1043"/>
      <c r="AT18" s="1953"/>
      <c r="AU18" s="1954"/>
      <c r="AV18" s="1954"/>
      <c r="AW18" s="1954"/>
      <c r="AX18" s="1954"/>
      <c r="AY18" s="1954"/>
      <c r="AZ18" s="1954"/>
      <c r="BA18" s="1954"/>
      <c r="BB18" s="1954"/>
      <c r="BC18" s="1954"/>
      <c r="BD18" s="1954"/>
      <c r="BE18" s="1954"/>
      <c r="BF18" s="1954"/>
      <c r="BG18" s="1954"/>
      <c r="BH18" s="1954"/>
      <c r="BI18" s="1954"/>
      <c r="BJ18" s="1954"/>
      <c r="BK18" s="1954"/>
      <c r="BL18" s="1954"/>
      <c r="BM18" s="1954"/>
      <c r="BN18" s="1954"/>
      <c r="BO18" s="1957"/>
      <c r="BP18" s="960"/>
      <c r="BQ18" s="960"/>
      <c r="BR18" s="960"/>
      <c r="BS18" s="960"/>
      <c r="BT18" s="1958"/>
      <c r="BU18" s="30"/>
      <c r="BV18" s="1978"/>
      <c r="BW18" s="1007"/>
      <c r="BX18" s="1760"/>
      <c r="BY18" s="1761"/>
      <c r="BZ18" s="1761"/>
      <c r="CA18" s="1761"/>
      <c r="CB18" s="1761"/>
      <c r="CC18" s="1762"/>
      <c r="CD18" s="1985"/>
      <c r="CE18" s="1985"/>
      <c r="CF18" s="1985"/>
      <c r="CG18" s="1985"/>
      <c r="CH18" s="1985"/>
      <c r="CI18" s="1986"/>
      <c r="CJ18" s="1978"/>
      <c r="CK18" s="1043"/>
      <c r="CP18" s="1972"/>
      <c r="CQ18" s="1973"/>
      <c r="CR18" s="1973"/>
      <c r="CS18" s="1973"/>
      <c r="CT18" s="2015"/>
      <c r="CU18" s="1972"/>
      <c r="CV18" s="1973"/>
      <c r="CW18" s="1973"/>
      <c r="CX18" s="1973"/>
      <c r="CY18" s="2015"/>
      <c r="CZ18" s="1972"/>
      <c r="DA18" s="1973"/>
      <c r="DB18" s="1973"/>
      <c r="DC18" s="1973"/>
      <c r="DD18" s="2015"/>
      <c r="DE18" s="1972"/>
      <c r="DF18" s="1973"/>
      <c r="DG18" s="1973"/>
      <c r="DH18" s="1973"/>
      <c r="DI18" s="2015"/>
      <c r="DQ18" s="244"/>
      <c r="DR18" s="30"/>
      <c r="DS18" s="30"/>
      <c r="DT18" s="30"/>
      <c r="DU18" s="30"/>
      <c r="DV18" s="30"/>
      <c r="DW18" s="30"/>
      <c r="DX18" s="30"/>
      <c r="DY18" s="30"/>
      <c r="DZ18" s="30"/>
      <c r="EA18" s="30"/>
      <c r="EB18" s="30"/>
      <c r="EC18" s="30"/>
      <c r="ED18" s="1976"/>
      <c r="EE18" s="1979"/>
      <c r="EF18" s="1792" t="s">
        <v>58</v>
      </c>
      <c r="EG18" s="1793"/>
      <c r="EH18" s="1793"/>
      <c r="EI18" s="1793"/>
      <c r="EJ18" s="1793"/>
      <c r="EK18" s="1794"/>
      <c r="EL18" s="1798" t="s">
        <v>514</v>
      </c>
      <c r="EM18" s="1798"/>
      <c r="EN18" s="1798"/>
      <c r="EO18" s="1798"/>
      <c r="EP18" s="1798"/>
      <c r="EQ18" s="1798"/>
      <c r="ER18" s="1976"/>
      <c r="ES18" s="1977"/>
      <c r="EU18" s="244"/>
      <c r="EV18" s="30"/>
      <c r="EW18" s="30"/>
      <c r="EX18" s="30"/>
      <c r="EY18" s="30"/>
      <c r="EZ18" s="30"/>
      <c r="FA18" s="30"/>
      <c r="FB18" s="968" t="e">
        <f>Reflex</f>
        <v>#REF!</v>
      </c>
      <c r="FC18" s="969"/>
      <c r="FD18" s="970"/>
      <c r="FE18" s="1990" t="s">
        <v>57</v>
      </c>
      <c r="FF18" s="1991"/>
      <c r="FG18" s="1991"/>
      <c r="FH18" s="1991"/>
      <c r="FI18" s="1991"/>
      <c r="FJ18" s="1991"/>
      <c r="FK18" s="1992"/>
      <c r="FL18" s="1148" t="s">
        <v>59</v>
      </c>
      <c r="FM18" s="1148"/>
      <c r="FN18" s="1148"/>
      <c r="FO18" s="1148"/>
      <c r="FP18" s="1148"/>
      <c r="FQ18" s="1148"/>
      <c r="FR18" s="1149"/>
      <c r="FS18" s="968" t="e">
        <f>Willpower</f>
        <v>#REF!</v>
      </c>
      <c r="FT18" s="969"/>
      <c r="FU18" s="970"/>
      <c r="FV18" s="30"/>
    </row>
    <row r="19" spans="1:178" ht="7.5" customHeight="1" thickTop="1" thickBot="1" x14ac:dyDescent="0.3">
      <c r="A19" s="1959" t="s">
        <v>85</v>
      </c>
      <c r="B19" s="1960"/>
      <c r="C19" s="1960"/>
      <c r="D19" s="269"/>
      <c r="E19" s="269"/>
      <c r="F19" s="269"/>
      <c r="G19" s="269"/>
      <c r="H19" s="269"/>
      <c r="I19" s="269"/>
      <c r="J19" s="269"/>
      <c r="K19" s="269"/>
      <c r="L19" s="269"/>
      <c r="M19" s="269"/>
      <c r="N19" s="270"/>
      <c r="O19" s="271" t="s">
        <v>89</v>
      </c>
      <c r="P19" s="272"/>
      <c r="Q19" s="272"/>
      <c r="R19" s="272"/>
      <c r="S19" s="273"/>
      <c r="T19" s="273"/>
      <c r="U19" s="274"/>
      <c r="V19" s="275" t="s">
        <v>88</v>
      </c>
      <c r="W19" s="276"/>
      <c r="X19" s="276"/>
      <c r="Y19" s="276"/>
      <c r="Z19" s="276"/>
      <c r="AA19" s="277"/>
      <c r="AB19" s="30"/>
      <c r="AC19" s="1976"/>
      <c r="AD19" s="1979"/>
      <c r="AE19" s="1792" t="s">
        <v>58</v>
      </c>
      <c r="AF19" s="1793"/>
      <c r="AG19" s="1793"/>
      <c r="AH19" s="1793"/>
      <c r="AI19" s="1793"/>
      <c r="AJ19" s="1794"/>
      <c r="AK19" s="1798" t="s">
        <v>514</v>
      </c>
      <c r="AL19" s="1798"/>
      <c r="AM19" s="1798"/>
      <c r="AN19" s="1798"/>
      <c r="AO19" s="1798"/>
      <c r="AP19" s="1798"/>
      <c r="AQ19" s="1976"/>
      <c r="AR19" s="1977"/>
      <c r="AT19" s="1959" t="s">
        <v>85</v>
      </c>
      <c r="AU19" s="1960"/>
      <c r="AV19" s="1960"/>
      <c r="AW19" s="269"/>
      <c r="AX19" s="269"/>
      <c r="AY19" s="269"/>
      <c r="AZ19" s="269"/>
      <c r="BA19" s="269"/>
      <c r="BB19" s="269"/>
      <c r="BC19" s="269"/>
      <c r="BD19" s="269"/>
      <c r="BE19" s="269"/>
      <c r="BF19" s="269"/>
      <c r="BG19" s="270"/>
      <c r="BH19" s="271" t="s">
        <v>89</v>
      </c>
      <c r="BI19" s="272"/>
      <c r="BJ19" s="272"/>
      <c r="BK19" s="272"/>
      <c r="BL19" s="273"/>
      <c r="BM19" s="273"/>
      <c r="BN19" s="274"/>
      <c r="BO19" s="275" t="s">
        <v>88</v>
      </c>
      <c r="BP19" s="276"/>
      <c r="BQ19" s="276"/>
      <c r="BR19" s="276"/>
      <c r="BS19" s="276"/>
      <c r="BT19" s="277"/>
      <c r="BU19" s="30"/>
      <c r="BV19" s="1976"/>
      <c r="BW19" s="1979"/>
      <c r="BX19" s="1792" t="s">
        <v>58</v>
      </c>
      <c r="BY19" s="1793"/>
      <c r="BZ19" s="1793"/>
      <c r="CA19" s="1793"/>
      <c r="CB19" s="1793"/>
      <c r="CC19" s="1794"/>
      <c r="CD19" s="1798" t="s">
        <v>514</v>
      </c>
      <c r="CE19" s="1798"/>
      <c r="CF19" s="1798"/>
      <c r="CG19" s="1798"/>
      <c r="CH19" s="1798"/>
      <c r="CI19" s="1798"/>
      <c r="CJ19" s="1976"/>
      <c r="CK19" s="1977"/>
      <c r="CP19" s="1980"/>
      <c r="CQ19" s="2016"/>
      <c r="CR19" s="2016"/>
      <c r="CS19" s="2016"/>
      <c r="CT19" s="2017"/>
      <c r="CU19" s="1980"/>
      <c r="CV19" s="2016"/>
      <c r="CW19" s="2016"/>
      <c r="CX19" s="2016"/>
      <c r="CY19" s="2017"/>
      <c r="CZ19" s="1980"/>
      <c r="DA19" s="2016"/>
      <c r="DB19" s="2016"/>
      <c r="DC19" s="2016"/>
      <c r="DD19" s="2017"/>
      <c r="DE19" s="1980"/>
      <c r="DF19" s="2016"/>
      <c r="DG19" s="2016"/>
      <c r="DH19" s="2016"/>
      <c r="DI19" s="2017"/>
      <c r="DQ19" s="244"/>
      <c r="DR19" s="30"/>
      <c r="DS19" s="30"/>
      <c r="DT19" s="30"/>
      <c r="DU19" s="30"/>
      <c r="DV19" s="30"/>
      <c r="DW19" s="30"/>
      <c r="DX19" s="30"/>
      <c r="DY19" s="30"/>
      <c r="DZ19" s="30"/>
      <c r="EA19" s="30"/>
      <c r="EB19" s="30"/>
      <c r="EC19" s="30"/>
      <c r="ED19" s="1978"/>
      <c r="EE19" s="1007"/>
      <c r="EF19" s="1795"/>
      <c r="EG19" s="1796"/>
      <c r="EH19" s="1796"/>
      <c r="EI19" s="1796"/>
      <c r="EJ19" s="1796"/>
      <c r="EK19" s="1797"/>
      <c r="EL19" s="1800"/>
      <c r="EM19" s="1800"/>
      <c r="EN19" s="1800"/>
      <c r="EO19" s="1800"/>
      <c r="EP19" s="1800"/>
      <c r="EQ19" s="1800"/>
      <c r="ER19" s="1978"/>
      <c r="ES19" s="1043"/>
      <c r="EU19" s="244"/>
      <c r="EV19" s="30"/>
      <c r="EW19" s="30"/>
      <c r="EX19" s="30"/>
      <c r="EY19" s="30"/>
      <c r="EZ19" s="30"/>
      <c r="FA19" s="30"/>
      <c r="FB19" s="968"/>
      <c r="FC19" s="969"/>
      <c r="FD19" s="970"/>
      <c r="FE19" s="1993"/>
      <c r="FF19" s="1994"/>
      <c r="FG19" s="1994"/>
      <c r="FH19" s="1994"/>
      <c r="FI19" s="1994"/>
      <c r="FJ19" s="1994"/>
      <c r="FK19" s="1995"/>
      <c r="FL19" s="1148"/>
      <c r="FM19" s="1148"/>
      <c r="FN19" s="1148"/>
      <c r="FO19" s="1148"/>
      <c r="FP19" s="1148"/>
      <c r="FQ19" s="1148"/>
      <c r="FR19" s="1149"/>
      <c r="FS19" s="968"/>
      <c r="FT19" s="969"/>
      <c r="FU19" s="970"/>
      <c r="FV19" s="30"/>
    </row>
    <row r="20" spans="1:178" ht="7.5" customHeight="1" thickBot="1" x14ac:dyDescent="0.3">
      <c r="A20" s="950"/>
      <c r="B20" s="951"/>
      <c r="C20" s="951"/>
      <c r="D20" s="951"/>
      <c r="E20" s="951"/>
      <c r="F20" s="951"/>
      <c r="G20" s="951"/>
      <c r="H20" s="951"/>
      <c r="I20" s="951"/>
      <c r="J20" s="951"/>
      <c r="K20" s="951"/>
      <c r="L20" s="951"/>
      <c r="M20" s="951"/>
      <c r="N20" s="951"/>
      <c r="O20" s="981"/>
      <c r="P20" s="982"/>
      <c r="Q20" s="982"/>
      <c r="R20" s="982"/>
      <c r="S20" s="982"/>
      <c r="T20" s="982"/>
      <c r="U20" s="1935"/>
      <c r="V20" s="1939"/>
      <c r="W20" s="1081"/>
      <c r="X20" s="1081"/>
      <c r="Y20" s="1081"/>
      <c r="Z20" s="1081"/>
      <c r="AA20" s="1940"/>
      <c r="AB20" s="30"/>
      <c r="AC20" s="1978"/>
      <c r="AD20" s="1007"/>
      <c r="AE20" s="1795"/>
      <c r="AF20" s="1796"/>
      <c r="AG20" s="1796"/>
      <c r="AH20" s="1796"/>
      <c r="AI20" s="1796"/>
      <c r="AJ20" s="1797"/>
      <c r="AK20" s="1800"/>
      <c r="AL20" s="1800"/>
      <c r="AM20" s="1800"/>
      <c r="AN20" s="1800"/>
      <c r="AO20" s="1800"/>
      <c r="AP20" s="1800"/>
      <c r="AQ20" s="1978"/>
      <c r="AR20" s="1043"/>
      <c r="AT20" s="950"/>
      <c r="AU20" s="951"/>
      <c r="AV20" s="951"/>
      <c r="AW20" s="951"/>
      <c r="AX20" s="951"/>
      <c r="AY20" s="951"/>
      <c r="AZ20" s="951"/>
      <c r="BA20" s="951"/>
      <c r="BB20" s="951"/>
      <c r="BC20" s="951"/>
      <c r="BD20" s="951"/>
      <c r="BE20" s="951"/>
      <c r="BF20" s="951"/>
      <c r="BG20" s="951"/>
      <c r="BH20" s="981"/>
      <c r="BI20" s="982"/>
      <c r="BJ20" s="982"/>
      <c r="BK20" s="982"/>
      <c r="BL20" s="982"/>
      <c r="BM20" s="982"/>
      <c r="BN20" s="1935"/>
      <c r="BO20" s="1939"/>
      <c r="BP20" s="1081"/>
      <c r="BQ20" s="1081"/>
      <c r="BR20" s="1081"/>
      <c r="BS20" s="1081"/>
      <c r="BT20" s="1940"/>
      <c r="BU20" s="30"/>
      <c r="BV20" s="1978"/>
      <c r="BW20" s="1007"/>
      <c r="BX20" s="1795"/>
      <c r="BY20" s="1796"/>
      <c r="BZ20" s="1796"/>
      <c r="CA20" s="1796"/>
      <c r="CB20" s="1796"/>
      <c r="CC20" s="1797"/>
      <c r="CD20" s="1800"/>
      <c r="CE20" s="1800"/>
      <c r="CF20" s="1800"/>
      <c r="CG20" s="1800"/>
      <c r="CH20" s="1800"/>
      <c r="CI20" s="1800"/>
      <c r="CJ20" s="1978"/>
      <c r="CK20" s="1043"/>
      <c r="CP20" s="1987" t="s">
        <v>47</v>
      </c>
      <c r="CQ20" s="1988"/>
      <c r="CR20" s="1988"/>
      <c r="CS20" s="1988"/>
      <c r="CT20" s="1989"/>
      <c r="CU20" s="1987" t="s">
        <v>80</v>
      </c>
      <c r="CV20" s="1988"/>
      <c r="CW20" s="1988"/>
      <c r="CX20" s="1988"/>
      <c r="CY20" s="1989"/>
      <c r="CZ20" s="1987" t="s">
        <v>53</v>
      </c>
      <c r="DA20" s="1988"/>
      <c r="DB20" s="1988"/>
      <c r="DC20" s="1988"/>
      <c r="DD20" s="1989"/>
      <c r="DE20" s="1987" t="s">
        <v>49</v>
      </c>
      <c r="DF20" s="1988"/>
      <c r="DG20" s="1988"/>
      <c r="DH20" s="1988"/>
      <c r="DI20" s="1989"/>
      <c r="DQ20" s="244"/>
      <c r="DR20" s="30"/>
      <c r="DS20" s="30"/>
      <c r="DT20" s="30"/>
      <c r="DU20" s="30"/>
      <c r="DV20" s="30"/>
      <c r="DW20" s="30"/>
      <c r="DX20" s="30"/>
      <c r="DY20" s="30"/>
      <c r="DZ20" s="30"/>
      <c r="EA20" s="30"/>
      <c r="EB20" s="30"/>
      <c r="EC20" s="30"/>
      <c r="ED20" s="30"/>
      <c r="EE20" s="30"/>
      <c r="EF20" s="30"/>
      <c r="EG20" s="30"/>
      <c r="EH20" s="30"/>
      <c r="EI20" s="30"/>
      <c r="EJ20" s="30"/>
      <c r="EK20" s="30"/>
      <c r="EL20" s="30"/>
      <c r="EM20" s="30"/>
      <c r="EN20" s="30"/>
      <c r="EO20" s="30"/>
      <c r="EP20" s="30"/>
      <c r="EQ20" s="30"/>
      <c r="ER20" s="30"/>
      <c r="EU20" s="244"/>
      <c r="EV20" s="30"/>
      <c r="EW20" s="30"/>
      <c r="EX20" s="30"/>
      <c r="EY20" s="30"/>
      <c r="EZ20" s="30"/>
      <c r="FA20" s="30"/>
      <c r="FB20" s="968" t="e">
        <f>Fortitude</f>
        <v>#REF!</v>
      </c>
      <c r="FC20" s="969"/>
      <c r="FD20" s="970"/>
      <c r="FE20" s="1996" t="s">
        <v>58</v>
      </c>
      <c r="FF20" s="1997"/>
      <c r="FG20" s="1997"/>
      <c r="FH20" s="1997"/>
      <c r="FI20" s="1997"/>
      <c r="FJ20" s="1997"/>
      <c r="FK20" s="1998"/>
      <c r="FL20" s="966" t="s">
        <v>514</v>
      </c>
      <c r="FM20" s="966"/>
      <c r="FN20" s="966"/>
      <c r="FO20" s="966"/>
      <c r="FP20" s="966"/>
      <c r="FQ20" s="966"/>
      <c r="FR20" s="967"/>
      <c r="FS20" s="968" t="e">
        <f>Resolve</f>
        <v>#REF!</v>
      </c>
      <c r="FT20" s="969"/>
      <c r="FU20" s="970"/>
      <c r="FV20" s="30"/>
    </row>
    <row r="21" spans="1:178" ht="7.5" customHeight="1" thickBot="1" x14ac:dyDescent="0.3">
      <c r="A21" s="1933"/>
      <c r="B21" s="1934"/>
      <c r="C21" s="1934"/>
      <c r="D21" s="1934"/>
      <c r="E21" s="1934"/>
      <c r="F21" s="1934"/>
      <c r="G21" s="1934"/>
      <c r="H21" s="1934"/>
      <c r="I21" s="1934"/>
      <c r="J21" s="1934"/>
      <c r="K21" s="1934"/>
      <c r="L21" s="1934"/>
      <c r="M21" s="1934"/>
      <c r="N21" s="1934"/>
      <c r="O21" s="1936"/>
      <c r="P21" s="1937"/>
      <c r="Q21" s="1937"/>
      <c r="R21" s="1937"/>
      <c r="S21" s="1937"/>
      <c r="T21" s="1937"/>
      <c r="U21" s="1938"/>
      <c r="V21" s="1941"/>
      <c r="W21" s="1942"/>
      <c r="X21" s="1942"/>
      <c r="Y21" s="1942"/>
      <c r="Z21" s="1942"/>
      <c r="AA21" s="1943"/>
      <c r="AB21" s="30"/>
      <c r="AC21" s="17"/>
      <c r="AD21" s="17"/>
      <c r="AE21" s="17"/>
      <c r="AF21" s="17"/>
      <c r="AG21" s="17"/>
      <c r="AH21" s="17"/>
      <c r="AI21" s="17"/>
      <c r="AJ21" s="17"/>
      <c r="AK21" s="17"/>
      <c r="AL21" s="17"/>
      <c r="AM21" s="17"/>
      <c r="AN21" s="17"/>
      <c r="AO21" s="17"/>
      <c r="AP21" s="17"/>
      <c r="AQ21" s="17"/>
      <c r="AR21" s="17"/>
      <c r="AT21" s="1933"/>
      <c r="AU21" s="1934"/>
      <c r="AV21" s="1934"/>
      <c r="AW21" s="1934"/>
      <c r="AX21" s="1934"/>
      <c r="AY21" s="1934"/>
      <c r="AZ21" s="1934"/>
      <c r="BA21" s="1934"/>
      <c r="BB21" s="1934"/>
      <c r="BC21" s="1934"/>
      <c r="BD21" s="1934"/>
      <c r="BE21" s="1934"/>
      <c r="BF21" s="1934"/>
      <c r="BG21" s="1934"/>
      <c r="BH21" s="1936"/>
      <c r="BI21" s="1937"/>
      <c r="BJ21" s="1937"/>
      <c r="BK21" s="1937"/>
      <c r="BL21" s="1937"/>
      <c r="BM21" s="1937"/>
      <c r="BN21" s="1938"/>
      <c r="BO21" s="1941"/>
      <c r="BP21" s="1942"/>
      <c r="BQ21" s="1942"/>
      <c r="BR21" s="1942"/>
      <c r="BS21" s="1942"/>
      <c r="BT21" s="1943"/>
      <c r="BU21" s="30"/>
      <c r="BV21" s="17"/>
      <c r="BW21" s="17"/>
      <c r="BX21" s="17"/>
      <c r="BY21" s="17"/>
      <c r="BZ21" s="17"/>
      <c r="CA21" s="17"/>
      <c r="CB21" s="17"/>
      <c r="CC21" s="17"/>
      <c r="CD21" s="17"/>
      <c r="CE21" s="17"/>
      <c r="CF21" s="17"/>
      <c r="CG21" s="17"/>
      <c r="CH21" s="17"/>
      <c r="CI21" s="17"/>
      <c r="CJ21" s="17"/>
      <c r="CK21" s="17"/>
      <c r="CP21" s="119"/>
      <c r="CQ21" s="119"/>
      <c r="CR21" s="119"/>
      <c r="CS21" s="119"/>
      <c r="CT21" s="119"/>
      <c r="CU21" s="2012" t="s">
        <v>28</v>
      </c>
      <c r="CV21" s="2013"/>
      <c r="CW21" s="2013"/>
      <c r="CX21" s="2013"/>
      <c r="CY21" s="2014"/>
      <c r="CZ21" s="2012" t="s">
        <v>28</v>
      </c>
      <c r="DA21" s="2013"/>
      <c r="DB21" s="2013"/>
      <c r="DC21" s="2013"/>
      <c r="DD21" s="2014"/>
      <c r="DE21" s="1970"/>
      <c r="DF21" s="2018"/>
      <c r="DG21" s="2018"/>
      <c r="DH21" s="2018"/>
      <c r="DI21" s="1981"/>
      <c r="DQ21" s="244"/>
      <c r="DR21" s="30"/>
      <c r="DS21" s="30"/>
      <c r="DT21" s="30"/>
      <c r="DU21" s="30"/>
      <c r="DV21" s="30"/>
      <c r="DW21" s="30"/>
      <c r="DX21" s="30"/>
      <c r="DY21" s="30"/>
      <c r="DZ21" s="30"/>
      <c r="EA21" s="30"/>
      <c r="EB21" s="30"/>
      <c r="EC21" s="30"/>
      <c r="EU21" s="244"/>
      <c r="EV21" s="30"/>
      <c r="EW21" s="30"/>
      <c r="EX21" s="30"/>
      <c r="EY21" s="30"/>
      <c r="EZ21" s="30"/>
      <c r="FA21" s="30"/>
      <c r="FB21" s="968"/>
      <c r="FC21" s="969"/>
      <c r="FD21" s="970"/>
      <c r="FE21" s="1999"/>
      <c r="FF21" s="2000"/>
      <c r="FG21" s="2000"/>
      <c r="FH21" s="2000"/>
      <c r="FI21" s="2000"/>
      <c r="FJ21" s="2000"/>
      <c r="FK21" s="2001"/>
      <c r="FL21" s="966"/>
      <c r="FM21" s="966"/>
      <c r="FN21" s="966"/>
      <c r="FO21" s="966"/>
      <c r="FP21" s="966"/>
      <c r="FQ21" s="966"/>
      <c r="FR21" s="967"/>
      <c r="FS21" s="968"/>
      <c r="FT21" s="969"/>
      <c r="FU21" s="970"/>
      <c r="FV21" s="30"/>
    </row>
    <row r="22" spans="1:178" ht="7.5" customHeight="1" x14ac:dyDescent="0.25">
      <c r="A22" s="979" t="s">
        <v>86</v>
      </c>
      <c r="B22" s="980"/>
      <c r="C22" s="980"/>
      <c r="D22" s="980"/>
      <c r="E22" s="980"/>
      <c r="F22" s="980"/>
      <c r="G22" s="980"/>
      <c r="H22" s="980"/>
      <c r="I22" s="980"/>
      <c r="J22" s="980"/>
      <c r="K22" s="980"/>
      <c r="L22" s="980"/>
      <c r="M22" s="980"/>
      <c r="N22" s="980"/>
      <c r="O22" s="980"/>
      <c r="P22" s="980"/>
      <c r="Q22" s="980"/>
      <c r="R22" s="980"/>
      <c r="S22" s="980"/>
      <c r="T22" s="980"/>
      <c r="U22" s="980"/>
      <c r="V22" s="1930" t="s">
        <v>91</v>
      </c>
      <c r="W22" s="1930"/>
      <c r="X22" s="1930"/>
      <c r="Y22" s="1930"/>
      <c r="Z22" s="1930"/>
      <c r="AA22" s="1931"/>
      <c r="AB22" s="30"/>
      <c r="AC22" s="1688" t="s">
        <v>195</v>
      </c>
      <c r="AD22" s="1688"/>
      <c r="AE22" s="1688"/>
      <c r="AF22" s="1688"/>
      <c r="AG22" s="1688"/>
      <c r="AH22" s="1975"/>
      <c r="AI22" s="1975"/>
      <c r="AJ22" s="1975"/>
      <c r="AK22" s="1975"/>
      <c r="AL22" s="1975"/>
      <c r="AM22" s="1975"/>
      <c r="AN22" s="1975"/>
      <c r="AO22" s="1975"/>
      <c r="AP22" s="1975"/>
      <c r="AQ22" s="1975"/>
      <c r="AR22" s="1975"/>
      <c r="AT22" s="979" t="s">
        <v>86</v>
      </c>
      <c r="AU22" s="980"/>
      <c r="AV22" s="980"/>
      <c r="AW22" s="980"/>
      <c r="AX22" s="980"/>
      <c r="AY22" s="980"/>
      <c r="AZ22" s="980"/>
      <c r="BA22" s="980"/>
      <c r="BB22" s="980"/>
      <c r="BC22" s="980"/>
      <c r="BD22" s="980"/>
      <c r="BE22" s="980"/>
      <c r="BF22" s="980"/>
      <c r="BG22" s="980"/>
      <c r="BH22" s="980"/>
      <c r="BI22" s="980"/>
      <c r="BJ22" s="980"/>
      <c r="BK22" s="980"/>
      <c r="BL22" s="980"/>
      <c r="BM22" s="980"/>
      <c r="BN22" s="980"/>
      <c r="BO22" s="1930" t="s">
        <v>91</v>
      </c>
      <c r="BP22" s="1930"/>
      <c r="BQ22" s="1930"/>
      <c r="BR22" s="1930"/>
      <c r="BS22" s="1930"/>
      <c r="BT22" s="1931"/>
      <c r="BU22" s="30"/>
      <c r="BV22" s="1688" t="s">
        <v>195</v>
      </c>
      <c r="BW22" s="1688"/>
      <c r="BX22" s="1688"/>
      <c r="BY22" s="1688"/>
      <c r="BZ22" s="1688"/>
      <c r="CA22" s="1975"/>
      <c r="CB22" s="1975"/>
      <c r="CC22" s="1975"/>
      <c r="CD22" s="1975"/>
      <c r="CE22" s="1975"/>
      <c r="CF22" s="1975"/>
      <c r="CG22" s="1975"/>
      <c r="CH22" s="1975"/>
      <c r="CI22" s="1975"/>
      <c r="CJ22" s="1975"/>
      <c r="CK22" s="1975"/>
      <c r="CP22" s="119"/>
      <c r="CQ22" s="119"/>
      <c r="CR22" s="119"/>
      <c r="CS22" s="119"/>
      <c r="CT22" s="119"/>
      <c r="CU22" s="1972"/>
      <c r="CV22" s="1973"/>
      <c r="CW22" s="1973"/>
      <c r="CX22" s="1973"/>
      <c r="CY22" s="2015"/>
      <c r="CZ22" s="1972"/>
      <c r="DA22" s="1973"/>
      <c r="DB22" s="1973"/>
      <c r="DC22" s="1973"/>
      <c r="DD22" s="2015"/>
      <c r="DE22" s="1972"/>
      <c r="DF22" s="1973"/>
      <c r="DG22" s="1973"/>
      <c r="DH22" s="1973"/>
      <c r="DI22" s="2015"/>
      <c r="DQ22" s="244"/>
      <c r="DR22" s="30"/>
      <c r="DS22" s="30"/>
      <c r="DT22" s="30"/>
      <c r="DU22" s="30"/>
      <c r="DV22" s="30"/>
      <c r="DW22" s="30"/>
      <c r="DX22" s="30"/>
      <c r="DY22" s="30"/>
      <c r="DZ22" s="30"/>
      <c r="EA22" s="30"/>
      <c r="EU22" s="244"/>
      <c r="EV22" s="30"/>
      <c r="EW22" s="30"/>
      <c r="EX22" s="30"/>
      <c r="EY22" s="30"/>
      <c r="EZ22" s="30"/>
      <c r="FA22" s="30"/>
      <c r="FB22" s="30"/>
      <c r="FC22" s="30"/>
      <c r="FD22" s="30"/>
      <c r="FE22" s="30"/>
      <c r="FF22" s="30"/>
      <c r="FG22" s="30"/>
      <c r="FH22" s="30"/>
      <c r="FI22" s="30"/>
      <c r="FJ22" s="30"/>
      <c r="FK22" s="30"/>
      <c r="FL22" s="30"/>
      <c r="FM22" s="30"/>
      <c r="FN22" s="30"/>
      <c r="FO22" s="30"/>
      <c r="FP22" s="30"/>
      <c r="FQ22" s="30"/>
      <c r="FR22" s="30"/>
      <c r="FS22" s="30"/>
      <c r="FT22" s="30"/>
      <c r="FU22" s="30"/>
      <c r="FV22" s="30"/>
    </row>
    <row r="23" spans="1:178" ht="7.5" customHeight="1" x14ac:dyDescent="0.25">
      <c r="A23" s="1953"/>
      <c r="B23" s="1954"/>
      <c r="C23" s="1954"/>
      <c r="D23" s="1954"/>
      <c r="E23" s="1954"/>
      <c r="F23" s="1954"/>
      <c r="G23" s="1954"/>
      <c r="H23" s="1954"/>
      <c r="I23" s="1954"/>
      <c r="J23" s="1954"/>
      <c r="K23" s="1954"/>
      <c r="L23" s="1954"/>
      <c r="M23" s="1954"/>
      <c r="N23" s="1954"/>
      <c r="O23" s="1954"/>
      <c r="P23" s="1954"/>
      <c r="Q23" s="1954"/>
      <c r="R23" s="1954"/>
      <c r="S23" s="1954"/>
      <c r="T23" s="1954"/>
      <c r="U23" s="1954"/>
      <c r="V23" s="956"/>
      <c r="W23" s="1945"/>
      <c r="X23" s="1945"/>
      <c r="Y23" s="1945"/>
      <c r="Z23" s="1945"/>
      <c r="AA23" s="958"/>
      <c r="AB23" s="30"/>
      <c r="AC23" s="1689"/>
      <c r="AD23" s="1689"/>
      <c r="AE23" s="1689"/>
      <c r="AF23" s="1689"/>
      <c r="AG23" s="1689"/>
      <c r="AH23" s="1692"/>
      <c r="AI23" s="1692"/>
      <c r="AJ23" s="1692"/>
      <c r="AK23" s="1692"/>
      <c r="AL23" s="1692"/>
      <c r="AM23" s="1692"/>
      <c r="AN23" s="1692"/>
      <c r="AO23" s="1692"/>
      <c r="AP23" s="1692"/>
      <c r="AQ23" s="1692"/>
      <c r="AR23" s="1692"/>
      <c r="AT23" s="1953"/>
      <c r="AU23" s="1954"/>
      <c r="AV23" s="1954"/>
      <c r="AW23" s="1954"/>
      <c r="AX23" s="1954"/>
      <c r="AY23" s="1954"/>
      <c r="AZ23" s="1954"/>
      <c r="BA23" s="1954"/>
      <c r="BB23" s="1954"/>
      <c r="BC23" s="1954"/>
      <c r="BD23" s="1954"/>
      <c r="BE23" s="1954"/>
      <c r="BF23" s="1954"/>
      <c r="BG23" s="1954"/>
      <c r="BH23" s="1954"/>
      <c r="BI23" s="1954"/>
      <c r="BJ23" s="1954"/>
      <c r="BK23" s="1954"/>
      <c r="BL23" s="1954"/>
      <c r="BM23" s="1954"/>
      <c r="BN23" s="1954"/>
      <c r="BO23" s="956"/>
      <c r="BP23" s="1945"/>
      <c r="BQ23" s="1945"/>
      <c r="BR23" s="1945"/>
      <c r="BS23" s="1945"/>
      <c r="BT23" s="958"/>
      <c r="BU23" s="30"/>
      <c r="BV23" s="1689"/>
      <c r="BW23" s="1689"/>
      <c r="BX23" s="1689"/>
      <c r="BY23" s="1689"/>
      <c r="BZ23" s="1689"/>
      <c r="CA23" s="1692"/>
      <c r="CB23" s="1692"/>
      <c r="CC23" s="1692"/>
      <c r="CD23" s="1692"/>
      <c r="CE23" s="1692"/>
      <c r="CF23" s="1692"/>
      <c r="CG23" s="1692"/>
      <c r="CH23" s="1692"/>
      <c r="CI23" s="1692"/>
      <c r="CJ23" s="1692"/>
      <c r="CK23" s="1692"/>
      <c r="CP23" s="119"/>
      <c r="CQ23" s="119"/>
      <c r="CR23" s="119"/>
      <c r="CS23" s="119"/>
      <c r="CT23" s="119"/>
      <c r="CU23" s="1980"/>
      <c r="CV23" s="2016"/>
      <c r="CW23" s="2016"/>
      <c r="CX23" s="2016"/>
      <c r="CY23" s="2017"/>
      <c r="CZ23" s="1980"/>
      <c r="DA23" s="2016"/>
      <c r="DB23" s="2016"/>
      <c r="DC23" s="2016"/>
      <c r="DD23" s="2017"/>
      <c r="DE23" s="1980"/>
      <c r="DF23" s="2019"/>
      <c r="DG23" s="2019"/>
      <c r="DH23" s="2019"/>
      <c r="DI23" s="2017"/>
      <c r="DQ23" s="244"/>
      <c r="DR23" s="30"/>
      <c r="DS23" s="30"/>
      <c r="DT23" s="30"/>
      <c r="DU23" s="30"/>
      <c r="DV23" s="30"/>
      <c r="DW23" s="30"/>
      <c r="DX23" s="30"/>
      <c r="DY23" s="30"/>
      <c r="DZ23" s="30"/>
      <c r="EA23" s="30"/>
      <c r="EU23" s="244"/>
      <c r="EV23" s="30"/>
      <c r="EW23" s="30"/>
      <c r="EX23" s="30"/>
      <c r="EY23" s="30"/>
      <c r="EZ23" s="30"/>
      <c r="FA23" s="30"/>
      <c r="FB23" s="30"/>
      <c r="FC23" s="30"/>
      <c r="FD23" s="30"/>
      <c r="FE23" s="30"/>
      <c r="FF23" s="30"/>
      <c r="FG23" s="30"/>
      <c r="FH23" s="30"/>
      <c r="FI23" s="30"/>
      <c r="FJ23" s="30"/>
      <c r="FK23" s="30"/>
      <c r="FL23" s="30"/>
      <c r="FM23" s="30"/>
      <c r="FN23" s="30"/>
      <c r="FO23" s="30"/>
      <c r="FP23" s="30"/>
      <c r="FQ23" s="30"/>
      <c r="FR23" s="30"/>
      <c r="FS23" s="30"/>
      <c r="FT23" s="30"/>
      <c r="FU23" s="30"/>
      <c r="FV23" s="30"/>
    </row>
    <row r="24" spans="1:178" ht="7.5" customHeight="1" thickBot="1" x14ac:dyDescent="0.3">
      <c r="A24" s="1953"/>
      <c r="B24" s="1954"/>
      <c r="C24" s="1954"/>
      <c r="D24" s="1954"/>
      <c r="E24" s="1954"/>
      <c r="F24" s="1954"/>
      <c r="G24" s="1954"/>
      <c r="H24" s="1954"/>
      <c r="I24" s="1954"/>
      <c r="J24" s="1954"/>
      <c r="K24" s="1954"/>
      <c r="L24" s="1954"/>
      <c r="M24" s="1954"/>
      <c r="N24" s="1954"/>
      <c r="O24" s="1954"/>
      <c r="P24" s="1954"/>
      <c r="Q24" s="1954"/>
      <c r="R24" s="1954"/>
      <c r="S24" s="1954"/>
      <c r="T24" s="1954"/>
      <c r="U24" s="1954"/>
      <c r="V24" s="1957"/>
      <c r="W24" s="960"/>
      <c r="X24" s="960"/>
      <c r="Y24" s="960"/>
      <c r="Z24" s="960"/>
      <c r="AA24" s="1958"/>
      <c r="AB24" s="30"/>
      <c r="AC24" s="1974"/>
      <c r="AD24" s="1974"/>
      <c r="AE24" s="1974"/>
      <c r="AF24" s="1974"/>
      <c r="AG24" s="1974"/>
      <c r="AH24" s="1685" t="s">
        <v>16</v>
      </c>
      <c r="AI24" s="1685"/>
      <c r="AJ24" s="1685"/>
      <c r="AK24" s="1685"/>
      <c r="AL24" s="1685"/>
      <c r="AM24" s="1685"/>
      <c r="AN24" s="1685"/>
      <c r="AO24" s="1685"/>
      <c r="AP24" s="1685"/>
      <c r="AQ24" s="1685"/>
      <c r="AR24" s="1685"/>
      <c r="AT24" s="1953"/>
      <c r="AU24" s="1954"/>
      <c r="AV24" s="1954"/>
      <c r="AW24" s="1954"/>
      <c r="AX24" s="1954"/>
      <c r="AY24" s="1954"/>
      <c r="AZ24" s="1954"/>
      <c r="BA24" s="1954"/>
      <c r="BB24" s="1954"/>
      <c r="BC24" s="1954"/>
      <c r="BD24" s="1954"/>
      <c r="BE24" s="1954"/>
      <c r="BF24" s="1954"/>
      <c r="BG24" s="1954"/>
      <c r="BH24" s="1954"/>
      <c r="BI24" s="1954"/>
      <c r="BJ24" s="1954"/>
      <c r="BK24" s="1954"/>
      <c r="BL24" s="1954"/>
      <c r="BM24" s="1954"/>
      <c r="BN24" s="1954"/>
      <c r="BO24" s="1957"/>
      <c r="BP24" s="960"/>
      <c r="BQ24" s="960"/>
      <c r="BR24" s="960"/>
      <c r="BS24" s="960"/>
      <c r="BT24" s="1958"/>
      <c r="BU24" s="30"/>
      <c r="BV24" s="1974"/>
      <c r="BW24" s="1974"/>
      <c r="BX24" s="1974"/>
      <c r="BY24" s="1974"/>
      <c r="BZ24" s="1974"/>
      <c r="CA24" s="1685" t="s">
        <v>16</v>
      </c>
      <c r="CB24" s="1685"/>
      <c r="CC24" s="1685"/>
      <c r="CD24" s="1685"/>
      <c r="CE24" s="1685"/>
      <c r="CF24" s="1685"/>
      <c r="CG24" s="1685"/>
      <c r="CH24" s="1685"/>
      <c r="CI24" s="1685"/>
      <c r="CJ24" s="1685"/>
      <c r="CK24" s="1685"/>
      <c r="CP24" s="119"/>
      <c r="CQ24" s="119"/>
      <c r="CR24" s="119"/>
      <c r="CS24" s="119"/>
      <c r="CT24" s="119"/>
      <c r="CU24" s="119"/>
      <c r="CV24" s="119"/>
      <c r="CW24" s="119"/>
      <c r="CX24" s="119"/>
      <c r="CY24" s="119"/>
      <c r="CZ24" s="119"/>
      <c r="DA24" s="119"/>
      <c r="DB24" s="119"/>
      <c r="DC24" s="119"/>
      <c r="DD24" s="119"/>
      <c r="DE24" s="119"/>
      <c r="DF24" s="119"/>
      <c r="DG24" s="119"/>
      <c r="DH24" s="119"/>
      <c r="DI24" s="119"/>
      <c r="DQ24" s="244"/>
      <c r="DR24" s="30"/>
      <c r="DS24" s="30"/>
      <c r="DT24" s="30"/>
      <c r="DU24" s="30"/>
      <c r="DV24" s="30"/>
      <c r="DW24" s="30"/>
      <c r="DX24" s="30"/>
      <c r="DY24" s="30"/>
      <c r="DZ24" s="30"/>
      <c r="EA24" s="30"/>
      <c r="EU24" s="244"/>
      <c r="EV24" s="30"/>
      <c r="EW24" s="30"/>
      <c r="EX24" s="30"/>
      <c r="EY24" s="30"/>
      <c r="EZ24" s="30"/>
      <c r="FA24" s="30"/>
      <c r="FB24" s="30"/>
      <c r="FC24" s="30"/>
      <c r="FD24" s="30"/>
      <c r="FE24" s="30"/>
      <c r="FF24" s="30"/>
      <c r="FG24" s="30"/>
      <c r="FH24" s="30"/>
      <c r="FI24" s="30"/>
      <c r="FJ24" s="30"/>
      <c r="FK24" s="30"/>
      <c r="FL24" s="30"/>
      <c r="FM24" s="30"/>
      <c r="FN24" s="30"/>
      <c r="FO24" s="30"/>
      <c r="FP24" s="30"/>
      <c r="FQ24" s="30"/>
      <c r="FR24" s="30"/>
      <c r="FS24" s="30"/>
      <c r="FT24" s="30"/>
      <c r="FU24" s="30"/>
      <c r="FV24" s="30"/>
    </row>
    <row r="25" spans="1:178" ht="7.5" customHeight="1" thickBot="1" x14ac:dyDescent="0.3">
      <c r="A25" s="1953"/>
      <c r="B25" s="1954"/>
      <c r="C25" s="1954"/>
      <c r="D25" s="1954"/>
      <c r="E25" s="1954"/>
      <c r="F25" s="1954"/>
      <c r="G25" s="1954"/>
      <c r="H25" s="1954"/>
      <c r="I25" s="1954"/>
      <c r="J25" s="1954"/>
      <c r="K25" s="1954"/>
      <c r="L25" s="1954"/>
      <c r="M25" s="1954"/>
      <c r="N25" s="1954"/>
      <c r="O25" s="1954"/>
      <c r="P25" s="1954"/>
      <c r="Q25" s="1954"/>
      <c r="R25" s="1954"/>
      <c r="S25" s="1954"/>
      <c r="T25" s="1954"/>
      <c r="U25" s="1954"/>
      <c r="V25" s="1930" t="s">
        <v>90</v>
      </c>
      <c r="W25" s="1930"/>
      <c r="X25" s="1930"/>
      <c r="Y25" s="1930"/>
      <c r="Z25" s="1930"/>
      <c r="AA25" s="1931"/>
      <c r="AB25" s="30"/>
      <c r="AC25" s="30"/>
      <c r="AD25" s="17"/>
      <c r="AE25" s="17"/>
      <c r="AF25" s="30"/>
      <c r="AG25" s="30"/>
      <c r="AH25" s="1685"/>
      <c r="AI25" s="1685"/>
      <c r="AJ25" s="1685"/>
      <c r="AK25" s="1685"/>
      <c r="AL25" s="1685"/>
      <c r="AM25" s="1685"/>
      <c r="AN25" s="1685"/>
      <c r="AO25" s="1685"/>
      <c r="AP25" s="1685"/>
      <c r="AQ25" s="1685"/>
      <c r="AR25" s="1685"/>
      <c r="AT25" s="1953"/>
      <c r="AU25" s="1954"/>
      <c r="AV25" s="1954"/>
      <c r="AW25" s="1954"/>
      <c r="AX25" s="1954"/>
      <c r="AY25" s="1954"/>
      <c r="AZ25" s="1954"/>
      <c r="BA25" s="1954"/>
      <c r="BB25" s="1954"/>
      <c r="BC25" s="1954"/>
      <c r="BD25" s="1954"/>
      <c r="BE25" s="1954"/>
      <c r="BF25" s="1954"/>
      <c r="BG25" s="1954"/>
      <c r="BH25" s="1954"/>
      <c r="BI25" s="1954"/>
      <c r="BJ25" s="1954"/>
      <c r="BK25" s="1954"/>
      <c r="BL25" s="1954"/>
      <c r="BM25" s="1954"/>
      <c r="BN25" s="1954"/>
      <c r="BO25" s="1930" t="s">
        <v>90</v>
      </c>
      <c r="BP25" s="1930"/>
      <c r="BQ25" s="1930"/>
      <c r="BR25" s="1930"/>
      <c r="BS25" s="1930"/>
      <c r="BT25" s="1931"/>
      <c r="BU25" s="30"/>
      <c r="BV25" s="30"/>
      <c r="BW25" s="17"/>
      <c r="BX25" s="17"/>
      <c r="BY25" s="30"/>
      <c r="BZ25" s="30"/>
      <c r="CA25" s="1685"/>
      <c r="CB25" s="1685"/>
      <c r="CC25" s="1685"/>
      <c r="CD25" s="1685"/>
      <c r="CE25" s="1685"/>
      <c r="CF25" s="1685"/>
      <c r="CG25" s="1685"/>
      <c r="CH25" s="1685"/>
      <c r="CI25" s="1685"/>
      <c r="CJ25" s="1685"/>
      <c r="CK25" s="1685"/>
      <c r="CP25" s="968"/>
      <c r="CQ25" s="969"/>
      <c r="CR25" s="970"/>
      <c r="CS25" s="2002" t="s">
        <v>57</v>
      </c>
      <c r="CT25" s="2003"/>
      <c r="CU25" s="2003"/>
      <c r="CV25" s="2003"/>
      <c r="CW25" s="2003"/>
      <c r="CX25" s="2003"/>
      <c r="CY25" s="2004"/>
      <c r="CZ25" s="2005" t="s">
        <v>59</v>
      </c>
      <c r="DA25" s="2005"/>
      <c r="DB25" s="2005"/>
      <c r="DC25" s="2005"/>
      <c r="DD25" s="2005"/>
      <c r="DE25" s="2005"/>
      <c r="DF25" s="2006"/>
      <c r="DG25" s="968"/>
      <c r="DH25" s="969"/>
      <c r="DI25" s="970"/>
      <c r="DQ25" s="244"/>
      <c r="DR25" s="30"/>
      <c r="DS25" s="30"/>
      <c r="DT25" s="30"/>
      <c r="DU25" s="30"/>
      <c r="DV25" s="30"/>
      <c r="DW25" s="30"/>
      <c r="DX25" s="30"/>
      <c r="DY25" s="30"/>
      <c r="DZ25" s="30"/>
      <c r="EA25" s="30"/>
      <c r="EU25" s="244"/>
      <c r="EV25" s="30"/>
      <c r="EW25" s="30"/>
      <c r="EX25" s="30"/>
      <c r="EY25" s="30"/>
      <c r="EZ25" s="30"/>
      <c r="FA25" s="30"/>
      <c r="FB25" s="30"/>
      <c r="FC25" s="30"/>
      <c r="FD25" s="30"/>
      <c r="FE25" s="30"/>
      <c r="FF25" s="30"/>
      <c r="FG25" s="30"/>
      <c r="FH25" s="30"/>
      <c r="FI25" s="30"/>
      <c r="FJ25" s="30"/>
      <c r="FK25" s="30"/>
      <c r="FL25" s="30"/>
      <c r="FM25" s="30"/>
      <c r="FN25" s="30"/>
      <c r="FO25" s="30"/>
      <c r="FP25" s="30"/>
      <c r="FQ25" s="30"/>
      <c r="FR25" s="30"/>
      <c r="FS25" s="30"/>
      <c r="FT25" s="30"/>
      <c r="FU25" s="30"/>
      <c r="FV25" s="30"/>
    </row>
    <row r="26" spans="1:178" ht="7.5" customHeight="1" thickBot="1" x14ac:dyDescent="0.3">
      <c r="A26" s="1953"/>
      <c r="B26" s="1954"/>
      <c r="C26" s="1954"/>
      <c r="D26" s="1954"/>
      <c r="E26" s="1954"/>
      <c r="F26" s="1954"/>
      <c r="G26" s="1954"/>
      <c r="H26" s="1954"/>
      <c r="I26" s="1954"/>
      <c r="J26" s="1954"/>
      <c r="K26" s="1954"/>
      <c r="L26" s="1954"/>
      <c r="M26" s="1954"/>
      <c r="N26" s="1954"/>
      <c r="O26" s="1954"/>
      <c r="P26" s="1954"/>
      <c r="Q26" s="1954"/>
      <c r="R26" s="1954"/>
      <c r="S26" s="1954"/>
      <c r="T26" s="1954"/>
      <c r="U26" s="1954"/>
      <c r="V26" s="956"/>
      <c r="W26" s="1945"/>
      <c r="X26" s="1945"/>
      <c r="Y26" s="1945"/>
      <c r="Z26" s="1945"/>
      <c r="AA26" s="958"/>
      <c r="AB26" s="30"/>
      <c r="AC26" s="17"/>
      <c r="AD26" s="17"/>
      <c r="AE26" s="17"/>
      <c r="AF26" s="17"/>
      <c r="AG26" s="17"/>
      <c r="AH26" s="1685"/>
      <c r="AI26" s="1685"/>
      <c r="AJ26" s="1685"/>
      <c r="AK26" s="1685"/>
      <c r="AL26" s="1685"/>
      <c r="AM26" s="1685"/>
      <c r="AN26" s="1685"/>
      <c r="AO26" s="1685"/>
      <c r="AP26" s="1685"/>
      <c r="AQ26" s="1685"/>
      <c r="AR26" s="1685"/>
      <c r="AT26" s="1953"/>
      <c r="AU26" s="1954"/>
      <c r="AV26" s="1954"/>
      <c r="AW26" s="1954"/>
      <c r="AX26" s="1954"/>
      <c r="AY26" s="1954"/>
      <c r="AZ26" s="1954"/>
      <c r="BA26" s="1954"/>
      <c r="BB26" s="1954"/>
      <c r="BC26" s="1954"/>
      <c r="BD26" s="1954"/>
      <c r="BE26" s="1954"/>
      <c r="BF26" s="1954"/>
      <c r="BG26" s="1954"/>
      <c r="BH26" s="1954"/>
      <c r="BI26" s="1954"/>
      <c r="BJ26" s="1954"/>
      <c r="BK26" s="1954"/>
      <c r="BL26" s="1954"/>
      <c r="BM26" s="1954"/>
      <c r="BN26" s="1954"/>
      <c r="BO26" s="956"/>
      <c r="BP26" s="1945"/>
      <c r="BQ26" s="1945"/>
      <c r="BR26" s="1945"/>
      <c r="BS26" s="1945"/>
      <c r="BT26" s="958"/>
      <c r="BU26" s="30"/>
      <c r="BV26" s="17"/>
      <c r="BW26" s="17"/>
      <c r="BX26" s="17"/>
      <c r="BY26" s="17"/>
      <c r="BZ26" s="17"/>
      <c r="CA26" s="1685"/>
      <c r="CB26" s="1685"/>
      <c r="CC26" s="1685"/>
      <c r="CD26" s="1685"/>
      <c r="CE26" s="1685"/>
      <c r="CF26" s="1685"/>
      <c r="CG26" s="1685"/>
      <c r="CH26" s="1685"/>
      <c r="CI26" s="1685"/>
      <c r="CJ26" s="1685"/>
      <c r="CK26" s="1685"/>
      <c r="CP26" s="968"/>
      <c r="CQ26" s="969"/>
      <c r="CR26" s="970"/>
      <c r="CS26" s="2002"/>
      <c r="CT26" s="2003"/>
      <c r="CU26" s="2003"/>
      <c r="CV26" s="2003"/>
      <c r="CW26" s="2003"/>
      <c r="CX26" s="2003"/>
      <c r="CY26" s="2004"/>
      <c r="CZ26" s="2005"/>
      <c r="DA26" s="2005"/>
      <c r="DB26" s="2005"/>
      <c r="DC26" s="2005"/>
      <c r="DD26" s="2005"/>
      <c r="DE26" s="2005"/>
      <c r="DF26" s="2006"/>
      <c r="DG26" s="968"/>
      <c r="DH26" s="969"/>
      <c r="DI26" s="970"/>
      <c r="DQ26" s="244"/>
      <c r="DR26" s="30"/>
      <c r="DS26" s="30"/>
      <c r="DT26" s="30"/>
      <c r="DU26" s="30"/>
      <c r="DV26" s="30"/>
      <c r="DW26" s="30"/>
      <c r="DX26" s="30"/>
      <c r="DY26" s="30"/>
      <c r="DZ26" s="30"/>
      <c r="EA26" s="30"/>
      <c r="EU26" s="244"/>
      <c r="EV26" s="30"/>
      <c r="EW26" s="30"/>
      <c r="EX26" s="30"/>
      <c r="EY26" s="30"/>
      <c r="EZ26" s="30"/>
      <c r="FA26" s="30"/>
      <c r="FB26" s="30"/>
      <c r="FC26" s="30"/>
      <c r="FD26" s="30"/>
      <c r="FE26" s="30"/>
      <c r="FF26" s="30"/>
      <c r="FG26" s="30"/>
      <c r="FH26" s="30"/>
      <c r="FI26" s="30"/>
      <c r="FJ26" s="30"/>
      <c r="FK26" s="30"/>
      <c r="FL26" s="30"/>
      <c r="FM26" s="30"/>
      <c r="FN26" s="30"/>
      <c r="FO26" s="30"/>
      <c r="FP26" s="30"/>
      <c r="FQ26" s="30"/>
      <c r="FR26" s="30"/>
      <c r="FS26" s="30"/>
      <c r="FT26" s="30"/>
      <c r="FU26" s="30"/>
      <c r="FV26" s="30"/>
    </row>
    <row r="27" spans="1:178" ht="7.5" customHeight="1" thickBot="1" x14ac:dyDescent="0.3">
      <c r="A27" s="1961"/>
      <c r="B27" s="1962"/>
      <c r="C27" s="1962"/>
      <c r="D27" s="1962"/>
      <c r="E27" s="1962"/>
      <c r="F27" s="1962"/>
      <c r="G27" s="1962"/>
      <c r="H27" s="1962"/>
      <c r="I27" s="1962"/>
      <c r="J27" s="1962"/>
      <c r="K27" s="1962"/>
      <c r="L27" s="1962"/>
      <c r="M27" s="1962"/>
      <c r="N27" s="1962"/>
      <c r="O27" s="1962"/>
      <c r="P27" s="1962"/>
      <c r="Q27" s="1962"/>
      <c r="R27" s="1962"/>
      <c r="S27" s="1962"/>
      <c r="T27" s="1962"/>
      <c r="U27" s="1962"/>
      <c r="V27" s="1949"/>
      <c r="W27" s="1950"/>
      <c r="X27" s="1950"/>
      <c r="Y27" s="1950"/>
      <c r="Z27" s="1950"/>
      <c r="AA27" s="1951"/>
      <c r="AB27" s="30"/>
      <c r="AC27" s="17"/>
      <c r="AD27" s="17"/>
      <c r="AE27" s="17"/>
      <c r="AF27" s="17"/>
      <c r="AG27" s="17"/>
      <c r="AH27" s="1699"/>
      <c r="AI27" s="1699"/>
      <c r="AJ27" s="1699"/>
      <c r="AK27" s="1699"/>
      <c r="AL27" s="1699"/>
      <c r="AM27" s="1699"/>
      <c r="AN27" s="1699"/>
      <c r="AO27" s="1699"/>
      <c r="AP27" s="1699"/>
      <c r="AQ27" s="1699"/>
      <c r="AR27" s="1699"/>
      <c r="AT27" s="1961"/>
      <c r="AU27" s="1962"/>
      <c r="AV27" s="1962"/>
      <c r="AW27" s="1962"/>
      <c r="AX27" s="1962"/>
      <c r="AY27" s="1962"/>
      <c r="AZ27" s="1962"/>
      <c r="BA27" s="1962"/>
      <c r="BB27" s="1962"/>
      <c r="BC27" s="1962"/>
      <c r="BD27" s="1962"/>
      <c r="BE27" s="1962"/>
      <c r="BF27" s="1962"/>
      <c r="BG27" s="1962"/>
      <c r="BH27" s="1962"/>
      <c r="BI27" s="1962"/>
      <c r="BJ27" s="1962"/>
      <c r="BK27" s="1962"/>
      <c r="BL27" s="1962"/>
      <c r="BM27" s="1962"/>
      <c r="BN27" s="1962"/>
      <c r="BO27" s="1949"/>
      <c r="BP27" s="1950"/>
      <c r="BQ27" s="1950"/>
      <c r="BR27" s="1950"/>
      <c r="BS27" s="1950"/>
      <c r="BT27" s="1951"/>
      <c r="BU27" s="30"/>
      <c r="BV27" s="17"/>
      <c r="BW27" s="17"/>
      <c r="BX27" s="17"/>
      <c r="BY27" s="17"/>
      <c r="BZ27" s="17"/>
      <c r="CA27" s="1699"/>
      <c r="CB27" s="1699"/>
      <c r="CC27" s="1699"/>
      <c r="CD27" s="1699"/>
      <c r="CE27" s="1699"/>
      <c r="CF27" s="1699"/>
      <c r="CG27" s="1699"/>
      <c r="CH27" s="1699"/>
      <c r="CI27" s="1699"/>
      <c r="CJ27" s="1699"/>
      <c r="CK27" s="1699"/>
      <c r="CP27" s="968"/>
      <c r="CQ27" s="969"/>
      <c r="CR27" s="970"/>
      <c r="CS27" s="2007" t="s">
        <v>58</v>
      </c>
      <c r="CT27" s="2008"/>
      <c r="CU27" s="2008"/>
      <c r="CV27" s="2008"/>
      <c r="CW27" s="2008"/>
      <c r="CX27" s="2008"/>
      <c r="CY27" s="2009"/>
      <c r="CZ27" s="2010" t="s">
        <v>514</v>
      </c>
      <c r="DA27" s="2010"/>
      <c r="DB27" s="2010"/>
      <c r="DC27" s="2010"/>
      <c r="DD27" s="2010"/>
      <c r="DE27" s="2010"/>
      <c r="DF27" s="2011"/>
      <c r="DG27" s="968"/>
      <c r="DH27" s="969"/>
      <c r="DI27" s="970"/>
      <c r="DQ27" s="244"/>
      <c r="DR27" s="30"/>
      <c r="DS27" s="30"/>
      <c r="DT27" s="30"/>
      <c r="DU27" s="30"/>
      <c r="DV27" s="30"/>
      <c r="DW27" s="30"/>
      <c r="DX27" s="30"/>
      <c r="DY27" s="30"/>
      <c r="DZ27" s="30"/>
      <c r="EA27" s="30"/>
      <c r="EB27" s="30"/>
      <c r="EC27" s="30"/>
      <c r="EU27" s="244"/>
      <c r="EV27" s="30"/>
      <c r="EW27" s="30"/>
      <c r="EX27" s="30"/>
      <c r="EY27" s="30"/>
      <c r="EZ27" s="30"/>
      <c r="FA27" s="30"/>
      <c r="FB27" s="30"/>
      <c r="FC27" s="30"/>
      <c r="FD27" s="30"/>
      <c r="FE27" s="30"/>
      <c r="FF27" s="30"/>
      <c r="FG27" s="30"/>
      <c r="FH27" s="30"/>
      <c r="FI27" s="30"/>
      <c r="FJ27" s="30"/>
      <c r="FK27" s="30"/>
      <c r="FL27" s="30"/>
      <c r="FM27" s="30"/>
      <c r="FN27" s="30"/>
      <c r="FO27" s="30"/>
      <c r="FP27" s="30"/>
      <c r="FQ27" s="30"/>
      <c r="FR27" s="30"/>
      <c r="FS27" s="30"/>
      <c r="FT27" s="30"/>
      <c r="FU27" s="30"/>
      <c r="FV27" s="30"/>
    </row>
    <row r="28" spans="1:178" ht="7.5" customHeight="1" thickTop="1" thickBot="1" x14ac:dyDescent="0.3">
      <c r="A28" s="1963" t="s">
        <v>85</v>
      </c>
      <c r="B28" s="1964"/>
      <c r="C28" s="1964"/>
      <c r="D28" s="259"/>
      <c r="E28" s="259"/>
      <c r="F28" s="259"/>
      <c r="G28" s="259"/>
      <c r="H28" s="259"/>
      <c r="I28" s="259"/>
      <c r="J28" s="259"/>
      <c r="K28" s="259"/>
      <c r="L28" s="259"/>
      <c r="M28" s="259"/>
      <c r="N28" s="199"/>
      <c r="O28" s="260" t="s">
        <v>89</v>
      </c>
      <c r="P28" s="261"/>
      <c r="Q28" s="261"/>
      <c r="R28" s="261"/>
      <c r="S28" s="262"/>
      <c r="T28" s="262"/>
      <c r="U28" s="263"/>
      <c r="V28" s="264" t="s">
        <v>88</v>
      </c>
      <c r="W28" s="265"/>
      <c r="X28" s="265"/>
      <c r="Y28" s="265"/>
      <c r="Z28" s="265"/>
      <c r="AA28" s="266"/>
      <c r="AB28" s="30"/>
      <c r="AC28" s="17"/>
      <c r="AD28" s="17"/>
      <c r="AE28" s="17"/>
      <c r="AF28" s="17"/>
      <c r="AG28" s="17"/>
      <c r="AH28" s="1952"/>
      <c r="AI28" s="1952"/>
      <c r="AJ28" s="1952"/>
      <c r="AK28" s="1952"/>
      <c r="AL28" s="1952"/>
      <c r="AM28" s="1952"/>
      <c r="AN28" s="1952"/>
      <c r="AO28" s="1952"/>
      <c r="AP28" s="1952"/>
      <c r="AQ28" s="1952"/>
      <c r="AR28" s="1952"/>
      <c r="AT28" s="1963" t="s">
        <v>85</v>
      </c>
      <c r="AU28" s="1964"/>
      <c r="AV28" s="1964"/>
      <c r="AW28" s="259"/>
      <c r="AX28" s="259"/>
      <c r="AY28" s="259"/>
      <c r="AZ28" s="259"/>
      <c r="BA28" s="259"/>
      <c r="BB28" s="259"/>
      <c r="BC28" s="259"/>
      <c r="BD28" s="259"/>
      <c r="BE28" s="259"/>
      <c r="BF28" s="259"/>
      <c r="BG28" s="199"/>
      <c r="BH28" s="260" t="s">
        <v>89</v>
      </c>
      <c r="BI28" s="261"/>
      <c r="BJ28" s="261"/>
      <c r="BK28" s="261"/>
      <c r="BL28" s="262"/>
      <c r="BM28" s="262"/>
      <c r="BN28" s="263"/>
      <c r="BO28" s="264" t="s">
        <v>88</v>
      </c>
      <c r="BP28" s="265"/>
      <c r="BQ28" s="265"/>
      <c r="BR28" s="265"/>
      <c r="BS28" s="265"/>
      <c r="BT28" s="266"/>
      <c r="BU28" s="30"/>
      <c r="BV28" s="17"/>
      <c r="BW28" s="17"/>
      <c r="BX28" s="17"/>
      <c r="BY28" s="17"/>
      <c r="BZ28" s="17"/>
      <c r="CA28" s="1952"/>
      <c r="CB28" s="1952"/>
      <c r="CC28" s="1952"/>
      <c r="CD28" s="1952"/>
      <c r="CE28" s="1952"/>
      <c r="CF28" s="1952"/>
      <c r="CG28" s="1952"/>
      <c r="CH28" s="1952"/>
      <c r="CI28" s="1952"/>
      <c r="CJ28" s="1952"/>
      <c r="CK28" s="1952"/>
      <c r="CP28" s="968"/>
      <c r="CQ28" s="969"/>
      <c r="CR28" s="970"/>
      <c r="CS28" s="2007"/>
      <c r="CT28" s="2008"/>
      <c r="CU28" s="2008"/>
      <c r="CV28" s="2008"/>
      <c r="CW28" s="2008"/>
      <c r="CX28" s="2008"/>
      <c r="CY28" s="2009"/>
      <c r="CZ28" s="2010"/>
      <c r="DA28" s="2010"/>
      <c r="DB28" s="2010"/>
      <c r="DC28" s="2010"/>
      <c r="DD28" s="2010"/>
      <c r="DE28" s="2010"/>
      <c r="DF28" s="2011"/>
      <c r="DG28" s="968"/>
      <c r="DH28" s="969"/>
      <c r="DI28" s="970"/>
      <c r="DQ28" s="244"/>
      <c r="DR28" s="30"/>
      <c r="DS28" s="30"/>
      <c r="DT28" s="30"/>
      <c r="DU28" s="30"/>
      <c r="DV28" s="30"/>
      <c r="DW28" s="30"/>
      <c r="DX28" s="30"/>
      <c r="DY28" s="30"/>
      <c r="DZ28" s="30"/>
      <c r="EA28" s="30"/>
      <c r="EB28" s="30"/>
      <c r="EC28" s="30"/>
      <c r="EI28" s="119"/>
      <c r="EJ28" s="119"/>
      <c r="EK28" s="119"/>
      <c r="EL28" s="119"/>
      <c r="EM28" s="119"/>
      <c r="EN28" s="119"/>
      <c r="EO28" s="119"/>
      <c r="EP28" s="119"/>
      <c r="EQ28" s="119"/>
      <c r="ER28" s="119"/>
      <c r="EU28" s="244"/>
      <c r="EV28" s="30"/>
      <c r="EW28" s="30"/>
      <c r="EX28" s="30"/>
      <c r="EY28" s="30"/>
      <c r="EZ28" s="30"/>
      <c r="FA28" s="30"/>
      <c r="FB28" s="30"/>
      <c r="FH28" s="30"/>
      <c r="FI28" s="30"/>
      <c r="FJ28" s="30"/>
      <c r="FK28" s="30"/>
      <c r="FL28" s="30"/>
      <c r="FM28" s="30"/>
      <c r="FN28" s="30"/>
      <c r="FO28" s="30"/>
      <c r="FP28" s="30"/>
      <c r="FQ28" s="30"/>
      <c r="FR28" s="30"/>
      <c r="FS28" s="30"/>
      <c r="FT28" s="30"/>
      <c r="FU28" s="30"/>
      <c r="FV28" s="30"/>
    </row>
    <row r="29" spans="1:178" ht="7.5" customHeight="1" thickBot="1" x14ac:dyDescent="0.3">
      <c r="A29" s="950"/>
      <c r="B29" s="951"/>
      <c r="C29" s="951"/>
      <c r="D29" s="951"/>
      <c r="E29" s="951"/>
      <c r="F29" s="951"/>
      <c r="G29" s="951"/>
      <c r="H29" s="951"/>
      <c r="I29" s="951"/>
      <c r="J29" s="951"/>
      <c r="K29" s="951"/>
      <c r="L29" s="951"/>
      <c r="M29" s="951"/>
      <c r="N29" s="951"/>
      <c r="O29" s="981"/>
      <c r="P29" s="982"/>
      <c r="Q29" s="982"/>
      <c r="R29" s="982"/>
      <c r="S29" s="982"/>
      <c r="T29" s="982"/>
      <c r="U29" s="1935"/>
      <c r="V29" s="1939"/>
      <c r="W29" s="1081"/>
      <c r="X29" s="1081"/>
      <c r="Y29" s="1081"/>
      <c r="Z29" s="1081"/>
      <c r="AA29" s="1940"/>
      <c r="AB29" s="30"/>
      <c r="AC29" s="30"/>
      <c r="AD29" s="17"/>
      <c r="AE29" s="17"/>
      <c r="AF29" s="30"/>
      <c r="AG29" s="30"/>
      <c r="AH29" s="30"/>
      <c r="AI29" s="30"/>
      <c r="AJ29" s="30"/>
      <c r="AK29" s="30"/>
      <c r="AL29" s="30"/>
      <c r="AM29" s="30"/>
      <c r="AN29" s="30"/>
      <c r="AO29" s="30"/>
      <c r="AP29" s="30"/>
      <c r="AQ29" s="30"/>
      <c r="AR29" s="245"/>
      <c r="AT29" s="950"/>
      <c r="AU29" s="951"/>
      <c r="AV29" s="951"/>
      <c r="AW29" s="951"/>
      <c r="AX29" s="951"/>
      <c r="AY29" s="951"/>
      <c r="AZ29" s="951"/>
      <c r="BA29" s="951"/>
      <c r="BB29" s="951"/>
      <c r="BC29" s="951"/>
      <c r="BD29" s="951"/>
      <c r="BE29" s="951"/>
      <c r="BF29" s="951"/>
      <c r="BG29" s="951"/>
      <c r="BH29" s="981"/>
      <c r="BI29" s="982"/>
      <c r="BJ29" s="982"/>
      <c r="BK29" s="982"/>
      <c r="BL29" s="982"/>
      <c r="BM29" s="982"/>
      <c r="BN29" s="1935"/>
      <c r="BO29" s="1939"/>
      <c r="BP29" s="1081"/>
      <c r="BQ29" s="1081"/>
      <c r="BR29" s="1081"/>
      <c r="BS29" s="1081"/>
      <c r="BT29" s="1940"/>
      <c r="BU29" s="30"/>
      <c r="BV29" s="30"/>
      <c r="BW29" s="17"/>
      <c r="BX29" s="17"/>
      <c r="BY29" s="30"/>
      <c r="BZ29" s="30"/>
      <c r="CA29" s="30"/>
      <c r="CB29" s="30"/>
      <c r="CC29" s="30"/>
      <c r="CD29" s="30"/>
      <c r="CE29" s="30"/>
      <c r="CF29" s="30"/>
      <c r="CG29" s="30"/>
      <c r="CH29" s="30"/>
      <c r="CI29" s="30"/>
      <c r="CJ29" s="30"/>
      <c r="CK29" s="245"/>
      <c r="CP29" s="119"/>
      <c r="CQ29" s="119"/>
      <c r="CR29" s="119"/>
      <c r="CS29" s="119"/>
      <c r="CT29" s="119"/>
      <c r="CU29" s="119"/>
      <c r="CV29" s="119"/>
      <c r="CW29" s="119"/>
      <c r="CX29" s="119"/>
      <c r="CY29" s="119"/>
      <c r="CZ29" s="119"/>
      <c r="DA29" s="119"/>
      <c r="DB29" s="119"/>
      <c r="DC29" s="119"/>
      <c r="DD29" s="119"/>
      <c r="DE29" s="119"/>
      <c r="DF29" s="119"/>
      <c r="DG29" s="119"/>
      <c r="DH29" s="119"/>
      <c r="DI29" s="119"/>
      <c r="DQ29" s="1975" t="s">
        <v>447</v>
      </c>
      <c r="DR29" s="1975"/>
      <c r="DS29" s="1975"/>
      <c r="DT29" s="1975"/>
      <c r="DU29" s="1975"/>
      <c r="DV29" s="1975"/>
      <c r="DW29" s="1975"/>
      <c r="DX29" s="1975"/>
      <c r="DY29" s="1975"/>
      <c r="DZ29" s="1975"/>
      <c r="EA29" s="1975"/>
      <c r="EB29" s="1688" t="s">
        <v>195</v>
      </c>
      <c r="EC29" s="1688"/>
      <c r="ED29" s="1688"/>
      <c r="EE29" s="1688"/>
      <c r="EF29" s="1688"/>
      <c r="EI29" s="1967" t="s">
        <v>453</v>
      </c>
      <c r="EJ29" s="1967"/>
      <c r="EK29" s="1967"/>
      <c r="EL29" s="1967"/>
      <c r="EM29" s="1967"/>
      <c r="EN29" s="1967"/>
      <c r="EO29" s="1967"/>
      <c r="EP29" s="1967"/>
      <c r="EQ29" s="1967"/>
      <c r="ER29" s="1967"/>
      <c r="ES29" s="1967"/>
      <c r="EU29" s="244"/>
      <c r="EV29" s="30"/>
      <c r="EW29" s="30"/>
      <c r="EX29" s="30"/>
      <c r="EY29" s="30"/>
      <c r="EZ29" s="30"/>
      <c r="FA29" s="30"/>
      <c r="FB29" s="30"/>
      <c r="FH29" s="30"/>
      <c r="FI29" s="30"/>
      <c r="FJ29" s="30"/>
      <c r="FK29" s="30"/>
      <c r="FL29" s="30"/>
      <c r="FM29" s="30"/>
      <c r="FN29" s="30"/>
      <c r="FO29" s="30"/>
      <c r="FP29" s="30"/>
      <c r="FQ29" s="30"/>
      <c r="FR29" s="30"/>
      <c r="FS29" s="30"/>
      <c r="FT29" s="30"/>
      <c r="FU29" s="30"/>
      <c r="FV29" s="30"/>
    </row>
    <row r="30" spans="1:178" ht="7.5" customHeight="1" x14ac:dyDescent="0.25">
      <c r="A30" s="1933"/>
      <c r="B30" s="1934"/>
      <c r="C30" s="1934"/>
      <c r="D30" s="1934"/>
      <c r="E30" s="1934"/>
      <c r="F30" s="1934"/>
      <c r="G30" s="1934"/>
      <c r="H30" s="1934"/>
      <c r="I30" s="1934"/>
      <c r="J30" s="1934"/>
      <c r="K30" s="1934"/>
      <c r="L30" s="1934"/>
      <c r="M30" s="1934"/>
      <c r="N30" s="1934"/>
      <c r="O30" s="1936"/>
      <c r="P30" s="1937"/>
      <c r="Q30" s="1937"/>
      <c r="R30" s="1937"/>
      <c r="S30" s="1937"/>
      <c r="T30" s="1937"/>
      <c r="U30" s="1938"/>
      <c r="V30" s="1941"/>
      <c r="W30" s="1942"/>
      <c r="X30" s="1942"/>
      <c r="Y30" s="1942"/>
      <c r="Z30" s="1942"/>
      <c r="AA30" s="1943"/>
      <c r="AB30" s="30"/>
      <c r="AC30" s="1730" t="s">
        <v>195</v>
      </c>
      <c r="AD30" s="1730"/>
      <c r="AE30" s="1730"/>
      <c r="AF30" s="1730"/>
      <c r="AG30" s="1730"/>
      <c r="AH30" s="1967"/>
      <c r="AI30" s="1967"/>
      <c r="AJ30" s="1967"/>
      <c r="AK30" s="1967"/>
      <c r="AL30" s="1967"/>
      <c r="AM30" s="1967"/>
      <c r="AN30" s="1967"/>
      <c r="AO30" s="1967"/>
      <c r="AP30" s="1967"/>
      <c r="AQ30" s="1967"/>
      <c r="AR30" s="1967"/>
      <c r="AT30" s="1933"/>
      <c r="AU30" s="1934"/>
      <c r="AV30" s="1934"/>
      <c r="AW30" s="1934"/>
      <c r="AX30" s="1934"/>
      <c r="AY30" s="1934"/>
      <c r="AZ30" s="1934"/>
      <c r="BA30" s="1934"/>
      <c r="BB30" s="1934"/>
      <c r="BC30" s="1934"/>
      <c r="BD30" s="1934"/>
      <c r="BE30" s="1934"/>
      <c r="BF30" s="1934"/>
      <c r="BG30" s="1934"/>
      <c r="BH30" s="1936"/>
      <c r="BI30" s="1937"/>
      <c r="BJ30" s="1937"/>
      <c r="BK30" s="1937"/>
      <c r="BL30" s="1937"/>
      <c r="BM30" s="1937"/>
      <c r="BN30" s="1938"/>
      <c r="BO30" s="1941"/>
      <c r="BP30" s="1942"/>
      <c r="BQ30" s="1942"/>
      <c r="BR30" s="1942"/>
      <c r="BS30" s="1942"/>
      <c r="BT30" s="1943"/>
      <c r="BU30" s="30"/>
      <c r="BV30" s="1730" t="s">
        <v>195</v>
      </c>
      <c r="BW30" s="1730"/>
      <c r="BX30" s="1730"/>
      <c r="BY30" s="1730"/>
      <c r="BZ30" s="1730"/>
      <c r="CA30" s="1967"/>
      <c r="CB30" s="1967"/>
      <c r="CC30" s="1967"/>
      <c r="CD30" s="1967"/>
      <c r="CE30" s="1967"/>
      <c r="CF30" s="1967"/>
      <c r="CG30" s="1967"/>
      <c r="CH30" s="1967"/>
      <c r="CI30" s="1967"/>
      <c r="CJ30" s="1967"/>
      <c r="CK30" s="1967"/>
      <c r="DQ30" s="1692"/>
      <c r="DR30" s="1692"/>
      <c r="DS30" s="1692"/>
      <c r="DT30" s="1692"/>
      <c r="DU30" s="1692"/>
      <c r="DV30" s="1692"/>
      <c r="DW30" s="1692"/>
      <c r="DX30" s="1692"/>
      <c r="DY30" s="1692"/>
      <c r="DZ30" s="1692"/>
      <c r="EA30" s="1692"/>
      <c r="EB30" s="1689"/>
      <c r="EC30" s="1689"/>
      <c r="ED30" s="1689"/>
      <c r="EE30" s="1689"/>
      <c r="EF30" s="1689"/>
      <c r="EI30" s="1735"/>
      <c r="EJ30" s="1735"/>
      <c r="EK30" s="1735"/>
      <c r="EL30" s="1735"/>
      <c r="EM30" s="1735"/>
      <c r="EN30" s="1735"/>
      <c r="EO30" s="1735"/>
      <c r="EP30" s="1735"/>
      <c r="EQ30" s="1735"/>
      <c r="ER30" s="1735"/>
      <c r="ES30" s="1735"/>
      <c r="EU30" s="244"/>
      <c r="EV30" s="30"/>
      <c r="EW30" s="30"/>
      <c r="EX30" s="30"/>
      <c r="EY30" s="30"/>
      <c r="EZ30" s="30"/>
      <c r="FH30" s="30"/>
      <c r="FI30" s="30"/>
      <c r="FJ30" s="30"/>
      <c r="FK30" s="30"/>
      <c r="FL30" s="30"/>
      <c r="FM30" s="30"/>
      <c r="FN30" s="30"/>
      <c r="FO30" s="30"/>
      <c r="FP30" s="30"/>
      <c r="FQ30" s="30"/>
      <c r="FR30" s="30"/>
      <c r="FS30" s="30"/>
      <c r="FT30" s="30"/>
      <c r="FU30" s="30"/>
      <c r="FV30" s="30"/>
    </row>
    <row r="31" spans="1:178" ht="7.5" customHeight="1" thickBot="1" x14ac:dyDescent="0.3">
      <c r="A31" s="979" t="s">
        <v>86</v>
      </c>
      <c r="B31" s="980"/>
      <c r="C31" s="980"/>
      <c r="D31" s="980"/>
      <c r="E31" s="980"/>
      <c r="F31" s="980"/>
      <c r="G31" s="980"/>
      <c r="H31" s="980"/>
      <c r="I31" s="980"/>
      <c r="J31" s="980"/>
      <c r="K31" s="980"/>
      <c r="L31" s="980"/>
      <c r="M31" s="980"/>
      <c r="N31" s="980"/>
      <c r="O31" s="980"/>
      <c r="P31" s="980"/>
      <c r="Q31" s="980"/>
      <c r="R31" s="980"/>
      <c r="S31" s="980"/>
      <c r="T31" s="980"/>
      <c r="U31" s="980"/>
      <c r="V31" s="1930" t="s">
        <v>91</v>
      </c>
      <c r="W31" s="1930"/>
      <c r="X31" s="1930"/>
      <c r="Y31" s="1930"/>
      <c r="Z31" s="1930"/>
      <c r="AA31" s="1931"/>
      <c r="AB31" s="30"/>
      <c r="AC31" s="1965"/>
      <c r="AD31" s="1965"/>
      <c r="AE31" s="1965"/>
      <c r="AF31" s="1965"/>
      <c r="AG31" s="1965"/>
      <c r="AH31" s="1735"/>
      <c r="AI31" s="1735"/>
      <c r="AJ31" s="1735"/>
      <c r="AK31" s="1735"/>
      <c r="AL31" s="1735"/>
      <c r="AM31" s="1735"/>
      <c r="AN31" s="1735"/>
      <c r="AO31" s="1735"/>
      <c r="AP31" s="1735"/>
      <c r="AQ31" s="1735"/>
      <c r="AR31" s="1735"/>
      <c r="AT31" s="979" t="s">
        <v>86</v>
      </c>
      <c r="AU31" s="980"/>
      <c r="AV31" s="980"/>
      <c r="AW31" s="980"/>
      <c r="AX31" s="980"/>
      <c r="AY31" s="980"/>
      <c r="AZ31" s="980"/>
      <c r="BA31" s="980"/>
      <c r="BB31" s="980"/>
      <c r="BC31" s="980"/>
      <c r="BD31" s="980"/>
      <c r="BE31" s="980"/>
      <c r="BF31" s="980"/>
      <c r="BG31" s="980"/>
      <c r="BH31" s="980"/>
      <c r="BI31" s="980"/>
      <c r="BJ31" s="980"/>
      <c r="BK31" s="980"/>
      <c r="BL31" s="980"/>
      <c r="BM31" s="980"/>
      <c r="BN31" s="980"/>
      <c r="BO31" s="1930" t="s">
        <v>91</v>
      </c>
      <c r="BP31" s="1930"/>
      <c r="BQ31" s="1930"/>
      <c r="BR31" s="1930"/>
      <c r="BS31" s="1930"/>
      <c r="BT31" s="1931"/>
      <c r="BU31" s="30"/>
      <c r="BV31" s="1965"/>
      <c r="BW31" s="1965"/>
      <c r="BX31" s="1965"/>
      <c r="BY31" s="1965"/>
      <c r="BZ31" s="1965"/>
      <c r="CA31" s="1735"/>
      <c r="CB31" s="1735"/>
      <c r="CC31" s="1735"/>
      <c r="CD31" s="1735"/>
      <c r="CE31" s="1735"/>
      <c r="CF31" s="1735"/>
      <c r="CG31" s="1735"/>
      <c r="CH31" s="1735"/>
      <c r="CI31" s="1735"/>
      <c r="CJ31" s="1735"/>
      <c r="CK31" s="1735"/>
      <c r="DQ31" s="1685" t="s">
        <v>16</v>
      </c>
      <c r="DR31" s="1685"/>
      <c r="DS31" s="1685"/>
      <c r="DT31" s="1685"/>
      <c r="DU31" s="1685"/>
      <c r="DV31" s="1685"/>
      <c r="DW31" s="1685"/>
      <c r="DX31" s="1685"/>
      <c r="DY31" s="1685"/>
      <c r="DZ31" s="1685"/>
      <c r="EA31" s="1685"/>
      <c r="EB31" s="1974"/>
      <c r="EC31" s="1974"/>
      <c r="ED31" s="1974"/>
      <c r="EE31" s="1974"/>
      <c r="EF31" s="1974"/>
      <c r="EH31" s="17"/>
      <c r="EI31" s="1723" t="s">
        <v>21</v>
      </c>
      <c r="EJ31" s="1723"/>
      <c r="EK31" s="1723"/>
      <c r="EL31" s="1723"/>
      <c r="EM31" s="1723"/>
      <c r="EN31" s="1723"/>
      <c r="EO31" s="1723"/>
      <c r="EP31" s="1723"/>
      <c r="EQ31" s="1723"/>
      <c r="ER31" s="1723"/>
      <c r="ES31" s="1723"/>
      <c r="EU31" s="244"/>
      <c r="EV31" s="30"/>
      <c r="EW31" s="30"/>
      <c r="EX31" s="30"/>
      <c r="EY31" s="30"/>
      <c r="EZ31" s="30"/>
      <c r="FH31" s="30"/>
      <c r="FI31" s="30"/>
      <c r="FJ31" s="30"/>
      <c r="FK31" s="30"/>
      <c r="FL31" s="30"/>
      <c r="FM31" s="30"/>
      <c r="FN31" s="30"/>
      <c r="FO31" s="30"/>
      <c r="FP31" s="30"/>
      <c r="FQ31" s="30"/>
      <c r="FR31" s="30"/>
      <c r="FS31" s="30"/>
      <c r="FT31" s="30"/>
      <c r="FU31" s="30"/>
      <c r="FV31" s="30"/>
    </row>
    <row r="32" spans="1:178" ht="7.5" customHeight="1" thickBot="1" x14ac:dyDescent="0.3">
      <c r="A32" s="1953"/>
      <c r="B32" s="1954"/>
      <c r="C32" s="1954"/>
      <c r="D32" s="1954"/>
      <c r="E32" s="1954"/>
      <c r="F32" s="1954"/>
      <c r="G32" s="1954"/>
      <c r="H32" s="1954"/>
      <c r="I32" s="1954"/>
      <c r="J32" s="1954"/>
      <c r="K32" s="1954"/>
      <c r="L32" s="1954"/>
      <c r="M32" s="1954"/>
      <c r="N32" s="1954"/>
      <c r="O32" s="1954"/>
      <c r="P32" s="1954"/>
      <c r="Q32" s="1954"/>
      <c r="R32" s="1954"/>
      <c r="S32" s="1954"/>
      <c r="T32" s="1954"/>
      <c r="U32" s="1954"/>
      <c r="V32" s="956"/>
      <c r="W32" s="1945"/>
      <c r="X32" s="1945"/>
      <c r="Y32" s="1945"/>
      <c r="Z32" s="1945"/>
      <c r="AA32" s="958"/>
      <c r="AB32" s="30"/>
      <c r="AC32" s="1966"/>
      <c r="AD32" s="1966"/>
      <c r="AE32" s="1966"/>
      <c r="AF32" s="1966"/>
      <c r="AG32" s="1966"/>
      <c r="AH32" s="1723" t="s">
        <v>21</v>
      </c>
      <c r="AI32" s="1723"/>
      <c r="AJ32" s="1723"/>
      <c r="AK32" s="1723"/>
      <c r="AL32" s="1723"/>
      <c r="AM32" s="1723"/>
      <c r="AN32" s="1723"/>
      <c r="AO32" s="1723"/>
      <c r="AP32" s="1723"/>
      <c r="AQ32" s="1723"/>
      <c r="AR32" s="1723"/>
      <c r="AT32" s="1953"/>
      <c r="AU32" s="1954"/>
      <c r="AV32" s="1954"/>
      <c r="AW32" s="1954"/>
      <c r="AX32" s="1954"/>
      <c r="AY32" s="1954"/>
      <c r="AZ32" s="1954"/>
      <c r="BA32" s="1954"/>
      <c r="BB32" s="1954"/>
      <c r="BC32" s="1954"/>
      <c r="BD32" s="1954"/>
      <c r="BE32" s="1954"/>
      <c r="BF32" s="1954"/>
      <c r="BG32" s="1954"/>
      <c r="BH32" s="1954"/>
      <c r="BI32" s="1954"/>
      <c r="BJ32" s="1954"/>
      <c r="BK32" s="1954"/>
      <c r="BL32" s="1954"/>
      <c r="BM32" s="1954"/>
      <c r="BN32" s="1954"/>
      <c r="BO32" s="956"/>
      <c r="BP32" s="1945"/>
      <c r="BQ32" s="1945"/>
      <c r="BR32" s="1945"/>
      <c r="BS32" s="1945"/>
      <c r="BT32" s="958"/>
      <c r="BU32" s="30"/>
      <c r="BV32" s="1966"/>
      <c r="BW32" s="1966"/>
      <c r="BX32" s="1966"/>
      <c r="BY32" s="1966"/>
      <c r="BZ32" s="1966"/>
      <c r="CA32" s="1723" t="s">
        <v>21</v>
      </c>
      <c r="CB32" s="1723"/>
      <c r="CC32" s="1723"/>
      <c r="CD32" s="1723"/>
      <c r="CE32" s="1723"/>
      <c r="CF32" s="1723"/>
      <c r="CG32" s="1723"/>
      <c r="CH32" s="1723"/>
      <c r="CI32" s="1723"/>
      <c r="CJ32" s="1723"/>
      <c r="CK32" s="1723"/>
      <c r="DQ32" s="1685"/>
      <c r="DR32" s="1685"/>
      <c r="DS32" s="1685"/>
      <c r="DT32" s="1685"/>
      <c r="DU32" s="1685"/>
      <c r="DV32" s="1685"/>
      <c r="DW32" s="1685"/>
      <c r="DX32" s="1685"/>
      <c r="DY32" s="1685"/>
      <c r="DZ32" s="1685"/>
      <c r="EA32" s="1685"/>
      <c r="EB32" s="30"/>
      <c r="EC32" s="30"/>
      <c r="EH32" s="17"/>
      <c r="EI32" s="1723"/>
      <c r="EJ32" s="1723"/>
      <c r="EK32" s="1723"/>
      <c r="EL32" s="1723"/>
      <c r="EM32" s="1723"/>
      <c r="EN32" s="1723"/>
      <c r="EO32" s="1723"/>
      <c r="EP32" s="1723"/>
      <c r="EQ32" s="1723"/>
      <c r="ER32" s="1723"/>
      <c r="ES32" s="1723"/>
      <c r="EU32" s="244"/>
      <c r="EV32" s="30"/>
      <c r="EW32" s="30"/>
      <c r="EX32" s="30"/>
      <c r="EY32" s="30"/>
      <c r="EZ32" s="30"/>
      <c r="FF32" s="30"/>
      <c r="FG32" s="30"/>
      <c r="FH32" s="30"/>
      <c r="FI32" s="30"/>
      <c r="FJ32" s="30"/>
      <c r="FK32" s="30"/>
      <c r="FL32" s="30"/>
      <c r="FM32" s="30"/>
      <c r="FN32" s="30"/>
      <c r="FO32" s="30"/>
      <c r="FP32" s="30"/>
      <c r="FQ32" s="30"/>
      <c r="FR32" s="30"/>
      <c r="FS32" s="30"/>
      <c r="FT32" s="30"/>
      <c r="FU32" s="30"/>
      <c r="FV32" s="30"/>
    </row>
    <row r="33" spans="1:178" ht="7.5" customHeight="1" x14ac:dyDescent="0.25">
      <c r="A33" s="1953"/>
      <c r="B33" s="1954"/>
      <c r="C33" s="1954"/>
      <c r="D33" s="1954"/>
      <c r="E33" s="1954"/>
      <c r="F33" s="1954"/>
      <c r="G33" s="1954"/>
      <c r="H33" s="1954"/>
      <c r="I33" s="1954"/>
      <c r="J33" s="1954"/>
      <c r="K33" s="1954"/>
      <c r="L33" s="1954"/>
      <c r="M33" s="1954"/>
      <c r="N33" s="1954"/>
      <c r="O33" s="1954"/>
      <c r="P33" s="1954"/>
      <c r="Q33" s="1954"/>
      <c r="R33" s="1954"/>
      <c r="S33" s="1954"/>
      <c r="T33" s="1954"/>
      <c r="U33" s="1954"/>
      <c r="V33" s="1957"/>
      <c r="W33" s="960"/>
      <c r="X33" s="960"/>
      <c r="Y33" s="960"/>
      <c r="Z33" s="960"/>
      <c r="AA33" s="1958"/>
      <c r="AB33" s="30"/>
      <c r="AC33" s="17"/>
      <c r="AD33" s="17"/>
      <c r="AE33" s="17"/>
      <c r="AF33" s="17"/>
      <c r="AG33" s="17"/>
      <c r="AH33" s="1723"/>
      <c r="AI33" s="1723"/>
      <c r="AJ33" s="1723"/>
      <c r="AK33" s="1723"/>
      <c r="AL33" s="1723"/>
      <c r="AM33" s="1723"/>
      <c r="AN33" s="1723"/>
      <c r="AO33" s="1723"/>
      <c r="AP33" s="1723"/>
      <c r="AQ33" s="1723"/>
      <c r="AR33" s="1723"/>
      <c r="AT33" s="1953"/>
      <c r="AU33" s="1954"/>
      <c r="AV33" s="1954"/>
      <c r="AW33" s="1954"/>
      <c r="AX33" s="1954"/>
      <c r="AY33" s="1954"/>
      <c r="AZ33" s="1954"/>
      <c r="BA33" s="1954"/>
      <c r="BB33" s="1954"/>
      <c r="BC33" s="1954"/>
      <c r="BD33" s="1954"/>
      <c r="BE33" s="1954"/>
      <c r="BF33" s="1954"/>
      <c r="BG33" s="1954"/>
      <c r="BH33" s="1954"/>
      <c r="BI33" s="1954"/>
      <c r="BJ33" s="1954"/>
      <c r="BK33" s="1954"/>
      <c r="BL33" s="1954"/>
      <c r="BM33" s="1954"/>
      <c r="BN33" s="1954"/>
      <c r="BO33" s="1957"/>
      <c r="BP33" s="960"/>
      <c r="BQ33" s="960"/>
      <c r="BR33" s="960"/>
      <c r="BS33" s="960"/>
      <c r="BT33" s="1958"/>
      <c r="BU33" s="30"/>
      <c r="BV33" s="17"/>
      <c r="BW33" s="17"/>
      <c r="BX33" s="17"/>
      <c r="BY33" s="17"/>
      <c r="BZ33" s="17"/>
      <c r="CA33" s="1723"/>
      <c r="CB33" s="1723"/>
      <c r="CC33" s="1723"/>
      <c r="CD33" s="1723"/>
      <c r="CE33" s="1723"/>
      <c r="CF33" s="1723"/>
      <c r="CG33" s="1723"/>
      <c r="CH33" s="1723"/>
      <c r="CI33" s="1723"/>
      <c r="CJ33" s="1723"/>
      <c r="CK33" s="1723"/>
      <c r="DQ33" s="1685"/>
      <c r="DR33" s="1685"/>
      <c r="DS33" s="1685"/>
      <c r="DT33" s="1685"/>
      <c r="DU33" s="1685"/>
      <c r="DV33" s="1685"/>
      <c r="DW33" s="1685"/>
      <c r="DX33" s="1685"/>
      <c r="DY33" s="1685"/>
      <c r="DZ33" s="1685"/>
      <c r="EA33" s="1685"/>
      <c r="EB33" s="30"/>
      <c r="EC33" s="30"/>
      <c r="ED33" s="1730" t="s">
        <v>195</v>
      </c>
      <c r="EE33" s="1730"/>
      <c r="EF33" s="1730"/>
      <c r="EG33" s="1730"/>
      <c r="EH33" s="1730"/>
      <c r="EI33" s="1723"/>
      <c r="EJ33" s="1723"/>
      <c r="EK33" s="1723"/>
      <c r="EL33" s="1723"/>
      <c r="EM33" s="1723"/>
      <c r="EN33" s="1723"/>
      <c r="EO33" s="1723"/>
      <c r="EP33" s="1723"/>
      <c r="EQ33" s="1723"/>
      <c r="ER33" s="1723"/>
      <c r="ES33" s="1723"/>
      <c r="EU33" s="244"/>
      <c r="EV33" s="30"/>
      <c r="EW33" s="30"/>
      <c r="EX33" s="30"/>
      <c r="EY33" s="30"/>
      <c r="EZ33" s="30"/>
      <c r="FA33" s="30"/>
      <c r="FB33" s="30"/>
      <c r="FC33" s="30"/>
      <c r="FD33" s="30"/>
      <c r="FE33" s="30"/>
      <c r="FF33" s="30"/>
      <c r="FG33" s="30"/>
      <c r="FH33" s="30"/>
      <c r="FI33" s="30"/>
      <c r="FJ33" s="30"/>
      <c r="FK33" s="30"/>
      <c r="FL33" s="30"/>
      <c r="FM33" s="30"/>
      <c r="FN33" s="30"/>
      <c r="FO33" s="30"/>
      <c r="FP33" s="30"/>
      <c r="FQ33" s="30"/>
      <c r="FR33" s="30"/>
      <c r="FS33" s="30"/>
      <c r="FT33" s="30"/>
      <c r="FU33" s="30"/>
      <c r="FV33" s="30"/>
    </row>
    <row r="34" spans="1:178" ht="7.5" customHeight="1" x14ac:dyDescent="0.25">
      <c r="A34" s="1953"/>
      <c r="B34" s="1954"/>
      <c r="C34" s="1954"/>
      <c r="D34" s="1954"/>
      <c r="E34" s="1954"/>
      <c r="F34" s="1954"/>
      <c r="G34" s="1954"/>
      <c r="H34" s="1954"/>
      <c r="I34" s="1954"/>
      <c r="J34" s="1954"/>
      <c r="K34" s="1954"/>
      <c r="L34" s="1954"/>
      <c r="M34" s="1954"/>
      <c r="N34" s="1954"/>
      <c r="O34" s="1954"/>
      <c r="P34" s="1954"/>
      <c r="Q34" s="1954"/>
      <c r="R34" s="1954"/>
      <c r="S34" s="1954"/>
      <c r="T34" s="1954"/>
      <c r="U34" s="1954"/>
      <c r="V34" s="1930" t="s">
        <v>90</v>
      </c>
      <c r="W34" s="1930"/>
      <c r="X34" s="1930"/>
      <c r="Y34" s="1930"/>
      <c r="Z34" s="1930"/>
      <c r="AA34" s="1931"/>
      <c r="AB34" s="30"/>
      <c r="AC34" s="17"/>
      <c r="AD34" s="17"/>
      <c r="AE34" s="17"/>
      <c r="AF34" s="17"/>
      <c r="AG34" s="17"/>
      <c r="AH34" s="1723"/>
      <c r="AI34" s="1723"/>
      <c r="AJ34" s="1723"/>
      <c r="AK34" s="1723"/>
      <c r="AL34" s="1723"/>
      <c r="AM34" s="1723"/>
      <c r="AN34" s="1723"/>
      <c r="AO34" s="1723"/>
      <c r="AP34" s="1723"/>
      <c r="AQ34" s="1723"/>
      <c r="AR34" s="1723"/>
      <c r="AT34" s="1953"/>
      <c r="AU34" s="1954"/>
      <c r="AV34" s="1954"/>
      <c r="AW34" s="1954"/>
      <c r="AX34" s="1954"/>
      <c r="AY34" s="1954"/>
      <c r="AZ34" s="1954"/>
      <c r="BA34" s="1954"/>
      <c r="BB34" s="1954"/>
      <c r="BC34" s="1954"/>
      <c r="BD34" s="1954"/>
      <c r="BE34" s="1954"/>
      <c r="BF34" s="1954"/>
      <c r="BG34" s="1954"/>
      <c r="BH34" s="1954"/>
      <c r="BI34" s="1954"/>
      <c r="BJ34" s="1954"/>
      <c r="BK34" s="1954"/>
      <c r="BL34" s="1954"/>
      <c r="BM34" s="1954"/>
      <c r="BN34" s="1954"/>
      <c r="BO34" s="1930" t="s">
        <v>90</v>
      </c>
      <c r="BP34" s="1930"/>
      <c r="BQ34" s="1930"/>
      <c r="BR34" s="1930"/>
      <c r="BS34" s="1930"/>
      <c r="BT34" s="1931"/>
      <c r="BU34" s="30"/>
      <c r="BV34" s="17"/>
      <c r="BW34" s="17"/>
      <c r="BX34" s="17"/>
      <c r="BY34" s="17"/>
      <c r="BZ34" s="17"/>
      <c r="CA34" s="1723"/>
      <c r="CB34" s="1723"/>
      <c r="CC34" s="1723"/>
      <c r="CD34" s="1723"/>
      <c r="CE34" s="1723"/>
      <c r="CF34" s="1723"/>
      <c r="CG34" s="1723"/>
      <c r="CH34" s="1723"/>
      <c r="CI34" s="1723"/>
      <c r="CJ34" s="1723"/>
      <c r="CK34" s="1723"/>
      <c r="DQ34" s="1699" t="s">
        <v>448</v>
      </c>
      <c r="DR34" s="1699"/>
      <c r="DS34" s="1699"/>
      <c r="DT34" s="1699"/>
      <c r="DU34" s="1699"/>
      <c r="DV34" s="1699"/>
      <c r="DW34" s="1699"/>
      <c r="DX34" s="1699"/>
      <c r="DY34" s="1699"/>
      <c r="DZ34" s="1699"/>
      <c r="EA34" s="1699"/>
      <c r="EB34" s="30"/>
      <c r="EC34" s="30"/>
      <c r="ED34" s="1965"/>
      <c r="EE34" s="1965"/>
      <c r="EF34" s="1965"/>
      <c r="EG34" s="1965"/>
      <c r="EH34" s="1965"/>
      <c r="EI34" s="1723"/>
      <c r="EJ34" s="1723"/>
      <c r="EK34" s="1723"/>
      <c r="EL34" s="1723"/>
      <c r="EM34" s="1723"/>
      <c r="EN34" s="1723"/>
      <c r="EO34" s="1723"/>
      <c r="EP34" s="1723"/>
      <c r="EQ34" s="1723"/>
      <c r="ER34" s="1723"/>
      <c r="ES34" s="1723"/>
      <c r="EU34" s="244"/>
      <c r="EV34" s="30"/>
      <c r="EW34" s="30"/>
      <c r="EX34" s="30"/>
      <c r="EY34" s="30"/>
      <c r="EZ34" s="30"/>
      <c r="FA34" s="30"/>
      <c r="FB34" s="30"/>
      <c r="FC34" s="30"/>
      <c r="FD34" s="30"/>
      <c r="FE34" s="30"/>
      <c r="FF34" s="30"/>
      <c r="FG34" s="30"/>
      <c r="FH34" s="30"/>
      <c r="FI34" s="30"/>
      <c r="FJ34" s="30"/>
      <c r="FK34" s="30"/>
      <c r="FL34" s="30"/>
      <c r="FM34" s="30"/>
      <c r="FN34" s="30"/>
      <c r="FO34" s="30"/>
      <c r="FP34" s="30"/>
      <c r="FQ34" s="30"/>
      <c r="FR34" s="30"/>
      <c r="FS34" s="30"/>
      <c r="FT34" s="30"/>
      <c r="FU34" s="30"/>
      <c r="FV34" s="30"/>
    </row>
    <row r="35" spans="1:178" ht="7.5" customHeight="1" thickBot="1" x14ac:dyDescent="0.3">
      <c r="A35" s="1953"/>
      <c r="B35" s="1954"/>
      <c r="C35" s="1954"/>
      <c r="D35" s="1954"/>
      <c r="E35" s="1954"/>
      <c r="F35" s="1954"/>
      <c r="G35" s="1954"/>
      <c r="H35" s="1954"/>
      <c r="I35" s="1954"/>
      <c r="J35" s="1954"/>
      <c r="K35" s="1954"/>
      <c r="L35" s="1954"/>
      <c r="M35" s="1954"/>
      <c r="N35" s="1954"/>
      <c r="O35" s="1954"/>
      <c r="P35" s="1954"/>
      <c r="Q35" s="1954"/>
      <c r="R35" s="1954"/>
      <c r="S35" s="1954"/>
      <c r="T35" s="1954"/>
      <c r="U35" s="1954"/>
      <c r="V35" s="956"/>
      <c r="W35" s="1945"/>
      <c r="X35" s="1945"/>
      <c r="Y35" s="1945"/>
      <c r="Z35" s="1945"/>
      <c r="AA35" s="958"/>
      <c r="AB35" s="30"/>
      <c r="AC35" s="17"/>
      <c r="AD35" s="17"/>
      <c r="AE35" s="17"/>
      <c r="AF35" s="17"/>
      <c r="AG35" s="17"/>
      <c r="AH35" s="1723"/>
      <c r="AI35" s="1723"/>
      <c r="AJ35" s="1723"/>
      <c r="AK35" s="1723"/>
      <c r="AL35" s="1723"/>
      <c r="AM35" s="1723"/>
      <c r="AN35" s="1723"/>
      <c r="AO35" s="1723"/>
      <c r="AP35" s="1723"/>
      <c r="AQ35" s="1723"/>
      <c r="AR35" s="1723"/>
      <c r="AT35" s="1953"/>
      <c r="AU35" s="1954"/>
      <c r="AV35" s="1954"/>
      <c r="AW35" s="1954"/>
      <c r="AX35" s="1954"/>
      <c r="AY35" s="1954"/>
      <c r="AZ35" s="1954"/>
      <c r="BA35" s="1954"/>
      <c r="BB35" s="1954"/>
      <c r="BC35" s="1954"/>
      <c r="BD35" s="1954"/>
      <c r="BE35" s="1954"/>
      <c r="BF35" s="1954"/>
      <c r="BG35" s="1954"/>
      <c r="BH35" s="1954"/>
      <c r="BI35" s="1954"/>
      <c r="BJ35" s="1954"/>
      <c r="BK35" s="1954"/>
      <c r="BL35" s="1954"/>
      <c r="BM35" s="1954"/>
      <c r="BN35" s="1954"/>
      <c r="BO35" s="956"/>
      <c r="BP35" s="1945"/>
      <c r="BQ35" s="1945"/>
      <c r="BR35" s="1945"/>
      <c r="BS35" s="1945"/>
      <c r="BT35" s="958"/>
      <c r="BU35" s="30"/>
      <c r="BV35" s="17"/>
      <c r="BW35" s="17"/>
      <c r="BX35" s="17"/>
      <c r="BY35" s="17"/>
      <c r="BZ35" s="17"/>
      <c r="CA35" s="1723"/>
      <c r="CB35" s="1723"/>
      <c r="CC35" s="1723"/>
      <c r="CD35" s="1723"/>
      <c r="CE35" s="1723"/>
      <c r="CF35" s="1723"/>
      <c r="CG35" s="1723"/>
      <c r="CH35" s="1723"/>
      <c r="CI35" s="1723"/>
      <c r="CJ35" s="1723"/>
      <c r="CK35" s="1723"/>
      <c r="DQ35" s="1952"/>
      <c r="DR35" s="1952"/>
      <c r="DS35" s="1952"/>
      <c r="DT35" s="1952"/>
      <c r="DU35" s="1952"/>
      <c r="DV35" s="1952"/>
      <c r="DW35" s="1952"/>
      <c r="DX35" s="1952"/>
      <c r="DY35" s="1952"/>
      <c r="DZ35" s="1952"/>
      <c r="EA35" s="1952"/>
      <c r="EB35" s="30"/>
      <c r="EC35" s="30"/>
      <c r="ED35" s="1966"/>
      <c r="EE35" s="1966"/>
      <c r="EF35" s="1966"/>
      <c r="EG35" s="1966"/>
      <c r="EH35" s="1966"/>
      <c r="EI35" s="1944"/>
      <c r="EJ35" s="1944"/>
      <c r="EK35" s="1944"/>
      <c r="EL35" s="1944"/>
      <c r="EM35" s="1944"/>
      <c r="EN35" s="1944"/>
      <c r="EO35" s="1944"/>
      <c r="EP35" s="1944"/>
      <c r="EQ35" s="1944"/>
      <c r="ER35" s="1944"/>
      <c r="ES35" s="1944"/>
      <c r="EU35" s="244"/>
      <c r="EV35" s="30"/>
      <c r="EW35" s="30"/>
      <c r="EX35" s="30"/>
      <c r="EY35" s="30"/>
      <c r="EZ35" s="30"/>
      <c r="FA35" s="30"/>
      <c r="FB35" s="30"/>
      <c r="FC35" s="30"/>
      <c r="FD35" s="30"/>
      <c r="FE35" s="30"/>
      <c r="FF35" s="30"/>
      <c r="FG35" s="30"/>
      <c r="FH35" s="30"/>
      <c r="FI35" s="30"/>
      <c r="FJ35" s="30"/>
      <c r="FK35" s="30"/>
      <c r="FL35" s="30"/>
      <c r="FM35" s="30"/>
      <c r="FN35" s="30"/>
      <c r="FO35" s="30"/>
      <c r="FP35" s="30"/>
      <c r="FQ35" s="30"/>
      <c r="FR35" s="30"/>
      <c r="FS35" s="30"/>
      <c r="FT35" s="30"/>
      <c r="FU35" s="30"/>
      <c r="FV35" s="30"/>
    </row>
    <row r="36" spans="1:178" ht="7.5" customHeight="1" thickBot="1" x14ac:dyDescent="0.3">
      <c r="A36" s="1955"/>
      <c r="B36" s="1956"/>
      <c r="C36" s="1956"/>
      <c r="D36" s="1956"/>
      <c r="E36" s="1956"/>
      <c r="F36" s="1956"/>
      <c r="G36" s="1956"/>
      <c r="H36" s="1956"/>
      <c r="I36" s="1956"/>
      <c r="J36" s="1956"/>
      <c r="K36" s="1956"/>
      <c r="L36" s="1956"/>
      <c r="M36" s="1956"/>
      <c r="N36" s="1956"/>
      <c r="O36" s="1956"/>
      <c r="P36" s="1956"/>
      <c r="Q36" s="1956"/>
      <c r="R36" s="1956"/>
      <c r="S36" s="1956"/>
      <c r="T36" s="1956"/>
      <c r="U36" s="1956"/>
      <c r="V36" s="1946"/>
      <c r="W36" s="1947"/>
      <c r="X36" s="1947"/>
      <c r="Y36" s="1947"/>
      <c r="Z36" s="1947"/>
      <c r="AA36" s="1948"/>
      <c r="AB36" s="247"/>
      <c r="AC36" s="17"/>
      <c r="AD36" s="17"/>
      <c r="AE36" s="17"/>
      <c r="AF36" s="17"/>
      <c r="AG36" s="17"/>
      <c r="AH36" s="1944"/>
      <c r="AI36" s="1944"/>
      <c r="AJ36" s="1944"/>
      <c r="AK36" s="1944"/>
      <c r="AL36" s="1944"/>
      <c r="AM36" s="1944"/>
      <c r="AN36" s="1944"/>
      <c r="AO36" s="1944"/>
      <c r="AP36" s="1944"/>
      <c r="AQ36" s="1944"/>
      <c r="AR36" s="1944"/>
      <c r="AT36" s="1955"/>
      <c r="AU36" s="1956"/>
      <c r="AV36" s="1956"/>
      <c r="AW36" s="1956"/>
      <c r="AX36" s="1956"/>
      <c r="AY36" s="1956"/>
      <c r="AZ36" s="1956"/>
      <c r="BA36" s="1956"/>
      <c r="BB36" s="1956"/>
      <c r="BC36" s="1956"/>
      <c r="BD36" s="1956"/>
      <c r="BE36" s="1956"/>
      <c r="BF36" s="1956"/>
      <c r="BG36" s="1956"/>
      <c r="BH36" s="1956"/>
      <c r="BI36" s="1956"/>
      <c r="BJ36" s="1956"/>
      <c r="BK36" s="1956"/>
      <c r="BL36" s="1956"/>
      <c r="BM36" s="1956"/>
      <c r="BN36" s="1956"/>
      <c r="BO36" s="1946"/>
      <c r="BP36" s="1947"/>
      <c r="BQ36" s="1947"/>
      <c r="BR36" s="1947"/>
      <c r="BS36" s="1947"/>
      <c r="BT36" s="1948"/>
      <c r="BU36" s="247"/>
      <c r="BV36" s="17"/>
      <c r="BW36" s="17"/>
      <c r="BX36" s="17"/>
      <c r="BY36" s="17"/>
      <c r="BZ36" s="17"/>
      <c r="CA36" s="1944"/>
      <c r="CB36" s="1944"/>
      <c r="CC36" s="1944"/>
      <c r="CD36" s="1944"/>
      <c r="CE36" s="1944"/>
      <c r="CF36" s="1944"/>
      <c r="CG36" s="1944"/>
      <c r="CH36" s="1944"/>
      <c r="CI36" s="1944"/>
      <c r="CJ36" s="1944"/>
      <c r="CK36" s="1944"/>
      <c r="DQ36" s="246"/>
      <c r="DR36" s="247"/>
      <c r="DS36" s="247"/>
      <c r="DT36" s="247"/>
      <c r="DU36" s="247"/>
      <c r="DV36" s="247"/>
      <c r="DW36" s="247"/>
      <c r="DX36" s="247"/>
      <c r="DY36" s="247"/>
      <c r="DZ36" s="247"/>
      <c r="EA36" s="247"/>
      <c r="EB36" s="247"/>
      <c r="EC36" s="247"/>
      <c r="ED36" s="247"/>
      <c r="EE36" s="247"/>
      <c r="EF36" s="247"/>
      <c r="EG36" s="247"/>
      <c r="EH36" s="247"/>
      <c r="EI36" s="247"/>
      <c r="EJ36" s="247"/>
      <c r="EK36" s="247"/>
      <c r="EL36" s="247"/>
      <c r="EM36" s="247"/>
      <c r="EN36" s="247"/>
      <c r="EO36" s="247"/>
      <c r="EP36" s="247"/>
      <c r="EQ36" s="247"/>
      <c r="ER36" s="247"/>
      <c r="ES36" s="248"/>
      <c r="EU36" s="246"/>
      <c r="EV36" s="247"/>
      <c r="EW36" s="247"/>
      <c r="EX36" s="247"/>
      <c r="EY36" s="247"/>
      <c r="EZ36" s="247"/>
      <c r="FA36" s="247"/>
      <c r="FB36" s="247"/>
      <c r="FC36" s="247"/>
      <c r="FD36" s="247"/>
      <c r="FE36" s="247"/>
      <c r="FF36" s="247"/>
      <c r="FG36" s="247"/>
      <c r="FH36" s="247"/>
      <c r="FI36" s="247"/>
      <c r="FJ36" s="247"/>
      <c r="FK36" s="247"/>
      <c r="FL36" s="247"/>
      <c r="FM36" s="247"/>
      <c r="FN36" s="247"/>
      <c r="FO36" s="247"/>
      <c r="FP36" s="247"/>
      <c r="FQ36" s="247"/>
      <c r="FR36" s="247"/>
      <c r="FS36" s="247"/>
      <c r="FT36" s="247"/>
      <c r="FU36" s="247"/>
      <c r="FV36" s="247"/>
    </row>
    <row r="37" spans="1:178" ht="7.5" customHeight="1" x14ac:dyDescent="0.25">
      <c r="CS37" s="1103" t="e">
        <f>IF(Name&gt;0,PROPER(Name),"")</f>
        <v>#REF!</v>
      </c>
      <c r="CT37" s="1103"/>
      <c r="CU37" s="1103"/>
      <c r="CV37" s="1103"/>
      <c r="CW37" s="1103"/>
      <c r="CX37" s="1103"/>
      <c r="CY37" s="1103"/>
      <c r="CZ37" s="1103"/>
      <c r="DA37" s="1103"/>
      <c r="DB37" s="1103"/>
      <c r="DC37" s="1103"/>
      <c r="DD37" s="1103"/>
      <c r="DE37" s="1103"/>
      <c r="DF37" s="1103"/>
      <c r="DG37" s="1103"/>
      <c r="DH37" s="1103"/>
      <c r="DI37" s="187"/>
      <c r="DJ37" s="1108" t="e">
        <f>IF(RaceOverride&lt;&gt;"",PROPER(RaceOverride),IF(Race&lt;&gt;"",PROPER(Race),""))</f>
        <v>#REF!</v>
      </c>
      <c r="DK37" s="1108"/>
      <c r="DL37" s="1108"/>
      <c r="DM37" s="1108"/>
      <c r="DN37" s="1108"/>
      <c r="DO37" s="1108"/>
      <c r="DP37" s="1108"/>
      <c r="DQ37" s="1108"/>
      <c r="DR37" s="1108"/>
      <c r="DS37" s="1108"/>
      <c r="DT37" s="188"/>
      <c r="DU37" s="1108" t="e">
        <f>IF(Deity&lt;&gt;"",PROPER(Deity),"")</f>
        <v>#REF!</v>
      </c>
      <c r="DV37" s="1108"/>
      <c r="DW37" s="1108"/>
      <c r="DX37" s="1108"/>
      <c r="DY37" s="1108"/>
      <c r="DZ37" s="1108"/>
      <c r="EA37" s="1108"/>
      <c r="EB37" s="1108"/>
      <c r="EC37" s="1108"/>
      <c r="ED37" s="1108"/>
      <c r="EE37" s="39"/>
      <c r="EF37" s="1106" t="e">
        <f>Size</f>
        <v>#REF!</v>
      </c>
      <c r="EG37" s="1106"/>
      <c r="EH37" s="1106"/>
      <c r="EI37" s="1106"/>
      <c r="EJ37" s="1106"/>
      <c r="EK37" s="1106"/>
      <c r="EL37" s="39"/>
      <c r="EM37" s="1106" t="e">
        <f>IF(Vision&lt;&gt;"",REPLACE(Vision,FIND("Vision",Vision,1),6,""),"")</f>
        <v>#REF!</v>
      </c>
      <c r="EN37" s="1106"/>
      <c r="EO37" s="1106"/>
      <c r="EP37" s="1106"/>
      <c r="EQ37" s="1106"/>
      <c r="ER37" s="1106"/>
    </row>
    <row r="38" spans="1:178" ht="7.5" customHeight="1" x14ac:dyDescent="0.25">
      <c r="A38" s="30"/>
      <c r="B38" s="30"/>
      <c r="C38" s="30"/>
      <c r="D38" s="30"/>
      <c r="E38" s="30"/>
      <c r="F38" s="30"/>
      <c r="G38" s="30"/>
      <c r="H38" s="30"/>
      <c r="I38" s="30"/>
      <c r="J38" s="30"/>
      <c r="K38" s="30"/>
      <c r="L38" s="30"/>
      <c r="M38" s="30"/>
      <c r="N38" s="30"/>
      <c r="O38" s="30"/>
      <c r="AF38" s="30"/>
      <c r="AG38" s="30"/>
      <c r="AH38" s="30"/>
      <c r="AI38" s="30"/>
      <c r="AJ38" s="30"/>
      <c r="AK38" s="30"/>
      <c r="AL38" s="30"/>
      <c r="AM38" s="30"/>
      <c r="AN38" s="30"/>
      <c r="AO38" s="30"/>
      <c r="AP38" s="30"/>
      <c r="AQ38" s="30"/>
      <c r="AR38" s="30"/>
      <c r="CS38" s="1104"/>
      <c r="CT38" s="1104"/>
      <c r="CU38" s="1104"/>
      <c r="CV38" s="1104"/>
      <c r="CW38" s="1104"/>
      <c r="CX38" s="1104"/>
      <c r="CY38" s="1104"/>
      <c r="CZ38" s="1104"/>
      <c r="DA38" s="1104"/>
      <c r="DB38" s="1104"/>
      <c r="DC38" s="1104"/>
      <c r="DD38" s="1104"/>
      <c r="DE38" s="1104"/>
      <c r="DF38" s="1104"/>
      <c r="DG38" s="1104"/>
      <c r="DH38" s="1104"/>
      <c r="DI38" s="188"/>
      <c r="DJ38" s="1111"/>
      <c r="DK38" s="1111"/>
      <c r="DL38" s="1111"/>
      <c r="DM38" s="1111"/>
      <c r="DN38" s="1111"/>
      <c r="DO38" s="1111"/>
      <c r="DP38" s="1111"/>
      <c r="DQ38" s="1111"/>
      <c r="DR38" s="1111"/>
      <c r="DS38" s="1111"/>
      <c r="DT38" s="188"/>
      <c r="DU38" s="1109"/>
      <c r="DV38" s="1109"/>
      <c r="DW38" s="1109"/>
      <c r="DX38" s="1109"/>
      <c r="DY38" s="1109"/>
      <c r="DZ38" s="1109"/>
      <c r="EA38" s="1109"/>
      <c r="EB38" s="1109"/>
      <c r="EC38" s="1109"/>
      <c r="ED38" s="1109"/>
      <c r="EE38" s="39"/>
      <c r="EF38" s="1107"/>
      <c r="EG38" s="1107"/>
      <c r="EH38" s="1107"/>
      <c r="EI38" s="1107"/>
      <c r="EJ38" s="1107"/>
      <c r="EK38" s="1107"/>
      <c r="EL38" s="39"/>
      <c r="EM38" s="1107"/>
      <c r="EN38" s="1107"/>
      <c r="EO38" s="1107"/>
      <c r="EP38" s="1107"/>
      <c r="EQ38" s="1107"/>
      <c r="ER38" s="1107"/>
    </row>
    <row r="39" spans="1:178" ht="7.5" customHeight="1" x14ac:dyDescent="0.25">
      <c r="A39" s="1103" t="e">
        <f>IF(Name&gt;0,PROPER(Name),"")</f>
        <v>#REF!</v>
      </c>
      <c r="B39" s="1103"/>
      <c r="C39" s="1103"/>
      <c r="D39" s="1103"/>
      <c r="E39" s="1103"/>
      <c r="F39" s="1103"/>
      <c r="G39" s="1103"/>
      <c r="H39" s="1103"/>
      <c r="I39" s="1103"/>
      <c r="J39" s="1103"/>
      <c r="K39" s="1103"/>
      <c r="L39" s="1103"/>
      <c r="M39" s="1103"/>
      <c r="N39" s="1103"/>
      <c r="O39" s="1103"/>
      <c r="P39" s="1103"/>
      <c r="R39" s="1106" t="e">
        <f>IF(Role&lt;&gt;"",PROPER(Role),"")</f>
        <v>#REF!</v>
      </c>
      <c r="S39" s="1106"/>
      <c r="T39" s="1106"/>
      <c r="U39" s="1106"/>
      <c r="V39" s="1106"/>
      <c r="W39" s="1106"/>
      <c r="X39" s="1106"/>
      <c r="Y39" s="1106"/>
      <c r="Z39" s="1106"/>
      <c r="AA39" s="1106"/>
      <c r="AC39" s="1968" t="s">
        <v>22</v>
      </c>
      <c r="AD39" s="1968"/>
      <c r="AE39" s="1968"/>
      <c r="AF39" s="1968"/>
      <c r="AG39" s="1968"/>
      <c r="AH39" s="1968"/>
      <c r="AI39" s="1968"/>
      <c r="AJ39" s="1968"/>
      <c r="AK39" s="1968"/>
      <c r="AL39" s="1968"/>
      <c r="AM39" s="1968"/>
      <c r="AN39" s="1968"/>
      <c r="AO39" s="1968"/>
      <c r="AP39" s="1968"/>
      <c r="AQ39" s="1968"/>
      <c r="AR39" s="1968"/>
      <c r="AT39" s="1103" t="e">
        <f>IF(Name&gt;0,PROPER(Name),"")</f>
        <v>#REF!</v>
      </c>
      <c r="AU39" s="1103"/>
      <c r="AV39" s="1103"/>
      <c r="AW39" s="1103"/>
      <c r="AX39" s="1103"/>
      <c r="AY39" s="1103"/>
      <c r="AZ39" s="1103"/>
      <c r="BA39" s="1103"/>
      <c r="BB39" s="1103"/>
      <c r="BC39" s="1103"/>
      <c r="BD39" s="1103"/>
      <c r="BE39" s="1103"/>
      <c r="BF39" s="1103"/>
      <c r="BG39" s="1103"/>
      <c r="BH39" s="1103"/>
      <c r="BI39" s="1103"/>
      <c r="BJ39" s="17"/>
      <c r="BK39" s="1106" t="e">
        <f>IF(Role&lt;&gt;"",PROPER(Role),"")</f>
        <v>#REF!</v>
      </c>
      <c r="BL39" s="1106"/>
      <c r="BM39" s="1106"/>
      <c r="BN39" s="1106"/>
      <c r="BO39" s="1106"/>
      <c r="BP39" s="1106"/>
      <c r="BQ39" s="1106"/>
      <c r="BR39" s="1106"/>
      <c r="BS39" s="1106"/>
      <c r="BT39" s="1106"/>
      <c r="BU39" s="17"/>
      <c r="BV39" s="1968" t="s">
        <v>22</v>
      </c>
      <c r="BW39" s="1968"/>
      <c r="BX39" s="1968"/>
      <c r="BY39" s="1968"/>
      <c r="BZ39" s="1968"/>
      <c r="CA39" s="1968"/>
      <c r="CB39" s="1968"/>
      <c r="CC39" s="1968"/>
      <c r="CD39" s="1968"/>
      <c r="CE39" s="1968"/>
      <c r="CF39" s="1968"/>
      <c r="CG39" s="1968"/>
      <c r="CH39" s="1968"/>
      <c r="CI39" s="1968"/>
      <c r="CJ39" s="1968"/>
      <c r="CK39" s="1968"/>
      <c r="CS39" s="1105" t="s">
        <v>55</v>
      </c>
      <c r="CT39" s="1105"/>
      <c r="CU39" s="1105"/>
      <c r="CV39" s="1105"/>
      <c r="CW39" s="1105"/>
      <c r="CX39" s="1105"/>
      <c r="CY39" s="1105"/>
      <c r="CZ39" s="1105"/>
      <c r="DA39" s="1105"/>
      <c r="DB39" s="1105"/>
      <c r="DC39" s="1105"/>
      <c r="DD39" s="1105"/>
      <c r="DE39" s="1105"/>
      <c r="DF39" s="1105"/>
      <c r="DG39" s="1105"/>
      <c r="DH39" s="1105"/>
      <c r="DI39" s="190"/>
      <c r="DJ39" s="1110" t="s">
        <v>19</v>
      </c>
      <c r="DK39" s="1110"/>
      <c r="DL39" s="1110"/>
      <c r="DM39" s="1110"/>
      <c r="DN39" s="1110"/>
      <c r="DO39" s="1110"/>
      <c r="DP39" s="1110"/>
      <c r="DQ39" s="1110"/>
      <c r="DR39" s="1110"/>
      <c r="DS39" s="1110"/>
      <c r="DT39" s="190"/>
      <c r="DU39" s="1105" t="s">
        <v>50</v>
      </c>
      <c r="DV39" s="1105"/>
      <c r="DW39" s="1105"/>
      <c r="DX39" s="1105"/>
      <c r="DY39" s="1105"/>
      <c r="DZ39" s="1105"/>
      <c r="EA39" s="1105"/>
      <c r="EB39" s="1105"/>
      <c r="EC39" s="1105"/>
      <c r="ED39" s="1105"/>
      <c r="EE39" s="39"/>
      <c r="EF39" s="1105" t="s">
        <v>82</v>
      </c>
      <c r="EG39" s="1105"/>
      <c r="EH39" s="1105"/>
      <c r="EI39" s="1105"/>
      <c r="EJ39" s="1105"/>
      <c r="EK39" s="1105"/>
      <c r="EL39" s="39"/>
      <c r="EM39" s="1105" t="s">
        <v>100</v>
      </c>
      <c r="EN39" s="1105"/>
      <c r="EO39" s="1105"/>
      <c r="EP39" s="1105"/>
      <c r="EQ39" s="1105"/>
      <c r="ER39" s="1105"/>
    </row>
    <row r="40" spans="1:178" ht="7.5" customHeight="1" x14ac:dyDescent="0.25">
      <c r="A40" s="1104"/>
      <c r="B40" s="1104"/>
      <c r="C40" s="1104"/>
      <c r="D40" s="1104"/>
      <c r="E40" s="1104"/>
      <c r="F40" s="1104"/>
      <c r="G40" s="1104"/>
      <c r="H40" s="1104"/>
      <c r="I40" s="1104"/>
      <c r="J40" s="1104"/>
      <c r="K40" s="1104"/>
      <c r="L40" s="1104"/>
      <c r="M40" s="1104"/>
      <c r="N40" s="1104"/>
      <c r="O40" s="1104"/>
      <c r="P40" s="1104"/>
      <c r="Q40" s="30"/>
      <c r="R40" s="1107"/>
      <c r="S40" s="1107"/>
      <c r="T40" s="1107"/>
      <c r="U40" s="1107"/>
      <c r="V40" s="1107"/>
      <c r="W40" s="1107"/>
      <c r="X40" s="1107"/>
      <c r="Y40" s="1107"/>
      <c r="Z40" s="1107"/>
      <c r="AA40" s="1107"/>
      <c r="AB40" s="30"/>
      <c r="AC40" s="1969"/>
      <c r="AD40" s="1969"/>
      <c r="AE40" s="1969"/>
      <c r="AF40" s="1969"/>
      <c r="AG40" s="1969"/>
      <c r="AH40" s="1969"/>
      <c r="AI40" s="1969"/>
      <c r="AJ40" s="1969"/>
      <c r="AK40" s="1969"/>
      <c r="AL40" s="1969"/>
      <c r="AM40" s="1969"/>
      <c r="AN40" s="1969"/>
      <c r="AO40" s="1969"/>
      <c r="AP40" s="1969"/>
      <c r="AQ40" s="1969"/>
      <c r="AR40" s="1969"/>
      <c r="AT40" s="1104"/>
      <c r="AU40" s="1104"/>
      <c r="AV40" s="1104"/>
      <c r="AW40" s="1104"/>
      <c r="AX40" s="1104"/>
      <c r="AY40" s="1104"/>
      <c r="AZ40" s="1104"/>
      <c r="BA40" s="1104"/>
      <c r="BB40" s="1104"/>
      <c r="BC40" s="1104"/>
      <c r="BD40" s="1104"/>
      <c r="BE40" s="1104"/>
      <c r="BF40" s="1104"/>
      <c r="BG40" s="1104"/>
      <c r="BH40" s="1104"/>
      <c r="BI40" s="1104"/>
      <c r="BJ40" s="30"/>
      <c r="BK40" s="1107"/>
      <c r="BL40" s="1107"/>
      <c r="BM40" s="1107"/>
      <c r="BN40" s="1107"/>
      <c r="BO40" s="1107"/>
      <c r="BP40" s="1107"/>
      <c r="BQ40" s="1107"/>
      <c r="BR40" s="1107"/>
      <c r="BS40" s="1107"/>
      <c r="BT40" s="1107"/>
      <c r="BU40" s="30"/>
      <c r="BV40" s="1969"/>
      <c r="BW40" s="1969"/>
      <c r="BX40" s="1969"/>
      <c r="BY40" s="1969"/>
      <c r="BZ40" s="1969"/>
      <c r="CA40" s="1969"/>
      <c r="CB40" s="1969"/>
      <c r="CC40" s="1969"/>
      <c r="CD40" s="1969"/>
      <c r="CE40" s="1969"/>
      <c r="CF40" s="1969"/>
      <c r="CG40" s="1969"/>
      <c r="CH40" s="1969"/>
      <c r="CI40" s="1969"/>
      <c r="CJ40" s="1969"/>
      <c r="CK40" s="1969"/>
      <c r="CS40" s="1106" t="e">
        <f>IF(Role&lt;&gt;"",PROPER(Role),"")</f>
        <v>#REF!</v>
      </c>
      <c r="CT40" s="1106"/>
      <c r="CU40" s="1106"/>
      <c r="CV40" s="1106"/>
      <c r="CW40" s="1106"/>
      <c r="CX40" s="1106"/>
      <c r="CY40" s="1106"/>
      <c r="CZ40" s="1106"/>
      <c r="DA40" s="1106"/>
      <c r="DB40" s="1106"/>
      <c r="DC40" s="192"/>
      <c r="DD40" s="192"/>
      <c r="DE40" s="192"/>
      <c r="DF40" s="192"/>
      <c r="DG40" s="192"/>
      <c r="DH40" s="192"/>
      <c r="DI40" s="39"/>
      <c r="DJ40" s="39"/>
      <c r="DK40" s="39"/>
      <c r="DL40" s="39"/>
      <c r="DM40" s="39"/>
      <c r="DN40" s="39"/>
      <c r="DO40" s="39"/>
      <c r="DP40" s="39"/>
      <c r="DQ40" s="39"/>
      <c r="DR40" s="39"/>
      <c r="DS40" s="39"/>
      <c r="DT40" s="39"/>
      <c r="DU40" s="39"/>
      <c r="DV40" s="39"/>
      <c r="DW40" s="39"/>
      <c r="DX40" s="39"/>
      <c r="DY40" s="39"/>
      <c r="DZ40" s="39"/>
      <c r="EA40" s="188"/>
      <c r="EB40" s="39"/>
      <c r="EC40" s="39"/>
      <c r="ED40" s="39"/>
      <c r="EE40" s="39"/>
      <c r="EF40" s="39"/>
      <c r="EG40" s="39"/>
      <c r="EH40" s="39"/>
      <c r="EI40" s="39"/>
      <c r="EJ40" s="39"/>
      <c r="EK40" s="39"/>
      <c r="EL40" s="39"/>
      <c r="EM40" s="39"/>
      <c r="EN40" s="39"/>
      <c r="EO40" s="39"/>
      <c r="EP40" s="39"/>
      <c r="EQ40" s="39"/>
      <c r="ER40" s="39"/>
    </row>
    <row r="41" spans="1:178" ht="7.5" customHeight="1" x14ac:dyDescent="0.25">
      <c r="A41" s="1105" t="s">
        <v>499</v>
      </c>
      <c r="B41" s="1105"/>
      <c r="C41" s="1105"/>
      <c r="D41" s="1105"/>
      <c r="E41" s="1105"/>
      <c r="F41" s="1105"/>
      <c r="G41" s="1105"/>
      <c r="H41" s="1105"/>
      <c r="I41" s="1105"/>
      <c r="J41" s="1105"/>
      <c r="K41" s="1105"/>
      <c r="L41" s="1105"/>
      <c r="M41" s="1105"/>
      <c r="N41" s="1105"/>
      <c r="O41" s="1105"/>
      <c r="P41" s="1105"/>
      <c r="Q41" s="30"/>
      <c r="R41" s="1134" t="s">
        <v>26</v>
      </c>
      <c r="S41" s="1134"/>
      <c r="T41" s="1134"/>
      <c r="U41" s="1134"/>
      <c r="V41" s="1134"/>
      <c r="W41" s="1134"/>
      <c r="X41" s="1134"/>
      <c r="Y41" s="1134"/>
      <c r="Z41" s="1134"/>
      <c r="AA41" s="1134"/>
      <c r="AB41" s="30"/>
      <c r="AC41" s="1970"/>
      <c r="AD41" s="1971"/>
      <c r="AE41" s="1971"/>
      <c r="AF41" s="1971"/>
      <c r="AG41" s="1970"/>
      <c r="AH41" s="1971"/>
      <c r="AI41" s="1971"/>
      <c r="AJ41" s="1971"/>
      <c r="AK41" s="1970"/>
      <c r="AL41" s="1971"/>
      <c r="AM41" s="1971"/>
      <c r="AN41" s="1971"/>
      <c r="AO41" s="1970"/>
      <c r="AP41" s="1971"/>
      <c r="AQ41" s="1971"/>
      <c r="AR41" s="1981"/>
      <c r="AT41" s="1105" t="s">
        <v>499</v>
      </c>
      <c r="AU41" s="1105"/>
      <c r="AV41" s="1105"/>
      <c r="AW41" s="1105"/>
      <c r="AX41" s="1105"/>
      <c r="AY41" s="1105"/>
      <c r="AZ41" s="1105"/>
      <c r="BA41" s="1105"/>
      <c r="BB41" s="1105"/>
      <c r="BC41" s="1105"/>
      <c r="BD41" s="1105"/>
      <c r="BE41" s="1105"/>
      <c r="BF41" s="1105"/>
      <c r="BG41" s="1105"/>
      <c r="BH41" s="1105"/>
      <c r="BI41" s="1105"/>
      <c r="BJ41" s="30"/>
      <c r="BK41" s="1134" t="s">
        <v>26</v>
      </c>
      <c r="BL41" s="1134"/>
      <c r="BM41" s="1134"/>
      <c r="BN41" s="1134"/>
      <c r="BO41" s="1134"/>
      <c r="BP41" s="1134"/>
      <c r="BQ41" s="1134"/>
      <c r="BR41" s="1134"/>
      <c r="BS41" s="1134"/>
      <c r="BT41" s="1134"/>
      <c r="BU41" s="30"/>
      <c r="BV41" s="1970"/>
      <c r="BW41" s="1971"/>
      <c r="BX41" s="1971"/>
      <c r="BY41" s="1971"/>
      <c r="BZ41" s="1970"/>
      <c r="CA41" s="1971"/>
      <c r="CB41" s="1971"/>
      <c r="CC41" s="1971"/>
      <c r="CD41" s="1970"/>
      <c r="CE41" s="1971"/>
      <c r="CF41" s="1971"/>
      <c r="CG41" s="1971"/>
      <c r="CH41" s="1970"/>
      <c r="CI41" s="1971"/>
      <c r="CJ41" s="1971"/>
      <c r="CK41" s="1981"/>
      <c r="CS41" s="1107"/>
      <c r="CT41" s="1107"/>
      <c r="CU41" s="1107"/>
      <c r="CV41" s="1107"/>
      <c r="CW41" s="1107"/>
      <c r="CX41" s="1107"/>
      <c r="CY41" s="1107"/>
      <c r="CZ41" s="1107"/>
      <c r="DA41" s="1107"/>
      <c r="DB41" s="1107"/>
      <c r="DC41" s="39"/>
      <c r="DD41" s="1096" t="e">
        <f>INDEX(#REF!,(COUNTA(#REF!))/2+1,0)</f>
        <v>#REF!</v>
      </c>
      <c r="DE41" s="1097"/>
      <c r="DF41" s="1097"/>
      <c r="DG41" s="1097"/>
      <c r="DH41" s="1097"/>
      <c r="DI41" s="1097"/>
      <c r="DJ41" s="1097"/>
      <c r="DK41" s="1097"/>
      <c r="DL41" s="1097"/>
      <c r="DM41" s="1097"/>
      <c r="DN41" s="1097"/>
      <c r="DO41" s="1097"/>
      <c r="DP41" s="1097"/>
      <c r="DQ41" s="1097"/>
      <c r="DR41" s="1097" t="e">
        <f ca="1">IF(DD41&lt;&gt;"",IF(ISERROR(FIND("Skill",DD41,1)),INDIRECT(SUBSTITUTE(SUBSTITUTE(DD41," ",""),"-","")),"Score"),"")</f>
        <v>#REF!</v>
      </c>
      <c r="DS41" s="1097"/>
      <c r="DT41" s="1097"/>
      <c r="DU41" s="1097"/>
      <c r="DV41" s="1093" t="str">
        <f ca="1">IF(ISNUMBER(DR41),TRUE,"")</f>
        <v/>
      </c>
      <c r="DW41" s="1113" t="e">
        <f ca="1">IF(DR41="","",IF(ISNUMBER(DR41),"","Favor"))</f>
        <v>#REF!</v>
      </c>
      <c r="DX41" s="1114"/>
      <c r="DY41" s="1114"/>
      <c r="DZ41" s="1115"/>
      <c r="EA41" s="1101" t="str">
        <f ca="1">IF(ISNUMBER(EG41),IF(ISNUMBER(DW41),IF(ABS(DW41)&gt;=EG41,"",EG41-ABS(DW41)),EG41),"")</f>
        <v/>
      </c>
      <c r="EB41" s="1113" t="e">
        <f ca="1">IF(DR41="","",IF(ISNUMBER(DR41),"","Bonus"))</f>
        <v>#REF!</v>
      </c>
      <c r="EC41" s="1114"/>
      <c r="ED41" s="1114"/>
      <c r="EE41" s="1115"/>
      <c r="EF41" s="1101" t="str">
        <f ca="1">IF(ISNUMBER(EG41),IF(ISNUMBER(DW41),IF(DW41&gt;EG41,EG41,IF(DW41&gt;=0,DW41,0)),0)+IF(ISNUMBER(EB41),EB41,0),"")</f>
        <v/>
      </c>
      <c r="EG41" s="1098" t="e">
        <f ca="1">IF(DR41="","",IF(ISNUMBER(DR41),FLOOR(DR41/5,1),"Passive"))</f>
        <v>#REF!</v>
      </c>
      <c r="EH41" s="1098"/>
      <c r="EI41" s="1098"/>
      <c r="EJ41" s="1098"/>
      <c r="EK41" s="1098"/>
      <c r="EL41" s="1147"/>
      <c r="EM41" s="1098" t="e">
        <f ca="1">IF(DR41="","",IF(ISNUMBER(DR41),IF(AND(EA41&gt;0,ISNUMBER(EA41)),EA41&amp;"dS","")&amp;IF(EF41&gt;0,"+"&amp;EF41,"")&amp;IF(EF41&lt;0,EF41,""),"Check"))</f>
        <v>#REF!</v>
      </c>
      <c r="EN41" s="1098"/>
      <c r="EO41" s="1098"/>
      <c r="EP41" s="1098"/>
      <c r="EQ41" s="1098"/>
      <c r="ER41" s="1146"/>
    </row>
    <row r="42" spans="1:178" ht="7.5" customHeight="1" thickBot="1" x14ac:dyDescent="0.3">
      <c r="AB42" s="30"/>
      <c r="AC42" s="1972"/>
      <c r="AD42" s="1973"/>
      <c r="AE42" s="1973"/>
      <c r="AF42" s="1973"/>
      <c r="AG42" s="1972"/>
      <c r="AH42" s="1973"/>
      <c r="AI42" s="1973"/>
      <c r="AJ42" s="1973"/>
      <c r="AK42" s="1972"/>
      <c r="AL42" s="1973"/>
      <c r="AM42" s="1973"/>
      <c r="AN42" s="1973"/>
      <c r="AO42" s="1980"/>
      <c r="AP42" s="1747"/>
      <c r="AQ42" s="1747"/>
      <c r="AR42" s="1982"/>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30"/>
      <c r="BV42" s="1972"/>
      <c r="BW42" s="1973"/>
      <c r="BX42" s="1973"/>
      <c r="BY42" s="1973"/>
      <c r="BZ42" s="1972"/>
      <c r="CA42" s="1973"/>
      <c r="CB42" s="1973"/>
      <c r="CC42" s="1973"/>
      <c r="CD42" s="1972"/>
      <c r="CE42" s="1973"/>
      <c r="CF42" s="1973"/>
      <c r="CG42" s="1973"/>
      <c r="CH42" s="1980"/>
      <c r="CI42" s="1747"/>
      <c r="CJ42" s="1747"/>
      <c r="CK42" s="1982"/>
      <c r="CS42" s="1134" t="s">
        <v>26</v>
      </c>
      <c r="CT42" s="1134"/>
      <c r="CU42" s="1134"/>
      <c r="CV42" s="1134"/>
      <c r="CW42" s="1134"/>
      <c r="CX42" s="1134"/>
      <c r="CY42" s="1134"/>
      <c r="CZ42" s="1134"/>
      <c r="DA42" s="1134"/>
      <c r="DB42" s="1134"/>
      <c r="DC42" s="39"/>
      <c r="DD42" s="948"/>
      <c r="DE42" s="949"/>
      <c r="DF42" s="949"/>
      <c r="DG42" s="949"/>
      <c r="DH42" s="949"/>
      <c r="DI42" s="949"/>
      <c r="DJ42" s="949"/>
      <c r="DK42" s="949"/>
      <c r="DL42" s="949"/>
      <c r="DM42" s="949"/>
      <c r="DN42" s="949"/>
      <c r="DO42" s="949"/>
      <c r="DP42" s="949"/>
      <c r="DQ42" s="949"/>
      <c r="DR42" s="949"/>
      <c r="DS42" s="949"/>
      <c r="DT42" s="949"/>
      <c r="DU42" s="949"/>
      <c r="DV42" s="1094"/>
      <c r="DW42" s="1116"/>
      <c r="DX42" s="1117"/>
      <c r="DY42" s="1117"/>
      <c r="DZ42" s="1118"/>
      <c r="EA42" s="1102"/>
      <c r="EB42" s="1116"/>
      <c r="EC42" s="1117"/>
      <c r="ED42" s="1117"/>
      <c r="EE42" s="1118"/>
      <c r="EF42" s="1102"/>
      <c r="EG42" s="934"/>
      <c r="EH42" s="934"/>
      <c r="EI42" s="934"/>
      <c r="EJ42" s="934"/>
      <c r="EK42" s="934"/>
      <c r="EL42" s="937"/>
      <c r="EM42" s="934"/>
      <c r="EN42" s="934"/>
      <c r="EO42" s="934"/>
      <c r="EP42" s="934"/>
      <c r="EQ42" s="934"/>
      <c r="ER42" s="935"/>
    </row>
    <row r="43" spans="1:178" ht="7.5" customHeight="1" x14ac:dyDescent="0.25">
      <c r="Q43" s="1916" t="s">
        <v>81</v>
      </c>
      <c r="R43" s="1917"/>
      <c r="S43" s="1917"/>
      <c r="T43" s="1917"/>
      <c r="U43" s="1918"/>
      <c r="W43" s="1919" t="s">
        <v>500</v>
      </c>
      <c r="X43" s="1920"/>
      <c r="Y43" s="1920"/>
      <c r="Z43" s="1920"/>
      <c r="AA43" s="1921"/>
      <c r="AB43" s="30"/>
      <c r="AC43" s="1987" t="s">
        <v>34</v>
      </c>
      <c r="AD43" s="1988"/>
      <c r="AE43" s="1988"/>
      <c r="AF43" s="1988"/>
      <c r="AG43" s="1987" t="s">
        <v>440</v>
      </c>
      <c r="AH43" s="1988"/>
      <c r="AI43" s="1988"/>
      <c r="AJ43" s="1988"/>
      <c r="AK43" s="1987" t="s">
        <v>17</v>
      </c>
      <c r="AL43" s="1988"/>
      <c r="AM43" s="1988"/>
      <c r="AN43" s="1988"/>
      <c r="AO43" s="1987" t="s">
        <v>46</v>
      </c>
      <c r="AP43" s="1988"/>
      <c r="AQ43" s="1988"/>
      <c r="AR43" s="1989"/>
      <c r="AT43" s="17"/>
      <c r="AU43" s="17"/>
      <c r="AV43" s="17"/>
      <c r="AW43" s="17"/>
      <c r="AX43" s="17"/>
      <c r="AY43" s="17"/>
      <c r="AZ43" s="17"/>
      <c r="BA43" s="17"/>
      <c r="BB43" s="17"/>
      <c r="BC43" s="17"/>
      <c r="BD43" s="17"/>
      <c r="BE43" s="17"/>
      <c r="BF43" s="17"/>
      <c r="BG43" s="17"/>
      <c r="BH43" s="17"/>
      <c r="BI43" s="17"/>
      <c r="BJ43" s="1916" t="s">
        <v>81</v>
      </c>
      <c r="BK43" s="1917"/>
      <c r="BL43" s="1917"/>
      <c r="BM43" s="1917"/>
      <c r="BN43" s="1918"/>
      <c r="BO43" s="17"/>
      <c r="BP43" s="1919" t="s">
        <v>500</v>
      </c>
      <c r="BQ43" s="1920"/>
      <c r="BR43" s="1920"/>
      <c r="BS43" s="1920"/>
      <c r="BT43" s="1921"/>
      <c r="BU43" s="30"/>
      <c r="BV43" s="1987" t="s">
        <v>34</v>
      </c>
      <c r="BW43" s="1988"/>
      <c r="BX43" s="1988"/>
      <c r="BY43" s="1988"/>
      <c r="BZ43" s="1987" t="s">
        <v>440</v>
      </c>
      <c r="CA43" s="1988"/>
      <c r="CB43" s="1988"/>
      <c r="CC43" s="1988"/>
      <c r="CD43" s="1987" t="s">
        <v>17</v>
      </c>
      <c r="CE43" s="1988"/>
      <c r="CF43" s="1988"/>
      <c r="CG43" s="1988"/>
      <c r="CH43" s="1987" t="s">
        <v>46</v>
      </c>
      <c r="CI43" s="1988"/>
      <c r="CJ43" s="1988"/>
      <c r="CK43" s="1989"/>
      <c r="CS43" s="1127"/>
      <c r="CT43" s="1127"/>
      <c r="CU43" s="1123" t="s">
        <v>0</v>
      </c>
      <c r="CV43" s="1123"/>
      <c r="CW43" s="1123"/>
      <c r="CX43" s="1123"/>
      <c r="CY43" s="39"/>
      <c r="CZ43" s="1125" t="s">
        <v>441</v>
      </c>
      <c r="DA43" s="1125"/>
      <c r="DB43" s="1125"/>
      <c r="DC43" s="39"/>
      <c r="DD43" s="946" t="e">
        <f>INDEX(#REF!,(COUNTA(#REF!))/2+1,0)</f>
        <v>#REF!</v>
      </c>
      <c r="DE43" s="947"/>
      <c r="DF43" s="947"/>
      <c r="DG43" s="947"/>
      <c r="DH43" s="947"/>
      <c r="DI43" s="947"/>
      <c r="DJ43" s="947"/>
      <c r="DK43" s="947"/>
      <c r="DL43" s="947"/>
      <c r="DM43" s="947"/>
      <c r="DN43" s="947"/>
      <c r="DO43" s="947"/>
      <c r="DP43" s="947"/>
      <c r="DQ43" s="947"/>
      <c r="DR43" s="947" t="e">
        <f ca="1">IF(DD43&lt;&gt;"",IF(ISERROR(FIND("Skill",DD43,1)),INDIRECT(SUBSTITUTE(SUBSTITUTE(DD43," ",""),"-","")),"Score"),"")</f>
        <v>#REF!</v>
      </c>
      <c r="DS43" s="947"/>
      <c r="DT43" s="947"/>
      <c r="DU43" s="947"/>
      <c r="DV43" s="1132" t="str">
        <f ca="1">IF(ISNUMBER(DR43),TRUE,"")</f>
        <v/>
      </c>
      <c r="DW43" s="940" t="e">
        <f ca="1">IF(DR43="","",IF(ISNUMBER(DR43),"","Favor"))</f>
        <v>#REF!</v>
      </c>
      <c r="DX43" s="941"/>
      <c r="DY43" s="941"/>
      <c r="DZ43" s="942"/>
      <c r="EA43" s="938" t="str">
        <f ca="1">IF(ISNUMBER(EG43),IF(ISNUMBER(DW43),IF(ABS(DW43)&gt;=EG43,"",EG43-ABS(DW43)),EG43),"")</f>
        <v/>
      </c>
      <c r="EB43" s="940" t="e">
        <f ca="1">IF(DR43="","",IF(ISNUMBER(DR43),"","Bonus"))</f>
        <v>#REF!</v>
      </c>
      <c r="EC43" s="941"/>
      <c r="ED43" s="941"/>
      <c r="EE43" s="942"/>
      <c r="EF43" s="1099" t="str">
        <f ca="1">IF(ISNUMBER(EG43),IF(ISNUMBER(DW43),IF(DW43&gt;EG43,EG43,IF(DW43&gt;=0,DW43,0)),0)+IF(ISNUMBER(EB43),EB43,0),"")</f>
        <v/>
      </c>
      <c r="EG43" s="932" t="e">
        <f ca="1">IF(DR43="","",IF(ISNUMBER(DR43),FLOOR(DR43/5,1),"Passive"))</f>
        <v>#REF!</v>
      </c>
      <c r="EH43" s="932"/>
      <c r="EI43" s="932"/>
      <c r="EJ43" s="932"/>
      <c r="EK43" s="932"/>
      <c r="EL43" s="936"/>
      <c r="EM43" s="932" t="e">
        <f ca="1">IF(DR43="","",IF(ISNUMBER(DR43),IF(AND(EA43&gt;0,ISNUMBER(EA43)),EA43&amp;"dS","")&amp;IF(EF43&gt;0,"+"&amp;EF43,"")&amp;IF(EF43&lt;0,EF43,""),"Check"))</f>
        <v>#REF!</v>
      </c>
      <c r="EN43" s="932"/>
      <c r="EO43" s="932"/>
      <c r="EP43" s="932"/>
      <c r="EQ43" s="932"/>
      <c r="ER43" s="933"/>
    </row>
    <row r="44" spans="1:178" ht="7.5" customHeight="1" thickBot="1" x14ac:dyDescent="0.3">
      <c r="Q44" s="1922"/>
      <c r="R44" s="1923"/>
      <c r="S44" s="1923"/>
      <c r="T44" s="1923"/>
      <c r="U44" s="1924"/>
      <c r="W44" s="1922"/>
      <c r="X44" s="1923"/>
      <c r="Y44" s="1923"/>
      <c r="Z44" s="1923"/>
      <c r="AA44" s="1924"/>
      <c r="AB44" s="30"/>
      <c r="AC44" s="17"/>
      <c r="AD44" s="17"/>
      <c r="AE44" s="17"/>
      <c r="AF44" s="17"/>
      <c r="AG44" s="1970"/>
      <c r="AH44" s="1971"/>
      <c r="AI44" s="1971"/>
      <c r="AJ44" s="1971"/>
      <c r="AK44" s="1970"/>
      <c r="AL44" s="1971"/>
      <c r="AM44" s="1971"/>
      <c r="AN44" s="1981"/>
      <c r="AO44" s="1970"/>
      <c r="AP44" s="1971"/>
      <c r="AQ44" s="1971"/>
      <c r="AR44" s="1971"/>
      <c r="AT44" s="17"/>
      <c r="AU44" s="17"/>
      <c r="AV44" s="17"/>
      <c r="AW44" s="17"/>
      <c r="AX44" s="17"/>
      <c r="AY44" s="17"/>
      <c r="AZ44" s="17"/>
      <c r="BA44" s="17"/>
      <c r="BB44" s="17"/>
      <c r="BC44" s="17"/>
      <c r="BD44" s="17"/>
      <c r="BE44" s="17"/>
      <c r="BF44" s="17"/>
      <c r="BG44" s="17"/>
      <c r="BH44" s="17"/>
      <c r="BI44" s="17"/>
      <c r="BJ44" s="1922"/>
      <c r="BK44" s="1923"/>
      <c r="BL44" s="1923"/>
      <c r="BM44" s="1923"/>
      <c r="BN44" s="1924"/>
      <c r="BO44" s="17"/>
      <c r="BP44" s="1922"/>
      <c r="BQ44" s="1923"/>
      <c r="BR44" s="1923"/>
      <c r="BS44" s="1923"/>
      <c r="BT44" s="1924"/>
      <c r="BU44" s="30"/>
      <c r="BV44" s="17"/>
      <c r="BW44" s="17"/>
      <c r="BX44" s="17"/>
      <c r="BY44" s="17"/>
      <c r="BZ44" s="1970"/>
      <c r="CA44" s="1971"/>
      <c r="CB44" s="1971"/>
      <c r="CC44" s="1971"/>
      <c r="CD44" s="1970"/>
      <c r="CE44" s="1971"/>
      <c r="CF44" s="1971"/>
      <c r="CG44" s="1981"/>
      <c r="CH44" s="1970"/>
      <c r="CI44" s="1971"/>
      <c r="CJ44" s="1971"/>
      <c r="CK44" s="1971"/>
      <c r="CS44" s="1127"/>
      <c r="CT44" s="1127"/>
      <c r="CU44" s="1124"/>
      <c r="CV44" s="1124"/>
      <c r="CW44" s="1124"/>
      <c r="CX44" s="1124"/>
      <c r="CY44" s="39"/>
      <c r="CZ44" s="1126"/>
      <c r="DA44" s="1126"/>
      <c r="DB44" s="1126"/>
      <c r="DC44" s="39"/>
      <c r="DD44" s="948"/>
      <c r="DE44" s="949"/>
      <c r="DF44" s="949"/>
      <c r="DG44" s="949"/>
      <c r="DH44" s="949"/>
      <c r="DI44" s="949"/>
      <c r="DJ44" s="949"/>
      <c r="DK44" s="949"/>
      <c r="DL44" s="949"/>
      <c r="DM44" s="949"/>
      <c r="DN44" s="949"/>
      <c r="DO44" s="949"/>
      <c r="DP44" s="949"/>
      <c r="DQ44" s="949"/>
      <c r="DR44" s="949"/>
      <c r="DS44" s="949"/>
      <c r="DT44" s="949"/>
      <c r="DU44" s="949"/>
      <c r="DV44" s="1133"/>
      <c r="DW44" s="943"/>
      <c r="DX44" s="944"/>
      <c r="DY44" s="944"/>
      <c r="DZ44" s="945"/>
      <c r="EA44" s="939"/>
      <c r="EB44" s="943"/>
      <c r="EC44" s="944"/>
      <c r="ED44" s="944"/>
      <c r="EE44" s="945"/>
      <c r="EF44" s="1100"/>
      <c r="EG44" s="934"/>
      <c r="EH44" s="934"/>
      <c r="EI44" s="934"/>
      <c r="EJ44" s="934"/>
      <c r="EK44" s="934"/>
      <c r="EL44" s="937"/>
      <c r="EM44" s="934"/>
      <c r="EN44" s="934"/>
      <c r="EO44" s="934"/>
      <c r="EP44" s="934"/>
      <c r="EQ44" s="934"/>
      <c r="ER44" s="935"/>
    </row>
    <row r="45" spans="1:178" ht="7.5" customHeight="1" thickTop="1" x14ac:dyDescent="0.25">
      <c r="Q45" s="1925"/>
      <c r="R45" s="741"/>
      <c r="S45" s="741"/>
      <c r="T45" s="741"/>
      <c r="U45" s="1926"/>
      <c r="W45" s="1925"/>
      <c r="X45" s="741"/>
      <c r="Y45" s="741"/>
      <c r="Z45" s="741"/>
      <c r="AA45" s="1926"/>
      <c r="AB45" s="30"/>
      <c r="AC45" s="165"/>
      <c r="AD45" s="165"/>
      <c r="AE45" s="165"/>
      <c r="AF45" s="17"/>
      <c r="AG45" s="1980"/>
      <c r="AH45" s="1747"/>
      <c r="AI45" s="1747"/>
      <c r="AJ45" s="1747"/>
      <c r="AK45" s="1980"/>
      <c r="AL45" s="1747"/>
      <c r="AM45" s="1747"/>
      <c r="AN45" s="1982"/>
      <c r="AO45" s="1972"/>
      <c r="AP45" s="1973"/>
      <c r="AQ45" s="1973"/>
      <c r="AR45" s="1973"/>
      <c r="AT45" s="17"/>
      <c r="AU45" s="17"/>
      <c r="AV45" s="17"/>
      <c r="AW45" s="17"/>
      <c r="AX45" s="17"/>
      <c r="AY45" s="17"/>
      <c r="AZ45" s="17"/>
      <c r="BA45" s="17"/>
      <c r="BB45" s="17"/>
      <c r="BC45" s="17"/>
      <c r="BD45" s="17"/>
      <c r="BE45" s="17"/>
      <c r="BF45" s="17"/>
      <c r="BG45" s="17"/>
      <c r="BH45" s="17"/>
      <c r="BI45" s="17"/>
      <c r="BJ45" s="1925"/>
      <c r="BK45" s="741"/>
      <c r="BL45" s="741"/>
      <c r="BM45" s="741"/>
      <c r="BN45" s="1926"/>
      <c r="BO45" s="17"/>
      <c r="BP45" s="1925"/>
      <c r="BQ45" s="741"/>
      <c r="BR45" s="741"/>
      <c r="BS45" s="741"/>
      <c r="BT45" s="1926"/>
      <c r="BU45" s="30"/>
      <c r="BV45" s="165"/>
      <c r="BW45" s="165"/>
      <c r="BX45" s="165"/>
      <c r="BY45" s="17"/>
      <c r="BZ45" s="1980"/>
      <c r="CA45" s="1747"/>
      <c r="CB45" s="1747"/>
      <c r="CC45" s="1747"/>
      <c r="CD45" s="1980"/>
      <c r="CE45" s="1747"/>
      <c r="CF45" s="1747"/>
      <c r="CG45" s="1982"/>
      <c r="CH45" s="1972"/>
      <c r="CI45" s="1973"/>
      <c r="CJ45" s="1973"/>
      <c r="CK45" s="1973"/>
      <c r="CS45" s="39"/>
      <c r="CT45" s="39"/>
      <c r="CU45" s="39"/>
      <c r="CV45" s="39"/>
      <c r="CW45" s="39"/>
      <c r="CX45" s="39"/>
      <c r="CY45" s="39"/>
      <c r="CZ45" s="39"/>
      <c r="DA45" s="39"/>
      <c r="DB45" s="39"/>
      <c r="DC45" s="39"/>
      <c r="DD45" s="946" t="e">
        <f>INDEX(#REF!,(COUNTA(#REF!))/2+1,0)</f>
        <v>#REF!</v>
      </c>
      <c r="DE45" s="947"/>
      <c r="DF45" s="947"/>
      <c r="DG45" s="947"/>
      <c r="DH45" s="947"/>
      <c r="DI45" s="947"/>
      <c r="DJ45" s="947"/>
      <c r="DK45" s="947"/>
      <c r="DL45" s="947"/>
      <c r="DM45" s="947"/>
      <c r="DN45" s="947"/>
      <c r="DO45" s="947"/>
      <c r="DP45" s="947"/>
      <c r="DQ45" s="947"/>
      <c r="DR45" s="947" t="e">
        <f ca="1">IF(DD45&lt;&gt;"",IF(ISERROR(FIND("Skill",DD45,1)),INDIRECT(SUBSTITUTE(SUBSTITUTE(DD45," ",""),"-","")),"Score"),"")</f>
        <v>#REF!</v>
      </c>
      <c r="DS45" s="947"/>
      <c r="DT45" s="947"/>
      <c r="DU45" s="947"/>
      <c r="DV45" s="1132" t="str">
        <f ca="1">IF(ISNUMBER(DR45),TRUE,"")</f>
        <v/>
      </c>
      <c r="DW45" s="940" t="e">
        <f ca="1">IF(DR45="","",IF(ISNUMBER(DR45),"","Favor"))</f>
        <v>#REF!</v>
      </c>
      <c r="DX45" s="941"/>
      <c r="DY45" s="941"/>
      <c r="DZ45" s="942"/>
      <c r="EA45" s="938" t="str">
        <f ca="1">IF(ISNUMBER(EG45),IF(ISNUMBER(DW45),IF(ABS(DW45)&gt;=EG45,"",EG45-ABS(DW45)),EG45),"")</f>
        <v/>
      </c>
      <c r="EB45" s="940" t="e">
        <f ca="1">IF(DR45="","",IF(ISNUMBER(DR45),"","Bonus"))</f>
        <v>#REF!</v>
      </c>
      <c r="EC45" s="941"/>
      <c r="ED45" s="941"/>
      <c r="EE45" s="942"/>
      <c r="EF45" s="1099" t="str">
        <f ca="1">IF(ISNUMBER(EG45),IF(ISNUMBER(DW45),IF(DW45&gt;EG45,EG45,IF(DW45&gt;=0,DW45,0)),0)+IF(ISNUMBER(EB45),EB45,0),"")</f>
        <v/>
      </c>
      <c r="EG45" s="932" t="e">
        <f ca="1">IF(DR45="","",IF(ISNUMBER(DR45),FLOOR(DR45/5,1),"Passive"))</f>
        <v>#REF!</v>
      </c>
      <c r="EH45" s="932"/>
      <c r="EI45" s="932"/>
      <c r="EJ45" s="932"/>
      <c r="EK45" s="932"/>
      <c r="EL45" s="936"/>
      <c r="EM45" s="932" t="e">
        <f ca="1">IF(DR45="","",IF(ISNUMBER(DR45),IF(AND(EA45&gt;0,ISNUMBER(EA45)),EA45&amp;"dS","")&amp;IF(EF45&gt;0,"+"&amp;EF45,"")&amp;IF(EF45&lt;0,EF45,""),"Check"))</f>
        <v>#REF!</v>
      </c>
      <c r="EN45" s="932"/>
      <c r="EO45" s="932"/>
      <c r="EP45" s="932"/>
      <c r="EQ45" s="932"/>
      <c r="ER45" s="933"/>
    </row>
    <row r="46" spans="1:178" ht="7.5" customHeight="1" thickBot="1" x14ac:dyDescent="0.3">
      <c r="Q46" s="1927"/>
      <c r="R46" s="1928"/>
      <c r="S46" s="1928"/>
      <c r="T46" s="1928"/>
      <c r="U46" s="1929"/>
      <c r="W46" s="1927"/>
      <c r="X46" s="1928"/>
      <c r="Y46" s="1928"/>
      <c r="Z46" s="1928"/>
      <c r="AA46" s="1929"/>
      <c r="AB46" s="30"/>
      <c r="AC46" s="30"/>
      <c r="AF46" s="30"/>
      <c r="AG46" s="30"/>
      <c r="AH46" s="30"/>
      <c r="AI46" s="30"/>
      <c r="AJ46" s="30"/>
      <c r="AK46" s="30"/>
      <c r="AL46" s="30"/>
      <c r="AM46" s="30"/>
      <c r="AN46" s="30"/>
      <c r="AO46" s="30"/>
      <c r="AP46" s="30"/>
      <c r="AQ46" s="30"/>
      <c r="AT46" s="17"/>
      <c r="AU46" s="17"/>
      <c r="AV46" s="17"/>
      <c r="AW46" s="17"/>
      <c r="AX46" s="17"/>
      <c r="AY46" s="17"/>
      <c r="AZ46" s="17"/>
      <c r="BA46" s="17"/>
      <c r="BB46" s="17"/>
      <c r="BC46" s="17"/>
      <c r="BD46" s="17"/>
      <c r="BE46" s="17"/>
      <c r="BF46" s="17"/>
      <c r="BG46" s="17"/>
      <c r="BH46" s="17"/>
      <c r="BI46" s="17"/>
      <c r="BJ46" s="1927"/>
      <c r="BK46" s="1928"/>
      <c r="BL46" s="1928"/>
      <c r="BM46" s="1928"/>
      <c r="BN46" s="1929"/>
      <c r="BO46" s="17"/>
      <c r="BP46" s="1927"/>
      <c r="BQ46" s="1928"/>
      <c r="BR46" s="1928"/>
      <c r="BS46" s="1928"/>
      <c r="BT46" s="1929"/>
      <c r="BU46" s="30"/>
      <c r="BV46" s="30"/>
      <c r="BW46" s="17"/>
      <c r="BX46" s="17"/>
      <c r="BY46" s="30"/>
      <c r="BZ46" s="30"/>
      <c r="CA46" s="30"/>
      <c r="CB46" s="30"/>
      <c r="CC46" s="30"/>
      <c r="CD46" s="30"/>
      <c r="CE46" s="30"/>
      <c r="CF46" s="30"/>
      <c r="CG46" s="30"/>
      <c r="CH46" s="30"/>
      <c r="CI46" s="30"/>
      <c r="CJ46" s="30"/>
      <c r="CK46" s="17"/>
      <c r="CS46" s="1121" t="s">
        <v>1</v>
      </c>
      <c r="CT46" s="1121"/>
      <c r="CU46" s="1121"/>
      <c r="CV46" s="1128" t="e">
        <f>STR</f>
        <v>#REF!</v>
      </c>
      <c r="CW46" s="1128"/>
      <c r="CX46" s="1128"/>
      <c r="CY46" s="36"/>
      <c r="CZ46" s="1128" t="e">
        <f>StrMod</f>
        <v>#NAME?</v>
      </c>
      <c r="DA46" s="1129"/>
      <c r="DB46" s="1129"/>
      <c r="DC46" s="39"/>
      <c r="DD46" s="948"/>
      <c r="DE46" s="949"/>
      <c r="DF46" s="949"/>
      <c r="DG46" s="949"/>
      <c r="DH46" s="949"/>
      <c r="DI46" s="949"/>
      <c r="DJ46" s="949"/>
      <c r="DK46" s="949"/>
      <c r="DL46" s="949"/>
      <c r="DM46" s="949"/>
      <c r="DN46" s="949"/>
      <c r="DO46" s="949"/>
      <c r="DP46" s="949"/>
      <c r="DQ46" s="949"/>
      <c r="DR46" s="949"/>
      <c r="DS46" s="949"/>
      <c r="DT46" s="949"/>
      <c r="DU46" s="949"/>
      <c r="DV46" s="1133"/>
      <c r="DW46" s="943"/>
      <c r="DX46" s="944"/>
      <c r="DY46" s="944"/>
      <c r="DZ46" s="945"/>
      <c r="EA46" s="939"/>
      <c r="EB46" s="943"/>
      <c r="EC46" s="944"/>
      <c r="ED46" s="944"/>
      <c r="EE46" s="945"/>
      <c r="EF46" s="1100"/>
      <c r="EG46" s="934"/>
      <c r="EH46" s="934"/>
      <c r="EI46" s="934"/>
      <c r="EJ46" s="934"/>
      <c r="EK46" s="934"/>
      <c r="EL46" s="937"/>
      <c r="EM46" s="934"/>
      <c r="EN46" s="934"/>
      <c r="EO46" s="934"/>
      <c r="EP46" s="934"/>
      <c r="EQ46" s="934"/>
      <c r="ER46" s="935"/>
    </row>
    <row r="47" spans="1:178" ht="7.5" customHeight="1" thickBot="1" x14ac:dyDescent="0.3">
      <c r="AB47" s="30"/>
      <c r="AC47" s="1968" t="s">
        <v>33</v>
      </c>
      <c r="AD47" s="1968"/>
      <c r="AE47" s="1968"/>
      <c r="AF47" s="1968"/>
      <c r="AG47" s="1968"/>
      <c r="AH47" s="1968"/>
      <c r="AI47" s="1968"/>
      <c r="AJ47" s="1968"/>
      <c r="AK47" s="1968"/>
      <c r="AL47" s="1968"/>
      <c r="AM47" s="1968"/>
      <c r="AN47" s="1968"/>
      <c r="AO47" s="1968"/>
      <c r="AP47" s="1968"/>
      <c r="AQ47" s="1968"/>
      <c r="AR47" s="1968"/>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30"/>
      <c r="BV47" s="1968" t="s">
        <v>33</v>
      </c>
      <c r="BW47" s="1968"/>
      <c r="BX47" s="1968"/>
      <c r="BY47" s="1968"/>
      <c r="BZ47" s="1968"/>
      <c r="CA47" s="1968"/>
      <c r="CB47" s="1968"/>
      <c r="CC47" s="1968"/>
      <c r="CD47" s="1968"/>
      <c r="CE47" s="1968"/>
      <c r="CF47" s="1968"/>
      <c r="CG47" s="1968"/>
      <c r="CH47" s="1968"/>
      <c r="CI47" s="1968"/>
      <c r="CJ47" s="1968"/>
      <c r="CK47" s="1968"/>
      <c r="CS47" s="1122"/>
      <c r="CT47" s="1122"/>
      <c r="CU47" s="1122"/>
      <c r="CV47" s="1131"/>
      <c r="CW47" s="1131"/>
      <c r="CX47" s="1131"/>
      <c r="CY47" s="36"/>
      <c r="CZ47" s="1129"/>
      <c r="DA47" s="1129"/>
      <c r="DB47" s="1129"/>
      <c r="DC47" s="39"/>
      <c r="DD47" s="946" t="e">
        <f>INDEX(#REF!,(COUNTA(#REF!))/2+1,0)</f>
        <v>#REF!</v>
      </c>
      <c r="DE47" s="947"/>
      <c r="DF47" s="947"/>
      <c r="DG47" s="947"/>
      <c r="DH47" s="947"/>
      <c r="DI47" s="947"/>
      <c r="DJ47" s="947"/>
      <c r="DK47" s="947"/>
      <c r="DL47" s="947"/>
      <c r="DM47" s="947"/>
      <c r="DN47" s="947"/>
      <c r="DO47" s="947"/>
      <c r="DP47" s="947"/>
      <c r="DQ47" s="947"/>
      <c r="DR47" s="947" t="e">
        <f ca="1">IF(DD47&lt;&gt;"",IF(ISERROR(FIND("Skill",DD47,1)),INDIRECT(SUBSTITUTE(SUBSTITUTE(DD47," ",""),"-","")),"Score"),"")</f>
        <v>#REF!</v>
      </c>
      <c r="DS47" s="947"/>
      <c r="DT47" s="947"/>
      <c r="DU47" s="947"/>
      <c r="DV47" s="1132" t="str">
        <f ca="1">IF(ISNUMBER(DR47),TRUE,"")</f>
        <v/>
      </c>
      <c r="DW47" s="940" t="e">
        <f ca="1">IF(DR47="","",IF(ISNUMBER(DR47),"","Favor"))</f>
        <v>#REF!</v>
      </c>
      <c r="DX47" s="941"/>
      <c r="DY47" s="941"/>
      <c r="DZ47" s="942"/>
      <c r="EA47" s="938" t="str">
        <f ca="1">IF(ISNUMBER(EG47),IF(ISNUMBER(DW47),IF(ABS(DW47)&gt;=EG47,"",EG47-ABS(DW47)),EG47),"")</f>
        <v/>
      </c>
      <c r="EB47" s="940" t="e">
        <f ca="1">IF(DR47="","",IF(ISNUMBER(DR47),"","Bonus"))</f>
        <v>#REF!</v>
      </c>
      <c r="EC47" s="941"/>
      <c r="ED47" s="941"/>
      <c r="EE47" s="942"/>
      <c r="EF47" s="1099" t="str">
        <f ca="1">IF(ISNUMBER(EG47),IF(ISNUMBER(DW47),IF(DW47&gt;EG47,EG47,IF(DW47&gt;=0,DW47,0)),0)+IF(ISNUMBER(EB47),EB47,0),"")</f>
        <v/>
      </c>
      <c r="EG47" s="932" t="e">
        <f ca="1">IF(DR47="","",IF(ISNUMBER(DR47),FLOOR(DR47/5,1),"Passive"))</f>
        <v>#REF!</v>
      </c>
      <c r="EH47" s="932"/>
      <c r="EI47" s="932"/>
      <c r="EJ47" s="932"/>
      <c r="EK47" s="932"/>
      <c r="EL47" s="936"/>
      <c r="EM47" s="932" t="e">
        <f ca="1">IF(DR47="","",IF(ISNUMBER(DR47),IF(AND(EA47&gt;0,ISNUMBER(EA47)),EA47&amp;"dS","")&amp;IF(EF47&gt;0,"+"&amp;EF47,"")&amp;IF(EF47&lt;0,EF47,""),"Check"))</f>
        <v>#REF!</v>
      </c>
      <c r="EN47" s="932"/>
      <c r="EO47" s="932"/>
      <c r="EP47" s="932"/>
      <c r="EQ47" s="932"/>
      <c r="ER47" s="933"/>
    </row>
    <row r="48" spans="1:178" ht="7.5" customHeight="1" thickBot="1" x14ac:dyDescent="0.3">
      <c r="A48" s="1086" t="s">
        <v>85</v>
      </c>
      <c r="B48" s="1932"/>
      <c r="C48" s="1932"/>
      <c r="D48" s="267"/>
      <c r="E48" s="267"/>
      <c r="F48" s="267"/>
      <c r="G48" s="267"/>
      <c r="H48" s="267"/>
      <c r="I48" s="267"/>
      <c r="J48" s="267"/>
      <c r="K48" s="267"/>
      <c r="L48" s="267"/>
      <c r="M48" s="267"/>
      <c r="N48" s="268"/>
      <c r="O48" s="252" t="s">
        <v>89</v>
      </c>
      <c r="P48" s="253"/>
      <c r="Q48" s="253"/>
      <c r="R48" s="253"/>
      <c r="S48" s="254"/>
      <c r="T48" s="254"/>
      <c r="U48" s="255"/>
      <c r="V48" s="249" t="s">
        <v>88</v>
      </c>
      <c r="W48" s="250"/>
      <c r="X48" s="250"/>
      <c r="Y48" s="250"/>
      <c r="Z48" s="250"/>
      <c r="AA48" s="251"/>
      <c r="AB48" s="30"/>
      <c r="AC48" s="1969"/>
      <c r="AD48" s="1969"/>
      <c r="AE48" s="1969"/>
      <c r="AF48" s="1969"/>
      <c r="AG48" s="1969"/>
      <c r="AH48" s="1969"/>
      <c r="AI48" s="1969"/>
      <c r="AJ48" s="1969"/>
      <c r="AK48" s="1969"/>
      <c r="AL48" s="1969"/>
      <c r="AM48" s="1969"/>
      <c r="AN48" s="1969"/>
      <c r="AO48" s="1969"/>
      <c r="AP48" s="1969"/>
      <c r="AQ48" s="1969"/>
      <c r="AR48" s="1969"/>
      <c r="AT48" s="1086" t="s">
        <v>85</v>
      </c>
      <c r="AU48" s="1932"/>
      <c r="AV48" s="1932"/>
      <c r="AW48" s="267"/>
      <c r="AX48" s="267"/>
      <c r="AY48" s="267"/>
      <c r="AZ48" s="267"/>
      <c r="BA48" s="267"/>
      <c r="BB48" s="267"/>
      <c r="BC48" s="267"/>
      <c r="BD48" s="267"/>
      <c r="BE48" s="267"/>
      <c r="BF48" s="267"/>
      <c r="BG48" s="268"/>
      <c r="BH48" s="252" t="s">
        <v>89</v>
      </c>
      <c r="BI48" s="253"/>
      <c r="BJ48" s="253"/>
      <c r="BK48" s="253"/>
      <c r="BL48" s="254"/>
      <c r="BM48" s="254"/>
      <c r="BN48" s="255"/>
      <c r="BO48" s="249" t="s">
        <v>88</v>
      </c>
      <c r="BP48" s="250"/>
      <c r="BQ48" s="250"/>
      <c r="BR48" s="250"/>
      <c r="BS48" s="250"/>
      <c r="BT48" s="251"/>
      <c r="BU48" s="30"/>
      <c r="BV48" s="1969"/>
      <c r="BW48" s="1969"/>
      <c r="BX48" s="1969"/>
      <c r="BY48" s="1969"/>
      <c r="BZ48" s="1969"/>
      <c r="CA48" s="1969"/>
      <c r="CB48" s="1969"/>
      <c r="CC48" s="1969"/>
      <c r="CD48" s="1969"/>
      <c r="CE48" s="1969"/>
      <c r="CF48" s="1969"/>
      <c r="CG48" s="1969"/>
      <c r="CH48" s="1969"/>
      <c r="CI48" s="1969"/>
      <c r="CJ48" s="1969"/>
      <c r="CK48" s="1969"/>
      <c r="CS48" s="1119"/>
      <c r="CT48" s="1120"/>
      <c r="CU48" s="1120"/>
      <c r="CV48" s="1131"/>
      <c r="CW48" s="1131"/>
      <c r="CX48" s="1131"/>
      <c r="CY48" s="36">
        <v>20</v>
      </c>
      <c r="CZ48" s="1130"/>
      <c r="DA48" s="1130"/>
      <c r="DB48" s="1130"/>
      <c r="DC48" s="39"/>
      <c r="DD48" s="948"/>
      <c r="DE48" s="949"/>
      <c r="DF48" s="949"/>
      <c r="DG48" s="949"/>
      <c r="DH48" s="949"/>
      <c r="DI48" s="949"/>
      <c r="DJ48" s="949"/>
      <c r="DK48" s="949"/>
      <c r="DL48" s="949"/>
      <c r="DM48" s="949"/>
      <c r="DN48" s="949"/>
      <c r="DO48" s="949"/>
      <c r="DP48" s="949"/>
      <c r="DQ48" s="949"/>
      <c r="DR48" s="949"/>
      <c r="DS48" s="949"/>
      <c r="DT48" s="949"/>
      <c r="DU48" s="949"/>
      <c r="DV48" s="1133"/>
      <c r="DW48" s="943"/>
      <c r="DX48" s="944"/>
      <c r="DY48" s="944"/>
      <c r="DZ48" s="945"/>
      <c r="EA48" s="939"/>
      <c r="EB48" s="943"/>
      <c r="EC48" s="944"/>
      <c r="ED48" s="944"/>
      <c r="EE48" s="945"/>
      <c r="EF48" s="1100"/>
      <c r="EG48" s="934"/>
      <c r="EH48" s="934"/>
      <c r="EI48" s="934"/>
      <c r="EJ48" s="934"/>
      <c r="EK48" s="934"/>
      <c r="EL48" s="937"/>
      <c r="EM48" s="934"/>
      <c r="EN48" s="934"/>
      <c r="EO48" s="934"/>
      <c r="EP48" s="934"/>
      <c r="EQ48" s="934"/>
      <c r="ER48" s="935"/>
    </row>
    <row r="49" spans="1:148" ht="7.5" customHeight="1" thickBot="1" x14ac:dyDescent="0.3">
      <c r="A49" s="950"/>
      <c r="B49" s="951"/>
      <c r="C49" s="951"/>
      <c r="D49" s="951"/>
      <c r="E49" s="951"/>
      <c r="F49" s="951"/>
      <c r="G49" s="951"/>
      <c r="H49" s="951"/>
      <c r="I49" s="951"/>
      <c r="J49" s="951"/>
      <c r="K49" s="951"/>
      <c r="L49" s="951"/>
      <c r="M49" s="951"/>
      <c r="N49" s="951"/>
      <c r="O49" s="981"/>
      <c r="P49" s="982"/>
      <c r="Q49" s="982"/>
      <c r="R49" s="982"/>
      <c r="S49" s="982"/>
      <c r="T49" s="982"/>
      <c r="U49" s="1935"/>
      <c r="V49" s="1939"/>
      <c r="W49" s="1081"/>
      <c r="X49" s="1081"/>
      <c r="Y49" s="1081"/>
      <c r="Z49" s="1081"/>
      <c r="AA49" s="1940"/>
      <c r="AB49" s="30"/>
      <c r="AC49" s="1970"/>
      <c r="AD49" s="1971"/>
      <c r="AE49" s="1971"/>
      <c r="AF49" s="1971"/>
      <c r="AG49" s="1970"/>
      <c r="AH49" s="1971"/>
      <c r="AI49" s="1971"/>
      <c r="AJ49" s="1971"/>
      <c r="AK49" s="1970"/>
      <c r="AL49" s="1971"/>
      <c r="AM49" s="1971"/>
      <c r="AN49" s="1971"/>
      <c r="AO49" s="1970"/>
      <c r="AP49" s="1971"/>
      <c r="AQ49" s="1971"/>
      <c r="AR49" s="1981"/>
      <c r="AT49" s="950"/>
      <c r="AU49" s="951"/>
      <c r="AV49" s="951"/>
      <c r="AW49" s="951"/>
      <c r="AX49" s="951"/>
      <c r="AY49" s="951"/>
      <c r="AZ49" s="951"/>
      <c r="BA49" s="951"/>
      <c r="BB49" s="951"/>
      <c r="BC49" s="951"/>
      <c r="BD49" s="951"/>
      <c r="BE49" s="951"/>
      <c r="BF49" s="951"/>
      <c r="BG49" s="951"/>
      <c r="BH49" s="981"/>
      <c r="BI49" s="982"/>
      <c r="BJ49" s="982"/>
      <c r="BK49" s="982"/>
      <c r="BL49" s="982"/>
      <c r="BM49" s="982"/>
      <c r="BN49" s="1935"/>
      <c r="BO49" s="1939"/>
      <c r="BP49" s="1081"/>
      <c r="BQ49" s="1081"/>
      <c r="BR49" s="1081"/>
      <c r="BS49" s="1081"/>
      <c r="BT49" s="1940"/>
      <c r="BU49" s="30"/>
      <c r="BV49" s="1970"/>
      <c r="BW49" s="1971"/>
      <c r="BX49" s="1971"/>
      <c r="BY49" s="1971"/>
      <c r="BZ49" s="1970"/>
      <c r="CA49" s="1971"/>
      <c r="CB49" s="1971"/>
      <c r="CC49" s="1971"/>
      <c r="CD49" s="1970"/>
      <c r="CE49" s="1971"/>
      <c r="CF49" s="1971"/>
      <c r="CG49" s="1971"/>
      <c r="CH49" s="1970"/>
      <c r="CI49" s="1971"/>
      <c r="CJ49" s="1971"/>
      <c r="CK49" s="1981"/>
      <c r="CS49" s="1121" t="s">
        <v>2</v>
      </c>
      <c r="CT49" s="1121"/>
      <c r="CU49" s="1121"/>
      <c r="CV49" s="1131" t="e">
        <f>AGI</f>
        <v>#REF!</v>
      </c>
      <c r="CW49" s="1131"/>
      <c r="CX49" s="1131"/>
      <c r="CY49" s="196"/>
      <c r="CZ49" s="1131" t="e">
        <f>AgiMod</f>
        <v>#NAME?</v>
      </c>
      <c r="DA49" s="1131"/>
      <c r="DB49" s="1131"/>
      <c r="DC49" s="39"/>
      <c r="DD49" s="946" t="e">
        <f>INDEX(#REF!,(COUNTA(#REF!))/2+1,0)</f>
        <v>#REF!</v>
      </c>
      <c r="DE49" s="947"/>
      <c r="DF49" s="947"/>
      <c r="DG49" s="947"/>
      <c r="DH49" s="947"/>
      <c r="DI49" s="947"/>
      <c r="DJ49" s="947"/>
      <c r="DK49" s="947"/>
      <c r="DL49" s="947"/>
      <c r="DM49" s="947"/>
      <c r="DN49" s="947"/>
      <c r="DO49" s="947"/>
      <c r="DP49" s="947"/>
      <c r="DQ49" s="947"/>
      <c r="DR49" s="947" t="e">
        <f ca="1">IF(DD49&lt;&gt;"",IF(ISERROR(FIND("Skill",DD49,1)),INDIRECT(SUBSTITUTE(SUBSTITUTE(DD49," ",""),"-","")),"Score"),"")</f>
        <v>#REF!</v>
      </c>
      <c r="DS49" s="947"/>
      <c r="DT49" s="947"/>
      <c r="DU49" s="947"/>
      <c r="DV49" s="1132" t="str">
        <f ca="1">IF(ISNUMBER(DR49),TRUE,"")</f>
        <v/>
      </c>
      <c r="DW49" s="940" t="e">
        <f ca="1">IF(DR49="","",IF(ISNUMBER(DR49),"","Favor"))</f>
        <v>#REF!</v>
      </c>
      <c r="DX49" s="941"/>
      <c r="DY49" s="941"/>
      <c r="DZ49" s="942"/>
      <c r="EA49" s="938" t="str">
        <f ca="1">IF(ISNUMBER(EG49),IF(ISNUMBER(DW49),IF(ABS(DW49)&gt;=EG49,"",EG49-ABS(DW49)),EG49),"")</f>
        <v/>
      </c>
      <c r="EB49" s="940" t="e">
        <f ca="1">IF(DR49="","",IF(ISNUMBER(DR49),"","Bonus"))</f>
        <v>#REF!</v>
      </c>
      <c r="EC49" s="941"/>
      <c r="ED49" s="941"/>
      <c r="EE49" s="942"/>
      <c r="EF49" s="1099" t="str">
        <f ca="1">IF(ISNUMBER(EG49),IF(ISNUMBER(DW49),IF(DW49&gt;EG49,EG49,IF(DW49&gt;=0,DW49,0)),0)+IF(ISNUMBER(EB49),EB49,0),"")</f>
        <v/>
      </c>
      <c r="EG49" s="932" t="e">
        <f ca="1">IF(DR49="","",IF(ISNUMBER(DR49),FLOOR(DR49/5,1),"Passive"))</f>
        <v>#REF!</v>
      </c>
      <c r="EH49" s="932"/>
      <c r="EI49" s="932"/>
      <c r="EJ49" s="932"/>
      <c r="EK49" s="932"/>
      <c r="EL49" s="936"/>
      <c r="EM49" s="932" t="e">
        <f ca="1">IF(DR49="","",IF(ISNUMBER(DR49),IF(AND(EA49&gt;0,ISNUMBER(EA49)),EA49&amp;"dS","")&amp;IF(EF49&gt;0,"+"&amp;EF49,"")&amp;IF(EF49&lt;0,EF49,""),"Check"))</f>
        <v>#REF!</v>
      </c>
      <c r="EN49" s="932"/>
      <c r="EO49" s="932"/>
      <c r="EP49" s="932"/>
      <c r="EQ49" s="932"/>
      <c r="ER49" s="933"/>
    </row>
    <row r="50" spans="1:148" ht="7.5" customHeight="1" thickBot="1" x14ac:dyDescent="0.3">
      <c r="A50" s="1933"/>
      <c r="B50" s="1934"/>
      <c r="C50" s="1934"/>
      <c r="D50" s="1934"/>
      <c r="E50" s="1934"/>
      <c r="F50" s="1934"/>
      <c r="G50" s="1934"/>
      <c r="H50" s="1934"/>
      <c r="I50" s="1934"/>
      <c r="J50" s="1934"/>
      <c r="K50" s="1934"/>
      <c r="L50" s="1934"/>
      <c r="M50" s="1934"/>
      <c r="N50" s="1934"/>
      <c r="O50" s="1936"/>
      <c r="P50" s="1937"/>
      <c r="Q50" s="1937"/>
      <c r="R50" s="1937"/>
      <c r="S50" s="1937"/>
      <c r="T50" s="1937"/>
      <c r="U50" s="1938"/>
      <c r="V50" s="1941"/>
      <c r="W50" s="1942"/>
      <c r="X50" s="1942"/>
      <c r="Y50" s="1942"/>
      <c r="Z50" s="1942"/>
      <c r="AA50" s="1943"/>
      <c r="AB50" s="30"/>
      <c r="AC50" s="1972"/>
      <c r="AD50" s="1973"/>
      <c r="AE50" s="1973"/>
      <c r="AF50" s="1973"/>
      <c r="AG50" s="1972"/>
      <c r="AH50" s="1973"/>
      <c r="AI50" s="1973"/>
      <c r="AJ50" s="1973"/>
      <c r="AK50" s="1972"/>
      <c r="AL50" s="1973"/>
      <c r="AM50" s="1973"/>
      <c r="AN50" s="1973"/>
      <c r="AO50" s="1980"/>
      <c r="AP50" s="1747"/>
      <c r="AQ50" s="1747"/>
      <c r="AR50" s="1982"/>
      <c r="AT50" s="1933"/>
      <c r="AU50" s="1934"/>
      <c r="AV50" s="1934"/>
      <c r="AW50" s="1934"/>
      <c r="AX50" s="1934"/>
      <c r="AY50" s="1934"/>
      <c r="AZ50" s="1934"/>
      <c r="BA50" s="1934"/>
      <c r="BB50" s="1934"/>
      <c r="BC50" s="1934"/>
      <c r="BD50" s="1934"/>
      <c r="BE50" s="1934"/>
      <c r="BF50" s="1934"/>
      <c r="BG50" s="1934"/>
      <c r="BH50" s="1936"/>
      <c r="BI50" s="1937"/>
      <c r="BJ50" s="1937"/>
      <c r="BK50" s="1937"/>
      <c r="BL50" s="1937"/>
      <c r="BM50" s="1937"/>
      <c r="BN50" s="1938"/>
      <c r="BO50" s="1941"/>
      <c r="BP50" s="1942"/>
      <c r="BQ50" s="1942"/>
      <c r="BR50" s="1942"/>
      <c r="BS50" s="1942"/>
      <c r="BT50" s="1943"/>
      <c r="BU50" s="30"/>
      <c r="BV50" s="1972"/>
      <c r="BW50" s="1973"/>
      <c r="BX50" s="1973"/>
      <c r="BY50" s="1973"/>
      <c r="BZ50" s="1972"/>
      <c r="CA50" s="1973"/>
      <c r="CB50" s="1973"/>
      <c r="CC50" s="1973"/>
      <c r="CD50" s="1972"/>
      <c r="CE50" s="1973"/>
      <c r="CF50" s="1973"/>
      <c r="CG50" s="1973"/>
      <c r="CH50" s="1980"/>
      <c r="CI50" s="1747"/>
      <c r="CJ50" s="1747"/>
      <c r="CK50" s="1982"/>
      <c r="CS50" s="1122"/>
      <c r="CT50" s="1122"/>
      <c r="CU50" s="1122"/>
      <c r="CV50" s="1131"/>
      <c r="CW50" s="1131"/>
      <c r="CX50" s="1131"/>
      <c r="CY50" s="196"/>
      <c r="CZ50" s="1131"/>
      <c r="DA50" s="1131"/>
      <c r="DB50" s="1131"/>
      <c r="DC50" s="39"/>
      <c r="DD50" s="948"/>
      <c r="DE50" s="949"/>
      <c r="DF50" s="949"/>
      <c r="DG50" s="949"/>
      <c r="DH50" s="949"/>
      <c r="DI50" s="949"/>
      <c r="DJ50" s="949"/>
      <c r="DK50" s="949"/>
      <c r="DL50" s="949"/>
      <c r="DM50" s="949"/>
      <c r="DN50" s="949"/>
      <c r="DO50" s="949"/>
      <c r="DP50" s="949"/>
      <c r="DQ50" s="949"/>
      <c r="DR50" s="949"/>
      <c r="DS50" s="949"/>
      <c r="DT50" s="949"/>
      <c r="DU50" s="949"/>
      <c r="DV50" s="1133"/>
      <c r="DW50" s="943"/>
      <c r="DX50" s="944"/>
      <c r="DY50" s="944"/>
      <c r="DZ50" s="945"/>
      <c r="EA50" s="939"/>
      <c r="EB50" s="943"/>
      <c r="EC50" s="944"/>
      <c r="ED50" s="944"/>
      <c r="EE50" s="945"/>
      <c r="EF50" s="1100"/>
      <c r="EG50" s="934"/>
      <c r="EH50" s="934"/>
      <c r="EI50" s="934"/>
      <c r="EJ50" s="934"/>
      <c r="EK50" s="934"/>
      <c r="EL50" s="937"/>
      <c r="EM50" s="934"/>
      <c r="EN50" s="934"/>
      <c r="EO50" s="934"/>
      <c r="EP50" s="934"/>
      <c r="EQ50" s="934"/>
      <c r="ER50" s="935"/>
    </row>
    <row r="51" spans="1:148" ht="7.5" customHeight="1" thickBot="1" x14ac:dyDescent="0.3">
      <c r="A51" s="979" t="s">
        <v>86</v>
      </c>
      <c r="B51" s="980"/>
      <c r="C51" s="980"/>
      <c r="D51" s="980"/>
      <c r="E51" s="980"/>
      <c r="F51" s="980"/>
      <c r="G51" s="980"/>
      <c r="H51" s="980"/>
      <c r="I51" s="980"/>
      <c r="J51" s="980"/>
      <c r="K51" s="980"/>
      <c r="L51" s="980"/>
      <c r="M51" s="980"/>
      <c r="N51" s="980"/>
      <c r="O51" s="980"/>
      <c r="P51" s="980"/>
      <c r="Q51" s="980"/>
      <c r="R51" s="980"/>
      <c r="S51" s="980"/>
      <c r="T51" s="980"/>
      <c r="U51" s="980"/>
      <c r="V51" s="1930" t="s">
        <v>91</v>
      </c>
      <c r="W51" s="1930"/>
      <c r="X51" s="1930"/>
      <c r="Y51" s="1930"/>
      <c r="Z51" s="1930"/>
      <c r="AA51" s="1931"/>
      <c r="AB51" s="30"/>
      <c r="AC51" s="1987" t="s">
        <v>439</v>
      </c>
      <c r="AD51" s="1988"/>
      <c r="AE51" s="1988"/>
      <c r="AF51" s="1988"/>
      <c r="AG51" s="1987" t="s">
        <v>80</v>
      </c>
      <c r="AH51" s="1988"/>
      <c r="AI51" s="1988"/>
      <c r="AJ51" s="1988"/>
      <c r="AK51" s="1987" t="s">
        <v>53</v>
      </c>
      <c r="AL51" s="1988"/>
      <c r="AM51" s="1988"/>
      <c r="AN51" s="1988"/>
      <c r="AO51" s="1987" t="s">
        <v>49</v>
      </c>
      <c r="AP51" s="1988"/>
      <c r="AQ51" s="1988"/>
      <c r="AR51" s="1989"/>
      <c r="AT51" s="979" t="s">
        <v>86</v>
      </c>
      <c r="AU51" s="980"/>
      <c r="AV51" s="980"/>
      <c r="AW51" s="980"/>
      <c r="AX51" s="980"/>
      <c r="AY51" s="980"/>
      <c r="AZ51" s="980"/>
      <c r="BA51" s="980"/>
      <c r="BB51" s="980"/>
      <c r="BC51" s="980"/>
      <c r="BD51" s="980"/>
      <c r="BE51" s="980"/>
      <c r="BF51" s="980"/>
      <c r="BG51" s="980"/>
      <c r="BH51" s="980"/>
      <c r="BI51" s="980"/>
      <c r="BJ51" s="980"/>
      <c r="BK51" s="980"/>
      <c r="BL51" s="980"/>
      <c r="BM51" s="980"/>
      <c r="BN51" s="980"/>
      <c r="BO51" s="1930" t="s">
        <v>91</v>
      </c>
      <c r="BP51" s="1930"/>
      <c r="BQ51" s="1930"/>
      <c r="BR51" s="1930"/>
      <c r="BS51" s="1930"/>
      <c r="BT51" s="1931"/>
      <c r="BU51" s="30"/>
      <c r="BV51" s="1987" t="s">
        <v>439</v>
      </c>
      <c r="BW51" s="1988"/>
      <c r="BX51" s="1988"/>
      <c r="BY51" s="1988"/>
      <c r="BZ51" s="1987" t="s">
        <v>80</v>
      </c>
      <c r="CA51" s="1988"/>
      <c r="CB51" s="1988"/>
      <c r="CC51" s="1988"/>
      <c r="CD51" s="1987" t="s">
        <v>53</v>
      </c>
      <c r="CE51" s="1988"/>
      <c r="CF51" s="1988"/>
      <c r="CG51" s="1988"/>
      <c r="CH51" s="1987" t="s">
        <v>49</v>
      </c>
      <c r="CI51" s="1988"/>
      <c r="CJ51" s="1988"/>
      <c r="CK51" s="1989"/>
      <c r="CS51" s="1095"/>
      <c r="CT51" s="1095"/>
      <c r="CU51" s="1095"/>
      <c r="CV51" s="1131"/>
      <c r="CW51" s="1131"/>
      <c r="CX51" s="1131"/>
      <c r="CY51" s="196">
        <v>30</v>
      </c>
      <c r="CZ51" s="1131"/>
      <c r="DA51" s="1131"/>
      <c r="DB51" s="1131"/>
      <c r="DC51" s="39"/>
      <c r="DD51" s="946" t="e">
        <f>INDEX(#REF!,(COUNTA(#REF!))/2+1,0)</f>
        <v>#REF!</v>
      </c>
      <c r="DE51" s="947"/>
      <c r="DF51" s="947"/>
      <c r="DG51" s="947"/>
      <c r="DH51" s="947"/>
      <c r="DI51" s="947"/>
      <c r="DJ51" s="947"/>
      <c r="DK51" s="947"/>
      <c r="DL51" s="947"/>
      <c r="DM51" s="947"/>
      <c r="DN51" s="947"/>
      <c r="DO51" s="947"/>
      <c r="DP51" s="947"/>
      <c r="DQ51" s="947"/>
      <c r="DR51" s="947" t="e">
        <f ca="1">IF(DD51&lt;&gt;"",IF(ISERROR(FIND("Skill",DD51,1)),INDIRECT(SUBSTITUTE(SUBSTITUTE(DD51," ",""),"-","")),"Score"),"")</f>
        <v>#REF!</v>
      </c>
      <c r="DS51" s="947"/>
      <c r="DT51" s="947"/>
      <c r="DU51" s="947"/>
      <c r="DV51" s="1132" t="str">
        <f ca="1">IF(ISNUMBER(DR51),TRUE,"")</f>
        <v/>
      </c>
      <c r="DW51" s="940" t="e">
        <f ca="1">IF(DR51="","",IF(ISNUMBER(DR51),"","Favor"))</f>
        <v>#REF!</v>
      </c>
      <c r="DX51" s="941"/>
      <c r="DY51" s="941"/>
      <c r="DZ51" s="942"/>
      <c r="EA51" s="938" t="str">
        <f ca="1">IF(ISNUMBER(EG51),IF(ISNUMBER(DW51),IF(ABS(DW51)&gt;=EG51,"",EG51-ABS(DW51)),EG51),"")</f>
        <v/>
      </c>
      <c r="EB51" s="940" t="e">
        <f ca="1">IF(DR51="","",IF(ISNUMBER(DR51),"","Bonus"))</f>
        <v>#REF!</v>
      </c>
      <c r="EC51" s="941"/>
      <c r="ED51" s="941"/>
      <c r="EE51" s="942"/>
      <c r="EF51" s="1099" t="str">
        <f ca="1">IF(ISNUMBER(EG51),IF(ISNUMBER(DW51),IF(DW51&gt;EG51,EG51,IF(DW51&gt;=0,DW51,0)),0)+IF(ISNUMBER(EB51),EB51,0),"")</f>
        <v/>
      </c>
      <c r="EG51" s="932" t="e">
        <f ca="1">IF(DR51="","",IF(ISNUMBER(DR51),FLOOR(DR51/5,1),"Passive"))</f>
        <v>#REF!</v>
      </c>
      <c r="EH51" s="932"/>
      <c r="EI51" s="932"/>
      <c r="EJ51" s="932"/>
      <c r="EK51" s="932"/>
      <c r="EL51" s="936"/>
      <c r="EM51" s="932" t="e">
        <f ca="1">IF(DR51="","",IF(ISNUMBER(DR51),IF(AND(EA51&gt;0,ISNUMBER(EA51)),EA51&amp;"dS","")&amp;IF(EF51&gt;0,"+"&amp;EF51,"")&amp;IF(EF51&lt;0,EF51,""),"Check"))</f>
        <v>#REF!</v>
      </c>
      <c r="EN51" s="932"/>
      <c r="EO51" s="932"/>
      <c r="EP51" s="932"/>
      <c r="EQ51" s="932"/>
      <c r="ER51" s="933"/>
    </row>
    <row r="52" spans="1:148" ht="7.5" customHeight="1" thickBot="1" x14ac:dyDescent="0.3">
      <c r="A52" s="1953"/>
      <c r="B52" s="1954"/>
      <c r="C52" s="1954"/>
      <c r="D52" s="1954"/>
      <c r="E52" s="1954"/>
      <c r="F52" s="1954"/>
      <c r="G52" s="1954"/>
      <c r="H52" s="1954"/>
      <c r="I52" s="1954"/>
      <c r="J52" s="1954"/>
      <c r="K52" s="1954"/>
      <c r="L52" s="1954"/>
      <c r="M52" s="1954"/>
      <c r="N52" s="1954"/>
      <c r="O52" s="1954"/>
      <c r="P52" s="1954"/>
      <c r="Q52" s="1954"/>
      <c r="R52" s="1954"/>
      <c r="S52" s="1954"/>
      <c r="T52" s="1954"/>
      <c r="U52" s="1954"/>
      <c r="V52" s="956"/>
      <c r="W52" s="1945"/>
      <c r="X52" s="1945"/>
      <c r="Y52" s="1945"/>
      <c r="Z52" s="1945"/>
      <c r="AA52" s="958"/>
      <c r="AB52" s="30"/>
      <c r="AC52" s="17"/>
      <c r="AD52" s="17"/>
      <c r="AE52" s="17"/>
      <c r="AF52" s="17"/>
      <c r="AG52" s="1970"/>
      <c r="AH52" s="1971"/>
      <c r="AI52" s="1971"/>
      <c r="AJ52" s="1971"/>
      <c r="AK52" s="1970"/>
      <c r="AL52" s="1971"/>
      <c r="AM52" s="1971"/>
      <c r="AN52" s="1981"/>
      <c r="AO52" s="1970"/>
      <c r="AP52" s="1971"/>
      <c r="AQ52" s="1971"/>
      <c r="AR52" s="1971"/>
      <c r="AT52" s="1953"/>
      <c r="AU52" s="1954"/>
      <c r="AV52" s="1954"/>
      <c r="AW52" s="1954"/>
      <c r="AX52" s="1954"/>
      <c r="AY52" s="1954"/>
      <c r="AZ52" s="1954"/>
      <c r="BA52" s="1954"/>
      <c r="BB52" s="1954"/>
      <c r="BC52" s="1954"/>
      <c r="BD52" s="1954"/>
      <c r="BE52" s="1954"/>
      <c r="BF52" s="1954"/>
      <c r="BG52" s="1954"/>
      <c r="BH52" s="1954"/>
      <c r="BI52" s="1954"/>
      <c r="BJ52" s="1954"/>
      <c r="BK52" s="1954"/>
      <c r="BL52" s="1954"/>
      <c r="BM52" s="1954"/>
      <c r="BN52" s="1954"/>
      <c r="BO52" s="956"/>
      <c r="BP52" s="1945"/>
      <c r="BQ52" s="1945"/>
      <c r="BR52" s="1945"/>
      <c r="BS52" s="1945"/>
      <c r="BT52" s="958"/>
      <c r="BU52" s="30"/>
      <c r="BV52" s="17"/>
      <c r="BW52" s="17"/>
      <c r="BX52" s="17"/>
      <c r="BY52" s="17"/>
      <c r="BZ52" s="1970"/>
      <c r="CA52" s="1971"/>
      <c r="CB52" s="1971"/>
      <c r="CC52" s="1971"/>
      <c r="CD52" s="1970"/>
      <c r="CE52" s="1971"/>
      <c r="CF52" s="1971"/>
      <c r="CG52" s="1981"/>
      <c r="CH52" s="1970"/>
      <c r="CI52" s="1971"/>
      <c r="CJ52" s="1971"/>
      <c r="CK52" s="1971"/>
      <c r="CS52" s="1121" t="s">
        <v>3</v>
      </c>
      <c r="CT52" s="1121"/>
      <c r="CU52" s="1121"/>
      <c r="CV52" s="1131" t="e">
        <f>CON</f>
        <v>#REF!</v>
      </c>
      <c r="CW52" s="1131"/>
      <c r="CX52" s="1131"/>
      <c r="CY52" s="196"/>
      <c r="CZ52" s="1131" t="e">
        <f>ConMod</f>
        <v>#NAME?</v>
      </c>
      <c r="DA52" s="1131"/>
      <c r="DB52" s="1131"/>
      <c r="DC52" s="39"/>
      <c r="DD52" s="948"/>
      <c r="DE52" s="949"/>
      <c r="DF52" s="949"/>
      <c r="DG52" s="949"/>
      <c r="DH52" s="949"/>
      <c r="DI52" s="949"/>
      <c r="DJ52" s="949"/>
      <c r="DK52" s="949"/>
      <c r="DL52" s="949"/>
      <c r="DM52" s="949"/>
      <c r="DN52" s="949"/>
      <c r="DO52" s="949"/>
      <c r="DP52" s="949"/>
      <c r="DQ52" s="949"/>
      <c r="DR52" s="949"/>
      <c r="DS52" s="949"/>
      <c r="DT52" s="949"/>
      <c r="DU52" s="949"/>
      <c r="DV52" s="1133"/>
      <c r="DW52" s="943"/>
      <c r="DX52" s="944"/>
      <c r="DY52" s="944"/>
      <c r="DZ52" s="945"/>
      <c r="EA52" s="939"/>
      <c r="EB52" s="943"/>
      <c r="EC52" s="944"/>
      <c r="ED52" s="944"/>
      <c r="EE52" s="945"/>
      <c r="EF52" s="1100"/>
      <c r="EG52" s="934"/>
      <c r="EH52" s="934"/>
      <c r="EI52" s="934"/>
      <c r="EJ52" s="934"/>
      <c r="EK52" s="934"/>
      <c r="EL52" s="937"/>
      <c r="EM52" s="934"/>
      <c r="EN52" s="934"/>
      <c r="EO52" s="934"/>
      <c r="EP52" s="934"/>
      <c r="EQ52" s="934"/>
      <c r="ER52" s="935"/>
    </row>
    <row r="53" spans="1:148" ht="7.5" customHeight="1" thickBot="1" x14ac:dyDescent="0.3">
      <c r="A53" s="1953"/>
      <c r="B53" s="1954"/>
      <c r="C53" s="1954"/>
      <c r="D53" s="1954"/>
      <c r="E53" s="1954"/>
      <c r="F53" s="1954"/>
      <c r="G53" s="1954"/>
      <c r="H53" s="1954"/>
      <c r="I53" s="1954"/>
      <c r="J53" s="1954"/>
      <c r="K53" s="1954"/>
      <c r="L53" s="1954"/>
      <c r="M53" s="1954"/>
      <c r="N53" s="1954"/>
      <c r="O53" s="1954"/>
      <c r="P53" s="1954"/>
      <c r="Q53" s="1954"/>
      <c r="R53" s="1954"/>
      <c r="S53" s="1954"/>
      <c r="T53" s="1954"/>
      <c r="U53" s="1954"/>
      <c r="V53" s="1957"/>
      <c r="W53" s="960"/>
      <c r="X53" s="960"/>
      <c r="Y53" s="960"/>
      <c r="Z53" s="960"/>
      <c r="AA53" s="1958"/>
      <c r="AB53" s="30"/>
      <c r="AC53" s="165"/>
      <c r="AD53" s="165"/>
      <c r="AE53" s="165"/>
      <c r="AF53" s="17"/>
      <c r="AG53" s="1980"/>
      <c r="AH53" s="1747"/>
      <c r="AI53" s="1747"/>
      <c r="AJ53" s="1747"/>
      <c r="AK53" s="1980"/>
      <c r="AL53" s="1747"/>
      <c r="AM53" s="1747"/>
      <c r="AN53" s="1982"/>
      <c r="AO53" s="1972"/>
      <c r="AP53" s="1973"/>
      <c r="AQ53" s="1973"/>
      <c r="AR53" s="1973"/>
      <c r="AT53" s="1953"/>
      <c r="AU53" s="1954"/>
      <c r="AV53" s="1954"/>
      <c r="AW53" s="1954"/>
      <c r="AX53" s="1954"/>
      <c r="AY53" s="1954"/>
      <c r="AZ53" s="1954"/>
      <c r="BA53" s="1954"/>
      <c r="BB53" s="1954"/>
      <c r="BC53" s="1954"/>
      <c r="BD53" s="1954"/>
      <c r="BE53" s="1954"/>
      <c r="BF53" s="1954"/>
      <c r="BG53" s="1954"/>
      <c r="BH53" s="1954"/>
      <c r="BI53" s="1954"/>
      <c r="BJ53" s="1954"/>
      <c r="BK53" s="1954"/>
      <c r="BL53" s="1954"/>
      <c r="BM53" s="1954"/>
      <c r="BN53" s="1954"/>
      <c r="BO53" s="1957"/>
      <c r="BP53" s="960"/>
      <c r="BQ53" s="960"/>
      <c r="BR53" s="960"/>
      <c r="BS53" s="960"/>
      <c r="BT53" s="1958"/>
      <c r="BU53" s="30"/>
      <c r="BV53" s="165"/>
      <c r="BW53" s="165"/>
      <c r="BX53" s="165"/>
      <c r="BY53" s="17"/>
      <c r="BZ53" s="1980"/>
      <c r="CA53" s="1747"/>
      <c r="CB53" s="1747"/>
      <c r="CC53" s="1747"/>
      <c r="CD53" s="1980"/>
      <c r="CE53" s="1747"/>
      <c r="CF53" s="1747"/>
      <c r="CG53" s="1982"/>
      <c r="CH53" s="1972"/>
      <c r="CI53" s="1973"/>
      <c r="CJ53" s="1973"/>
      <c r="CK53" s="1973"/>
      <c r="CS53" s="1122"/>
      <c r="CT53" s="1122"/>
      <c r="CU53" s="1122"/>
      <c r="CV53" s="1131"/>
      <c r="CW53" s="1131"/>
      <c r="CX53" s="1131"/>
      <c r="CY53" s="196"/>
      <c r="CZ53" s="1131"/>
      <c r="DA53" s="1131"/>
      <c r="DB53" s="1131"/>
      <c r="DC53" s="39"/>
      <c r="DD53" s="946" t="e">
        <f>INDEX(#REF!,(COUNTA(#REF!))/2+1,0)</f>
        <v>#REF!</v>
      </c>
      <c r="DE53" s="947"/>
      <c r="DF53" s="947"/>
      <c r="DG53" s="947"/>
      <c r="DH53" s="947"/>
      <c r="DI53" s="947"/>
      <c r="DJ53" s="947"/>
      <c r="DK53" s="947"/>
      <c r="DL53" s="947"/>
      <c r="DM53" s="947"/>
      <c r="DN53" s="947"/>
      <c r="DO53" s="947"/>
      <c r="DP53" s="947"/>
      <c r="DQ53" s="947"/>
      <c r="DR53" s="947" t="e">
        <f ca="1">IF(DD53&lt;&gt;"",IF(ISERROR(FIND("Skill",DD53,1)),INDIRECT(SUBSTITUTE(SUBSTITUTE(DD53," ",""),"-","")),"Score"),"")</f>
        <v>#REF!</v>
      </c>
      <c r="DS53" s="947"/>
      <c r="DT53" s="947"/>
      <c r="DU53" s="947"/>
      <c r="DV53" s="1132" t="str">
        <f ca="1">IF(ISNUMBER(DR53),TRUE,"")</f>
        <v/>
      </c>
      <c r="DW53" s="940" t="e">
        <f ca="1">IF(DR53="","",IF(ISNUMBER(DR53),"","Favor"))</f>
        <v>#REF!</v>
      </c>
      <c r="DX53" s="941"/>
      <c r="DY53" s="941"/>
      <c r="DZ53" s="942"/>
      <c r="EA53" s="938" t="str">
        <f ca="1">IF(ISNUMBER(EG53),IF(ISNUMBER(DW53),IF(ABS(DW53)&gt;=EG53,"",EG53-ABS(DW53)),EG53),"")</f>
        <v/>
      </c>
      <c r="EB53" s="940" t="e">
        <f ca="1">IF(DR53="","",IF(ISNUMBER(DR53),"","Bonus"))</f>
        <v>#REF!</v>
      </c>
      <c r="EC53" s="941"/>
      <c r="ED53" s="941"/>
      <c r="EE53" s="942"/>
      <c r="EF53" s="1099" t="str">
        <f ca="1">IF(ISNUMBER(EG53),IF(ISNUMBER(DW53),IF(DW53&gt;EG53,EG53,IF(DW53&gt;=0,DW53,0)),0)+IF(ISNUMBER(EB53),EB53,0),"")</f>
        <v/>
      </c>
      <c r="EG53" s="932" t="e">
        <f ca="1">IF(DR53="","",IF(ISNUMBER(DR53),FLOOR(DR53/5,1),"Passive"))</f>
        <v>#REF!</v>
      </c>
      <c r="EH53" s="932"/>
      <c r="EI53" s="932"/>
      <c r="EJ53" s="932"/>
      <c r="EK53" s="932"/>
      <c r="EL53" s="936"/>
      <c r="EM53" s="932" t="e">
        <f ca="1">IF(DR53="","",IF(ISNUMBER(DR53),IF(AND(EA53&gt;0,ISNUMBER(EA53)),EA53&amp;"dS","")&amp;IF(EF53&gt;0,"+"&amp;EF53,"")&amp;IF(EF53&lt;0,EF53,""),"Check"))</f>
        <v>#REF!</v>
      </c>
      <c r="EN53" s="932"/>
      <c r="EO53" s="932"/>
      <c r="EP53" s="932"/>
      <c r="EQ53" s="932"/>
      <c r="ER53" s="933"/>
    </row>
    <row r="54" spans="1:148" ht="7.5" customHeight="1" thickBot="1" x14ac:dyDescent="0.3">
      <c r="A54" s="1953"/>
      <c r="B54" s="1954"/>
      <c r="C54" s="1954"/>
      <c r="D54" s="1954"/>
      <c r="E54" s="1954"/>
      <c r="F54" s="1954"/>
      <c r="G54" s="1954"/>
      <c r="H54" s="1954"/>
      <c r="I54" s="1954"/>
      <c r="J54" s="1954"/>
      <c r="K54" s="1954"/>
      <c r="L54" s="1954"/>
      <c r="M54" s="1954"/>
      <c r="N54" s="1954"/>
      <c r="O54" s="1954"/>
      <c r="P54" s="1954"/>
      <c r="Q54" s="1954"/>
      <c r="R54" s="1954"/>
      <c r="S54" s="1954"/>
      <c r="T54" s="1954"/>
      <c r="U54" s="1954"/>
      <c r="V54" s="1930" t="s">
        <v>90</v>
      </c>
      <c r="W54" s="1930"/>
      <c r="X54" s="1930"/>
      <c r="Y54" s="1930"/>
      <c r="Z54" s="1930"/>
      <c r="AA54" s="1931"/>
      <c r="AB54" s="30"/>
      <c r="AC54" s="30"/>
      <c r="AF54" s="30"/>
      <c r="AG54" s="30"/>
      <c r="AH54" s="30"/>
      <c r="AI54" s="30"/>
      <c r="AJ54" s="30"/>
      <c r="AK54" s="30"/>
      <c r="AL54" s="30"/>
      <c r="AM54" s="30"/>
      <c r="AN54" s="30"/>
      <c r="AO54" s="30"/>
      <c r="AP54" s="30"/>
      <c r="AQ54" s="30"/>
      <c r="AT54" s="1953"/>
      <c r="AU54" s="1954"/>
      <c r="AV54" s="1954"/>
      <c r="AW54" s="1954"/>
      <c r="AX54" s="1954"/>
      <c r="AY54" s="1954"/>
      <c r="AZ54" s="1954"/>
      <c r="BA54" s="1954"/>
      <c r="BB54" s="1954"/>
      <c r="BC54" s="1954"/>
      <c r="BD54" s="1954"/>
      <c r="BE54" s="1954"/>
      <c r="BF54" s="1954"/>
      <c r="BG54" s="1954"/>
      <c r="BH54" s="1954"/>
      <c r="BI54" s="1954"/>
      <c r="BJ54" s="1954"/>
      <c r="BK54" s="1954"/>
      <c r="BL54" s="1954"/>
      <c r="BM54" s="1954"/>
      <c r="BN54" s="1954"/>
      <c r="BO54" s="1930" t="s">
        <v>90</v>
      </c>
      <c r="BP54" s="1930"/>
      <c r="BQ54" s="1930"/>
      <c r="BR54" s="1930"/>
      <c r="BS54" s="1930"/>
      <c r="BT54" s="1931"/>
      <c r="BU54" s="30"/>
      <c r="BV54" s="30"/>
      <c r="BW54" s="17"/>
      <c r="BX54" s="17"/>
      <c r="BY54" s="30"/>
      <c r="BZ54" s="30"/>
      <c r="CA54" s="30"/>
      <c r="CB54" s="30"/>
      <c r="CC54" s="30"/>
      <c r="CD54" s="30"/>
      <c r="CE54" s="30"/>
      <c r="CF54" s="30"/>
      <c r="CG54" s="30"/>
      <c r="CH54" s="30"/>
      <c r="CI54" s="30"/>
      <c r="CJ54" s="30"/>
      <c r="CK54" s="17"/>
      <c r="CS54" s="1112"/>
      <c r="CT54" s="1095"/>
      <c r="CU54" s="1095"/>
      <c r="CV54" s="1131"/>
      <c r="CW54" s="1131"/>
      <c r="CX54" s="1131"/>
      <c r="CY54" s="196">
        <v>25</v>
      </c>
      <c r="CZ54" s="1131"/>
      <c r="DA54" s="1131"/>
      <c r="DB54" s="1131"/>
      <c r="DC54" s="39"/>
      <c r="DD54" s="948"/>
      <c r="DE54" s="949"/>
      <c r="DF54" s="949"/>
      <c r="DG54" s="949"/>
      <c r="DH54" s="949"/>
      <c r="DI54" s="949"/>
      <c r="DJ54" s="949"/>
      <c r="DK54" s="949"/>
      <c r="DL54" s="949"/>
      <c r="DM54" s="949"/>
      <c r="DN54" s="949"/>
      <c r="DO54" s="949"/>
      <c r="DP54" s="949"/>
      <c r="DQ54" s="949"/>
      <c r="DR54" s="949"/>
      <c r="DS54" s="949"/>
      <c r="DT54" s="949"/>
      <c r="DU54" s="949"/>
      <c r="DV54" s="1133"/>
      <c r="DW54" s="943"/>
      <c r="DX54" s="944"/>
      <c r="DY54" s="944"/>
      <c r="DZ54" s="945"/>
      <c r="EA54" s="939"/>
      <c r="EB54" s="943"/>
      <c r="EC54" s="944"/>
      <c r="ED54" s="944"/>
      <c r="EE54" s="945"/>
      <c r="EF54" s="1100"/>
      <c r="EG54" s="934"/>
      <c r="EH54" s="934"/>
      <c r="EI54" s="934"/>
      <c r="EJ54" s="934"/>
      <c r="EK54" s="934"/>
      <c r="EL54" s="937"/>
      <c r="EM54" s="934"/>
      <c r="EN54" s="934"/>
      <c r="EO54" s="934"/>
      <c r="EP54" s="934"/>
      <c r="EQ54" s="934"/>
      <c r="ER54" s="935"/>
    </row>
    <row r="55" spans="1:148" ht="7.5" customHeight="1" x14ac:dyDescent="0.25">
      <c r="A55" s="1953"/>
      <c r="B55" s="1954"/>
      <c r="C55" s="1954"/>
      <c r="D55" s="1954"/>
      <c r="E55" s="1954"/>
      <c r="F55" s="1954"/>
      <c r="G55" s="1954"/>
      <c r="H55" s="1954"/>
      <c r="I55" s="1954"/>
      <c r="J55" s="1954"/>
      <c r="K55" s="1954"/>
      <c r="L55" s="1954"/>
      <c r="M55" s="1954"/>
      <c r="N55" s="1954"/>
      <c r="O55" s="1954"/>
      <c r="P55" s="1954"/>
      <c r="Q55" s="1954"/>
      <c r="R55" s="1954"/>
      <c r="S55" s="1954"/>
      <c r="T55" s="1954"/>
      <c r="U55" s="1954"/>
      <c r="V55" s="956"/>
      <c r="W55" s="1945"/>
      <c r="X55" s="1945"/>
      <c r="Y55" s="1945"/>
      <c r="Z55" s="1945"/>
      <c r="AA55" s="958"/>
      <c r="AB55" s="30"/>
      <c r="AC55" s="1976"/>
      <c r="AD55" s="1979"/>
      <c r="AE55" s="1757" t="s">
        <v>57</v>
      </c>
      <c r="AF55" s="1758"/>
      <c r="AG55" s="1758"/>
      <c r="AH55" s="1758"/>
      <c r="AI55" s="1758"/>
      <c r="AJ55" s="1759"/>
      <c r="AK55" s="1983" t="s">
        <v>59</v>
      </c>
      <c r="AL55" s="1983"/>
      <c r="AM55" s="1983"/>
      <c r="AN55" s="1983"/>
      <c r="AO55" s="1983"/>
      <c r="AP55" s="1984"/>
      <c r="AQ55" s="1976"/>
      <c r="AR55" s="1977"/>
      <c r="AT55" s="1953"/>
      <c r="AU55" s="1954"/>
      <c r="AV55" s="1954"/>
      <c r="AW55" s="1954"/>
      <c r="AX55" s="1954"/>
      <c r="AY55" s="1954"/>
      <c r="AZ55" s="1954"/>
      <c r="BA55" s="1954"/>
      <c r="BB55" s="1954"/>
      <c r="BC55" s="1954"/>
      <c r="BD55" s="1954"/>
      <c r="BE55" s="1954"/>
      <c r="BF55" s="1954"/>
      <c r="BG55" s="1954"/>
      <c r="BH55" s="1954"/>
      <c r="BI55" s="1954"/>
      <c r="BJ55" s="1954"/>
      <c r="BK55" s="1954"/>
      <c r="BL55" s="1954"/>
      <c r="BM55" s="1954"/>
      <c r="BN55" s="1954"/>
      <c r="BO55" s="956"/>
      <c r="BP55" s="1945"/>
      <c r="BQ55" s="1945"/>
      <c r="BR55" s="1945"/>
      <c r="BS55" s="1945"/>
      <c r="BT55" s="958"/>
      <c r="BU55" s="30"/>
      <c r="BV55" s="1976"/>
      <c r="BW55" s="1979"/>
      <c r="BX55" s="1757" t="s">
        <v>57</v>
      </c>
      <c r="BY55" s="1758"/>
      <c r="BZ55" s="1758"/>
      <c r="CA55" s="1758"/>
      <c r="CB55" s="1758"/>
      <c r="CC55" s="1759"/>
      <c r="CD55" s="1983" t="s">
        <v>59</v>
      </c>
      <c r="CE55" s="1983"/>
      <c r="CF55" s="1983"/>
      <c r="CG55" s="1983"/>
      <c r="CH55" s="1983"/>
      <c r="CI55" s="1984"/>
      <c r="CJ55" s="1976"/>
      <c r="CK55" s="1977"/>
      <c r="CS55" s="197"/>
      <c r="CT55" s="197"/>
      <c r="CU55" s="197"/>
      <c r="CV55" s="39"/>
      <c r="CW55" s="39"/>
      <c r="CX55" s="39"/>
      <c r="CY55" s="36"/>
      <c r="CZ55" s="39"/>
      <c r="DA55" s="39"/>
      <c r="DB55" s="39"/>
      <c r="DC55" s="39"/>
      <c r="DD55" s="946" t="e">
        <f>INDEX(#REF!,(COUNTA(#REF!))/2+1,0)</f>
        <v>#REF!</v>
      </c>
      <c r="DE55" s="947"/>
      <c r="DF55" s="947"/>
      <c r="DG55" s="947"/>
      <c r="DH55" s="947"/>
      <c r="DI55" s="947"/>
      <c r="DJ55" s="947"/>
      <c r="DK55" s="947"/>
      <c r="DL55" s="947"/>
      <c r="DM55" s="947"/>
      <c r="DN55" s="947"/>
      <c r="DO55" s="947"/>
      <c r="DP55" s="947"/>
      <c r="DQ55" s="947"/>
      <c r="DR55" s="947" t="e">
        <f ca="1">IF(DD55&lt;&gt;"",IF(ISERROR(FIND("Skill",DD55,1)),INDIRECT(SUBSTITUTE(SUBSTITUTE(DD55," ",""),"-","")),"Score"),"")</f>
        <v>#REF!</v>
      </c>
      <c r="DS55" s="947"/>
      <c r="DT55" s="947"/>
      <c r="DU55" s="947"/>
      <c r="DV55" s="1132" t="str">
        <f ca="1">IF(ISNUMBER(DR55),TRUE,"")</f>
        <v/>
      </c>
      <c r="DW55" s="940" t="e">
        <f ca="1">IF(DR55="","",IF(ISNUMBER(DR55),"","Favor"))</f>
        <v>#REF!</v>
      </c>
      <c r="DX55" s="941"/>
      <c r="DY55" s="941"/>
      <c r="DZ55" s="942"/>
      <c r="EA55" s="938" t="str">
        <f ca="1">IF(ISNUMBER(EG55),IF(ISNUMBER(DW55),IF(ABS(DW55)&gt;=EG55,"",EG55-ABS(DW55)),EG55),"")</f>
        <v/>
      </c>
      <c r="EB55" s="940" t="e">
        <f ca="1">IF(DR55="","",IF(ISNUMBER(DR55),"","Bonus"))</f>
        <v>#REF!</v>
      </c>
      <c r="EC55" s="941"/>
      <c r="ED55" s="941"/>
      <c r="EE55" s="942"/>
      <c r="EF55" s="1099" t="str">
        <f ca="1">IF(ISNUMBER(EG55),IF(ISNUMBER(DW55),IF(DW55&gt;EG55,EG55,IF(DW55&gt;=0,DW55,0)),0)+IF(ISNUMBER(EB55),EB55,0),"")</f>
        <v/>
      </c>
      <c r="EG55" s="932" t="e">
        <f ca="1">IF(DR55="","",IF(ISNUMBER(DR55),FLOOR(DR55/5,1),"Passive"))</f>
        <v>#REF!</v>
      </c>
      <c r="EH55" s="932"/>
      <c r="EI55" s="932"/>
      <c r="EJ55" s="932"/>
      <c r="EK55" s="932"/>
      <c r="EL55" s="936"/>
      <c r="EM55" s="932" t="e">
        <f ca="1">IF(DR55="","",IF(ISNUMBER(DR55),IF(AND(EA55&gt;0,ISNUMBER(EA55)),EA55&amp;"dS","")&amp;IF(EF55&gt;0,"+"&amp;EF55,"")&amp;IF(EF55&lt;0,EF55,""),"Check"))</f>
        <v>#REF!</v>
      </c>
      <c r="EN55" s="932"/>
      <c r="EO55" s="932"/>
      <c r="EP55" s="932"/>
      <c r="EQ55" s="932"/>
      <c r="ER55" s="933"/>
    </row>
    <row r="56" spans="1:148" ht="7.5" customHeight="1" thickBot="1" x14ac:dyDescent="0.3">
      <c r="A56" s="1953"/>
      <c r="B56" s="1954"/>
      <c r="C56" s="1954"/>
      <c r="D56" s="1954"/>
      <c r="E56" s="1954"/>
      <c r="F56" s="1954"/>
      <c r="G56" s="1954"/>
      <c r="H56" s="1954"/>
      <c r="I56" s="1954"/>
      <c r="J56" s="1954"/>
      <c r="K56" s="1954"/>
      <c r="L56" s="1954"/>
      <c r="M56" s="1954"/>
      <c r="N56" s="1954"/>
      <c r="O56" s="1954"/>
      <c r="P56" s="1954"/>
      <c r="Q56" s="1954"/>
      <c r="R56" s="1954"/>
      <c r="S56" s="1954"/>
      <c r="T56" s="1954"/>
      <c r="U56" s="1954"/>
      <c r="V56" s="1957"/>
      <c r="W56" s="960"/>
      <c r="X56" s="960"/>
      <c r="Y56" s="960"/>
      <c r="Z56" s="960"/>
      <c r="AA56" s="1958"/>
      <c r="AB56" s="30"/>
      <c r="AC56" s="1978"/>
      <c r="AD56" s="1007"/>
      <c r="AE56" s="1760"/>
      <c r="AF56" s="1761"/>
      <c r="AG56" s="1761"/>
      <c r="AH56" s="1761"/>
      <c r="AI56" s="1761"/>
      <c r="AJ56" s="1762"/>
      <c r="AK56" s="1985"/>
      <c r="AL56" s="1985"/>
      <c r="AM56" s="1985"/>
      <c r="AN56" s="1985"/>
      <c r="AO56" s="1985"/>
      <c r="AP56" s="1986"/>
      <c r="AQ56" s="1978"/>
      <c r="AR56" s="1043"/>
      <c r="AT56" s="1953"/>
      <c r="AU56" s="1954"/>
      <c r="AV56" s="1954"/>
      <c r="AW56" s="1954"/>
      <c r="AX56" s="1954"/>
      <c r="AY56" s="1954"/>
      <c r="AZ56" s="1954"/>
      <c r="BA56" s="1954"/>
      <c r="BB56" s="1954"/>
      <c r="BC56" s="1954"/>
      <c r="BD56" s="1954"/>
      <c r="BE56" s="1954"/>
      <c r="BF56" s="1954"/>
      <c r="BG56" s="1954"/>
      <c r="BH56" s="1954"/>
      <c r="BI56" s="1954"/>
      <c r="BJ56" s="1954"/>
      <c r="BK56" s="1954"/>
      <c r="BL56" s="1954"/>
      <c r="BM56" s="1954"/>
      <c r="BN56" s="1954"/>
      <c r="BO56" s="1957"/>
      <c r="BP56" s="960"/>
      <c r="BQ56" s="960"/>
      <c r="BR56" s="960"/>
      <c r="BS56" s="960"/>
      <c r="BT56" s="1958"/>
      <c r="BU56" s="30"/>
      <c r="BV56" s="1978"/>
      <c r="BW56" s="1007"/>
      <c r="BX56" s="1760"/>
      <c r="BY56" s="1761"/>
      <c r="BZ56" s="1761"/>
      <c r="CA56" s="1761"/>
      <c r="CB56" s="1761"/>
      <c r="CC56" s="1762"/>
      <c r="CD56" s="1985"/>
      <c r="CE56" s="1985"/>
      <c r="CF56" s="1985"/>
      <c r="CG56" s="1985"/>
      <c r="CH56" s="1985"/>
      <c r="CI56" s="1986"/>
      <c r="CJ56" s="1978"/>
      <c r="CK56" s="1043"/>
      <c r="CS56" s="1140" t="s">
        <v>4</v>
      </c>
      <c r="CT56" s="1140"/>
      <c r="CU56" s="1140"/>
      <c r="CV56" s="1136" t="e">
        <f>INT</f>
        <v>#REF!</v>
      </c>
      <c r="CW56" s="1136"/>
      <c r="CX56" s="1136"/>
      <c r="CY56" s="198"/>
      <c r="CZ56" s="1142" t="e">
        <f>IntMod</f>
        <v>#NAME?</v>
      </c>
      <c r="DA56" s="1142"/>
      <c r="DB56" s="1142"/>
      <c r="DC56" s="39"/>
      <c r="DD56" s="948"/>
      <c r="DE56" s="949"/>
      <c r="DF56" s="949"/>
      <c r="DG56" s="949"/>
      <c r="DH56" s="949"/>
      <c r="DI56" s="949"/>
      <c r="DJ56" s="949"/>
      <c r="DK56" s="949"/>
      <c r="DL56" s="949"/>
      <c r="DM56" s="949"/>
      <c r="DN56" s="949"/>
      <c r="DO56" s="949"/>
      <c r="DP56" s="949"/>
      <c r="DQ56" s="949"/>
      <c r="DR56" s="949"/>
      <c r="DS56" s="949"/>
      <c r="DT56" s="949"/>
      <c r="DU56" s="949"/>
      <c r="DV56" s="1133"/>
      <c r="DW56" s="943"/>
      <c r="DX56" s="944"/>
      <c r="DY56" s="944"/>
      <c r="DZ56" s="945"/>
      <c r="EA56" s="939"/>
      <c r="EB56" s="943"/>
      <c r="EC56" s="944"/>
      <c r="ED56" s="944"/>
      <c r="EE56" s="945"/>
      <c r="EF56" s="1100"/>
      <c r="EG56" s="934"/>
      <c r="EH56" s="934"/>
      <c r="EI56" s="934"/>
      <c r="EJ56" s="934"/>
      <c r="EK56" s="934"/>
      <c r="EL56" s="937"/>
      <c r="EM56" s="934"/>
      <c r="EN56" s="934"/>
      <c r="EO56" s="934"/>
      <c r="EP56" s="934"/>
      <c r="EQ56" s="934"/>
      <c r="ER56" s="935"/>
    </row>
    <row r="57" spans="1:148" ht="7.5" customHeight="1" thickTop="1" thickBot="1" x14ac:dyDescent="0.3">
      <c r="A57" s="1959" t="s">
        <v>85</v>
      </c>
      <c r="B57" s="1960"/>
      <c r="C57" s="1960"/>
      <c r="D57" s="269"/>
      <c r="E57" s="269"/>
      <c r="F57" s="269"/>
      <c r="G57" s="269"/>
      <c r="H57" s="269"/>
      <c r="I57" s="269"/>
      <c r="J57" s="269"/>
      <c r="K57" s="269"/>
      <c r="L57" s="269"/>
      <c r="M57" s="269"/>
      <c r="N57" s="270"/>
      <c r="O57" s="271" t="s">
        <v>89</v>
      </c>
      <c r="P57" s="272"/>
      <c r="Q57" s="272"/>
      <c r="R57" s="272"/>
      <c r="S57" s="273"/>
      <c r="T57" s="273"/>
      <c r="U57" s="274"/>
      <c r="V57" s="275" t="s">
        <v>88</v>
      </c>
      <c r="W57" s="276"/>
      <c r="X57" s="276"/>
      <c r="Y57" s="276"/>
      <c r="Z57" s="276"/>
      <c r="AA57" s="277"/>
      <c r="AB57" s="30"/>
      <c r="AC57" s="1976"/>
      <c r="AD57" s="1979"/>
      <c r="AE57" s="1792" t="s">
        <v>58</v>
      </c>
      <c r="AF57" s="1793"/>
      <c r="AG57" s="1793"/>
      <c r="AH57" s="1793"/>
      <c r="AI57" s="1793"/>
      <c r="AJ57" s="1794"/>
      <c r="AK57" s="1798" t="s">
        <v>514</v>
      </c>
      <c r="AL57" s="1798"/>
      <c r="AM57" s="1798"/>
      <c r="AN57" s="1798"/>
      <c r="AO57" s="1798"/>
      <c r="AP57" s="1798"/>
      <c r="AQ57" s="1976"/>
      <c r="AR57" s="1977"/>
      <c r="AT57" s="1959" t="s">
        <v>85</v>
      </c>
      <c r="AU57" s="1960"/>
      <c r="AV57" s="1960"/>
      <c r="AW57" s="269"/>
      <c r="AX57" s="269"/>
      <c r="AY57" s="269"/>
      <c r="AZ57" s="269"/>
      <c r="BA57" s="269"/>
      <c r="BB57" s="269"/>
      <c r="BC57" s="269"/>
      <c r="BD57" s="269"/>
      <c r="BE57" s="269"/>
      <c r="BF57" s="269"/>
      <c r="BG57" s="270"/>
      <c r="BH57" s="271" t="s">
        <v>89</v>
      </c>
      <c r="BI57" s="272"/>
      <c r="BJ57" s="272"/>
      <c r="BK57" s="272"/>
      <c r="BL57" s="273"/>
      <c r="BM57" s="273"/>
      <c r="BN57" s="274"/>
      <c r="BO57" s="275" t="s">
        <v>88</v>
      </c>
      <c r="BP57" s="276"/>
      <c r="BQ57" s="276"/>
      <c r="BR57" s="276"/>
      <c r="BS57" s="276"/>
      <c r="BT57" s="277"/>
      <c r="BU57" s="30"/>
      <c r="BV57" s="1976"/>
      <c r="BW57" s="1979"/>
      <c r="BX57" s="1792" t="s">
        <v>58</v>
      </c>
      <c r="BY57" s="1793"/>
      <c r="BZ57" s="1793"/>
      <c r="CA57" s="1793"/>
      <c r="CB57" s="1793"/>
      <c r="CC57" s="1794"/>
      <c r="CD57" s="1798" t="s">
        <v>514</v>
      </c>
      <c r="CE57" s="1798"/>
      <c r="CF57" s="1798"/>
      <c r="CG57" s="1798"/>
      <c r="CH57" s="1798"/>
      <c r="CI57" s="1798"/>
      <c r="CJ57" s="1976"/>
      <c r="CK57" s="1977"/>
      <c r="CS57" s="1141"/>
      <c r="CT57" s="1141"/>
      <c r="CU57" s="1141"/>
      <c r="CV57" s="1136"/>
      <c r="CW57" s="1136"/>
      <c r="CX57" s="1136"/>
      <c r="CY57" s="198"/>
      <c r="CZ57" s="1135"/>
      <c r="DA57" s="1135"/>
      <c r="DB57" s="1135"/>
      <c r="DC57" s="39"/>
      <c r="DD57" s="946" t="e">
        <f>INDEX(#REF!,(COUNTA(#REF!))/2+1,0)</f>
        <v>#REF!</v>
      </c>
      <c r="DE57" s="947"/>
      <c r="DF57" s="947"/>
      <c r="DG57" s="947"/>
      <c r="DH57" s="947"/>
      <c r="DI57" s="947"/>
      <c r="DJ57" s="947"/>
      <c r="DK57" s="947"/>
      <c r="DL57" s="947"/>
      <c r="DM57" s="947"/>
      <c r="DN57" s="947"/>
      <c r="DO57" s="947"/>
      <c r="DP57" s="947"/>
      <c r="DQ57" s="947"/>
      <c r="DR57" s="947" t="e">
        <f ca="1">IF(DD57&lt;&gt;"",IF(ISERROR(FIND("Skill",DD57,1)),INDIRECT(SUBSTITUTE(SUBSTITUTE(DD57," ",""),"-","")),"Score"),"")</f>
        <v>#REF!</v>
      </c>
      <c r="DS57" s="947"/>
      <c r="DT57" s="947"/>
      <c r="DU57" s="947"/>
      <c r="DV57" s="1132" t="str">
        <f ca="1">IF(ISNUMBER(DR57),TRUE,"")</f>
        <v/>
      </c>
      <c r="DW57" s="940" t="e">
        <f ca="1">IF(DR57="","",IF(ISNUMBER(DR57),"","Favor"))</f>
        <v>#REF!</v>
      </c>
      <c r="DX57" s="941"/>
      <c r="DY57" s="941"/>
      <c r="DZ57" s="942"/>
      <c r="EA57" s="938" t="str">
        <f ca="1">IF(ISNUMBER(EG57),IF(ISNUMBER(DW57),IF(ABS(DW57)&gt;=EG57,"",EG57-ABS(DW57)),EG57),"")</f>
        <v/>
      </c>
      <c r="EB57" s="940" t="e">
        <f ca="1">IF(DR57="","",IF(ISNUMBER(DR57),"","Bonus"))</f>
        <v>#REF!</v>
      </c>
      <c r="EC57" s="941"/>
      <c r="ED57" s="941"/>
      <c r="EE57" s="942"/>
      <c r="EF57" s="1099" t="str">
        <f ca="1">IF(ISNUMBER(EG57),IF(ISNUMBER(DW57),IF(DW57&gt;EG57,EG57,IF(DW57&gt;=0,DW57,0)),0)+IF(ISNUMBER(EB57),EB57,0),"")</f>
        <v/>
      </c>
      <c r="EG57" s="932" t="e">
        <f ca="1">IF(DR57="","",IF(ISNUMBER(DR57),FLOOR(DR57/5,1),"Passive"))</f>
        <v>#REF!</v>
      </c>
      <c r="EH57" s="932"/>
      <c r="EI57" s="932"/>
      <c r="EJ57" s="932"/>
      <c r="EK57" s="932"/>
      <c r="EL57" s="936"/>
      <c r="EM57" s="932" t="e">
        <f ca="1">IF(DR57="","",IF(ISNUMBER(DR57),IF(AND(EA57&gt;0,ISNUMBER(EA57)),EA57&amp;"dS","")&amp;IF(EF57&gt;0,"+"&amp;EF57,"")&amp;IF(EF57&lt;0,EF57,""),"Check"))</f>
        <v>#REF!</v>
      </c>
      <c r="EN57" s="932"/>
      <c r="EO57" s="932"/>
      <c r="EP57" s="932"/>
      <c r="EQ57" s="932"/>
      <c r="ER57" s="933"/>
    </row>
    <row r="58" spans="1:148" ht="7.5" customHeight="1" thickBot="1" x14ac:dyDescent="0.3">
      <c r="A58" s="950"/>
      <c r="B58" s="951"/>
      <c r="C58" s="951"/>
      <c r="D58" s="951"/>
      <c r="E58" s="951"/>
      <c r="F58" s="951"/>
      <c r="G58" s="951"/>
      <c r="H58" s="951"/>
      <c r="I58" s="951"/>
      <c r="J58" s="951"/>
      <c r="K58" s="951"/>
      <c r="L58" s="951"/>
      <c r="M58" s="951"/>
      <c r="N58" s="951"/>
      <c r="O58" s="981"/>
      <c r="P58" s="982"/>
      <c r="Q58" s="982"/>
      <c r="R58" s="982"/>
      <c r="S58" s="982"/>
      <c r="T58" s="982"/>
      <c r="U58" s="1935"/>
      <c r="V58" s="1939"/>
      <c r="W58" s="1081"/>
      <c r="X58" s="1081"/>
      <c r="Y58" s="1081"/>
      <c r="Z58" s="1081"/>
      <c r="AA58" s="1940"/>
      <c r="AB58" s="30"/>
      <c r="AC58" s="1978"/>
      <c r="AD58" s="1007"/>
      <c r="AE58" s="1795"/>
      <c r="AF58" s="1796"/>
      <c r="AG58" s="1796"/>
      <c r="AH58" s="1796"/>
      <c r="AI58" s="1796"/>
      <c r="AJ58" s="1797"/>
      <c r="AK58" s="1800"/>
      <c r="AL58" s="1800"/>
      <c r="AM58" s="1800"/>
      <c r="AN58" s="1800"/>
      <c r="AO58" s="1800"/>
      <c r="AP58" s="1800"/>
      <c r="AQ58" s="1978"/>
      <c r="AR58" s="1043"/>
      <c r="AT58" s="950"/>
      <c r="AU58" s="951"/>
      <c r="AV58" s="951"/>
      <c r="AW58" s="951"/>
      <c r="AX58" s="951"/>
      <c r="AY58" s="951"/>
      <c r="AZ58" s="951"/>
      <c r="BA58" s="951"/>
      <c r="BB58" s="951"/>
      <c r="BC58" s="951"/>
      <c r="BD58" s="951"/>
      <c r="BE58" s="951"/>
      <c r="BF58" s="951"/>
      <c r="BG58" s="951"/>
      <c r="BH58" s="981"/>
      <c r="BI58" s="982"/>
      <c r="BJ58" s="982"/>
      <c r="BK58" s="982"/>
      <c r="BL58" s="982"/>
      <c r="BM58" s="982"/>
      <c r="BN58" s="1935"/>
      <c r="BO58" s="1939"/>
      <c r="BP58" s="1081"/>
      <c r="BQ58" s="1081"/>
      <c r="BR58" s="1081"/>
      <c r="BS58" s="1081"/>
      <c r="BT58" s="1940"/>
      <c r="BU58" s="30"/>
      <c r="BV58" s="1978"/>
      <c r="BW58" s="1007"/>
      <c r="BX58" s="1795"/>
      <c r="BY58" s="1796"/>
      <c r="BZ58" s="1796"/>
      <c r="CA58" s="1796"/>
      <c r="CB58" s="1796"/>
      <c r="CC58" s="1797"/>
      <c r="CD58" s="1800"/>
      <c r="CE58" s="1800"/>
      <c r="CF58" s="1800"/>
      <c r="CG58" s="1800"/>
      <c r="CH58" s="1800"/>
      <c r="CI58" s="1800"/>
      <c r="CJ58" s="1978"/>
      <c r="CK58" s="1043"/>
      <c r="CS58" s="1144"/>
      <c r="CT58" s="1145"/>
      <c r="CU58" s="1145"/>
      <c r="CV58" s="1137"/>
      <c r="CW58" s="1137"/>
      <c r="CX58" s="1137"/>
      <c r="CY58" s="198">
        <v>15</v>
      </c>
      <c r="CZ58" s="1135"/>
      <c r="DA58" s="1135"/>
      <c r="DB58" s="1135"/>
      <c r="DC58" s="39"/>
      <c r="DD58" s="948"/>
      <c r="DE58" s="949"/>
      <c r="DF58" s="949"/>
      <c r="DG58" s="949"/>
      <c r="DH58" s="949"/>
      <c r="DI58" s="949"/>
      <c r="DJ58" s="949"/>
      <c r="DK58" s="949"/>
      <c r="DL58" s="949"/>
      <c r="DM58" s="949"/>
      <c r="DN58" s="949"/>
      <c r="DO58" s="949"/>
      <c r="DP58" s="949"/>
      <c r="DQ58" s="949"/>
      <c r="DR58" s="949"/>
      <c r="DS58" s="949"/>
      <c r="DT58" s="949"/>
      <c r="DU58" s="949"/>
      <c r="DV58" s="1133"/>
      <c r="DW58" s="943"/>
      <c r="DX58" s="944"/>
      <c r="DY58" s="944"/>
      <c r="DZ58" s="945"/>
      <c r="EA58" s="939"/>
      <c r="EB58" s="943"/>
      <c r="EC58" s="944"/>
      <c r="ED58" s="944"/>
      <c r="EE58" s="945"/>
      <c r="EF58" s="1100"/>
      <c r="EG58" s="934"/>
      <c r="EH58" s="934"/>
      <c r="EI58" s="934"/>
      <c r="EJ58" s="934"/>
      <c r="EK58" s="934"/>
      <c r="EL58" s="937"/>
      <c r="EM58" s="934"/>
      <c r="EN58" s="934"/>
      <c r="EO58" s="934"/>
      <c r="EP58" s="934"/>
      <c r="EQ58" s="934"/>
      <c r="ER58" s="935"/>
    </row>
    <row r="59" spans="1:148" ht="7.5" customHeight="1" thickBot="1" x14ac:dyDescent="0.3">
      <c r="A59" s="1933"/>
      <c r="B59" s="1934"/>
      <c r="C59" s="1934"/>
      <c r="D59" s="1934"/>
      <c r="E59" s="1934"/>
      <c r="F59" s="1934"/>
      <c r="G59" s="1934"/>
      <c r="H59" s="1934"/>
      <c r="I59" s="1934"/>
      <c r="J59" s="1934"/>
      <c r="K59" s="1934"/>
      <c r="L59" s="1934"/>
      <c r="M59" s="1934"/>
      <c r="N59" s="1934"/>
      <c r="O59" s="1936"/>
      <c r="P59" s="1937"/>
      <c r="Q59" s="1937"/>
      <c r="R59" s="1937"/>
      <c r="S59" s="1937"/>
      <c r="T59" s="1937"/>
      <c r="U59" s="1938"/>
      <c r="V59" s="1941"/>
      <c r="W59" s="1942"/>
      <c r="X59" s="1942"/>
      <c r="Y59" s="1942"/>
      <c r="Z59" s="1942"/>
      <c r="AA59" s="1943"/>
      <c r="AB59" s="30"/>
      <c r="AT59" s="1933"/>
      <c r="AU59" s="1934"/>
      <c r="AV59" s="1934"/>
      <c r="AW59" s="1934"/>
      <c r="AX59" s="1934"/>
      <c r="AY59" s="1934"/>
      <c r="AZ59" s="1934"/>
      <c r="BA59" s="1934"/>
      <c r="BB59" s="1934"/>
      <c r="BC59" s="1934"/>
      <c r="BD59" s="1934"/>
      <c r="BE59" s="1934"/>
      <c r="BF59" s="1934"/>
      <c r="BG59" s="1934"/>
      <c r="BH59" s="1936"/>
      <c r="BI59" s="1937"/>
      <c r="BJ59" s="1937"/>
      <c r="BK59" s="1937"/>
      <c r="BL59" s="1937"/>
      <c r="BM59" s="1937"/>
      <c r="BN59" s="1938"/>
      <c r="BO59" s="1941"/>
      <c r="BP59" s="1942"/>
      <c r="BQ59" s="1942"/>
      <c r="BR59" s="1942"/>
      <c r="BS59" s="1942"/>
      <c r="BT59" s="1943"/>
      <c r="BU59" s="30"/>
      <c r="BV59" s="17"/>
      <c r="BW59" s="17"/>
      <c r="BX59" s="17"/>
      <c r="BY59" s="17"/>
      <c r="BZ59" s="17"/>
      <c r="CA59" s="17"/>
      <c r="CB59" s="17"/>
      <c r="CC59" s="17"/>
      <c r="CD59" s="17"/>
      <c r="CE59" s="17"/>
      <c r="CF59" s="17"/>
      <c r="CG59" s="17"/>
      <c r="CH59" s="17"/>
      <c r="CI59" s="17"/>
      <c r="CJ59" s="17"/>
      <c r="CK59" s="17"/>
      <c r="CS59" s="1140" t="s">
        <v>5</v>
      </c>
      <c r="CT59" s="1140"/>
      <c r="CU59" s="1140"/>
      <c r="CV59" s="1138" t="e">
        <f>WIS</f>
        <v>#REF!</v>
      </c>
      <c r="CW59" s="1138"/>
      <c r="CX59" s="1138"/>
      <c r="CY59" s="198"/>
      <c r="CZ59" s="1135" t="e">
        <f>WisMod</f>
        <v>#REF!</v>
      </c>
      <c r="DA59" s="1135"/>
      <c r="DB59" s="1135"/>
      <c r="DC59" s="39"/>
      <c r="DD59" s="946" t="e">
        <f>INDEX(#REF!,(COUNTA(#REF!))/2+1,0)</f>
        <v>#REF!</v>
      </c>
      <c r="DE59" s="947"/>
      <c r="DF59" s="947"/>
      <c r="DG59" s="947"/>
      <c r="DH59" s="947"/>
      <c r="DI59" s="947"/>
      <c r="DJ59" s="947"/>
      <c r="DK59" s="947"/>
      <c r="DL59" s="947"/>
      <c r="DM59" s="947"/>
      <c r="DN59" s="947"/>
      <c r="DO59" s="947"/>
      <c r="DP59" s="947"/>
      <c r="DQ59" s="947"/>
      <c r="DR59" s="947" t="e">
        <f ca="1">IF(DD59&lt;&gt;"",IF(ISERROR(FIND("Skill",DD59,1)),INDIRECT(SUBSTITUTE(SUBSTITUTE(DD59," ",""),"-","")),"Score"),"")</f>
        <v>#REF!</v>
      </c>
      <c r="DS59" s="947"/>
      <c r="DT59" s="947"/>
      <c r="DU59" s="947"/>
      <c r="DV59" s="1132" t="str">
        <f ca="1">IF(ISNUMBER(DR59),TRUE,"")</f>
        <v/>
      </c>
      <c r="DW59" s="940" t="e">
        <f ca="1">IF(DR59="","",IF(ISNUMBER(DR59),"","Favor"))</f>
        <v>#REF!</v>
      </c>
      <c r="DX59" s="941"/>
      <c r="DY59" s="941"/>
      <c r="DZ59" s="942"/>
      <c r="EA59" s="938" t="str">
        <f ca="1">IF(ISNUMBER(EG59),IF(ISNUMBER(DW59),IF(ABS(DW59)&gt;=EG59,"",EG59-ABS(DW59)),EG59),"")</f>
        <v/>
      </c>
      <c r="EB59" s="940" t="e">
        <f ca="1">IF(DR59="","",IF(ISNUMBER(DR59),"","Bonus"))</f>
        <v>#REF!</v>
      </c>
      <c r="EC59" s="941"/>
      <c r="ED59" s="941"/>
      <c r="EE59" s="942"/>
      <c r="EF59" s="1099" t="str">
        <f ca="1">IF(ISNUMBER(EG59),IF(ISNUMBER(DW59),IF(DW59&gt;EG59,EG59,IF(DW59&gt;=0,DW59,0)),0)+IF(ISNUMBER(EB59),EB59,0),"")</f>
        <v/>
      </c>
      <c r="EG59" s="932" t="e">
        <f ca="1">IF(DR59="","",IF(ISNUMBER(DR59),FLOOR(DR59/5,1),"Passive"))</f>
        <v>#REF!</v>
      </c>
      <c r="EH59" s="932"/>
      <c r="EI59" s="932"/>
      <c r="EJ59" s="932"/>
      <c r="EK59" s="932"/>
      <c r="EL59" s="936"/>
      <c r="EM59" s="932" t="e">
        <f ca="1">IF(DR59="","",IF(ISNUMBER(DR59),IF(AND(EA59&gt;0,ISNUMBER(EA59)),EA59&amp;"dS","")&amp;IF(EF59&gt;0,"+"&amp;EF59,"")&amp;IF(EF59&lt;0,EF59,""),"Check"))</f>
        <v>#REF!</v>
      </c>
      <c r="EN59" s="932"/>
      <c r="EO59" s="932"/>
      <c r="EP59" s="932"/>
      <c r="EQ59" s="932"/>
      <c r="ER59" s="933"/>
    </row>
    <row r="60" spans="1:148" ht="7.5" customHeight="1" thickBot="1" x14ac:dyDescent="0.3">
      <c r="A60" s="979" t="s">
        <v>86</v>
      </c>
      <c r="B60" s="980"/>
      <c r="C60" s="980"/>
      <c r="D60" s="980"/>
      <c r="E60" s="980"/>
      <c r="F60" s="980"/>
      <c r="G60" s="980"/>
      <c r="H60" s="980"/>
      <c r="I60" s="980"/>
      <c r="J60" s="980"/>
      <c r="K60" s="980"/>
      <c r="L60" s="980"/>
      <c r="M60" s="980"/>
      <c r="N60" s="980"/>
      <c r="O60" s="980"/>
      <c r="P60" s="980"/>
      <c r="Q60" s="980"/>
      <c r="R60" s="980"/>
      <c r="S60" s="980"/>
      <c r="T60" s="980"/>
      <c r="U60" s="980"/>
      <c r="V60" s="1930" t="s">
        <v>91</v>
      </c>
      <c r="W60" s="1930"/>
      <c r="X60" s="1930"/>
      <c r="Y60" s="1930"/>
      <c r="Z60" s="1930"/>
      <c r="AA60" s="1931"/>
      <c r="AB60" s="30"/>
      <c r="AC60" s="1688" t="s">
        <v>195</v>
      </c>
      <c r="AD60" s="1688"/>
      <c r="AE60" s="1688"/>
      <c r="AF60" s="1688"/>
      <c r="AG60" s="1688"/>
      <c r="AH60" s="1975"/>
      <c r="AI60" s="1975"/>
      <c r="AJ60" s="1975"/>
      <c r="AK60" s="1975"/>
      <c r="AL60" s="1975"/>
      <c r="AM60" s="1975"/>
      <c r="AN60" s="1975"/>
      <c r="AO60" s="1975"/>
      <c r="AP60" s="1975"/>
      <c r="AQ60" s="1975"/>
      <c r="AR60" s="1975"/>
      <c r="AT60" s="979" t="s">
        <v>86</v>
      </c>
      <c r="AU60" s="980"/>
      <c r="AV60" s="980"/>
      <c r="AW60" s="980"/>
      <c r="AX60" s="980"/>
      <c r="AY60" s="980"/>
      <c r="AZ60" s="980"/>
      <c r="BA60" s="980"/>
      <c r="BB60" s="980"/>
      <c r="BC60" s="980"/>
      <c r="BD60" s="980"/>
      <c r="BE60" s="980"/>
      <c r="BF60" s="980"/>
      <c r="BG60" s="980"/>
      <c r="BH60" s="980"/>
      <c r="BI60" s="980"/>
      <c r="BJ60" s="980"/>
      <c r="BK60" s="980"/>
      <c r="BL60" s="980"/>
      <c r="BM60" s="980"/>
      <c r="BN60" s="980"/>
      <c r="BO60" s="1930" t="s">
        <v>91</v>
      </c>
      <c r="BP60" s="1930"/>
      <c r="BQ60" s="1930"/>
      <c r="BR60" s="1930"/>
      <c r="BS60" s="1930"/>
      <c r="BT60" s="1931"/>
      <c r="BU60" s="30"/>
      <c r="BV60" s="1688" t="s">
        <v>195</v>
      </c>
      <c r="BW60" s="1688"/>
      <c r="BX60" s="1688"/>
      <c r="BY60" s="1688"/>
      <c r="BZ60" s="1688"/>
      <c r="CA60" s="1975"/>
      <c r="CB60" s="1975"/>
      <c r="CC60" s="1975"/>
      <c r="CD60" s="1975"/>
      <c r="CE60" s="1975"/>
      <c r="CF60" s="1975"/>
      <c r="CG60" s="1975"/>
      <c r="CH60" s="1975"/>
      <c r="CI60" s="1975"/>
      <c r="CJ60" s="1975"/>
      <c r="CK60" s="1975"/>
      <c r="CS60" s="1141"/>
      <c r="CT60" s="1141"/>
      <c r="CU60" s="1141"/>
      <c r="CV60" s="1136"/>
      <c r="CW60" s="1136"/>
      <c r="CX60" s="1136"/>
      <c r="CY60" s="198"/>
      <c r="CZ60" s="1135"/>
      <c r="DA60" s="1135"/>
      <c r="DB60" s="1135"/>
      <c r="DC60" s="39"/>
      <c r="DD60" s="948"/>
      <c r="DE60" s="949"/>
      <c r="DF60" s="949"/>
      <c r="DG60" s="949"/>
      <c r="DH60" s="949"/>
      <c r="DI60" s="949"/>
      <c r="DJ60" s="949"/>
      <c r="DK60" s="949"/>
      <c r="DL60" s="949"/>
      <c r="DM60" s="949"/>
      <c r="DN60" s="949"/>
      <c r="DO60" s="949"/>
      <c r="DP60" s="949"/>
      <c r="DQ60" s="949"/>
      <c r="DR60" s="949"/>
      <c r="DS60" s="949"/>
      <c r="DT60" s="949"/>
      <c r="DU60" s="949"/>
      <c r="DV60" s="1133"/>
      <c r="DW60" s="943"/>
      <c r="DX60" s="944"/>
      <c r="DY60" s="944"/>
      <c r="DZ60" s="945"/>
      <c r="EA60" s="939"/>
      <c r="EB60" s="943"/>
      <c r="EC60" s="944"/>
      <c r="ED60" s="944"/>
      <c r="EE60" s="945"/>
      <c r="EF60" s="1100"/>
      <c r="EG60" s="934"/>
      <c r="EH60" s="934"/>
      <c r="EI60" s="934"/>
      <c r="EJ60" s="934"/>
      <c r="EK60" s="934"/>
      <c r="EL60" s="937"/>
      <c r="EM60" s="934"/>
      <c r="EN60" s="934"/>
      <c r="EO60" s="934"/>
      <c r="EP60" s="934"/>
      <c r="EQ60" s="934"/>
      <c r="ER60" s="935"/>
    </row>
    <row r="61" spans="1:148" ht="7.5" customHeight="1" thickBot="1" x14ac:dyDescent="0.3">
      <c r="A61" s="1953"/>
      <c r="B61" s="1954"/>
      <c r="C61" s="1954"/>
      <c r="D61" s="1954"/>
      <c r="E61" s="1954"/>
      <c r="F61" s="1954"/>
      <c r="G61" s="1954"/>
      <c r="H61" s="1954"/>
      <c r="I61" s="1954"/>
      <c r="J61" s="1954"/>
      <c r="K61" s="1954"/>
      <c r="L61" s="1954"/>
      <c r="M61" s="1954"/>
      <c r="N61" s="1954"/>
      <c r="O61" s="1954"/>
      <c r="P61" s="1954"/>
      <c r="Q61" s="1954"/>
      <c r="R61" s="1954"/>
      <c r="S61" s="1954"/>
      <c r="T61" s="1954"/>
      <c r="U61" s="1954"/>
      <c r="V61" s="956"/>
      <c r="W61" s="1945"/>
      <c r="X61" s="1945"/>
      <c r="Y61" s="1945"/>
      <c r="Z61" s="1945"/>
      <c r="AA61" s="958"/>
      <c r="AB61" s="30"/>
      <c r="AC61" s="1689"/>
      <c r="AD61" s="1689"/>
      <c r="AE61" s="1689"/>
      <c r="AF61" s="1689"/>
      <c r="AG61" s="1689"/>
      <c r="AH61" s="1692"/>
      <c r="AI61" s="1692"/>
      <c r="AJ61" s="1692"/>
      <c r="AK61" s="1692"/>
      <c r="AL61" s="1692"/>
      <c r="AM61" s="1692"/>
      <c r="AN61" s="1692"/>
      <c r="AO61" s="1692"/>
      <c r="AP61" s="1692"/>
      <c r="AQ61" s="1692"/>
      <c r="AR61" s="1692"/>
      <c r="AT61" s="1953"/>
      <c r="AU61" s="1954"/>
      <c r="AV61" s="1954"/>
      <c r="AW61" s="1954"/>
      <c r="AX61" s="1954"/>
      <c r="AY61" s="1954"/>
      <c r="AZ61" s="1954"/>
      <c r="BA61" s="1954"/>
      <c r="BB61" s="1954"/>
      <c r="BC61" s="1954"/>
      <c r="BD61" s="1954"/>
      <c r="BE61" s="1954"/>
      <c r="BF61" s="1954"/>
      <c r="BG61" s="1954"/>
      <c r="BH61" s="1954"/>
      <c r="BI61" s="1954"/>
      <c r="BJ61" s="1954"/>
      <c r="BK61" s="1954"/>
      <c r="BL61" s="1954"/>
      <c r="BM61" s="1954"/>
      <c r="BN61" s="1954"/>
      <c r="BO61" s="956"/>
      <c r="BP61" s="1945"/>
      <c r="BQ61" s="1945"/>
      <c r="BR61" s="1945"/>
      <c r="BS61" s="1945"/>
      <c r="BT61" s="958"/>
      <c r="BU61" s="30"/>
      <c r="BV61" s="1689"/>
      <c r="BW61" s="1689"/>
      <c r="BX61" s="1689"/>
      <c r="BY61" s="1689"/>
      <c r="BZ61" s="1689"/>
      <c r="CA61" s="1692"/>
      <c r="CB61" s="1692"/>
      <c r="CC61" s="1692"/>
      <c r="CD61" s="1692"/>
      <c r="CE61" s="1692"/>
      <c r="CF61" s="1692"/>
      <c r="CG61" s="1692"/>
      <c r="CH61" s="1692"/>
      <c r="CI61" s="1692"/>
      <c r="CJ61" s="1692"/>
      <c r="CK61" s="1692"/>
      <c r="CS61" s="1143"/>
      <c r="CT61" s="1143"/>
      <c r="CU61" s="1143"/>
      <c r="CV61" s="1137"/>
      <c r="CW61" s="1137"/>
      <c r="CX61" s="1137"/>
      <c r="CY61" s="198">
        <v>15</v>
      </c>
      <c r="CZ61" s="1135"/>
      <c r="DA61" s="1135"/>
      <c r="DB61" s="1135"/>
      <c r="DC61" s="39"/>
      <c r="DD61" s="946" t="e">
        <f>INDEX(#REF!,(COUNTA(#REF!))/2+1,0)</f>
        <v>#REF!</v>
      </c>
      <c r="DE61" s="947"/>
      <c r="DF61" s="947"/>
      <c r="DG61" s="947"/>
      <c r="DH61" s="947"/>
      <c r="DI61" s="947"/>
      <c r="DJ61" s="947"/>
      <c r="DK61" s="947"/>
      <c r="DL61" s="947"/>
      <c r="DM61" s="947"/>
      <c r="DN61" s="947"/>
      <c r="DO61" s="947"/>
      <c r="DP61" s="947"/>
      <c r="DQ61" s="947"/>
      <c r="DR61" s="947" t="e">
        <f ca="1">IF(DD61&lt;&gt;"",IF(ISERROR(FIND("Skill",DD61,1)),INDIRECT(SUBSTITUTE(SUBSTITUTE(DD61," ",""),"-","")),"Score"),"")</f>
        <v>#REF!</v>
      </c>
      <c r="DS61" s="947"/>
      <c r="DT61" s="947"/>
      <c r="DU61" s="947"/>
      <c r="DV61" s="1132" t="str">
        <f ca="1">IF(ISNUMBER(DR61),TRUE,"")</f>
        <v/>
      </c>
      <c r="DW61" s="940" t="e">
        <f ca="1">IF(DR61="","",IF(ISNUMBER(DR61),"","Favor"))</f>
        <v>#REF!</v>
      </c>
      <c r="DX61" s="941"/>
      <c r="DY61" s="941"/>
      <c r="DZ61" s="942"/>
      <c r="EA61" s="938" t="str">
        <f ca="1">IF(ISNUMBER(EG61),IF(ISNUMBER(DW61),IF(ABS(DW61)&gt;=EG61,"",EG61-ABS(DW61)),EG61),"")</f>
        <v/>
      </c>
      <c r="EB61" s="940" t="e">
        <f ca="1">IF(DR61="","",IF(ISNUMBER(DR61),"","Bonus"))</f>
        <v>#REF!</v>
      </c>
      <c r="EC61" s="941"/>
      <c r="ED61" s="941"/>
      <c r="EE61" s="942"/>
      <c r="EF61" s="1099" t="str">
        <f ca="1">IF(ISNUMBER(EG61),IF(ISNUMBER(DW61),IF(DW61&gt;EG61,EG61,IF(DW61&gt;=0,DW61,0)),0)+IF(ISNUMBER(EB61),EB61,0),"")</f>
        <v/>
      </c>
      <c r="EG61" s="932" t="e">
        <f ca="1">IF(DR61="","",IF(ISNUMBER(DR61),FLOOR(DR61/5,1),"Passive"))</f>
        <v>#REF!</v>
      </c>
      <c r="EH61" s="932"/>
      <c r="EI61" s="932"/>
      <c r="EJ61" s="932"/>
      <c r="EK61" s="932"/>
      <c r="EL61" s="936"/>
      <c r="EM61" s="932" t="e">
        <f ca="1">IF(DR61="","",IF(ISNUMBER(DR61),IF(AND(EA61&gt;0,ISNUMBER(EA61)),EA61&amp;"dS","")&amp;IF(EF61&gt;0,"+"&amp;EF61,"")&amp;IF(EF61&lt;0,EF61,""),"Check"))</f>
        <v>#REF!</v>
      </c>
      <c r="EN61" s="932"/>
      <c r="EO61" s="932"/>
      <c r="EP61" s="932"/>
      <c r="EQ61" s="932"/>
      <c r="ER61" s="933"/>
    </row>
    <row r="62" spans="1:148" ht="7.5" customHeight="1" thickBot="1" x14ac:dyDescent="0.3">
      <c r="A62" s="1953"/>
      <c r="B62" s="1954"/>
      <c r="C62" s="1954"/>
      <c r="D62" s="1954"/>
      <c r="E62" s="1954"/>
      <c r="F62" s="1954"/>
      <c r="G62" s="1954"/>
      <c r="H62" s="1954"/>
      <c r="I62" s="1954"/>
      <c r="J62" s="1954"/>
      <c r="K62" s="1954"/>
      <c r="L62" s="1954"/>
      <c r="M62" s="1954"/>
      <c r="N62" s="1954"/>
      <c r="O62" s="1954"/>
      <c r="P62" s="1954"/>
      <c r="Q62" s="1954"/>
      <c r="R62" s="1954"/>
      <c r="S62" s="1954"/>
      <c r="T62" s="1954"/>
      <c r="U62" s="1954"/>
      <c r="V62" s="1957"/>
      <c r="W62" s="960"/>
      <c r="X62" s="960"/>
      <c r="Y62" s="960"/>
      <c r="Z62" s="960"/>
      <c r="AA62" s="1958"/>
      <c r="AB62" s="30"/>
      <c r="AC62" s="1974"/>
      <c r="AD62" s="1974"/>
      <c r="AE62" s="1974"/>
      <c r="AF62" s="1974"/>
      <c r="AG62" s="1974"/>
      <c r="AH62" s="1685" t="s">
        <v>16</v>
      </c>
      <c r="AI62" s="1685"/>
      <c r="AJ62" s="1685"/>
      <c r="AK62" s="1685"/>
      <c r="AL62" s="1685"/>
      <c r="AM62" s="1685"/>
      <c r="AN62" s="1685"/>
      <c r="AO62" s="1685"/>
      <c r="AP62" s="1685"/>
      <c r="AQ62" s="1685"/>
      <c r="AR62" s="1685"/>
      <c r="AT62" s="1953"/>
      <c r="AU62" s="1954"/>
      <c r="AV62" s="1954"/>
      <c r="AW62" s="1954"/>
      <c r="AX62" s="1954"/>
      <c r="AY62" s="1954"/>
      <c r="AZ62" s="1954"/>
      <c r="BA62" s="1954"/>
      <c r="BB62" s="1954"/>
      <c r="BC62" s="1954"/>
      <c r="BD62" s="1954"/>
      <c r="BE62" s="1954"/>
      <c r="BF62" s="1954"/>
      <c r="BG62" s="1954"/>
      <c r="BH62" s="1954"/>
      <c r="BI62" s="1954"/>
      <c r="BJ62" s="1954"/>
      <c r="BK62" s="1954"/>
      <c r="BL62" s="1954"/>
      <c r="BM62" s="1954"/>
      <c r="BN62" s="1954"/>
      <c r="BO62" s="1957"/>
      <c r="BP62" s="960"/>
      <c r="BQ62" s="960"/>
      <c r="BR62" s="960"/>
      <c r="BS62" s="960"/>
      <c r="BT62" s="1958"/>
      <c r="BU62" s="30"/>
      <c r="BV62" s="1974"/>
      <c r="BW62" s="1974"/>
      <c r="BX62" s="1974"/>
      <c r="BY62" s="1974"/>
      <c r="BZ62" s="1974"/>
      <c r="CA62" s="1685" t="s">
        <v>16</v>
      </c>
      <c r="CB62" s="1685"/>
      <c r="CC62" s="1685"/>
      <c r="CD62" s="1685"/>
      <c r="CE62" s="1685"/>
      <c r="CF62" s="1685"/>
      <c r="CG62" s="1685"/>
      <c r="CH62" s="1685"/>
      <c r="CI62" s="1685"/>
      <c r="CJ62" s="1685"/>
      <c r="CK62" s="1685"/>
      <c r="CS62" s="1140" t="s">
        <v>6</v>
      </c>
      <c r="CT62" s="1140"/>
      <c r="CU62" s="1140"/>
      <c r="CV62" s="1138" t="e">
        <f>FOC</f>
        <v>#REF!</v>
      </c>
      <c r="CW62" s="1138"/>
      <c r="CX62" s="1138"/>
      <c r="CY62" s="198"/>
      <c r="CZ62" s="1135" t="e">
        <f>FocMod</f>
        <v>#REF!</v>
      </c>
      <c r="DA62" s="1135"/>
      <c r="DB62" s="1135"/>
      <c r="DC62" s="39"/>
      <c r="DD62" s="948"/>
      <c r="DE62" s="949"/>
      <c r="DF62" s="949"/>
      <c r="DG62" s="949"/>
      <c r="DH62" s="949"/>
      <c r="DI62" s="949"/>
      <c r="DJ62" s="949"/>
      <c r="DK62" s="949"/>
      <c r="DL62" s="949"/>
      <c r="DM62" s="949"/>
      <c r="DN62" s="949"/>
      <c r="DO62" s="949"/>
      <c r="DP62" s="949"/>
      <c r="DQ62" s="949"/>
      <c r="DR62" s="949"/>
      <c r="DS62" s="949"/>
      <c r="DT62" s="949"/>
      <c r="DU62" s="949"/>
      <c r="DV62" s="1133"/>
      <c r="DW62" s="943"/>
      <c r="DX62" s="944"/>
      <c r="DY62" s="944"/>
      <c r="DZ62" s="945"/>
      <c r="EA62" s="939"/>
      <c r="EB62" s="943"/>
      <c r="EC62" s="944"/>
      <c r="ED62" s="944"/>
      <c r="EE62" s="945"/>
      <c r="EF62" s="1100"/>
      <c r="EG62" s="934"/>
      <c r="EH62" s="934"/>
      <c r="EI62" s="934"/>
      <c r="EJ62" s="934"/>
      <c r="EK62" s="934"/>
      <c r="EL62" s="937"/>
      <c r="EM62" s="934"/>
      <c r="EN62" s="934"/>
      <c r="EO62" s="934"/>
      <c r="EP62" s="934"/>
      <c r="EQ62" s="934"/>
      <c r="ER62" s="935"/>
    </row>
    <row r="63" spans="1:148" ht="7.5" customHeight="1" thickBot="1" x14ac:dyDescent="0.3">
      <c r="A63" s="1953"/>
      <c r="B63" s="1954"/>
      <c r="C63" s="1954"/>
      <c r="D63" s="1954"/>
      <c r="E63" s="1954"/>
      <c r="F63" s="1954"/>
      <c r="G63" s="1954"/>
      <c r="H63" s="1954"/>
      <c r="I63" s="1954"/>
      <c r="J63" s="1954"/>
      <c r="K63" s="1954"/>
      <c r="L63" s="1954"/>
      <c r="M63" s="1954"/>
      <c r="N63" s="1954"/>
      <c r="O63" s="1954"/>
      <c r="P63" s="1954"/>
      <c r="Q63" s="1954"/>
      <c r="R63" s="1954"/>
      <c r="S63" s="1954"/>
      <c r="T63" s="1954"/>
      <c r="U63" s="1954"/>
      <c r="V63" s="1930" t="s">
        <v>90</v>
      </c>
      <c r="W63" s="1930"/>
      <c r="X63" s="1930"/>
      <c r="Y63" s="1930"/>
      <c r="Z63" s="1930"/>
      <c r="AA63" s="1931"/>
      <c r="AB63" s="30"/>
      <c r="AC63" s="30"/>
      <c r="AF63" s="30"/>
      <c r="AG63" s="30"/>
      <c r="AH63" s="1685"/>
      <c r="AI63" s="1685"/>
      <c r="AJ63" s="1685"/>
      <c r="AK63" s="1685"/>
      <c r="AL63" s="1685"/>
      <c r="AM63" s="1685"/>
      <c r="AN63" s="1685"/>
      <c r="AO63" s="1685"/>
      <c r="AP63" s="1685"/>
      <c r="AQ63" s="1685"/>
      <c r="AR63" s="1685"/>
      <c r="AT63" s="1953"/>
      <c r="AU63" s="1954"/>
      <c r="AV63" s="1954"/>
      <c r="AW63" s="1954"/>
      <c r="AX63" s="1954"/>
      <c r="AY63" s="1954"/>
      <c r="AZ63" s="1954"/>
      <c r="BA63" s="1954"/>
      <c r="BB63" s="1954"/>
      <c r="BC63" s="1954"/>
      <c r="BD63" s="1954"/>
      <c r="BE63" s="1954"/>
      <c r="BF63" s="1954"/>
      <c r="BG63" s="1954"/>
      <c r="BH63" s="1954"/>
      <c r="BI63" s="1954"/>
      <c r="BJ63" s="1954"/>
      <c r="BK63" s="1954"/>
      <c r="BL63" s="1954"/>
      <c r="BM63" s="1954"/>
      <c r="BN63" s="1954"/>
      <c r="BO63" s="1930" t="s">
        <v>90</v>
      </c>
      <c r="BP63" s="1930"/>
      <c r="BQ63" s="1930"/>
      <c r="BR63" s="1930"/>
      <c r="BS63" s="1930"/>
      <c r="BT63" s="1931"/>
      <c r="BU63" s="30"/>
      <c r="BV63" s="30"/>
      <c r="BW63" s="17"/>
      <c r="BX63" s="17"/>
      <c r="BY63" s="30"/>
      <c r="BZ63" s="30"/>
      <c r="CA63" s="1685"/>
      <c r="CB63" s="1685"/>
      <c r="CC63" s="1685"/>
      <c r="CD63" s="1685"/>
      <c r="CE63" s="1685"/>
      <c r="CF63" s="1685"/>
      <c r="CG63" s="1685"/>
      <c r="CH63" s="1685"/>
      <c r="CI63" s="1685"/>
      <c r="CJ63" s="1685"/>
      <c r="CK63" s="1685"/>
      <c r="CS63" s="1141"/>
      <c r="CT63" s="1141"/>
      <c r="CU63" s="1141"/>
      <c r="CV63" s="1136"/>
      <c r="CW63" s="1136"/>
      <c r="CX63" s="1136"/>
      <c r="CY63" s="198"/>
      <c r="CZ63" s="1135"/>
      <c r="DA63" s="1135"/>
      <c r="DB63" s="1135"/>
      <c r="DC63" s="39"/>
      <c r="DD63" s="946" t="e">
        <f>INDEX(#REF!,(COUNTA(#REF!))/2+1,0)</f>
        <v>#REF!</v>
      </c>
      <c r="DE63" s="947"/>
      <c r="DF63" s="947"/>
      <c r="DG63" s="947"/>
      <c r="DH63" s="947"/>
      <c r="DI63" s="947"/>
      <c r="DJ63" s="947"/>
      <c r="DK63" s="947"/>
      <c r="DL63" s="947"/>
      <c r="DM63" s="947"/>
      <c r="DN63" s="947"/>
      <c r="DO63" s="947"/>
      <c r="DP63" s="947"/>
      <c r="DQ63" s="947"/>
      <c r="DR63" s="947" t="e">
        <f ca="1">IF(DD63&lt;&gt;"",IF(ISERROR(FIND("Skill",DD63,1)),INDIRECT(SUBSTITUTE(SUBSTITUTE(DD63," ",""),"-","")),"Score"),"")</f>
        <v>#REF!</v>
      </c>
      <c r="DS63" s="947"/>
      <c r="DT63" s="947"/>
      <c r="DU63" s="947"/>
      <c r="DV63" s="1132" t="str">
        <f ca="1">IF(ISNUMBER(DR63),TRUE,"")</f>
        <v/>
      </c>
      <c r="DW63" s="940" t="e">
        <f ca="1">IF(DR63="","",IF(ISNUMBER(DR63),"","Favor"))</f>
        <v>#REF!</v>
      </c>
      <c r="DX63" s="941"/>
      <c r="DY63" s="941"/>
      <c r="DZ63" s="942"/>
      <c r="EA63" s="938" t="str">
        <f ca="1">IF(ISNUMBER(EG63),IF(ISNUMBER(DW63),IF(ABS(DW63)&gt;=EG63,"",EG63-ABS(DW63)),EG63),"")</f>
        <v/>
      </c>
      <c r="EB63" s="940" t="e">
        <f ca="1">IF(DR63="","",IF(ISNUMBER(DR63),"","Bonus"))</f>
        <v>#REF!</v>
      </c>
      <c r="EC63" s="941"/>
      <c r="ED63" s="941"/>
      <c r="EE63" s="942"/>
      <c r="EF63" s="1099" t="str">
        <f ca="1">IF(ISNUMBER(EG63),IF(ISNUMBER(DW63),IF(DW63&gt;EG63,EG63,IF(DW63&gt;=0,DW63,0)),0)+IF(ISNUMBER(EB63),EB63,0),"")</f>
        <v/>
      </c>
      <c r="EG63" s="932" t="e">
        <f ca="1">IF(DR63="","",IF(ISNUMBER(DR63),FLOOR(DR63/5,1),"Passive"))</f>
        <v>#REF!</v>
      </c>
      <c r="EH63" s="932"/>
      <c r="EI63" s="932"/>
      <c r="EJ63" s="932"/>
      <c r="EK63" s="932"/>
      <c r="EL63" s="936"/>
      <c r="EM63" s="932" t="e">
        <f ca="1">IF(DR63="","",IF(ISNUMBER(DR63),IF(AND(EA63&gt;0,ISNUMBER(EA63)),EA63&amp;"dS","")&amp;IF(EF63&gt;0,"+"&amp;EF63,"")&amp;IF(EF63&lt;0,EF63,""),"Check"))</f>
        <v>#REF!</v>
      </c>
      <c r="EN63" s="932"/>
      <c r="EO63" s="932"/>
      <c r="EP63" s="932"/>
      <c r="EQ63" s="932"/>
      <c r="ER63" s="933"/>
    </row>
    <row r="64" spans="1:148" ht="7.5" customHeight="1" thickBot="1" x14ac:dyDescent="0.3">
      <c r="A64" s="1953"/>
      <c r="B64" s="1954"/>
      <c r="C64" s="1954"/>
      <c r="D64" s="1954"/>
      <c r="E64" s="1954"/>
      <c r="F64" s="1954"/>
      <c r="G64" s="1954"/>
      <c r="H64" s="1954"/>
      <c r="I64" s="1954"/>
      <c r="J64" s="1954"/>
      <c r="K64" s="1954"/>
      <c r="L64" s="1954"/>
      <c r="M64" s="1954"/>
      <c r="N64" s="1954"/>
      <c r="O64" s="1954"/>
      <c r="P64" s="1954"/>
      <c r="Q64" s="1954"/>
      <c r="R64" s="1954"/>
      <c r="S64" s="1954"/>
      <c r="T64" s="1954"/>
      <c r="U64" s="1954"/>
      <c r="V64" s="956"/>
      <c r="W64" s="1945"/>
      <c r="X64" s="1945"/>
      <c r="Y64" s="1945"/>
      <c r="Z64" s="1945"/>
      <c r="AA64" s="958"/>
      <c r="AB64" s="30"/>
      <c r="AH64" s="1685"/>
      <c r="AI64" s="1685"/>
      <c r="AJ64" s="1685"/>
      <c r="AK64" s="1685"/>
      <c r="AL64" s="1685"/>
      <c r="AM64" s="1685"/>
      <c r="AN64" s="1685"/>
      <c r="AO64" s="1685"/>
      <c r="AP64" s="1685"/>
      <c r="AQ64" s="1685"/>
      <c r="AR64" s="1685"/>
      <c r="AT64" s="1953"/>
      <c r="AU64" s="1954"/>
      <c r="AV64" s="1954"/>
      <c r="AW64" s="1954"/>
      <c r="AX64" s="1954"/>
      <c r="AY64" s="1954"/>
      <c r="AZ64" s="1954"/>
      <c r="BA64" s="1954"/>
      <c r="BB64" s="1954"/>
      <c r="BC64" s="1954"/>
      <c r="BD64" s="1954"/>
      <c r="BE64" s="1954"/>
      <c r="BF64" s="1954"/>
      <c r="BG64" s="1954"/>
      <c r="BH64" s="1954"/>
      <c r="BI64" s="1954"/>
      <c r="BJ64" s="1954"/>
      <c r="BK64" s="1954"/>
      <c r="BL64" s="1954"/>
      <c r="BM64" s="1954"/>
      <c r="BN64" s="1954"/>
      <c r="BO64" s="956"/>
      <c r="BP64" s="1945"/>
      <c r="BQ64" s="1945"/>
      <c r="BR64" s="1945"/>
      <c r="BS64" s="1945"/>
      <c r="BT64" s="958"/>
      <c r="BU64" s="30"/>
      <c r="BV64" s="17"/>
      <c r="BW64" s="17"/>
      <c r="BX64" s="17"/>
      <c r="BY64" s="17"/>
      <c r="BZ64" s="17"/>
      <c r="CA64" s="1685"/>
      <c r="CB64" s="1685"/>
      <c r="CC64" s="1685"/>
      <c r="CD64" s="1685"/>
      <c r="CE64" s="1685"/>
      <c r="CF64" s="1685"/>
      <c r="CG64" s="1685"/>
      <c r="CH64" s="1685"/>
      <c r="CI64" s="1685"/>
      <c r="CJ64" s="1685"/>
      <c r="CK64" s="1685"/>
      <c r="CS64" s="1143"/>
      <c r="CT64" s="1143"/>
      <c r="CU64" s="1143"/>
      <c r="CV64" s="1139"/>
      <c r="CW64" s="1139"/>
      <c r="CX64" s="1139"/>
      <c r="CY64" s="198">
        <v>20</v>
      </c>
      <c r="CZ64" s="1135"/>
      <c r="DA64" s="1135"/>
      <c r="DB64" s="1135"/>
      <c r="DC64" s="39"/>
      <c r="DD64" s="948"/>
      <c r="DE64" s="949"/>
      <c r="DF64" s="949"/>
      <c r="DG64" s="949"/>
      <c r="DH64" s="949"/>
      <c r="DI64" s="949"/>
      <c r="DJ64" s="949"/>
      <c r="DK64" s="949"/>
      <c r="DL64" s="949"/>
      <c r="DM64" s="949"/>
      <c r="DN64" s="949"/>
      <c r="DO64" s="949"/>
      <c r="DP64" s="949"/>
      <c r="DQ64" s="949"/>
      <c r="DR64" s="949"/>
      <c r="DS64" s="949"/>
      <c r="DT64" s="949"/>
      <c r="DU64" s="949"/>
      <c r="DV64" s="1133"/>
      <c r="DW64" s="943"/>
      <c r="DX64" s="944"/>
      <c r="DY64" s="944"/>
      <c r="DZ64" s="945"/>
      <c r="EA64" s="939"/>
      <c r="EB64" s="943"/>
      <c r="EC64" s="944"/>
      <c r="ED64" s="944"/>
      <c r="EE64" s="945"/>
      <c r="EF64" s="1100"/>
      <c r="EG64" s="934"/>
      <c r="EH64" s="934"/>
      <c r="EI64" s="934"/>
      <c r="EJ64" s="934"/>
      <c r="EK64" s="934"/>
      <c r="EL64" s="937"/>
      <c r="EM64" s="934"/>
      <c r="EN64" s="934"/>
      <c r="EO64" s="934"/>
      <c r="EP64" s="934"/>
      <c r="EQ64" s="934"/>
      <c r="ER64" s="935"/>
    </row>
    <row r="65" spans="1:148" ht="7.5" customHeight="1" thickBot="1" x14ac:dyDescent="0.3">
      <c r="A65" s="1961"/>
      <c r="B65" s="1962"/>
      <c r="C65" s="1962"/>
      <c r="D65" s="1962"/>
      <c r="E65" s="1962"/>
      <c r="F65" s="1962"/>
      <c r="G65" s="1962"/>
      <c r="H65" s="1962"/>
      <c r="I65" s="1962"/>
      <c r="J65" s="1962"/>
      <c r="K65" s="1962"/>
      <c r="L65" s="1962"/>
      <c r="M65" s="1962"/>
      <c r="N65" s="1962"/>
      <c r="O65" s="1962"/>
      <c r="P65" s="1962"/>
      <c r="Q65" s="1962"/>
      <c r="R65" s="1962"/>
      <c r="S65" s="1962"/>
      <c r="T65" s="1962"/>
      <c r="U65" s="1962"/>
      <c r="V65" s="1949"/>
      <c r="W65" s="1950"/>
      <c r="X65" s="1950"/>
      <c r="Y65" s="1950"/>
      <c r="Z65" s="1950"/>
      <c r="AA65" s="1951"/>
      <c r="AB65" s="30"/>
      <c r="AH65" s="1699"/>
      <c r="AI65" s="1699"/>
      <c r="AJ65" s="1699"/>
      <c r="AK65" s="1699"/>
      <c r="AL65" s="1699"/>
      <c r="AM65" s="1699"/>
      <c r="AN65" s="1699"/>
      <c r="AO65" s="1699"/>
      <c r="AP65" s="1699"/>
      <c r="AQ65" s="1699"/>
      <c r="AR65" s="1699"/>
      <c r="AT65" s="1961"/>
      <c r="AU65" s="1962"/>
      <c r="AV65" s="1962"/>
      <c r="AW65" s="1962"/>
      <c r="AX65" s="1962"/>
      <c r="AY65" s="1962"/>
      <c r="AZ65" s="1962"/>
      <c r="BA65" s="1962"/>
      <c r="BB65" s="1962"/>
      <c r="BC65" s="1962"/>
      <c r="BD65" s="1962"/>
      <c r="BE65" s="1962"/>
      <c r="BF65" s="1962"/>
      <c r="BG65" s="1962"/>
      <c r="BH65" s="1962"/>
      <c r="BI65" s="1962"/>
      <c r="BJ65" s="1962"/>
      <c r="BK65" s="1962"/>
      <c r="BL65" s="1962"/>
      <c r="BM65" s="1962"/>
      <c r="BN65" s="1962"/>
      <c r="BO65" s="1949"/>
      <c r="BP65" s="1950"/>
      <c r="BQ65" s="1950"/>
      <c r="BR65" s="1950"/>
      <c r="BS65" s="1950"/>
      <c r="BT65" s="1951"/>
      <c r="BU65" s="30"/>
      <c r="BV65" s="17"/>
      <c r="BW65" s="17"/>
      <c r="BX65" s="17"/>
      <c r="BY65" s="17"/>
      <c r="BZ65" s="17"/>
      <c r="CA65" s="1699"/>
      <c r="CB65" s="1699"/>
      <c r="CC65" s="1699"/>
      <c r="CD65" s="1699"/>
      <c r="CE65" s="1699"/>
      <c r="CF65" s="1699"/>
      <c r="CG65" s="1699"/>
      <c r="CH65" s="1699"/>
      <c r="CI65" s="1699"/>
      <c r="CJ65" s="1699"/>
      <c r="CK65" s="1699"/>
      <c r="CS65" s="197"/>
      <c r="CT65" s="197"/>
      <c r="CU65" s="197"/>
      <c r="CV65" s="39"/>
      <c r="CW65" s="39"/>
      <c r="CX65" s="39"/>
      <c r="CY65" s="36"/>
      <c r="CZ65" s="39"/>
      <c r="DA65" s="39"/>
      <c r="DB65" s="39"/>
      <c r="DC65" s="39"/>
      <c r="DD65" s="946" t="e">
        <f>INDEX(#REF!,(COUNTA(#REF!))/2+1,0)</f>
        <v>#REF!</v>
      </c>
      <c r="DE65" s="947"/>
      <c r="DF65" s="947"/>
      <c r="DG65" s="947"/>
      <c r="DH65" s="947"/>
      <c r="DI65" s="947"/>
      <c r="DJ65" s="947"/>
      <c r="DK65" s="947"/>
      <c r="DL65" s="947"/>
      <c r="DM65" s="947"/>
      <c r="DN65" s="947"/>
      <c r="DO65" s="947"/>
      <c r="DP65" s="947"/>
      <c r="DQ65" s="947"/>
      <c r="DR65" s="947" t="e">
        <f ca="1">IF(DD65&lt;&gt;"",IF(ISERROR(FIND("Skill",DD65,1)),INDIRECT(SUBSTITUTE(SUBSTITUTE(DD65," ",""),"-","")),"Score"),"")</f>
        <v>#REF!</v>
      </c>
      <c r="DS65" s="947"/>
      <c r="DT65" s="947"/>
      <c r="DU65" s="947"/>
      <c r="DV65" s="1132" t="str">
        <f ca="1">IF(ISNUMBER(DR65),TRUE,"")</f>
        <v/>
      </c>
      <c r="DW65" s="940" t="e">
        <f ca="1">IF(DR65="","",IF(ISNUMBER(DR65),"","Favor"))</f>
        <v>#REF!</v>
      </c>
      <c r="DX65" s="941"/>
      <c r="DY65" s="941"/>
      <c r="DZ65" s="942"/>
      <c r="EA65" s="938" t="str">
        <f ca="1">IF(ISNUMBER(EG65),IF(ISNUMBER(DW65),IF(ABS(DW65)&gt;=EG65,"",EG65-ABS(DW65)),EG65),"")</f>
        <v/>
      </c>
      <c r="EB65" s="940" t="e">
        <f ca="1">IF(DR65="","",IF(ISNUMBER(DR65),"","Bonus"))</f>
        <v>#REF!</v>
      </c>
      <c r="EC65" s="941"/>
      <c r="ED65" s="941"/>
      <c r="EE65" s="942"/>
      <c r="EF65" s="1099" t="str">
        <f ca="1">IF(ISNUMBER(EG65),IF(ISNUMBER(DW65),IF(DW65&gt;EG65,EG65,IF(DW65&gt;=0,DW65,0)),0)+IF(ISNUMBER(EB65),EB65,0),"")</f>
        <v/>
      </c>
      <c r="EG65" s="932" t="e">
        <f ca="1">IF(DR65="","",IF(ISNUMBER(DR65),FLOOR(DR65/5,1),"Passive"))</f>
        <v>#REF!</v>
      </c>
      <c r="EH65" s="932"/>
      <c r="EI65" s="932"/>
      <c r="EJ65" s="932"/>
      <c r="EK65" s="932"/>
      <c r="EL65" s="936"/>
      <c r="EM65" s="932" t="e">
        <f ca="1">IF(DR65="","",IF(ISNUMBER(DR65),IF(AND(EA65&gt;0,ISNUMBER(EA65)),EA65&amp;"dS","")&amp;IF(EF65&gt;0,"+"&amp;EF65,"")&amp;IF(EF65&lt;0,EF65,""),"Check"))</f>
        <v>#REF!</v>
      </c>
      <c r="EN65" s="932"/>
      <c r="EO65" s="932"/>
      <c r="EP65" s="932"/>
      <c r="EQ65" s="932"/>
      <c r="ER65" s="933"/>
    </row>
    <row r="66" spans="1:148" ht="7.5" customHeight="1" thickTop="1" thickBot="1" x14ac:dyDescent="0.3">
      <c r="A66" s="1963" t="s">
        <v>85</v>
      </c>
      <c r="B66" s="1964"/>
      <c r="C66" s="1964"/>
      <c r="D66" s="259"/>
      <c r="E66" s="259"/>
      <c r="F66" s="259"/>
      <c r="G66" s="259"/>
      <c r="H66" s="259"/>
      <c r="I66" s="259"/>
      <c r="J66" s="259"/>
      <c r="K66" s="259"/>
      <c r="L66" s="259"/>
      <c r="M66" s="259"/>
      <c r="N66" s="199"/>
      <c r="O66" s="260" t="s">
        <v>89</v>
      </c>
      <c r="P66" s="261"/>
      <c r="Q66" s="261"/>
      <c r="R66" s="261"/>
      <c r="S66" s="262"/>
      <c r="T66" s="262"/>
      <c r="U66" s="263"/>
      <c r="V66" s="264" t="s">
        <v>88</v>
      </c>
      <c r="W66" s="265"/>
      <c r="X66" s="265"/>
      <c r="Y66" s="265"/>
      <c r="Z66" s="265"/>
      <c r="AA66" s="266"/>
      <c r="AB66" s="30"/>
      <c r="AH66" s="1952"/>
      <c r="AI66" s="1952"/>
      <c r="AJ66" s="1952"/>
      <c r="AK66" s="1952"/>
      <c r="AL66" s="1952"/>
      <c r="AM66" s="1952"/>
      <c r="AN66" s="1952"/>
      <c r="AO66" s="1952"/>
      <c r="AP66" s="1952"/>
      <c r="AQ66" s="1952"/>
      <c r="AR66" s="1952"/>
      <c r="AT66" s="1963" t="s">
        <v>85</v>
      </c>
      <c r="AU66" s="1964"/>
      <c r="AV66" s="1964"/>
      <c r="AW66" s="259"/>
      <c r="AX66" s="259"/>
      <c r="AY66" s="259"/>
      <c r="AZ66" s="259"/>
      <c r="BA66" s="259"/>
      <c r="BB66" s="259"/>
      <c r="BC66" s="259"/>
      <c r="BD66" s="259"/>
      <c r="BE66" s="259"/>
      <c r="BF66" s="259"/>
      <c r="BG66" s="199"/>
      <c r="BH66" s="260" t="s">
        <v>89</v>
      </c>
      <c r="BI66" s="261"/>
      <c r="BJ66" s="261"/>
      <c r="BK66" s="261"/>
      <c r="BL66" s="262"/>
      <c r="BM66" s="262"/>
      <c r="BN66" s="263"/>
      <c r="BO66" s="264" t="s">
        <v>88</v>
      </c>
      <c r="BP66" s="265"/>
      <c r="BQ66" s="265"/>
      <c r="BR66" s="265"/>
      <c r="BS66" s="265"/>
      <c r="BT66" s="266"/>
      <c r="BU66" s="30"/>
      <c r="BV66" s="17"/>
      <c r="BW66" s="17"/>
      <c r="BX66" s="17"/>
      <c r="BY66" s="17"/>
      <c r="BZ66" s="17"/>
      <c r="CA66" s="1952"/>
      <c r="CB66" s="1952"/>
      <c r="CC66" s="1952"/>
      <c r="CD66" s="1952"/>
      <c r="CE66" s="1952"/>
      <c r="CF66" s="1952"/>
      <c r="CG66" s="1952"/>
      <c r="CH66" s="1952"/>
      <c r="CI66" s="1952"/>
      <c r="CJ66" s="1952"/>
      <c r="CK66" s="1952"/>
      <c r="CS66" s="1154" t="s">
        <v>7</v>
      </c>
      <c r="CT66" s="1154"/>
      <c r="CU66" s="1154"/>
      <c r="CV66" s="1158" t="e">
        <f>CHA</f>
        <v>#REF!</v>
      </c>
      <c r="CW66" s="1158"/>
      <c r="CX66" s="1158"/>
      <c r="CY66" s="212"/>
      <c r="CZ66" s="1161" t="e">
        <f>ChaMod</f>
        <v>#NAME?</v>
      </c>
      <c r="DA66" s="1161"/>
      <c r="DB66" s="1161"/>
      <c r="DC66" s="39"/>
      <c r="DD66" s="948"/>
      <c r="DE66" s="949"/>
      <c r="DF66" s="949"/>
      <c r="DG66" s="949"/>
      <c r="DH66" s="949"/>
      <c r="DI66" s="949"/>
      <c r="DJ66" s="949"/>
      <c r="DK66" s="949"/>
      <c r="DL66" s="949"/>
      <c r="DM66" s="949"/>
      <c r="DN66" s="949"/>
      <c r="DO66" s="949"/>
      <c r="DP66" s="949"/>
      <c r="DQ66" s="949"/>
      <c r="DR66" s="949"/>
      <c r="DS66" s="949"/>
      <c r="DT66" s="949"/>
      <c r="DU66" s="949"/>
      <c r="DV66" s="1133"/>
      <c r="DW66" s="943"/>
      <c r="DX66" s="944"/>
      <c r="DY66" s="944"/>
      <c r="DZ66" s="945"/>
      <c r="EA66" s="939"/>
      <c r="EB66" s="943"/>
      <c r="EC66" s="944"/>
      <c r="ED66" s="944"/>
      <c r="EE66" s="945"/>
      <c r="EF66" s="1100"/>
      <c r="EG66" s="934"/>
      <c r="EH66" s="934"/>
      <c r="EI66" s="934"/>
      <c r="EJ66" s="934"/>
      <c r="EK66" s="934"/>
      <c r="EL66" s="937"/>
      <c r="EM66" s="934"/>
      <c r="EN66" s="934"/>
      <c r="EO66" s="934"/>
      <c r="EP66" s="934"/>
      <c r="EQ66" s="934"/>
      <c r="ER66" s="935"/>
    </row>
    <row r="67" spans="1:148" ht="7.5" customHeight="1" thickBot="1" x14ac:dyDescent="0.3">
      <c r="A67" s="950"/>
      <c r="B67" s="951"/>
      <c r="C67" s="951"/>
      <c r="D67" s="951"/>
      <c r="E67" s="951"/>
      <c r="F67" s="951"/>
      <c r="G67" s="951"/>
      <c r="H67" s="951"/>
      <c r="I67" s="951"/>
      <c r="J67" s="951"/>
      <c r="K67" s="951"/>
      <c r="L67" s="951"/>
      <c r="M67" s="951"/>
      <c r="N67" s="951"/>
      <c r="O67" s="981"/>
      <c r="P67" s="982"/>
      <c r="Q67" s="982"/>
      <c r="R67" s="982"/>
      <c r="S67" s="982"/>
      <c r="T67" s="982"/>
      <c r="U67" s="1935"/>
      <c r="V67" s="1939"/>
      <c r="W67" s="1081"/>
      <c r="X67" s="1081"/>
      <c r="Y67" s="1081"/>
      <c r="Z67" s="1081"/>
      <c r="AA67" s="1940"/>
      <c r="AB67" s="30"/>
      <c r="AC67" s="30"/>
      <c r="AF67" s="30"/>
      <c r="AG67" s="30"/>
      <c r="AH67" s="30"/>
      <c r="AI67" s="30"/>
      <c r="AJ67" s="30"/>
      <c r="AK67" s="30"/>
      <c r="AL67" s="30"/>
      <c r="AM67" s="30"/>
      <c r="AN67" s="30"/>
      <c r="AO67" s="30"/>
      <c r="AP67" s="30"/>
      <c r="AQ67" s="30"/>
      <c r="AR67" s="245"/>
      <c r="AT67" s="950"/>
      <c r="AU67" s="951"/>
      <c r="AV67" s="951"/>
      <c r="AW67" s="951"/>
      <c r="AX67" s="951"/>
      <c r="AY67" s="951"/>
      <c r="AZ67" s="951"/>
      <c r="BA67" s="951"/>
      <c r="BB67" s="951"/>
      <c r="BC67" s="951"/>
      <c r="BD67" s="951"/>
      <c r="BE67" s="951"/>
      <c r="BF67" s="951"/>
      <c r="BG67" s="951"/>
      <c r="BH67" s="981"/>
      <c r="BI67" s="982"/>
      <c r="BJ67" s="982"/>
      <c r="BK67" s="982"/>
      <c r="BL67" s="982"/>
      <c r="BM67" s="982"/>
      <c r="BN67" s="1935"/>
      <c r="BO67" s="1939"/>
      <c r="BP67" s="1081"/>
      <c r="BQ67" s="1081"/>
      <c r="BR67" s="1081"/>
      <c r="BS67" s="1081"/>
      <c r="BT67" s="1940"/>
      <c r="BU67" s="30"/>
      <c r="BV67" s="30"/>
      <c r="BW67" s="17"/>
      <c r="BX67" s="17"/>
      <c r="BY67" s="30"/>
      <c r="BZ67" s="30"/>
      <c r="CA67" s="30"/>
      <c r="CB67" s="30"/>
      <c r="CC67" s="30"/>
      <c r="CD67" s="30"/>
      <c r="CE67" s="30"/>
      <c r="CF67" s="30"/>
      <c r="CG67" s="30"/>
      <c r="CH67" s="30"/>
      <c r="CI67" s="30"/>
      <c r="CJ67" s="30"/>
      <c r="CK67" s="245"/>
      <c r="CS67" s="1155"/>
      <c r="CT67" s="1155"/>
      <c r="CU67" s="1155"/>
      <c r="CV67" s="1158"/>
      <c r="CW67" s="1158"/>
      <c r="CX67" s="1158"/>
      <c r="CY67" s="212"/>
      <c r="CZ67" s="1156"/>
      <c r="DA67" s="1156"/>
      <c r="DB67" s="1156"/>
      <c r="DC67" s="39"/>
      <c r="DD67" s="946" t="e">
        <f>INDEX(#REF!,(COUNTA(#REF!))/2+1,0)</f>
        <v>#REF!</v>
      </c>
      <c r="DE67" s="947"/>
      <c r="DF67" s="947"/>
      <c r="DG67" s="947"/>
      <c r="DH67" s="947"/>
      <c r="DI67" s="947"/>
      <c r="DJ67" s="947"/>
      <c r="DK67" s="947"/>
      <c r="DL67" s="947"/>
      <c r="DM67" s="947"/>
      <c r="DN67" s="947"/>
      <c r="DO67" s="947"/>
      <c r="DP67" s="947"/>
      <c r="DQ67" s="947"/>
      <c r="DR67" s="947" t="e">
        <f ca="1">IF(DD67&lt;&gt;"",IF(ISERROR(FIND("Skill",DD67,1)),INDIRECT(SUBSTITUTE(SUBSTITUTE(DD67," ",""),"-","")),"Score"),"")</f>
        <v>#REF!</v>
      </c>
      <c r="DS67" s="947"/>
      <c r="DT67" s="947"/>
      <c r="DU67" s="947"/>
      <c r="DV67" s="1132" t="str">
        <f ca="1">IF(ISNUMBER(DR67),TRUE,"")</f>
        <v/>
      </c>
      <c r="DW67" s="940" t="e">
        <f ca="1">IF(DR67="","",IF(ISNUMBER(DR67),"","Favor"))</f>
        <v>#REF!</v>
      </c>
      <c r="DX67" s="941"/>
      <c r="DY67" s="941"/>
      <c r="DZ67" s="942"/>
      <c r="EA67" s="938" t="str">
        <f ca="1">IF(ISNUMBER(EG67),IF(ISNUMBER(DW67),IF(ABS(DW67)&gt;=EG67,"",EG67-ABS(DW67)),EG67),"")</f>
        <v/>
      </c>
      <c r="EB67" s="940" t="e">
        <f ca="1">IF(DR67="","",IF(ISNUMBER(DR67),"","Bonus"))</f>
        <v>#REF!</v>
      </c>
      <c r="EC67" s="941"/>
      <c r="ED67" s="941"/>
      <c r="EE67" s="942"/>
      <c r="EF67" s="1099" t="str">
        <f ca="1">IF(ISNUMBER(EG67),IF(ISNUMBER(DW67),IF(DW67&gt;EG67,EG67,IF(DW67&gt;=0,DW67,0)),0)+IF(ISNUMBER(EB67),EB67,0),"")</f>
        <v/>
      </c>
      <c r="EG67" s="932" t="e">
        <f ca="1">IF(DR67="","",IF(ISNUMBER(DR67),FLOOR(DR67/5,1),"Passive"))</f>
        <v>#REF!</v>
      </c>
      <c r="EH67" s="932"/>
      <c r="EI67" s="932"/>
      <c r="EJ67" s="932"/>
      <c r="EK67" s="932"/>
      <c r="EL67" s="936"/>
      <c r="EM67" s="932" t="e">
        <f ca="1">IF(DR67="","",IF(ISNUMBER(DR67),IF(AND(EA67&gt;0,ISNUMBER(EA67)),EA67&amp;"dS","")&amp;IF(EF67&gt;0,"+"&amp;EF67,"")&amp;IF(EF67&lt;0,EF67,""),"Check"))</f>
        <v>#REF!</v>
      </c>
      <c r="EN67" s="932"/>
      <c r="EO67" s="932"/>
      <c r="EP67" s="932"/>
      <c r="EQ67" s="932"/>
      <c r="ER67" s="933"/>
    </row>
    <row r="68" spans="1:148" ht="7.5" customHeight="1" thickBot="1" x14ac:dyDescent="0.3">
      <c r="A68" s="1933"/>
      <c r="B68" s="1934"/>
      <c r="C68" s="1934"/>
      <c r="D68" s="1934"/>
      <c r="E68" s="1934"/>
      <c r="F68" s="1934"/>
      <c r="G68" s="1934"/>
      <c r="H68" s="1934"/>
      <c r="I68" s="1934"/>
      <c r="J68" s="1934"/>
      <c r="K68" s="1934"/>
      <c r="L68" s="1934"/>
      <c r="M68" s="1934"/>
      <c r="N68" s="1934"/>
      <c r="O68" s="1936"/>
      <c r="P68" s="1937"/>
      <c r="Q68" s="1937"/>
      <c r="R68" s="1937"/>
      <c r="S68" s="1937"/>
      <c r="T68" s="1937"/>
      <c r="U68" s="1938"/>
      <c r="V68" s="1941"/>
      <c r="W68" s="1942"/>
      <c r="X68" s="1942"/>
      <c r="Y68" s="1942"/>
      <c r="Z68" s="1942"/>
      <c r="AA68" s="1943"/>
      <c r="AB68" s="30"/>
      <c r="AC68" s="1730" t="s">
        <v>195</v>
      </c>
      <c r="AD68" s="1730"/>
      <c r="AE68" s="1730"/>
      <c r="AF68" s="1730"/>
      <c r="AG68" s="1730"/>
      <c r="AH68" s="1967"/>
      <c r="AI68" s="1967"/>
      <c r="AJ68" s="1967"/>
      <c r="AK68" s="1967"/>
      <c r="AL68" s="1967"/>
      <c r="AM68" s="1967"/>
      <c r="AN68" s="1967"/>
      <c r="AO68" s="1967"/>
      <c r="AP68" s="1967"/>
      <c r="AQ68" s="1967"/>
      <c r="AR68" s="1967"/>
      <c r="AT68" s="1933"/>
      <c r="AU68" s="1934"/>
      <c r="AV68" s="1934"/>
      <c r="AW68" s="1934"/>
      <c r="AX68" s="1934"/>
      <c r="AY68" s="1934"/>
      <c r="AZ68" s="1934"/>
      <c r="BA68" s="1934"/>
      <c r="BB68" s="1934"/>
      <c r="BC68" s="1934"/>
      <c r="BD68" s="1934"/>
      <c r="BE68" s="1934"/>
      <c r="BF68" s="1934"/>
      <c r="BG68" s="1934"/>
      <c r="BH68" s="1936"/>
      <c r="BI68" s="1937"/>
      <c r="BJ68" s="1937"/>
      <c r="BK68" s="1937"/>
      <c r="BL68" s="1937"/>
      <c r="BM68" s="1937"/>
      <c r="BN68" s="1938"/>
      <c r="BO68" s="1941"/>
      <c r="BP68" s="1942"/>
      <c r="BQ68" s="1942"/>
      <c r="BR68" s="1942"/>
      <c r="BS68" s="1942"/>
      <c r="BT68" s="1943"/>
      <c r="BU68" s="30"/>
      <c r="BV68" s="1730" t="s">
        <v>195</v>
      </c>
      <c r="BW68" s="1730"/>
      <c r="BX68" s="1730"/>
      <c r="BY68" s="1730"/>
      <c r="BZ68" s="1730"/>
      <c r="CA68" s="1967"/>
      <c r="CB68" s="1967"/>
      <c r="CC68" s="1967"/>
      <c r="CD68" s="1967"/>
      <c r="CE68" s="1967"/>
      <c r="CF68" s="1967"/>
      <c r="CG68" s="1967"/>
      <c r="CH68" s="1967"/>
      <c r="CI68" s="1967"/>
      <c r="CJ68" s="1967"/>
      <c r="CK68" s="1967"/>
      <c r="CS68" s="1196"/>
      <c r="CT68" s="1160"/>
      <c r="CU68" s="1160"/>
      <c r="CV68" s="1159"/>
      <c r="CW68" s="1159"/>
      <c r="CX68" s="1159"/>
      <c r="CY68" s="212">
        <v>15</v>
      </c>
      <c r="CZ68" s="1156"/>
      <c r="DA68" s="1156"/>
      <c r="DB68" s="1156"/>
      <c r="DC68" s="39"/>
      <c r="DD68" s="948"/>
      <c r="DE68" s="949"/>
      <c r="DF68" s="949"/>
      <c r="DG68" s="949"/>
      <c r="DH68" s="949"/>
      <c r="DI68" s="949"/>
      <c r="DJ68" s="949"/>
      <c r="DK68" s="949"/>
      <c r="DL68" s="949"/>
      <c r="DM68" s="949"/>
      <c r="DN68" s="949"/>
      <c r="DO68" s="949"/>
      <c r="DP68" s="949"/>
      <c r="DQ68" s="949"/>
      <c r="DR68" s="949"/>
      <c r="DS68" s="949"/>
      <c r="DT68" s="949"/>
      <c r="DU68" s="949"/>
      <c r="DV68" s="1133"/>
      <c r="DW68" s="943"/>
      <c r="DX68" s="944"/>
      <c r="DY68" s="944"/>
      <c r="DZ68" s="945"/>
      <c r="EA68" s="939"/>
      <c r="EB68" s="943"/>
      <c r="EC68" s="944"/>
      <c r="ED68" s="944"/>
      <c r="EE68" s="945"/>
      <c r="EF68" s="1100"/>
      <c r="EG68" s="934"/>
      <c r="EH68" s="934"/>
      <c r="EI68" s="934"/>
      <c r="EJ68" s="934"/>
      <c r="EK68" s="934"/>
      <c r="EL68" s="937"/>
      <c r="EM68" s="934"/>
      <c r="EN68" s="934"/>
      <c r="EO68" s="934"/>
      <c r="EP68" s="934"/>
      <c r="EQ68" s="934"/>
      <c r="ER68" s="935"/>
    </row>
    <row r="69" spans="1:148" ht="7.5" customHeight="1" thickBot="1" x14ac:dyDescent="0.3">
      <c r="A69" s="979" t="s">
        <v>86</v>
      </c>
      <c r="B69" s="980"/>
      <c r="C69" s="980"/>
      <c r="D69" s="980"/>
      <c r="E69" s="980"/>
      <c r="F69" s="980"/>
      <c r="G69" s="980"/>
      <c r="H69" s="980"/>
      <c r="I69" s="980"/>
      <c r="J69" s="980"/>
      <c r="K69" s="980"/>
      <c r="L69" s="980"/>
      <c r="M69" s="980"/>
      <c r="N69" s="980"/>
      <c r="O69" s="980"/>
      <c r="P69" s="980"/>
      <c r="Q69" s="980"/>
      <c r="R69" s="980"/>
      <c r="S69" s="980"/>
      <c r="T69" s="980"/>
      <c r="U69" s="980"/>
      <c r="V69" s="1930" t="s">
        <v>91</v>
      </c>
      <c r="W69" s="1930"/>
      <c r="X69" s="1930"/>
      <c r="Y69" s="1930"/>
      <c r="Z69" s="1930"/>
      <c r="AA69" s="1931"/>
      <c r="AB69" s="30"/>
      <c r="AC69" s="1965"/>
      <c r="AD69" s="1965"/>
      <c r="AE69" s="1965"/>
      <c r="AF69" s="1965"/>
      <c r="AG69" s="1965"/>
      <c r="AH69" s="1735"/>
      <c r="AI69" s="1735"/>
      <c r="AJ69" s="1735"/>
      <c r="AK69" s="1735"/>
      <c r="AL69" s="1735"/>
      <c r="AM69" s="1735"/>
      <c r="AN69" s="1735"/>
      <c r="AO69" s="1735"/>
      <c r="AP69" s="1735"/>
      <c r="AQ69" s="1735"/>
      <c r="AR69" s="1735"/>
      <c r="AT69" s="979" t="s">
        <v>86</v>
      </c>
      <c r="AU69" s="980"/>
      <c r="AV69" s="980"/>
      <c r="AW69" s="980"/>
      <c r="AX69" s="980"/>
      <c r="AY69" s="980"/>
      <c r="AZ69" s="980"/>
      <c r="BA69" s="980"/>
      <c r="BB69" s="980"/>
      <c r="BC69" s="980"/>
      <c r="BD69" s="980"/>
      <c r="BE69" s="980"/>
      <c r="BF69" s="980"/>
      <c r="BG69" s="980"/>
      <c r="BH69" s="980"/>
      <c r="BI69" s="980"/>
      <c r="BJ69" s="980"/>
      <c r="BK69" s="980"/>
      <c r="BL69" s="980"/>
      <c r="BM69" s="980"/>
      <c r="BN69" s="980"/>
      <c r="BO69" s="1930" t="s">
        <v>91</v>
      </c>
      <c r="BP69" s="1930"/>
      <c r="BQ69" s="1930"/>
      <c r="BR69" s="1930"/>
      <c r="BS69" s="1930"/>
      <c r="BT69" s="1931"/>
      <c r="BU69" s="30"/>
      <c r="BV69" s="1965"/>
      <c r="BW69" s="1965"/>
      <c r="BX69" s="1965"/>
      <c r="BY69" s="1965"/>
      <c r="BZ69" s="1965"/>
      <c r="CA69" s="1735"/>
      <c r="CB69" s="1735"/>
      <c r="CC69" s="1735"/>
      <c r="CD69" s="1735"/>
      <c r="CE69" s="1735"/>
      <c r="CF69" s="1735"/>
      <c r="CG69" s="1735"/>
      <c r="CH69" s="1735"/>
      <c r="CI69" s="1735"/>
      <c r="CJ69" s="1735"/>
      <c r="CK69" s="1735"/>
      <c r="CS69" s="1154" t="s">
        <v>8</v>
      </c>
      <c r="CT69" s="1154"/>
      <c r="CU69" s="1154"/>
      <c r="CV69" s="1157" t="e">
        <f>INS</f>
        <v>#REF!</v>
      </c>
      <c r="CW69" s="1157"/>
      <c r="CX69" s="1157"/>
      <c r="CY69" s="212"/>
      <c r="CZ69" s="1156" t="e">
        <f>InsMod</f>
        <v>#NAME?</v>
      </c>
      <c r="DA69" s="1156"/>
      <c r="DB69" s="1156"/>
      <c r="DC69" s="39"/>
      <c r="DD69" s="946" t="e">
        <f>INDEX(#REF!,(COUNTA(#REF!))/2+1,0)</f>
        <v>#REF!</v>
      </c>
      <c r="DE69" s="947"/>
      <c r="DF69" s="947"/>
      <c r="DG69" s="947"/>
      <c r="DH69" s="947"/>
      <c r="DI69" s="947"/>
      <c r="DJ69" s="947"/>
      <c r="DK69" s="947"/>
      <c r="DL69" s="947"/>
      <c r="DM69" s="947"/>
      <c r="DN69" s="947"/>
      <c r="DO69" s="947"/>
      <c r="DP69" s="947"/>
      <c r="DQ69" s="947"/>
      <c r="DR69" s="947" t="e">
        <f ca="1">IF(DD69&lt;&gt;"",IF(ISERROR(FIND("Skill",DD69,1)),INDIRECT(SUBSTITUTE(SUBSTITUTE(DD69," ",""),"-","")),"Score"),"")</f>
        <v>#REF!</v>
      </c>
      <c r="DS69" s="947"/>
      <c r="DT69" s="947"/>
      <c r="DU69" s="947"/>
      <c r="DV69" s="1132" t="str">
        <f ca="1">IF(ISNUMBER(DR69),TRUE,"")</f>
        <v/>
      </c>
      <c r="DW69" s="940" t="e">
        <f ca="1">IF(DR69="","",IF(ISNUMBER(DR69),"","Favor"))</f>
        <v>#REF!</v>
      </c>
      <c r="DX69" s="941"/>
      <c r="DY69" s="941"/>
      <c r="DZ69" s="942"/>
      <c r="EA69" s="938" t="str">
        <f ca="1">IF(ISNUMBER(EG69),IF(ISNUMBER(DW69),IF(ABS(DW69)&gt;=EG69,"",EG69-ABS(DW69)),EG69),"")</f>
        <v/>
      </c>
      <c r="EB69" s="940" t="e">
        <f ca="1">IF(DR69="","",IF(ISNUMBER(DR69),"","Bonus"))</f>
        <v>#REF!</v>
      </c>
      <c r="EC69" s="941"/>
      <c r="ED69" s="941"/>
      <c r="EE69" s="942"/>
      <c r="EF69" s="1099" t="str">
        <f ca="1">IF(ISNUMBER(EG69),IF(ISNUMBER(DW69),IF(DW69&gt;EG69,EG69,IF(DW69&gt;=0,DW69,0)),0)+IF(ISNUMBER(EB69),EB69,0),"")</f>
        <v/>
      </c>
      <c r="EG69" s="932" t="e">
        <f ca="1">IF(DR69="","",IF(ISNUMBER(DR69),FLOOR(DR69/5,1),"Passive"))</f>
        <v>#REF!</v>
      </c>
      <c r="EH69" s="932"/>
      <c r="EI69" s="932"/>
      <c r="EJ69" s="932"/>
      <c r="EK69" s="932"/>
      <c r="EL69" s="936"/>
      <c r="EM69" s="932" t="e">
        <f ca="1">IF(DR69="","",IF(ISNUMBER(DR69),IF(AND(EA69&gt;0,ISNUMBER(EA69)),EA69&amp;"dS","")&amp;IF(EF69&gt;0,"+"&amp;EF69,"")&amp;IF(EF69&lt;0,EF69,""),"Check"))</f>
        <v>#REF!</v>
      </c>
      <c r="EN69" s="932"/>
      <c r="EO69" s="932"/>
      <c r="EP69" s="932"/>
      <c r="EQ69" s="932"/>
      <c r="ER69" s="933"/>
    </row>
    <row r="70" spans="1:148" ht="7.5" customHeight="1" thickBot="1" x14ac:dyDescent="0.3">
      <c r="A70" s="1953"/>
      <c r="B70" s="1954"/>
      <c r="C70" s="1954"/>
      <c r="D70" s="1954"/>
      <c r="E70" s="1954"/>
      <c r="F70" s="1954"/>
      <c r="G70" s="1954"/>
      <c r="H70" s="1954"/>
      <c r="I70" s="1954"/>
      <c r="J70" s="1954"/>
      <c r="K70" s="1954"/>
      <c r="L70" s="1954"/>
      <c r="M70" s="1954"/>
      <c r="N70" s="1954"/>
      <c r="O70" s="1954"/>
      <c r="P70" s="1954"/>
      <c r="Q70" s="1954"/>
      <c r="R70" s="1954"/>
      <c r="S70" s="1954"/>
      <c r="T70" s="1954"/>
      <c r="U70" s="1954"/>
      <c r="V70" s="956"/>
      <c r="W70" s="1945"/>
      <c r="X70" s="1945"/>
      <c r="Y70" s="1945"/>
      <c r="Z70" s="1945"/>
      <c r="AA70" s="958"/>
      <c r="AB70" s="30"/>
      <c r="AC70" s="1966"/>
      <c r="AD70" s="1966"/>
      <c r="AE70" s="1966"/>
      <c r="AF70" s="1966"/>
      <c r="AG70" s="1966"/>
      <c r="AH70" s="1723" t="s">
        <v>21</v>
      </c>
      <c r="AI70" s="1723"/>
      <c r="AJ70" s="1723"/>
      <c r="AK70" s="1723"/>
      <c r="AL70" s="1723"/>
      <c r="AM70" s="1723"/>
      <c r="AN70" s="1723"/>
      <c r="AO70" s="1723"/>
      <c r="AP70" s="1723"/>
      <c r="AQ70" s="1723"/>
      <c r="AR70" s="1723"/>
      <c r="AT70" s="1953"/>
      <c r="AU70" s="1954"/>
      <c r="AV70" s="1954"/>
      <c r="AW70" s="1954"/>
      <c r="AX70" s="1954"/>
      <c r="AY70" s="1954"/>
      <c r="AZ70" s="1954"/>
      <c r="BA70" s="1954"/>
      <c r="BB70" s="1954"/>
      <c r="BC70" s="1954"/>
      <c r="BD70" s="1954"/>
      <c r="BE70" s="1954"/>
      <c r="BF70" s="1954"/>
      <c r="BG70" s="1954"/>
      <c r="BH70" s="1954"/>
      <c r="BI70" s="1954"/>
      <c r="BJ70" s="1954"/>
      <c r="BK70" s="1954"/>
      <c r="BL70" s="1954"/>
      <c r="BM70" s="1954"/>
      <c r="BN70" s="1954"/>
      <c r="BO70" s="956"/>
      <c r="BP70" s="1945"/>
      <c r="BQ70" s="1945"/>
      <c r="BR70" s="1945"/>
      <c r="BS70" s="1945"/>
      <c r="BT70" s="958"/>
      <c r="BU70" s="30"/>
      <c r="BV70" s="1966"/>
      <c r="BW70" s="1966"/>
      <c r="BX70" s="1966"/>
      <c r="BY70" s="1966"/>
      <c r="BZ70" s="1966"/>
      <c r="CA70" s="1723" t="s">
        <v>21</v>
      </c>
      <c r="CB70" s="1723"/>
      <c r="CC70" s="1723"/>
      <c r="CD70" s="1723"/>
      <c r="CE70" s="1723"/>
      <c r="CF70" s="1723"/>
      <c r="CG70" s="1723"/>
      <c r="CH70" s="1723"/>
      <c r="CI70" s="1723"/>
      <c r="CJ70" s="1723"/>
      <c r="CK70" s="1723"/>
      <c r="CS70" s="1155"/>
      <c r="CT70" s="1155"/>
      <c r="CU70" s="1155"/>
      <c r="CV70" s="1158"/>
      <c r="CW70" s="1158"/>
      <c r="CX70" s="1158"/>
      <c r="CY70" s="212"/>
      <c r="CZ70" s="1156"/>
      <c r="DA70" s="1156"/>
      <c r="DB70" s="1156"/>
      <c r="DC70" s="39"/>
      <c r="DD70" s="948"/>
      <c r="DE70" s="949"/>
      <c r="DF70" s="949"/>
      <c r="DG70" s="949"/>
      <c r="DH70" s="949"/>
      <c r="DI70" s="949"/>
      <c r="DJ70" s="949"/>
      <c r="DK70" s="949"/>
      <c r="DL70" s="949"/>
      <c r="DM70" s="949"/>
      <c r="DN70" s="949"/>
      <c r="DO70" s="949"/>
      <c r="DP70" s="949"/>
      <c r="DQ70" s="949"/>
      <c r="DR70" s="949"/>
      <c r="DS70" s="949"/>
      <c r="DT70" s="949"/>
      <c r="DU70" s="949"/>
      <c r="DV70" s="1133"/>
      <c r="DW70" s="943"/>
      <c r="DX70" s="944"/>
      <c r="DY70" s="944"/>
      <c r="DZ70" s="945"/>
      <c r="EA70" s="939"/>
      <c r="EB70" s="943"/>
      <c r="EC70" s="944"/>
      <c r="ED70" s="944"/>
      <c r="EE70" s="945"/>
      <c r="EF70" s="1100"/>
      <c r="EG70" s="934"/>
      <c r="EH70" s="934"/>
      <c r="EI70" s="934"/>
      <c r="EJ70" s="934"/>
      <c r="EK70" s="934"/>
      <c r="EL70" s="937"/>
      <c r="EM70" s="934"/>
      <c r="EN70" s="934"/>
      <c r="EO70" s="934"/>
      <c r="EP70" s="934"/>
      <c r="EQ70" s="934"/>
      <c r="ER70" s="935"/>
    </row>
    <row r="71" spans="1:148" ht="7.5" customHeight="1" thickBot="1" x14ac:dyDescent="0.3">
      <c r="A71" s="1953"/>
      <c r="B71" s="1954"/>
      <c r="C71" s="1954"/>
      <c r="D71" s="1954"/>
      <c r="E71" s="1954"/>
      <c r="F71" s="1954"/>
      <c r="G71" s="1954"/>
      <c r="H71" s="1954"/>
      <c r="I71" s="1954"/>
      <c r="J71" s="1954"/>
      <c r="K71" s="1954"/>
      <c r="L71" s="1954"/>
      <c r="M71" s="1954"/>
      <c r="N71" s="1954"/>
      <c r="O71" s="1954"/>
      <c r="P71" s="1954"/>
      <c r="Q71" s="1954"/>
      <c r="R71" s="1954"/>
      <c r="S71" s="1954"/>
      <c r="T71" s="1954"/>
      <c r="U71" s="1954"/>
      <c r="V71" s="1957"/>
      <c r="W71" s="960"/>
      <c r="X71" s="960"/>
      <c r="Y71" s="960"/>
      <c r="Z71" s="960"/>
      <c r="AA71" s="1958"/>
      <c r="AB71" s="30"/>
      <c r="AH71" s="1723"/>
      <c r="AI71" s="1723"/>
      <c r="AJ71" s="1723"/>
      <c r="AK71" s="1723"/>
      <c r="AL71" s="1723"/>
      <c r="AM71" s="1723"/>
      <c r="AN71" s="1723"/>
      <c r="AO71" s="1723"/>
      <c r="AP71" s="1723"/>
      <c r="AQ71" s="1723"/>
      <c r="AR71" s="1723"/>
      <c r="AT71" s="1953"/>
      <c r="AU71" s="1954"/>
      <c r="AV71" s="1954"/>
      <c r="AW71" s="1954"/>
      <c r="AX71" s="1954"/>
      <c r="AY71" s="1954"/>
      <c r="AZ71" s="1954"/>
      <c r="BA71" s="1954"/>
      <c r="BB71" s="1954"/>
      <c r="BC71" s="1954"/>
      <c r="BD71" s="1954"/>
      <c r="BE71" s="1954"/>
      <c r="BF71" s="1954"/>
      <c r="BG71" s="1954"/>
      <c r="BH71" s="1954"/>
      <c r="BI71" s="1954"/>
      <c r="BJ71" s="1954"/>
      <c r="BK71" s="1954"/>
      <c r="BL71" s="1954"/>
      <c r="BM71" s="1954"/>
      <c r="BN71" s="1954"/>
      <c r="BO71" s="1957"/>
      <c r="BP71" s="960"/>
      <c r="BQ71" s="960"/>
      <c r="BR71" s="960"/>
      <c r="BS71" s="960"/>
      <c r="BT71" s="1958"/>
      <c r="BU71" s="30"/>
      <c r="BV71" s="17"/>
      <c r="BW71" s="17"/>
      <c r="BX71" s="17"/>
      <c r="BY71" s="17"/>
      <c r="BZ71" s="17"/>
      <c r="CA71" s="1723"/>
      <c r="CB71" s="1723"/>
      <c r="CC71" s="1723"/>
      <c r="CD71" s="1723"/>
      <c r="CE71" s="1723"/>
      <c r="CF71" s="1723"/>
      <c r="CG71" s="1723"/>
      <c r="CH71" s="1723"/>
      <c r="CI71" s="1723"/>
      <c r="CJ71" s="1723"/>
      <c r="CK71" s="1723"/>
      <c r="CS71" s="1201"/>
      <c r="CT71" s="1201"/>
      <c r="CU71" s="1201"/>
      <c r="CV71" s="1159"/>
      <c r="CW71" s="1159"/>
      <c r="CX71" s="1159"/>
      <c r="CY71" s="212">
        <v>20</v>
      </c>
      <c r="CZ71" s="1156"/>
      <c r="DA71" s="1156"/>
      <c r="DB71" s="1156"/>
      <c r="DC71" s="39"/>
      <c r="DD71" s="946" t="e">
        <f>INDEX(#REF!,(COUNTA(#REF!))/2+1,0)</f>
        <v>#REF!</v>
      </c>
      <c r="DE71" s="947"/>
      <c r="DF71" s="947"/>
      <c r="DG71" s="947"/>
      <c r="DH71" s="947"/>
      <c r="DI71" s="947"/>
      <c r="DJ71" s="947"/>
      <c r="DK71" s="947"/>
      <c r="DL71" s="947"/>
      <c r="DM71" s="947"/>
      <c r="DN71" s="947"/>
      <c r="DO71" s="947"/>
      <c r="DP71" s="947"/>
      <c r="DQ71" s="947"/>
      <c r="DR71" s="947" t="e">
        <f ca="1">IF(DD71&lt;&gt;"",IF(ISERROR(FIND("Skill",DD71,1)),INDIRECT(SUBSTITUTE(SUBSTITUTE(DD71," ",""),"-","")),"Score"),"")</f>
        <v>#REF!</v>
      </c>
      <c r="DS71" s="947"/>
      <c r="DT71" s="947"/>
      <c r="DU71" s="947"/>
      <c r="DV71" s="1132" t="str">
        <f ca="1">IF(ISNUMBER(DR71),TRUE,"")</f>
        <v/>
      </c>
      <c r="DW71" s="940" t="e">
        <f ca="1">IF(DR71="","",IF(ISNUMBER(DR71),"","Favor"))</f>
        <v>#REF!</v>
      </c>
      <c r="DX71" s="941"/>
      <c r="DY71" s="941"/>
      <c r="DZ71" s="942"/>
      <c r="EA71" s="938" t="str">
        <f ca="1">IF(ISNUMBER(EG71),IF(ISNUMBER(DW71),IF(ABS(DW71)&gt;=EG71,"",EG71-ABS(DW71)),EG71),"")</f>
        <v/>
      </c>
      <c r="EB71" s="940" t="e">
        <f ca="1">IF(DR71="","",IF(ISNUMBER(DR71),"","Bonus"))</f>
        <v>#REF!</v>
      </c>
      <c r="EC71" s="941"/>
      <c r="ED71" s="941"/>
      <c r="EE71" s="942"/>
      <c r="EF71" s="1099" t="str">
        <f ca="1">IF(ISNUMBER(EG71),IF(ISNUMBER(DW71),IF(DW71&gt;EG71,EG71,IF(DW71&gt;=0,DW71,0)),0)+IF(ISNUMBER(EB71),EB71,0),"")</f>
        <v/>
      </c>
      <c r="EG71" s="932" t="e">
        <f ca="1">IF(DR71="","",IF(ISNUMBER(DR71),FLOOR(DR71/5,1),"Passive"))</f>
        <v>#REF!</v>
      </c>
      <c r="EH71" s="932"/>
      <c r="EI71" s="932"/>
      <c r="EJ71" s="932"/>
      <c r="EK71" s="932"/>
      <c r="EL71" s="936"/>
      <c r="EM71" s="932" t="e">
        <f ca="1">IF(DR71="","",IF(ISNUMBER(DR71),IF(AND(EA71&gt;0,ISNUMBER(EA71)),EA71&amp;"dS","")&amp;IF(EF71&gt;0,"+"&amp;EF71,"")&amp;IF(EF71&lt;0,EF71,""),"Check"))</f>
        <v>#REF!</v>
      </c>
      <c r="EN71" s="932"/>
      <c r="EO71" s="932"/>
      <c r="EP71" s="932"/>
      <c r="EQ71" s="932"/>
      <c r="ER71" s="933"/>
    </row>
    <row r="72" spans="1:148" ht="7.5" customHeight="1" thickBot="1" x14ac:dyDescent="0.3">
      <c r="A72" s="1953"/>
      <c r="B72" s="1954"/>
      <c r="C72" s="1954"/>
      <c r="D72" s="1954"/>
      <c r="E72" s="1954"/>
      <c r="F72" s="1954"/>
      <c r="G72" s="1954"/>
      <c r="H72" s="1954"/>
      <c r="I72" s="1954"/>
      <c r="J72" s="1954"/>
      <c r="K72" s="1954"/>
      <c r="L72" s="1954"/>
      <c r="M72" s="1954"/>
      <c r="N72" s="1954"/>
      <c r="O72" s="1954"/>
      <c r="P72" s="1954"/>
      <c r="Q72" s="1954"/>
      <c r="R72" s="1954"/>
      <c r="S72" s="1954"/>
      <c r="T72" s="1954"/>
      <c r="U72" s="1954"/>
      <c r="V72" s="1930" t="s">
        <v>90</v>
      </c>
      <c r="W72" s="1930"/>
      <c r="X72" s="1930"/>
      <c r="Y72" s="1930"/>
      <c r="Z72" s="1930"/>
      <c r="AA72" s="1931"/>
      <c r="AB72" s="30"/>
      <c r="AH72" s="1723"/>
      <c r="AI72" s="1723"/>
      <c r="AJ72" s="1723"/>
      <c r="AK72" s="1723"/>
      <c r="AL72" s="1723"/>
      <c r="AM72" s="1723"/>
      <c r="AN72" s="1723"/>
      <c r="AO72" s="1723"/>
      <c r="AP72" s="1723"/>
      <c r="AQ72" s="1723"/>
      <c r="AR72" s="1723"/>
      <c r="AT72" s="1953"/>
      <c r="AU72" s="1954"/>
      <c r="AV72" s="1954"/>
      <c r="AW72" s="1954"/>
      <c r="AX72" s="1954"/>
      <c r="AY72" s="1954"/>
      <c r="AZ72" s="1954"/>
      <c r="BA72" s="1954"/>
      <c r="BB72" s="1954"/>
      <c r="BC72" s="1954"/>
      <c r="BD72" s="1954"/>
      <c r="BE72" s="1954"/>
      <c r="BF72" s="1954"/>
      <c r="BG72" s="1954"/>
      <c r="BH72" s="1954"/>
      <c r="BI72" s="1954"/>
      <c r="BJ72" s="1954"/>
      <c r="BK72" s="1954"/>
      <c r="BL72" s="1954"/>
      <c r="BM72" s="1954"/>
      <c r="BN72" s="1954"/>
      <c r="BO72" s="1930" t="s">
        <v>90</v>
      </c>
      <c r="BP72" s="1930"/>
      <c r="BQ72" s="1930"/>
      <c r="BR72" s="1930"/>
      <c r="BS72" s="1930"/>
      <c r="BT72" s="1931"/>
      <c r="BU72" s="30"/>
      <c r="BV72" s="17"/>
      <c r="BW72" s="17"/>
      <c r="BX72" s="17"/>
      <c r="BY72" s="17"/>
      <c r="BZ72" s="17"/>
      <c r="CA72" s="1723"/>
      <c r="CB72" s="1723"/>
      <c r="CC72" s="1723"/>
      <c r="CD72" s="1723"/>
      <c r="CE72" s="1723"/>
      <c r="CF72" s="1723"/>
      <c r="CG72" s="1723"/>
      <c r="CH72" s="1723"/>
      <c r="CI72" s="1723"/>
      <c r="CJ72" s="1723"/>
      <c r="CK72" s="1723"/>
      <c r="CS72" s="1154" t="s">
        <v>9</v>
      </c>
      <c r="CT72" s="1154"/>
      <c r="CU72" s="1154"/>
      <c r="CV72" s="1157" t="e">
        <f>CNV</f>
        <v>#REF!</v>
      </c>
      <c r="CW72" s="1157"/>
      <c r="CX72" s="1157"/>
      <c r="CY72" s="212"/>
      <c r="CZ72" s="1156" t="e">
        <f>CnvMod</f>
        <v>#NAME?</v>
      </c>
      <c r="DA72" s="1156"/>
      <c r="DB72" s="1156"/>
      <c r="DC72" s="39"/>
      <c r="DD72" s="948"/>
      <c r="DE72" s="949"/>
      <c r="DF72" s="949"/>
      <c r="DG72" s="949"/>
      <c r="DH72" s="949"/>
      <c r="DI72" s="949"/>
      <c r="DJ72" s="949"/>
      <c r="DK72" s="949"/>
      <c r="DL72" s="949"/>
      <c r="DM72" s="949"/>
      <c r="DN72" s="949"/>
      <c r="DO72" s="949"/>
      <c r="DP72" s="949"/>
      <c r="DQ72" s="949"/>
      <c r="DR72" s="949"/>
      <c r="DS72" s="949"/>
      <c r="DT72" s="949"/>
      <c r="DU72" s="949"/>
      <c r="DV72" s="1133"/>
      <c r="DW72" s="943"/>
      <c r="DX72" s="944"/>
      <c r="DY72" s="944"/>
      <c r="DZ72" s="945"/>
      <c r="EA72" s="939"/>
      <c r="EB72" s="943"/>
      <c r="EC72" s="944"/>
      <c r="ED72" s="944"/>
      <c r="EE72" s="945"/>
      <c r="EF72" s="1100"/>
      <c r="EG72" s="934"/>
      <c r="EH72" s="934"/>
      <c r="EI72" s="934"/>
      <c r="EJ72" s="934"/>
      <c r="EK72" s="934"/>
      <c r="EL72" s="937"/>
      <c r="EM72" s="934"/>
      <c r="EN72" s="934"/>
      <c r="EO72" s="934"/>
      <c r="EP72" s="934"/>
      <c r="EQ72" s="934"/>
      <c r="ER72" s="935"/>
    </row>
    <row r="73" spans="1:148" ht="7.5" customHeight="1" thickBot="1" x14ac:dyDescent="0.3">
      <c r="A73" s="1953"/>
      <c r="B73" s="1954"/>
      <c r="C73" s="1954"/>
      <c r="D73" s="1954"/>
      <c r="E73" s="1954"/>
      <c r="F73" s="1954"/>
      <c r="G73" s="1954"/>
      <c r="H73" s="1954"/>
      <c r="I73" s="1954"/>
      <c r="J73" s="1954"/>
      <c r="K73" s="1954"/>
      <c r="L73" s="1954"/>
      <c r="M73" s="1954"/>
      <c r="N73" s="1954"/>
      <c r="O73" s="1954"/>
      <c r="P73" s="1954"/>
      <c r="Q73" s="1954"/>
      <c r="R73" s="1954"/>
      <c r="S73" s="1954"/>
      <c r="T73" s="1954"/>
      <c r="U73" s="1954"/>
      <c r="V73" s="956"/>
      <c r="W73" s="1945"/>
      <c r="X73" s="1945"/>
      <c r="Y73" s="1945"/>
      <c r="Z73" s="1945"/>
      <c r="AA73" s="958"/>
      <c r="AB73" s="30"/>
      <c r="AH73" s="1723"/>
      <c r="AI73" s="1723"/>
      <c r="AJ73" s="1723"/>
      <c r="AK73" s="1723"/>
      <c r="AL73" s="1723"/>
      <c r="AM73" s="1723"/>
      <c r="AN73" s="1723"/>
      <c r="AO73" s="1723"/>
      <c r="AP73" s="1723"/>
      <c r="AQ73" s="1723"/>
      <c r="AR73" s="1723"/>
      <c r="AT73" s="1953"/>
      <c r="AU73" s="1954"/>
      <c r="AV73" s="1954"/>
      <c r="AW73" s="1954"/>
      <c r="AX73" s="1954"/>
      <c r="AY73" s="1954"/>
      <c r="AZ73" s="1954"/>
      <c r="BA73" s="1954"/>
      <c r="BB73" s="1954"/>
      <c r="BC73" s="1954"/>
      <c r="BD73" s="1954"/>
      <c r="BE73" s="1954"/>
      <c r="BF73" s="1954"/>
      <c r="BG73" s="1954"/>
      <c r="BH73" s="1954"/>
      <c r="BI73" s="1954"/>
      <c r="BJ73" s="1954"/>
      <c r="BK73" s="1954"/>
      <c r="BL73" s="1954"/>
      <c r="BM73" s="1954"/>
      <c r="BN73" s="1954"/>
      <c r="BO73" s="956"/>
      <c r="BP73" s="1945"/>
      <c r="BQ73" s="1945"/>
      <c r="BR73" s="1945"/>
      <c r="BS73" s="1945"/>
      <c r="BT73" s="958"/>
      <c r="BU73" s="30"/>
      <c r="BV73" s="17"/>
      <c r="BW73" s="17"/>
      <c r="BX73" s="17"/>
      <c r="BY73" s="17"/>
      <c r="BZ73" s="17"/>
      <c r="CA73" s="1723"/>
      <c r="CB73" s="1723"/>
      <c r="CC73" s="1723"/>
      <c r="CD73" s="1723"/>
      <c r="CE73" s="1723"/>
      <c r="CF73" s="1723"/>
      <c r="CG73" s="1723"/>
      <c r="CH73" s="1723"/>
      <c r="CI73" s="1723"/>
      <c r="CJ73" s="1723"/>
      <c r="CK73" s="1723"/>
      <c r="CS73" s="1155"/>
      <c r="CT73" s="1155"/>
      <c r="CU73" s="1155"/>
      <c r="CV73" s="1158"/>
      <c r="CW73" s="1158"/>
      <c r="CX73" s="1158"/>
      <c r="CY73" s="212"/>
      <c r="CZ73" s="1156"/>
      <c r="DA73" s="1156"/>
      <c r="DB73" s="1156"/>
      <c r="DC73" s="39"/>
      <c r="DD73" s="946" t="e">
        <f>INDEX(#REF!,(COUNTA(#REF!))/2+1,0)</f>
        <v>#REF!</v>
      </c>
      <c r="DE73" s="947"/>
      <c r="DF73" s="947"/>
      <c r="DG73" s="947"/>
      <c r="DH73" s="947"/>
      <c r="DI73" s="947"/>
      <c r="DJ73" s="947"/>
      <c r="DK73" s="947"/>
      <c r="DL73" s="947"/>
      <c r="DM73" s="947"/>
      <c r="DN73" s="947"/>
      <c r="DO73" s="947"/>
      <c r="DP73" s="947"/>
      <c r="DQ73" s="947"/>
      <c r="DR73" s="947" t="e">
        <f ca="1">IF(DD73&lt;&gt;"",IF(ISERROR(FIND("Skill",DD73,1)),INDIRECT(SUBSTITUTE(SUBSTITUTE(DD73," ",""),"-","")),"Score"),"")</f>
        <v>#REF!</v>
      </c>
      <c r="DS73" s="947"/>
      <c r="DT73" s="947"/>
      <c r="DU73" s="947"/>
      <c r="DV73" s="1132" t="str">
        <f ca="1">IF(ISNUMBER(DR73),TRUE,"")</f>
        <v/>
      </c>
      <c r="DW73" s="940" t="e">
        <f ca="1">IF(DR73="","",IF(ISNUMBER(DR73),"","Favor"))</f>
        <v>#REF!</v>
      </c>
      <c r="DX73" s="941"/>
      <c r="DY73" s="941"/>
      <c r="DZ73" s="942"/>
      <c r="EA73" s="938" t="str">
        <f ca="1">IF(ISNUMBER(EG73),IF(ISNUMBER(DW73),IF(ABS(DW73)&gt;=EG73,"",EG73-ABS(DW73)),EG73),"")</f>
        <v/>
      </c>
      <c r="EB73" s="940" t="e">
        <f ca="1">IF(DR73="","",IF(ISNUMBER(DR73),"","Bonus"))</f>
        <v>#REF!</v>
      </c>
      <c r="EC73" s="941"/>
      <c r="ED73" s="941"/>
      <c r="EE73" s="942"/>
      <c r="EF73" s="1099" t="str">
        <f ca="1">IF(ISNUMBER(EG73),IF(ISNUMBER(DW73),IF(DW73&gt;EG73,EG73,IF(DW73&gt;=0,DW73,0)),0)+IF(ISNUMBER(EB73),EB73,0),"")</f>
        <v/>
      </c>
      <c r="EG73" s="932" t="e">
        <f ca="1">IF(DR73="","",IF(ISNUMBER(DR73),FLOOR(DR73/5,1),"Passive"))</f>
        <v>#REF!</v>
      </c>
      <c r="EH73" s="932"/>
      <c r="EI73" s="932"/>
      <c r="EJ73" s="932"/>
      <c r="EK73" s="932"/>
      <c r="EL73" s="936"/>
      <c r="EM73" s="932" t="e">
        <f ca="1">IF(DR73="","",IF(ISNUMBER(DR73),IF(AND(EA73&gt;0,ISNUMBER(EA73)),EA73&amp;"dS","")&amp;IF(EF73&gt;0,"+"&amp;EF73,"")&amp;IF(EF73&lt;0,EF73,""),"Check"))</f>
        <v>#REF!</v>
      </c>
      <c r="EN73" s="932"/>
      <c r="EO73" s="932"/>
      <c r="EP73" s="932"/>
      <c r="EQ73" s="932"/>
      <c r="ER73" s="933"/>
    </row>
    <row r="74" spans="1:148" ht="7.5" customHeight="1" thickBot="1" x14ac:dyDescent="0.3">
      <c r="A74" s="1955"/>
      <c r="B74" s="1956"/>
      <c r="C74" s="1956"/>
      <c r="D74" s="1956"/>
      <c r="E74" s="1956"/>
      <c r="F74" s="1956"/>
      <c r="G74" s="1956"/>
      <c r="H74" s="1956"/>
      <c r="I74" s="1956"/>
      <c r="J74" s="1956"/>
      <c r="K74" s="1956"/>
      <c r="L74" s="1956"/>
      <c r="M74" s="1956"/>
      <c r="N74" s="1956"/>
      <c r="O74" s="1956"/>
      <c r="P74" s="1956"/>
      <c r="Q74" s="1956"/>
      <c r="R74" s="1956"/>
      <c r="S74" s="1956"/>
      <c r="T74" s="1956"/>
      <c r="U74" s="1956"/>
      <c r="V74" s="1946"/>
      <c r="W74" s="1947"/>
      <c r="X74" s="1947"/>
      <c r="Y74" s="1947"/>
      <c r="Z74" s="1947"/>
      <c r="AA74" s="1948"/>
      <c r="AB74" s="247"/>
      <c r="AH74" s="1944"/>
      <c r="AI74" s="1944"/>
      <c r="AJ74" s="1944"/>
      <c r="AK74" s="1944"/>
      <c r="AL74" s="1944"/>
      <c r="AM74" s="1944"/>
      <c r="AN74" s="1944"/>
      <c r="AO74" s="1944"/>
      <c r="AP74" s="1944"/>
      <c r="AQ74" s="1944"/>
      <c r="AR74" s="1944"/>
      <c r="AT74" s="1955"/>
      <c r="AU74" s="1956"/>
      <c r="AV74" s="1956"/>
      <c r="AW74" s="1956"/>
      <c r="AX74" s="1956"/>
      <c r="AY74" s="1956"/>
      <c r="AZ74" s="1956"/>
      <c r="BA74" s="1956"/>
      <c r="BB74" s="1956"/>
      <c r="BC74" s="1956"/>
      <c r="BD74" s="1956"/>
      <c r="BE74" s="1956"/>
      <c r="BF74" s="1956"/>
      <c r="BG74" s="1956"/>
      <c r="BH74" s="1956"/>
      <c r="BI74" s="1956"/>
      <c r="BJ74" s="1956"/>
      <c r="BK74" s="1956"/>
      <c r="BL74" s="1956"/>
      <c r="BM74" s="1956"/>
      <c r="BN74" s="1956"/>
      <c r="BO74" s="1946"/>
      <c r="BP74" s="1947"/>
      <c r="BQ74" s="1947"/>
      <c r="BR74" s="1947"/>
      <c r="BS74" s="1947"/>
      <c r="BT74" s="1948"/>
      <c r="BU74" s="247"/>
      <c r="BV74" s="17"/>
      <c r="BW74" s="17"/>
      <c r="BX74" s="17"/>
      <c r="BY74" s="17"/>
      <c r="BZ74" s="17"/>
      <c r="CA74" s="1944"/>
      <c r="CB74" s="1944"/>
      <c r="CC74" s="1944"/>
      <c r="CD74" s="1944"/>
      <c r="CE74" s="1944"/>
      <c r="CF74" s="1944"/>
      <c r="CG74" s="1944"/>
      <c r="CH74" s="1944"/>
      <c r="CI74" s="1944"/>
      <c r="CJ74" s="1944"/>
      <c r="CK74" s="1944"/>
      <c r="CS74" s="1160"/>
      <c r="CT74" s="1160"/>
      <c r="CU74" s="1160"/>
      <c r="CV74" s="1159"/>
      <c r="CW74" s="1159"/>
      <c r="CX74" s="1159"/>
      <c r="CY74" s="212">
        <v>10</v>
      </c>
      <c r="CZ74" s="1156"/>
      <c r="DA74" s="1156"/>
      <c r="DB74" s="1156"/>
      <c r="DC74" s="39"/>
      <c r="DD74" s="948"/>
      <c r="DE74" s="949"/>
      <c r="DF74" s="949"/>
      <c r="DG74" s="949"/>
      <c r="DH74" s="949"/>
      <c r="DI74" s="949"/>
      <c r="DJ74" s="949"/>
      <c r="DK74" s="949"/>
      <c r="DL74" s="949"/>
      <c r="DM74" s="949"/>
      <c r="DN74" s="949"/>
      <c r="DO74" s="949"/>
      <c r="DP74" s="949"/>
      <c r="DQ74" s="949"/>
      <c r="DR74" s="949"/>
      <c r="DS74" s="949"/>
      <c r="DT74" s="949"/>
      <c r="DU74" s="949"/>
      <c r="DV74" s="1133"/>
      <c r="DW74" s="943"/>
      <c r="DX74" s="944"/>
      <c r="DY74" s="944"/>
      <c r="DZ74" s="945"/>
      <c r="EA74" s="939"/>
      <c r="EB74" s="943"/>
      <c r="EC74" s="944"/>
      <c r="ED74" s="944"/>
      <c r="EE74" s="945"/>
      <c r="EF74" s="1100"/>
      <c r="EG74" s="934"/>
      <c r="EH74" s="934"/>
      <c r="EI74" s="934"/>
      <c r="EJ74" s="934"/>
      <c r="EK74" s="934"/>
      <c r="EL74" s="937"/>
      <c r="EM74" s="934"/>
      <c r="EN74" s="934"/>
      <c r="EO74" s="934"/>
      <c r="EP74" s="934"/>
      <c r="EQ74" s="934"/>
      <c r="ER74" s="935"/>
    </row>
    <row r="84" spans="1:126" ht="7.5" customHeight="1" x14ac:dyDescent="0.25">
      <c r="CN84" s="975" t="s">
        <v>85</v>
      </c>
      <c r="CO84" s="976"/>
      <c r="CP84" s="976"/>
      <c r="CQ84" s="201"/>
      <c r="CR84" s="201"/>
      <c r="CS84" s="201"/>
      <c r="CT84" s="201"/>
      <c r="CU84" s="201"/>
      <c r="CV84" s="201"/>
      <c r="CW84" s="201"/>
      <c r="CX84" s="201"/>
      <c r="CY84" s="201"/>
      <c r="CZ84" s="201"/>
      <c r="DA84" s="202"/>
      <c r="DB84" s="202"/>
      <c r="DC84" s="202"/>
      <c r="DD84" s="202"/>
      <c r="DE84" s="203"/>
      <c r="DF84" s="204" t="s">
        <v>89</v>
      </c>
      <c r="DG84" s="204"/>
      <c r="DH84" s="204"/>
      <c r="DI84" s="204"/>
      <c r="DJ84" s="205"/>
      <c r="DK84" s="205"/>
      <c r="DL84" s="205"/>
      <c r="DM84" s="205"/>
      <c r="DN84" s="206"/>
      <c r="DO84" s="207" t="s">
        <v>88</v>
      </c>
      <c r="DP84" s="208"/>
      <c r="DQ84" s="208"/>
      <c r="DR84" s="208"/>
      <c r="DS84" s="208"/>
      <c r="DT84" s="208"/>
      <c r="DU84" s="208"/>
      <c r="DV84" s="209"/>
    </row>
    <row r="85" spans="1:126" ht="7.5" customHeight="1" x14ac:dyDescent="0.25">
      <c r="CN85" s="950"/>
      <c r="CO85" s="951"/>
      <c r="CP85" s="951"/>
      <c r="CQ85" s="951"/>
      <c r="CR85" s="951"/>
      <c r="CS85" s="951"/>
      <c r="CT85" s="951"/>
      <c r="CU85" s="951"/>
      <c r="CV85" s="951"/>
      <c r="CW85" s="951"/>
      <c r="CX85" s="951"/>
      <c r="CY85" s="951"/>
      <c r="CZ85" s="951"/>
      <c r="DA85" s="951"/>
      <c r="DB85" s="951"/>
      <c r="DC85" s="951"/>
      <c r="DD85" s="951"/>
      <c r="DE85" s="952"/>
      <c r="DF85" s="981"/>
      <c r="DG85" s="982"/>
      <c r="DH85" s="982"/>
      <c r="DI85" s="982"/>
      <c r="DJ85" s="982"/>
      <c r="DK85" s="982"/>
      <c r="DL85" s="982"/>
      <c r="DM85" s="982"/>
      <c r="DN85" s="983"/>
      <c r="DO85" s="1080"/>
      <c r="DP85" s="1081"/>
      <c r="DQ85" s="1081"/>
      <c r="DR85" s="1081"/>
      <c r="DS85" s="1081"/>
      <c r="DT85" s="1081"/>
      <c r="DU85" s="1081"/>
      <c r="DV85" s="1082"/>
    </row>
    <row r="86" spans="1:126" ht="7.5" customHeight="1" x14ac:dyDescent="0.25">
      <c r="CN86" s="953"/>
      <c r="CO86" s="954"/>
      <c r="CP86" s="954"/>
      <c r="CQ86" s="954"/>
      <c r="CR86" s="954"/>
      <c r="CS86" s="954"/>
      <c r="CT86" s="954"/>
      <c r="CU86" s="954"/>
      <c r="CV86" s="954"/>
      <c r="CW86" s="954"/>
      <c r="CX86" s="954"/>
      <c r="CY86" s="954"/>
      <c r="CZ86" s="954"/>
      <c r="DA86" s="954"/>
      <c r="DB86" s="954"/>
      <c r="DC86" s="954"/>
      <c r="DD86" s="954"/>
      <c r="DE86" s="955"/>
      <c r="DF86" s="984"/>
      <c r="DG86" s="985"/>
      <c r="DH86" s="985"/>
      <c r="DI86" s="985"/>
      <c r="DJ86" s="985"/>
      <c r="DK86" s="985"/>
      <c r="DL86" s="985"/>
      <c r="DM86" s="985"/>
      <c r="DN86" s="986"/>
      <c r="DO86" s="1083"/>
      <c r="DP86" s="1084"/>
      <c r="DQ86" s="1084"/>
      <c r="DR86" s="1084"/>
      <c r="DS86" s="1084"/>
      <c r="DT86" s="1084"/>
      <c r="DU86" s="1084"/>
      <c r="DV86" s="1085"/>
    </row>
    <row r="87" spans="1:126" ht="7.5" customHeight="1" thickBot="1" x14ac:dyDescent="0.3">
      <c r="A87" s="257"/>
      <c r="B87" s="258"/>
      <c r="C87" s="258"/>
      <c r="D87" s="258"/>
      <c r="E87" s="258"/>
      <c r="F87" s="258"/>
      <c r="G87" s="258"/>
      <c r="H87" s="258"/>
      <c r="I87" s="258"/>
      <c r="J87" s="258"/>
      <c r="K87" s="258"/>
      <c r="L87" s="258"/>
      <c r="M87" s="258"/>
      <c r="N87" s="258"/>
      <c r="O87" s="258"/>
      <c r="P87" s="258"/>
      <c r="Q87" s="258"/>
      <c r="R87" s="258"/>
      <c r="S87" s="258"/>
      <c r="T87" s="258"/>
      <c r="U87" s="258"/>
      <c r="CN87" s="979" t="s">
        <v>86</v>
      </c>
      <c r="CO87" s="980"/>
      <c r="CP87" s="980"/>
      <c r="CQ87" s="980"/>
      <c r="CR87" s="980"/>
      <c r="CS87" s="980"/>
      <c r="CT87" s="39"/>
      <c r="CU87" s="39"/>
      <c r="CV87" s="39"/>
      <c r="CW87" s="39"/>
      <c r="CX87" s="39"/>
      <c r="CY87" s="39"/>
      <c r="CZ87" s="39"/>
      <c r="DA87" s="39"/>
      <c r="DB87" s="39"/>
      <c r="DC87" s="39"/>
      <c r="DD87" s="39"/>
      <c r="DE87" s="39"/>
      <c r="DF87" s="39"/>
      <c r="DG87" s="39"/>
      <c r="DH87" s="39"/>
      <c r="DI87" s="39"/>
      <c r="DJ87" s="39"/>
      <c r="DK87" s="39"/>
      <c r="DL87" s="39"/>
      <c r="DM87" s="39"/>
      <c r="DN87" s="39"/>
      <c r="DO87" s="39"/>
      <c r="DP87" s="965" t="s">
        <v>91</v>
      </c>
      <c r="DQ87" s="965"/>
      <c r="DR87" s="965"/>
      <c r="DS87" s="965"/>
      <c r="DT87" s="39"/>
      <c r="DU87" s="39"/>
      <c r="DV87" s="39"/>
    </row>
    <row r="88" spans="1:126" ht="7.5" customHeight="1" thickTop="1" x14ac:dyDescent="0.25">
      <c r="V88" s="39"/>
      <c r="W88" s="39"/>
      <c r="X88" s="39"/>
      <c r="Y88" s="39"/>
      <c r="Z88" s="39"/>
      <c r="AA88" s="39"/>
      <c r="CN88" s="971"/>
      <c r="CO88" s="972"/>
      <c r="CP88" s="972"/>
      <c r="CQ88" s="972"/>
      <c r="CR88" s="972"/>
      <c r="CS88" s="972"/>
      <c r="CT88" s="972"/>
      <c r="CU88" s="972"/>
      <c r="CV88" s="972"/>
      <c r="CW88" s="972"/>
      <c r="CX88" s="972"/>
      <c r="CY88" s="972"/>
      <c r="CZ88" s="972"/>
      <c r="DA88" s="972"/>
      <c r="DB88" s="972"/>
      <c r="DC88" s="972"/>
      <c r="DD88" s="972"/>
      <c r="DE88" s="972"/>
      <c r="DF88" s="972"/>
      <c r="DG88" s="972"/>
      <c r="DH88" s="972"/>
      <c r="DI88" s="972"/>
      <c r="DJ88" s="972"/>
      <c r="DK88" s="972"/>
      <c r="DL88" s="972"/>
      <c r="DM88" s="972"/>
      <c r="DN88" s="972"/>
      <c r="DO88" s="956"/>
      <c r="DP88" s="957"/>
      <c r="DQ88" s="957"/>
      <c r="DR88" s="957"/>
      <c r="DS88" s="957"/>
      <c r="DT88" s="957"/>
      <c r="DU88" s="957"/>
      <c r="DV88" s="958"/>
    </row>
    <row r="89" spans="1:126" ht="7.5" customHeight="1" x14ac:dyDescent="0.25">
      <c r="V89" s="256"/>
      <c r="W89" s="256"/>
      <c r="X89" s="256"/>
      <c r="Y89" s="256"/>
      <c r="Z89" s="256"/>
      <c r="AA89" s="256"/>
      <c r="CN89" s="971"/>
      <c r="CO89" s="972"/>
      <c r="CP89" s="972"/>
      <c r="CQ89" s="972"/>
      <c r="CR89" s="972"/>
      <c r="CS89" s="972"/>
      <c r="CT89" s="972"/>
      <c r="CU89" s="972"/>
      <c r="CV89" s="972"/>
      <c r="CW89" s="972"/>
      <c r="CX89" s="972"/>
      <c r="CY89" s="972"/>
      <c r="CZ89" s="972"/>
      <c r="DA89" s="972"/>
      <c r="DB89" s="972"/>
      <c r="DC89" s="972"/>
      <c r="DD89" s="972"/>
      <c r="DE89" s="972"/>
      <c r="DF89" s="972"/>
      <c r="DG89" s="972"/>
      <c r="DH89" s="972"/>
      <c r="DI89" s="972"/>
      <c r="DJ89" s="972"/>
      <c r="DK89" s="972"/>
      <c r="DL89" s="972"/>
      <c r="DM89" s="972"/>
      <c r="DN89" s="972"/>
      <c r="DO89" s="959"/>
      <c r="DP89" s="960"/>
      <c r="DQ89" s="960"/>
      <c r="DR89" s="960"/>
      <c r="DS89" s="960"/>
      <c r="DT89" s="960"/>
      <c r="DU89" s="960"/>
      <c r="DV89" s="961"/>
    </row>
    <row r="90" spans="1:126" ht="7.5" customHeight="1" x14ac:dyDescent="0.25">
      <c r="V90" s="256"/>
      <c r="W90" s="256"/>
      <c r="X90" s="256"/>
      <c r="Y90" s="256"/>
      <c r="Z90" s="256"/>
      <c r="AA90" s="256"/>
      <c r="CN90" s="971"/>
      <c r="CO90" s="972"/>
      <c r="CP90" s="972"/>
      <c r="CQ90" s="972"/>
      <c r="CR90" s="972"/>
      <c r="CS90" s="972"/>
      <c r="CT90" s="972"/>
      <c r="CU90" s="972"/>
      <c r="CV90" s="972"/>
      <c r="CW90" s="972"/>
      <c r="CX90" s="972"/>
      <c r="CY90" s="972"/>
      <c r="CZ90" s="972"/>
      <c r="DA90" s="972"/>
      <c r="DB90" s="972"/>
      <c r="DC90" s="972"/>
      <c r="DD90" s="972"/>
      <c r="DE90" s="972"/>
      <c r="DF90" s="972"/>
      <c r="DG90" s="972"/>
      <c r="DH90" s="972"/>
      <c r="DI90" s="972"/>
      <c r="DJ90" s="972"/>
      <c r="DK90" s="972"/>
      <c r="DL90" s="972"/>
      <c r="DM90" s="972"/>
      <c r="DN90" s="972"/>
      <c r="DO90" s="962"/>
      <c r="DP90" s="963"/>
      <c r="DQ90" s="963"/>
      <c r="DR90" s="963"/>
      <c r="DS90" s="963"/>
      <c r="DT90" s="963"/>
      <c r="DU90" s="963"/>
      <c r="DV90" s="964"/>
    </row>
    <row r="91" spans="1:126" ht="7.5" customHeight="1" x14ac:dyDescent="0.25">
      <c r="V91" s="256"/>
      <c r="W91" s="256"/>
      <c r="X91" s="256"/>
      <c r="Y91" s="256"/>
      <c r="Z91" s="256"/>
      <c r="AA91" s="256"/>
      <c r="CN91" s="971"/>
      <c r="CO91" s="972"/>
      <c r="CP91" s="972"/>
      <c r="CQ91" s="972"/>
      <c r="CR91" s="972"/>
      <c r="CS91" s="972"/>
      <c r="CT91" s="972"/>
      <c r="CU91" s="972"/>
      <c r="CV91" s="972"/>
      <c r="CW91" s="972"/>
      <c r="CX91" s="972"/>
      <c r="CY91" s="972"/>
      <c r="CZ91" s="972"/>
      <c r="DA91" s="972"/>
      <c r="DB91" s="972"/>
      <c r="DC91" s="972"/>
      <c r="DD91" s="972"/>
      <c r="DE91" s="972"/>
      <c r="DF91" s="972"/>
      <c r="DG91" s="972"/>
      <c r="DH91" s="972"/>
      <c r="DI91" s="972"/>
      <c r="DJ91" s="972"/>
      <c r="DK91" s="972"/>
      <c r="DL91" s="972"/>
      <c r="DM91" s="972"/>
      <c r="DN91" s="972"/>
      <c r="DO91" s="199"/>
      <c r="DP91" s="1076" t="s">
        <v>90</v>
      </c>
      <c r="DQ91" s="1076"/>
      <c r="DR91" s="1076"/>
      <c r="DS91" s="1076"/>
      <c r="DT91" s="1076"/>
      <c r="DU91" s="1076"/>
      <c r="DV91" s="1076"/>
    </row>
    <row r="92" spans="1:126" ht="7.5" customHeight="1" x14ac:dyDescent="0.25">
      <c r="V92" s="256"/>
      <c r="W92" s="256"/>
      <c r="X92" s="256"/>
      <c r="Y92" s="256"/>
      <c r="Z92" s="256"/>
      <c r="AA92" s="256"/>
      <c r="CN92" s="971"/>
      <c r="CO92" s="972"/>
      <c r="CP92" s="972"/>
      <c r="CQ92" s="972"/>
      <c r="CR92" s="972"/>
      <c r="CS92" s="972"/>
      <c r="CT92" s="972"/>
      <c r="CU92" s="972"/>
      <c r="CV92" s="972"/>
      <c r="CW92" s="972"/>
      <c r="CX92" s="972"/>
      <c r="CY92" s="972"/>
      <c r="CZ92" s="972"/>
      <c r="DA92" s="972"/>
      <c r="DB92" s="972"/>
      <c r="DC92" s="972"/>
      <c r="DD92" s="972"/>
      <c r="DE92" s="972"/>
      <c r="DF92" s="972"/>
      <c r="DG92" s="972"/>
      <c r="DH92" s="972"/>
      <c r="DI92" s="972"/>
      <c r="DJ92" s="972"/>
      <c r="DK92" s="972"/>
      <c r="DL92" s="972"/>
      <c r="DM92" s="972"/>
      <c r="DN92" s="972"/>
      <c r="DO92" s="956"/>
      <c r="DP92" s="957"/>
      <c r="DQ92" s="957"/>
      <c r="DR92" s="957"/>
      <c r="DS92" s="957"/>
      <c r="DT92" s="957"/>
      <c r="DU92" s="957"/>
      <c r="DV92" s="958"/>
    </row>
    <row r="93" spans="1:126" ht="7.5" customHeight="1" x14ac:dyDescent="0.25">
      <c r="V93" s="256"/>
      <c r="W93" s="256"/>
      <c r="X93" s="256"/>
      <c r="Y93" s="256"/>
      <c r="Z93" s="256"/>
      <c r="AA93" s="256"/>
      <c r="CN93" s="971"/>
      <c r="CO93" s="972"/>
      <c r="CP93" s="972"/>
      <c r="CQ93" s="972"/>
      <c r="CR93" s="972"/>
      <c r="CS93" s="972"/>
      <c r="CT93" s="972"/>
      <c r="CU93" s="972"/>
      <c r="CV93" s="972"/>
      <c r="CW93" s="972"/>
      <c r="CX93" s="972"/>
      <c r="CY93" s="972"/>
      <c r="CZ93" s="972"/>
      <c r="DA93" s="972"/>
      <c r="DB93" s="972"/>
      <c r="DC93" s="972"/>
      <c r="DD93" s="972"/>
      <c r="DE93" s="972"/>
      <c r="DF93" s="972"/>
      <c r="DG93" s="972"/>
      <c r="DH93" s="972"/>
      <c r="DI93" s="972"/>
      <c r="DJ93" s="972"/>
      <c r="DK93" s="972"/>
      <c r="DL93" s="972"/>
      <c r="DM93" s="972"/>
      <c r="DN93" s="972"/>
      <c r="DO93" s="959"/>
      <c r="DP93" s="960"/>
      <c r="DQ93" s="960"/>
      <c r="DR93" s="960"/>
      <c r="DS93" s="960"/>
      <c r="DT93" s="960"/>
      <c r="DU93" s="960"/>
      <c r="DV93" s="961"/>
    </row>
    <row r="94" spans="1:126" ht="7.5" customHeight="1" x14ac:dyDescent="0.25">
      <c r="V94" s="256"/>
      <c r="W94" s="256"/>
      <c r="X94" s="256"/>
      <c r="Y94" s="256"/>
      <c r="Z94" s="256"/>
      <c r="AA94" s="256"/>
      <c r="CN94" s="971"/>
      <c r="CO94" s="972"/>
      <c r="CP94" s="972"/>
      <c r="CQ94" s="972"/>
      <c r="CR94" s="972"/>
      <c r="CS94" s="972"/>
      <c r="CT94" s="972"/>
      <c r="CU94" s="972"/>
      <c r="CV94" s="972"/>
      <c r="CW94" s="972"/>
      <c r="CX94" s="972"/>
      <c r="CY94" s="972"/>
      <c r="CZ94" s="972"/>
      <c r="DA94" s="972"/>
      <c r="DB94" s="972"/>
      <c r="DC94" s="972"/>
      <c r="DD94" s="972"/>
      <c r="DE94" s="972"/>
      <c r="DF94" s="972"/>
      <c r="DG94" s="972"/>
      <c r="DH94" s="972"/>
      <c r="DI94" s="972"/>
      <c r="DJ94" s="972"/>
      <c r="DK94" s="972"/>
      <c r="DL94" s="972"/>
      <c r="DM94" s="972"/>
      <c r="DN94" s="972"/>
      <c r="DO94" s="962"/>
      <c r="DP94" s="963"/>
      <c r="DQ94" s="963"/>
      <c r="DR94" s="963"/>
      <c r="DS94" s="963"/>
      <c r="DT94" s="963"/>
      <c r="DU94" s="963"/>
      <c r="DV94" s="964"/>
    </row>
    <row r="95" spans="1:126" ht="7.5" customHeight="1" thickBot="1" x14ac:dyDescent="0.3">
      <c r="V95" s="256"/>
      <c r="W95" s="256"/>
      <c r="X95" s="256"/>
      <c r="Y95" s="256"/>
      <c r="Z95" s="256"/>
      <c r="AA95" s="256"/>
      <c r="CN95" s="977"/>
      <c r="CO95" s="978"/>
      <c r="CP95" s="978"/>
      <c r="CQ95" s="978"/>
      <c r="CR95" s="978"/>
      <c r="CS95" s="978"/>
      <c r="CT95" s="978"/>
      <c r="CU95" s="978"/>
      <c r="CV95" s="978"/>
      <c r="CW95" s="978"/>
      <c r="CX95" s="978"/>
      <c r="CY95" s="978"/>
      <c r="CZ95" s="978"/>
      <c r="DA95" s="978"/>
      <c r="DB95" s="978"/>
      <c r="DC95" s="978"/>
      <c r="DD95" s="978"/>
      <c r="DE95" s="978"/>
      <c r="DF95" s="978"/>
      <c r="DG95" s="978"/>
      <c r="DH95" s="978"/>
      <c r="DI95" s="978"/>
      <c r="DJ95" s="978"/>
      <c r="DK95" s="978"/>
      <c r="DL95" s="978"/>
      <c r="DM95" s="978"/>
      <c r="DN95" s="978"/>
      <c r="DO95" s="217"/>
      <c r="DP95" s="217"/>
      <c r="DQ95" s="217"/>
      <c r="DR95" s="217"/>
      <c r="DS95" s="217"/>
      <c r="DT95" s="217"/>
      <c r="DU95" s="217"/>
      <c r="DV95" s="217"/>
    </row>
    <row r="96" spans="1:126" ht="7.5" customHeight="1" thickTop="1" thickBot="1" x14ac:dyDescent="0.3">
      <c r="V96" s="258"/>
      <c r="W96" s="258"/>
      <c r="X96" s="258"/>
      <c r="Y96" s="258"/>
      <c r="Z96" s="258"/>
      <c r="AA96" s="258"/>
    </row>
    <row r="97" ht="7.5" customHeight="1" thickTop="1" x14ac:dyDescent="0.25"/>
  </sheetData>
  <mergeCells count="618">
    <mergeCell ref="CU12:CY14"/>
    <mergeCell ref="CZ12:DD14"/>
    <mergeCell ref="DE12:DI14"/>
    <mergeCell ref="CP15:DI16"/>
    <mergeCell ref="CP17:CT19"/>
    <mergeCell ref="CU17:CY19"/>
    <mergeCell ref="CZ17:DD19"/>
    <mergeCell ref="DE17:DI19"/>
    <mergeCell ref="CP6:DI7"/>
    <mergeCell ref="CP8:CT10"/>
    <mergeCell ref="CU8:CY10"/>
    <mergeCell ref="CZ8:DD10"/>
    <mergeCell ref="DE8:DI10"/>
    <mergeCell ref="CP11:CT11"/>
    <mergeCell ref="CU11:CY11"/>
    <mergeCell ref="CZ11:DD11"/>
    <mergeCell ref="DE11:DI11"/>
    <mergeCell ref="CP25:CR26"/>
    <mergeCell ref="CS25:CY26"/>
    <mergeCell ref="CZ25:DF26"/>
    <mergeCell ref="DG25:DI26"/>
    <mergeCell ref="CP27:CR28"/>
    <mergeCell ref="CS27:CY28"/>
    <mergeCell ref="CZ27:DF28"/>
    <mergeCell ref="DG27:DI28"/>
    <mergeCell ref="CP20:CT20"/>
    <mergeCell ref="CU20:CY20"/>
    <mergeCell ref="CZ20:DD20"/>
    <mergeCell ref="DE20:DI20"/>
    <mergeCell ref="CU21:CY23"/>
    <mergeCell ref="CZ21:DD23"/>
    <mergeCell ref="DE21:DI23"/>
    <mergeCell ref="CS37:DH38"/>
    <mergeCell ref="DJ37:DS38"/>
    <mergeCell ref="DU37:ED38"/>
    <mergeCell ref="EF37:EK38"/>
    <mergeCell ref="EM37:ER38"/>
    <mergeCell ref="CS39:DH39"/>
    <mergeCell ref="DJ39:DS39"/>
    <mergeCell ref="DU39:ED39"/>
    <mergeCell ref="EF39:EK39"/>
    <mergeCell ref="EM39:ER39"/>
    <mergeCell ref="DR43:DU44"/>
    <mergeCell ref="DV43:DV44"/>
    <mergeCell ref="EB41:EE42"/>
    <mergeCell ref="EF41:EF42"/>
    <mergeCell ref="EG41:EK42"/>
    <mergeCell ref="EL41:EL42"/>
    <mergeCell ref="EM41:ER42"/>
    <mergeCell ref="CS42:DB42"/>
    <mergeCell ref="CS40:DB41"/>
    <mergeCell ref="DD41:DQ42"/>
    <mergeCell ref="DR41:DU42"/>
    <mergeCell ref="DV41:DV42"/>
    <mergeCell ref="DW41:DZ42"/>
    <mergeCell ref="EA41:EA42"/>
    <mergeCell ref="EM45:ER46"/>
    <mergeCell ref="CS46:CU47"/>
    <mergeCell ref="CV46:CX48"/>
    <mergeCell ref="CZ46:DB48"/>
    <mergeCell ref="DD47:DQ48"/>
    <mergeCell ref="DR47:DU48"/>
    <mergeCell ref="DV47:DV48"/>
    <mergeCell ref="DW47:DZ48"/>
    <mergeCell ref="EA47:EA48"/>
    <mergeCell ref="EB47:EE48"/>
    <mergeCell ref="DD45:DQ46"/>
    <mergeCell ref="DR45:DU46"/>
    <mergeCell ref="DV45:DV46"/>
    <mergeCell ref="DW45:DZ46"/>
    <mergeCell ref="EA45:EA46"/>
    <mergeCell ref="EB45:EE46"/>
    <mergeCell ref="EF45:EF46"/>
    <mergeCell ref="EG45:EK46"/>
    <mergeCell ref="EL45:EL46"/>
    <mergeCell ref="EF47:EF48"/>
    <mergeCell ref="EG47:EK48"/>
    <mergeCell ref="EL47:EL48"/>
    <mergeCell ref="EM47:ER48"/>
    <mergeCell ref="CS48:CU48"/>
    <mergeCell ref="CS49:CU50"/>
    <mergeCell ref="CV49:CX51"/>
    <mergeCell ref="CZ49:DB51"/>
    <mergeCell ref="DD49:DQ50"/>
    <mergeCell ref="DR49:DU50"/>
    <mergeCell ref="EL49:EL50"/>
    <mergeCell ref="EM49:ER50"/>
    <mergeCell ref="CS51:CU51"/>
    <mergeCell ref="DD51:DQ52"/>
    <mergeCell ref="DR51:DU52"/>
    <mergeCell ref="DV51:DV52"/>
    <mergeCell ref="DW51:DZ52"/>
    <mergeCell ref="EA51:EA52"/>
    <mergeCell ref="EB51:EE52"/>
    <mergeCell ref="EF51:EF52"/>
    <mergeCell ref="DV49:DV50"/>
    <mergeCell ref="DW49:DZ50"/>
    <mergeCell ref="EA49:EA50"/>
    <mergeCell ref="EB49:EE50"/>
    <mergeCell ref="EF49:EF50"/>
    <mergeCell ref="EG49:EK50"/>
    <mergeCell ref="EG53:EK54"/>
    <mergeCell ref="EL53:EL54"/>
    <mergeCell ref="EM53:ER54"/>
    <mergeCell ref="EG51:EK52"/>
    <mergeCell ref="EL51:EL52"/>
    <mergeCell ref="EM51:ER52"/>
    <mergeCell ref="CS52:CU53"/>
    <mergeCell ref="CV52:CX54"/>
    <mergeCell ref="CZ52:DB54"/>
    <mergeCell ref="DD53:DQ54"/>
    <mergeCell ref="DR53:DU54"/>
    <mergeCell ref="DV53:DV54"/>
    <mergeCell ref="DW53:DZ54"/>
    <mergeCell ref="CS54:CU54"/>
    <mergeCell ref="DD55:DQ56"/>
    <mergeCell ref="DR55:DU56"/>
    <mergeCell ref="DV55:DV56"/>
    <mergeCell ref="DW55:DZ56"/>
    <mergeCell ref="EA55:EA56"/>
    <mergeCell ref="EA53:EA54"/>
    <mergeCell ref="EB53:EE54"/>
    <mergeCell ref="EF53:EF54"/>
    <mergeCell ref="EB55:EE56"/>
    <mergeCell ref="EF55:EF56"/>
    <mergeCell ref="EG55:EK56"/>
    <mergeCell ref="EL55:EL56"/>
    <mergeCell ref="EM55:ER56"/>
    <mergeCell ref="CS56:CU57"/>
    <mergeCell ref="CV56:CX58"/>
    <mergeCell ref="CZ56:DB58"/>
    <mergeCell ref="DD57:DQ58"/>
    <mergeCell ref="DR57:DU58"/>
    <mergeCell ref="EA59:EA60"/>
    <mergeCell ref="EB59:EE60"/>
    <mergeCell ref="EF59:EF60"/>
    <mergeCell ref="EG59:EK60"/>
    <mergeCell ref="EL59:EL60"/>
    <mergeCell ref="EM59:ER60"/>
    <mergeCell ref="EL57:EL58"/>
    <mergeCell ref="EM57:ER58"/>
    <mergeCell ref="CS58:CU58"/>
    <mergeCell ref="CS59:CU60"/>
    <mergeCell ref="CV59:CX61"/>
    <mergeCell ref="CZ59:DB61"/>
    <mergeCell ref="DD59:DQ60"/>
    <mergeCell ref="DR59:DU60"/>
    <mergeCell ref="DV59:DV60"/>
    <mergeCell ref="DW59:DZ60"/>
    <mergeCell ref="DV57:DV58"/>
    <mergeCell ref="DW57:DZ58"/>
    <mergeCell ref="EA57:EA58"/>
    <mergeCell ref="EB57:EE58"/>
    <mergeCell ref="EF57:EF58"/>
    <mergeCell ref="EG57:EK58"/>
    <mergeCell ref="EB61:EE62"/>
    <mergeCell ref="EF61:EF62"/>
    <mergeCell ref="EG61:EK62"/>
    <mergeCell ref="DV63:DV64"/>
    <mergeCell ref="DW63:DZ64"/>
    <mergeCell ref="EA63:EA64"/>
    <mergeCell ref="EB63:EE64"/>
    <mergeCell ref="EF63:EF64"/>
    <mergeCell ref="EL61:EL62"/>
    <mergeCell ref="EM61:ER62"/>
    <mergeCell ref="CS62:CU63"/>
    <mergeCell ref="CV62:CX64"/>
    <mergeCell ref="CZ62:DB64"/>
    <mergeCell ref="DD63:DQ64"/>
    <mergeCell ref="DR63:DU64"/>
    <mergeCell ref="CS61:CU61"/>
    <mergeCell ref="DD61:DQ62"/>
    <mergeCell ref="DR61:DU62"/>
    <mergeCell ref="DV61:DV62"/>
    <mergeCell ref="DW61:DZ62"/>
    <mergeCell ref="EA61:EA62"/>
    <mergeCell ref="EL63:EL64"/>
    <mergeCell ref="EM63:ER64"/>
    <mergeCell ref="CS64:CU64"/>
    <mergeCell ref="EG63:EK64"/>
    <mergeCell ref="EB67:EE68"/>
    <mergeCell ref="EF67:EF68"/>
    <mergeCell ref="EG67:EK68"/>
    <mergeCell ref="EL67:EL68"/>
    <mergeCell ref="EM67:ER68"/>
    <mergeCell ref="EG65:EK66"/>
    <mergeCell ref="EL65:EL66"/>
    <mergeCell ref="EM65:ER66"/>
    <mergeCell ref="CS66:CU67"/>
    <mergeCell ref="CV66:CX68"/>
    <mergeCell ref="CZ66:DB68"/>
    <mergeCell ref="DD67:DQ68"/>
    <mergeCell ref="DR67:DU68"/>
    <mergeCell ref="DV67:DV68"/>
    <mergeCell ref="DW67:DZ68"/>
    <mergeCell ref="DD65:DQ66"/>
    <mergeCell ref="DR65:DU66"/>
    <mergeCell ref="DV65:DV66"/>
    <mergeCell ref="DW65:DZ66"/>
    <mergeCell ref="EA65:EA66"/>
    <mergeCell ref="EB65:EE66"/>
    <mergeCell ref="EF65:EF66"/>
    <mergeCell ref="EL69:EL70"/>
    <mergeCell ref="EM69:ER70"/>
    <mergeCell ref="CS71:CU71"/>
    <mergeCell ref="DD71:DQ72"/>
    <mergeCell ref="DR71:DU72"/>
    <mergeCell ref="DV71:DV72"/>
    <mergeCell ref="DW71:DZ72"/>
    <mergeCell ref="EA71:EA72"/>
    <mergeCell ref="EB71:EE72"/>
    <mergeCell ref="EF71:EF72"/>
    <mergeCell ref="DV69:DV70"/>
    <mergeCell ref="DW69:DZ70"/>
    <mergeCell ref="EA69:EA70"/>
    <mergeCell ref="EB69:EE70"/>
    <mergeCell ref="EF69:EF70"/>
    <mergeCell ref="EG69:EK70"/>
    <mergeCell ref="CS69:CU70"/>
    <mergeCell ref="CV69:CX71"/>
    <mergeCell ref="CZ69:DB71"/>
    <mergeCell ref="DD69:DQ70"/>
    <mergeCell ref="DR69:DU70"/>
    <mergeCell ref="EG73:EK74"/>
    <mergeCell ref="EL73:EL74"/>
    <mergeCell ref="EM73:ER74"/>
    <mergeCell ref="EG71:EK72"/>
    <mergeCell ref="EL71:EL72"/>
    <mergeCell ref="EM71:ER72"/>
    <mergeCell ref="CS72:CU73"/>
    <mergeCell ref="CV72:CX74"/>
    <mergeCell ref="CZ72:DB74"/>
    <mergeCell ref="DD73:DQ74"/>
    <mergeCell ref="DR73:DU74"/>
    <mergeCell ref="DV73:DV74"/>
    <mergeCell ref="DW73:DZ74"/>
    <mergeCell ref="EH6:EK7"/>
    <mergeCell ref="EL6:EO7"/>
    <mergeCell ref="EP6:ES7"/>
    <mergeCell ref="ED1:ES2"/>
    <mergeCell ref="ED3:EG4"/>
    <mergeCell ref="ED5:EG5"/>
    <mergeCell ref="EH3:EK4"/>
    <mergeCell ref="EH5:EK5"/>
    <mergeCell ref="EL3:EO4"/>
    <mergeCell ref="EL5:EO5"/>
    <mergeCell ref="EP3:ES4"/>
    <mergeCell ref="EP5:ES5"/>
    <mergeCell ref="EH13:EK14"/>
    <mergeCell ref="EL13:EO14"/>
    <mergeCell ref="EP13:ES14"/>
    <mergeCell ref="ED8:ES9"/>
    <mergeCell ref="ED10:EG11"/>
    <mergeCell ref="EH10:EK11"/>
    <mergeCell ref="EL10:EO11"/>
    <mergeCell ref="EP10:ES11"/>
    <mergeCell ref="ED12:EG12"/>
    <mergeCell ref="EH12:EK12"/>
    <mergeCell ref="EL12:EO12"/>
    <mergeCell ref="EP12:ES12"/>
    <mergeCell ref="EI31:ES35"/>
    <mergeCell ref="ED33:EH35"/>
    <mergeCell ref="AO41:AR42"/>
    <mergeCell ref="AC43:AF43"/>
    <mergeCell ref="EL18:EQ19"/>
    <mergeCell ref="ER16:ES17"/>
    <mergeCell ref="ER18:ES19"/>
    <mergeCell ref="DQ31:EA33"/>
    <mergeCell ref="ED16:EE17"/>
    <mergeCell ref="EF16:EK17"/>
    <mergeCell ref="ED18:EE19"/>
    <mergeCell ref="EF18:EK19"/>
    <mergeCell ref="EL16:EQ17"/>
    <mergeCell ref="EM43:ER44"/>
    <mergeCell ref="DW43:DZ44"/>
    <mergeCell ref="EA43:EA44"/>
    <mergeCell ref="EB43:EE44"/>
    <mergeCell ref="EF43:EF44"/>
    <mergeCell ref="EG43:EK44"/>
    <mergeCell ref="EL43:EL44"/>
    <mergeCell ref="CS43:CT44"/>
    <mergeCell ref="CU43:CX44"/>
    <mergeCell ref="CZ43:DB44"/>
    <mergeCell ref="DD43:DQ44"/>
    <mergeCell ref="FB18:FD19"/>
    <mergeCell ref="FE18:FK19"/>
    <mergeCell ref="FL18:FR19"/>
    <mergeCell ref="FS18:FU19"/>
    <mergeCell ref="FB20:FD21"/>
    <mergeCell ref="FE20:FK21"/>
    <mergeCell ref="FL20:FR21"/>
    <mergeCell ref="FS20:FU21"/>
    <mergeCell ref="EI29:ES30"/>
    <mergeCell ref="AO44:AR45"/>
    <mergeCell ref="CN87:CS87"/>
    <mergeCell ref="DP87:DS87"/>
    <mergeCell ref="CN88:DN95"/>
    <mergeCell ref="DO88:DV90"/>
    <mergeCell ref="DP91:DV91"/>
    <mergeCell ref="DO92:DV94"/>
    <mergeCell ref="EB29:EF31"/>
    <mergeCell ref="CN84:CP84"/>
    <mergeCell ref="CN85:DE86"/>
    <mergeCell ref="DF85:DN86"/>
    <mergeCell ref="DO85:DV86"/>
    <mergeCell ref="AC39:AR40"/>
    <mergeCell ref="AC41:AF42"/>
    <mergeCell ref="AG41:AJ42"/>
    <mergeCell ref="AK41:AN42"/>
    <mergeCell ref="DQ29:EA30"/>
    <mergeCell ref="DQ34:EA35"/>
    <mergeCell ref="CS74:CU74"/>
    <mergeCell ref="EA73:EA74"/>
    <mergeCell ref="EB73:EE74"/>
    <mergeCell ref="EF73:EF74"/>
    <mergeCell ref="CS68:CU68"/>
    <mergeCell ref="EA67:EA68"/>
    <mergeCell ref="A69:U69"/>
    <mergeCell ref="V69:AA69"/>
    <mergeCell ref="V72:AA72"/>
    <mergeCell ref="A70:U74"/>
    <mergeCell ref="A66:C66"/>
    <mergeCell ref="V51:AA51"/>
    <mergeCell ref="V55:AA56"/>
    <mergeCell ref="AK57:AP58"/>
    <mergeCell ref="AQ57:AR58"/>
    <mergeCell ref="AH68:AR69"/>
    <mergeCell ref="AH70:AR74"/>
    <mergeCell ref="AC68:AG70"/>
    <mergeCell ref="AC60:AG62"/>
    <mergeCell ref="AC55:AD56"/>
    <mergeCell ref="AE55:AJ56"/>
    <mergeCell ref="AK55:AP56"/>
    <mergeCell ref="AQ55:AR56"/>
    <mergeCell ref="AC57:AD58"/>
    <mergeCell ref="AE57:AJ58"/>
    <mergeCell ref="AG52:AJ53"/>
    <mergeCell ref="AK52:AN53"/>
    <mergeCell ref="AO52:AR53"/>
    <mergeCell ref="AH60:AR61"/>
    <mergeCell ref="AH62:AR64"/>
    <mergeCell ref="CD41:CG42"/>
    <mergeCell ref="CH41:CK42"/>
    <mergeCell ref="A39:P40"/>
    <mergeCell ref="A41:P41"/>
    <mergeCell ref="R39:AA40"/>
    <mergeCell ref="R41:AA41"/>
    <mergeCell ref="A67:N68"/>
    <mergeCell ref="O67:U68"/>
    <mergeCell ref="V67:AA68"/>
    <mergeCell ref="AH65:AR66"/>
    <mergeCell ref="AC47:AR48"/>
    <mergeCell ref="AC49:AF50"/>
    <mergeCell ref="AG49:AJ50"/>
    <mergeCell ref="AK49:AN50"/>
    <mergeCell ref="AO49:AR50"/>
    <mergeCell ref="AC51:AF51"/>
    <mergeCell ref="AG51:AJ51"/>
    <mergeCell ref="AK51:AN51"/>
    <mergeCell ref="AO51:AR51"/>
    <mergeCell ref="AG43:AJ43"/>
    <mergeCell ref="AK43:AN43"/>
    <mergeCell ref="AO43:AR43"/>
    <mergeCell ref="AG44:AJ45"/>
    <mergeCell ref="AK44:AN45"/>
    <mergeCell ref="BV47:CK48"/>
    <mergeCell ref="BV49:BY50"/>
    <mergeCell ref="BZ49:CC50"/>
    <mergeCell ref="CD49:CG50"/>
    <mergeCell ref="CH49:CK50"/>
    <mergeCell ref="BV51:BY51"/>
    <mergeCell ref="CH43:CK43"/>
    <mergeCell ref="BZ44:CC45"/>
    <mergeCell ref="CD44:CG45"/>
    <mergeCell ref="CH44:CK45"/>
    <mergeCell ref="BV43:BY43"/>
    <mergeCell ref="BZ43:CC43"/>
    <mergeCell ref="CD43:CG43"/>
    <mergeCell ref="BV55:BW56"/>
    <mergeCell ref="BX55:CC56"/>
    <mergeCell ref="AT52:BN56"/>
    <mergeCell ref="BO52:BT53"/>
    <mergeCell ref="BO54:BT54"/>
    <mergeCell ref="BO55:BT56"/>
    <mergeCell ref="BZ51:CC51"/>
    <mergeCell ref="CD51:CG51"/>
    <mergeCell ref="CH51:CK51"/>
    <mergeCell ref="BZ52:CC53"/>
    <mergeCell ref="CD52:CG53"/>
    <mergeCell ref="CH52:CK53"/>
    <mergeCell ref="W43:AA43"/>
    <mergeCell ref="Q43:U43"/>
    <mergeCell ref="V70:AA71"/>
    <mergeCell ref="V73:AA74"/>
    <mergeCell ref="Q44:U46"/>
    <mergeCell ref="W44:AA46"/>
    <mergeCell ref="BV68:BZ70"/>
    <mergeCell ref="CA68:CK69"/>
    <mergeCell ref="CA70:CK74"/>
    <mergeCell ref="AT67:BG68"/>
    <mergeCell ref="BH67:BN68"/>
    <mergeCell ref="BO67:BT68"/>
    <mergeCell ref="CA65:CK66"/>
    <mergeCell ref="AT66:AV66"/>
    <mergeCell ref="BO60:BT60"/>
    <mergeCell ref="BV60:BZ62"/>
    <mergeCell ref="CA60:CK61"/>
    <mergeCell ref="CA62:CK64"/>
    <mergeCell ref="CD55:CI56"/>
    <mergeCell ref="CJ55:CK56"/>
    <mergeCell ref="BV57:BW58"/>
    <mergeCell ref="BX57:CC58"/>
    <mergeCell ref="CD57:CI58"/>
    <mergeCell ref="CJ57:CK58"/>
    <mergeCell ref="V63:AA63"/>
    <mergeCell ref="V64:AA65"/>
    <mergeCell ref="A48:C48"/>
    <mergeCell ref="A49:N50"/>
    <mergeCell ref="O49:U50"/>
    <mergeCell ref="V49:AA50"/>
    <mergeCell ref="A51:U51"/>
    <mergeCell ref="A52:U56"/>
    <mergeCell ref="V52:AA53"/>
    <mergeCell ref="V54:AA54"/>
    <mergeCell ref="A57:C57"/>
    <mergeCell ref="A58:N59"/>
    <mergeCell ref="O58:U59"/>
    <mergeCell ref="V58:AA59"/>
    <mergeCell ref="A60:U60"/>
    <mergeCell ref="V60:AA60"/>
    <mergeCell ref="A61:U65"/>
    <mergeCell ref="V61:AA62"/>
    <mergeCell ref="AC5:AF5"/>
    <mergeCell ref="AG5:AJ5"/>
    <mergeCell ref="AK5:AN5"/>
    <mergeCell ref="AO5:AR5"/>
    <mergeCell ref="AG6:AJ7"/>
    <mergeCell ref="AK6:AN7"/>
    <mergeCell ref="AO6:AR7"/>
    <mergeCell ref="A1:P2"/>
    <mergeCell ref="R1:AA2"/>
    <mergeCell ref="AC1:AR2"/>
    <mergeCell ref="A3:P3"/>
    <mergeCell ref="R3:AA3"/>
    <mergeCell ref="AC3:AF4"/>
    <mergeCell ref="AG3:AJ4"/>
    <mergeCell ref="AK3:AN4"/>
    <mergeCell ref="AO3:AR4"/>
    <mergeCell ref="A13:U13"/>
    <mergeCell ref="V13:AA13"/>
    <mergeCell ref="AC13:AF13"/>
    <mergeCell ref="AG13:AJ13"/>
    <mergeCell ref="AK13:AN13"/>
    <mergeCell ref="AO13:AR13"/>
    <mergeCell ref="AC9:AR10"/>
    <mergeCell ref="A10:C10"/>
    <mergeCell ref="A11:N12"/>
    <mergeCell ref="O11:U12"/>
    <mergeCell ref="V11:AA12"/>
    <mergeCell ref="AC11:AF12"/>
    <mergeCell ref="AG11:AJ12"/>
    <mergeCell ref="AK11:AN12"/>
    <mergeCell ref="AO11:AR12"/>
    <mergeCell ref="AQ17:AR18"/>
    <mergeCell ref="A19:C19"/>
    <mergeCell ref="AC19:AD20"/>
    <mergeCell ref="AE19:AJ20"/>
    <mergeCell ref="AK19:AP20"/>
    <mergeCell ref="AQ19:AR20"/>
    <mergeCell ref="A20:N21"/>
    <mergeCell ref="O20:U21"/>
    <mergeCell ref="V20:AA21"/>
    <mergeCell ref="A14:U18"/>
    <mergeCell ref="V14:AA15"/>
    <mergeCell ref="AG14:AJ15"/>
    <mergeCell ref="AK14:AN15"/>
    <mergeCell ref="AO14:AR15"/>
    <mergeCell ref="V16:AA16"/>
    <mergeCell ref="V17:AA18"/>
    <mergeCell ref="AC17:AD18"/>
    <mergeCell ref="AE17:AJ18"/>
    <mergeCell ref="AK17:AP18"/>
    <mergeCell ref="AT1:BI2"/>
    <mergeCell ref="BK1:BT2"/>
    <mergeCell ref="BV1:CK2"/>
    <mergeCell ref="AT3:BI3"/>
    <mergeCell ref="BK3:BT3"/>
    <mergeCell ref="BV3:BY4"/>
    <mergeCell ref="BZ3:CC4"/>
    <mergeCell ref="A28:C28"/>
    <mergeCell ref="A29:N30"/>
    <mergeCell ref="O29:U30"/>
    <mergeCell ref="V29:AA30"/>
    <mergeCell ref="AC30:AG32"/>
    <mergeCell ref="AH30:AR31"/>
    <mergeCell ref="A31:U31"/>
    <mergeCell ref="V31:AA31"/>
    <mergeCell ref="A32:U36"/>
    <mergeCell ref="V32:AA33"/>
    <mergeCell ref="A22:U22"/>
    <mergeCell ref="V22:AA22"/>
    <mergeCell ref="AC22:AG24"/>
    <mergeCell ref="AH22:AR23"/>
    <mergeCell ref="A23:U27"/>
    <mergeCell ref="V23:AA24"/>
    <mergeCell ref="AH24:AR26"/>
    <mergeCell ref="BZ6:CC7"/>
    <mergeCell ref="CD6:CG7"/>
    <mergeCell ref="CH6:CK7"/>
    <mergeCell ref="CD3:CG4"/>
    <mergeCell ref="CH3:CK4"/>
    <mergeCell ref="BV5:BY5"/>
    <mergeCell ref="BZ5:CC5"/>
    <mergeCell ref="CD5:CG5"/>
    <mergeCell ref="CH5:CK5"/>
    <mergeCell ref="BV9:CK10"/>
    <mergeCell ref="AT10:AV10"/>
    <mergeCell ref="AT11:BG12"/>
    <mergeCell ref="BH11:BN12"/>
    <mergeCell ref="BO11:BT12"/>
    <mergeCell ref="BV11:BY12"/>
    <mergeCell ref="BZ11:CC12"/>
    <mergeCell ref="CD11:CG12"/>
    <mergeCell ref="CH11:CK12"/>
    <mergeCell ref="BV17:BW18"/>
    <mergeCell ref="BX17:CC18"/>
    <mergeCell ref="CD17:CI18"/>
    <mergeCell ref="AT13:BN13"/>
    <mergeCell ref="BO13:BT13"/>
    <mergeCell ref="BV13:BY13"/>
    <mergeCell ref="BZ13:CC13"/>
    <mergeCell ref="CD13:CG13"/>
    <mergeCell ref="CH13:CK13"/>
    <mergeCell ref="BV22:BZ24"/>
    <mergeCell ref="CA22:CK23"/>
    <mergeCell ref="AT23:BN27"/>
    <mergeCell ref="BO23:BT24"/>
    <mergeCell ref="CA24:CK26"/>
    <mergeCell ref="BO25:BT25"/>
    <mergeCell ref="BO26:BT27"/>
    <mergeCell ref="CA27:CK28"/>
    <mergeCell ref="CJ17:CK18"/>
    <mergeCell ref="AT19:AV19"/>
    <mergeCell ref="BV19:BW20"/>
    <mergeCell ref="BX19:CC20"/>
    <mergeCell ref="CD19:CI20"/>
    <mergeCell ref="CJ19:CK20"/>
    <mergeCell ref="AT20:BG21"/>
    <mergeCell ref="BH20:BN21"/>
    <mergeCell ref="BO20:BT21"/>
    <mergeCell ref="AT14:BN18"/>
    <mergeCell ref="BO14:BT15"/>
    <mergeCell ref="BZ14:CC15"/>
    <mergeCell ref="CD14:CG15"/>
    <mergeCell ref="CH14:CK15"/>
    <mergeCell ref="BO16:BT16"/>
    <mergeCell ref="BO17:BT18"/>
    <mergeCell ref="CA32:CK36"/>
    <mergeCell ref="BO34:BT34"/>
    <mergeCell ref="BO35:BT36"/>
    <mergeCell ref="BJ43:BN43"/>
    <mergeCell ref="BP43:BT43"/>
    <mergeCell ref="BJ44:BN46"/>
    <mergeCell ref="AT28:AV28"/>
    <mergeCell ref="AT29:BG30"/>
    <mergeCell ref="BH29:BN30"/>
    <mergeCell ref="BO29:BT30"/>
    <mergeCell ref="BV30:BZ32"/>
    <mergeCell ref="CA30:CK31"/>
    <mergeCell ref="AT31:BN31"/>
    <mergeCell ref="BO31:BT31"/>
    <mergeCell ref="AT32:BN36"/>
    <mergeCell ref="BO32:BT33"/>
    <mergeCell ref="BP44:BT46"/>
    <mergeCell ref="AT39:BI40"/>
    <mergeCell ref="BK39:BT40"/>
    <mergeCell ref="BV39:CK40"/>
    <mergeCell ref="AT41:BI41"/>
    <mergeCell ref="BK41:BT41"/>
    <mergeCell ref="BV41:BY42"/>
    <mergeCell ref="BZ41:CC42"/>
    <mergeCell ref="AT70:BN74"/>
    <mergeCell ref="BO70:BT71"/>
    <mergeCell ref="BO72:BT72"/>
    <mergeCell ref="BO73:BT74"/>
    <mergeCell ref="AT57:AV57"/>
    <mergeCell ref="AT58:BG59"/>
    <mergeCell ref="BH58:BN59"/>
    <mergeCell ref="BO58:BT59"/>
    <mergeCell ref="AT60:BN60"/>
    <mergeCell ref="AT61:BN65"/>
    <mergeCell ref="BO61:BT62"/>
    <mergeCell ref="BO63:BT63"/>
    <mergeCell ref="BO64:BT65"/>
    <mergeCell ref="BJ5:BN5"/>
    <mergeCell ref="BP5:BT5"/>
    <mergeCell ref="BJ6:BN8"/>
    <mergeCell ref="BP6:BT8"/>
    <mergeCell ref="Q5:U5"/>
    <mergeCell ref="W5:AA5"/>
    <mergeCell ref="Q6:U8"/>
    <mergeCell ref="W6:AA8"/>
    <mergeCell ref="AT69:BN69"/>
    <mergeCell ref="BO69:BT69"/>
    <mergeCell ref="AT48:AV48"/>
    <mergeCell ref="AT49:BG50"/>
    <mergeCell ref="BH49:BN50"/>
    <mergeCell ref="BO49:BT50"/>
    <mergeCell ref="AT51:BN51"/>
    <mergeCell ref="BO51:BT51"/>
    <mergeCell ref="AT22:BN22"/>
    <mergeCell ref="BO22:BT22"/>
    <mergeCell ref="AH32:AR36"/>
    <mergeCell ref="V34:AA34"/>
    <mergeCell ref="V35:AA36"/>
    <mergeCell ref="V25:AA25"/>
    <mergeCell ref="V26:AA27"/>
    <mergeCell ref="AH27:AR28"/>
  </mergeCells>
  <conditionalFormatting sqref="CZ21 CU21 CP17 DE17:DI19 CP8 CU12 CU8 CZ8 DE8 DE12 DE21 CU17 CZ17">
    <cfRule type="cellIs" dxfId="95" priority="156" stopIfTrue="1" operator="between">
      <formula>0</formula>
      <formula>1000000</formula>
    </cfRule>
  </conditionalFormatting>
  <conditionalFormatting sqref="DE21:DI23">
    <cfRule type="cellIs" dxfId="94" priority="155" operator="lessThanOrEqual">
      <formula>0</formula>
    </cfRule>
  </conditionalFormatting>
  <conditionalFormatting sqref="DE12:DI14">
    <cfRule type="cellIs" dxfId="93" priority="154" operator="lessThanOrEqual">
      <formula>0</formula>
    </cfRule>
  </conditionalFormatting>
  <conditionalFormatting sqref="CZ12">
    <cfRule type="cellIs" dxfId="92" priority="153" stopIfTrue="1" operator="between">
      <formula>0</formula>
      <formula>1000000</formula>
    </cfRule>
  </conditionalFormatting>
  <conditionalFormatting sqref="DD41:ER42">
    <cfRule type="expression" dxfId="91" priority="151" stopIfTrue="1">
      <formula>NOT(ISNUMBER($Z41))</formula>
    </cfRule>
    <cfRule type="expression" dxfId="90" priority="152" stopIfTrue="1">
      <formula>ISNUMBER($AO39)</formula>
    </cfRule>
  </conditionalFormatting>
  <conditionalFormatting sqref="DD41:ER45">
    <cfRule type="expression" dxfId="89" priority="150">
      <formula>$L41=""</formula>
    </cfRule>
  </conditionalFormatting>
  <conditionalFormatting sqref="ED3">
    <cfRule type="cellIs" dxfId="88" priority="149" stopIfTrue="1" operator="between">
      <formula>0</formula>
      <formula>1000000</formula>
    </cfRule>
  </conditionalFormatting>
  <conditionalFormatting sqref="EP10">
    <cfRule type="cellIs" dxfId="87" priority="137" stopIfTrue="1" operator="between">
      <formula>0</formula>
      <formula>1000000</formula>
    </cfRule>
  </conditionalFormatting>
  <conditionalFormatting sqref="EH3">
    <cfRule type="cellIs" dxfId="86" priority="146" stopIfTrue="1" operator="between">
      <formula>0</formula>
      <formula>1000000</formula>
    </cfRule>
  </conditionalFormatting>
  <conditionalFormatting sqref="EL3">
    <cfRule type="cellIs" dxfId="85" priority="145" stopIfTrue="1" operator="between">
      <formula>0</formula>
      <formula>1000000</formula>
    </cfRule>
  </conditionalFormatting>
  <conditionalFormatting sqref="EP3">
    <cfRule type="cellIs" dxfId="84" priority="144" stopIfTrue="1" operator="between">
      <formula>0</formula>
      <formula>1000000</formula>
    </cfRule>
  </conditionalFormatting>
  <conditionalFormatting sqref="EH6">
    <cfRule type="cellIs" dxfId="83" priority="143" stopIfTrue="1" operator="between">
      <formula>0</formula>
      <formula>1000000</formula>
    </cfRule>
  </conditionalFormatting>
  <conditionalFormatting sqref="EL6">
    <cfRule type="cellIs" dxfId="82" priority="142" stopIfTrue="1" operator="between">
      <formula>0</formula>
      <formula>1000000</formula>
    </cfRule>
  </conditionalFormatting>
  <conditionalFormatting sqref="EP6">
    <cfRule type="cellIs" dxfId="81" priority="141" stopIfTrue="1" operator="between">
      <formula>0</formula>
      <formula>1000000</formula>
    </cfRule>
  </conditionalFormatting>
  <conditionalFormatting sqref="ED10">
    <cfRule type="cellIs" dxfId="80" priority="140" stopIfTrue="1" operator="between">
      <formula>0</formula>
      <formula>1000000</formula>
    </cfRule>
  </conditionalFormatting>
  <conditionalFormatting sqref="EH10">
    <cfRule type="cellIs" dxfId="79" priority="139" stopIfTrue="1" operator="between">
      <formula>0</formula>
      <formula>1000000</formula>
    </cfRule>
  </conditionalFormatting>
  <conditionalFormatting sqref="EL10">
    <cfRule type="cellIs" dxfId="78" priority="138" stopIfTrue="1" operator="between">
      <formula>0</formula>
      <formula>1000000</formula>
    </cfRule>
  </conditionalFormatting>
  <conditionalFormatting sqref="EH13">
    <cfRule type="cellIs" dxfId="77" priority="136" stopIfTrue="1" operator="between">
      <formula>0</formula>
      <formula>1000000</formula>
    </cfRule>
  </conditionalFormatting>
  <conditionalFormatting sqref="EL13">
    <cfRule type="cellIs" dxfId="76" priority="135" stopIfTrue="1" operator="between">
      <formula>0</formula>
      <formula>1000000</formula>
    </cfRule>
  </conditionalFormatting>
  <conditionalFormatting sqref="EP13">
    <cfRule type="cellIs" dxfId="75" priority="134" stopIfTrue="1" operator="between">
      <formula>0</formula>
      <formula>1000000</formula>
    </cfRule>
  </conditionalFormatting>
  <conditionalFormatting sqref="AC60">
    <cfRule type="cellIs" dxfId="74" priority="113" stopIfTrue="1" operator="equal">
      <formula>"Max"</formula>
    </cfRule>
  </conditionalFormatting>
  <conditionalFormatting sqref="ED33 EB29">
    <cfRule type="cellIs" dxfId="73" priority="130" stopIfTrue="1" operator="equal">
      <formula>"Max"</formula>
    </cfRule>
  </conditionalFormatting>
  <conditionalFormatting sqref="AC41">
    <cfRule type="cellIs" dxfId="72" priority="128" stopIfTrue="1" operator="between">
      <formula>0</formula>
      <formula>1000000</formula>
    </cfRule>
  </conditionalFormatting>
  <conditionalFormatting sqref="AG41">
    <cfRule type="cellIs" dxfId="71" priority="127" stopIfTrue="1" operator="between">
      <formula>0</formula>
      <formula>1000000</formula>
    </cfRule>
  </conditionalFormatting>
  <conditionalFormatting sqref="AK41">
    <cfRule type="cellIs" dxfId="70" priority="126" stopIfTrue="1" operator="between">
      <formula>0</formula>
      <formula>1000000</formula>
    </cfRule>
  </conditionalFormatting>
  <conditionalFormatting sqref="AO41">
    <cfRule type="cellIs" dxfId="69" priority="125" stopIfTrue="1" operator="between">
      <formula>0</formula>
      <formula>1000000</formula>
    </cfRule>
  </conditionalFormatting>
  <conditionalFormatting sqref="AG44">
    <cfRule type="cellIs" dxfId="68" priority="124" stopIfTrue="1" operator="between">
      <formula>0</formula>
      <formula>1000000</formula>
    </cfRule>
  </conditionalFormatting>
  <conditionalFormatting sqref="AK44">
    <cfRule type="cellIs" dxfId="67" priority="123" stopIfTrue="1" operator="between">
      <formula>0</formula>
      <formula>1000000</formula>
    </cfRule>
  </conditionalFormatting>
  <conditionalFormatting sqref="AO44">
    <cfRule type="cellIs" dxfId="66" priority="122" stopIfTrue="1" operator="between">
      <formula>0</formula>
      <formula>1000000</formula>
    </cfRule>
  </conditionalFormatting>
  <conditionalFormatting sqref="AO49">
    <cfRule type="cellIs" dxfId="65" priority="118" stopIfTrue="1" operator="between">
      <formula>0</formula>
      <formula>1000000</formula>
    </cfRule>
  </conditionalFormatting>
  <conditionalFormatting sqref="AC49">
    <cfRule type="cellIs" dxfId="64" priority="121" stopIfTrue="1" operator="between">
      <formula>0</formula>
      <formula>1000000</formula>
    </cfRule>
  </conditionalFormatting>
  <conditionalFormatting sqref="AG49">
    <cfRule type="cellIs" dxfId="63" priority="120" stopIfTrue="1" operator="between">
      <formula>0</formula>
      <formula>1000000</formula>
    </cfRule>
  </conditionalFormatting>
  <conditionalFormatting sqref="AK49">
    <cfRule type="cellIs" dxfId="62" priority="119" stopIfTrue="1" operator="between">
      <formula>0</formula>
      <formula>1000000</formula>
    </cfRule>
  </conditionalFormatting>
  <conditionalFormatting sqref="AG52">
    <cfRule type="cellIs" dxfId="61" priority="117" stopIfTrue="1" operator="between">
      <formula>0</formula>
      <formula>1000000</formula>
    </cfRule>
  </conditionalFormatting>
  <conditionalFormatting sqref="AK52">
    <cfRule type="cellIs" dxfId="60" priority="116" stopIfTrue="1" operator="between">
      <formula>0</formula>
      <formula>1000000</formula>
    </cfRule>
  </conditionalFormatting>
  <conditionalFormatting sqref="AO52">
    <cfRule type="cellIs" dxfId="59" priority="115" stopIfTrue="1" operator="between">
      <formula>0</formula>
      <formula>1000000</formula>
    </cfRule>
  </conditionalFormatting>
  <conditionalFormatting sqref="AC68">
    <cfRule type="cellIs" dxfId="58" priority="114" stopIfTrue="1" operator="equal">
      <formula>"Max"</formula>
    </cfRule>
  </conditionalFormatting>
  <conditionalFormatting sqref="DD53:ER74">
    <cfRule type="expression" dxfId="57" priority="2210">
      <formula>#REF!=""</formula>
    </cfRule>
  </conditionalFormatting>
  <conditionalFormatting sqref="DD72:ER74">
    <cfRule type="expression" dxfId="56" priority="2211" stopIfTrue="1">
      <formula>NOT(ISNUMBER(#REF!))</formula>
    </cfRule>
    <cfRule type="expression" dxfId="55" priority="2212" stopIfTrue="1">
      <formula>ISNUMBER(#REF!)</formula>
    </cfRule>
  </conditionalFormatting>
  <conditionalFormatting sqref="DD57:ER71">
    <cfRule type="expression" dxfId="54" priority="2215" stopIfTrue="1">
      <formula>NOT(ISNUMBER(#REF!))</formula>
    </cfRule>
    <cfRule type="expression" dxfId="53" priority="2216" stopIfTrue="1">
      <formula>ISNUMBER($AO60)</formula>
    </cfRule>
  </conditionalFormatting>
  <conditionalFormatting sqref="DD53:ER56 DD43:ER45">
    <cfRule type="expression" dxfId="52" priority="2219" stopIfTrue="1">
      <formula>NOT(ISNUMBER(#REF!))</formula>
    </cfRule>
    <cfRule type="expression" dxfId="51" priority="2220" stopIfTrue="1">
      <formula>ISNUMBER($AO41)</formula>
    </cfRule>
  </conditionalFormatting>
  <conditionalFormatting sqref="DD46:ER52">
    <cfRule type="expression" dxfId="50" priority="2227" stopIfTrue="1">
      <formula>NOT(ISNUMBER($Z48))</formula>
    </cfRule>
    <cfRule type="expression" dxfId="49" priority="2228" stopIfTrue="1">
      <formula>ISNUMBER($AO44)</formula>
    </cfRule>
  </conditionalFormatting>
  <conditionalFormatting sqref="DD46:ER52">
    <cfRule type="expression" dxfId="48" priority="2229">
      <formula>$L48=""</formula>
    </cfRule>
  </conditionalFormatting>
  <conditionalFormatting sqref="BV60">
    <cfRule type="cellIs" dxfId="47" priority="33" stopIfTrue="1" operator="equal">
      <formula>"Max"</formula>
    </cfRule>
  </conditionalFormatting>
  <conditionalFormatting sqref="BV41">
    <cfRule type="cellIs" dxfId="46" priority="48" stopIfTrue="1" operator="between">
      <formula>0</formula>
      <formula>1000000</formula>
    </cfRule>
  </conditionalFormatting>
  <conditionalFormatting sqref="BZ41">
    <cfRule type="cellIs" dxfId="45" priority="47" stopIfTrue="1" operator="between">
      <formula>0</formula>
      <formula>1000000</formula>
    </cfRule>
  </conditionalFormatting>
  <conditionalFormatting sqref="CD41">
    <cfRule type="cellIs" dxfId="44" priority="46" stopIfTrue="1" operator="between">
      <formula>0</formula>
      <formula>1000000</formula>
    </cfRule>
  </conditionalFormatting>
  <conditionalFormatting sqref="CH41">
    <cfRule type="cellIs" dxfId="43" priority="45" stopIfTrue="1" operator="between">
      <formula>0</formula>
      <formula>1000000</formula>
    </cfRule>
  </conditionalFormatting>
  <conditionalFormatting sqref="BZ44">
    <cfRule type="cellIs" dxfId="42" priority="44" stopIfTrue="1" operator="between">
      <formula>0</formula>
      <formula>1000000</formula>
    </cfRule>
  </conditionalFormatting>
  <conditionalFormatting sqref="CD44">
    <cfRule type="cellIs" dxfId="41" priority="43" stopIfTrue="1" operator="between">
      <formula>0</formula>
      <formula>1000000</formula>
    </cfRule>
  </conditionalFormatting>
  <conditionalFormatting sqref="CH44">
    <cfRule type="cellIs" dxfId="40" priority="42" stopIfTrue="1" operator="between">
      <formula>0</formula>
      <formula>1000000</formula>
    </cfRule>
  </conditionalFormatting>
  <conditionalFormatting sqref="CH49">
    <cfRule type="cellIs" dxfId="39" priority="38" stopIfTrue="1" operator="between">
      <formula>0</formula>
      <formula>1000000</formula>
    </cfRule>
  </conditionalFormatting>
  <conditionalFormatting sqref="BV49">
    <cfRule type="cellIs" dxfId="38" priority="41" stopIfTrue="1" operator="between">
      <formula>0</formula>
      <formula>1000000</formula>
    </cfRule>
  </conditionalFormatting>
  <conditionalFormatting sqref="BZ49">
    <cfRule type="cellIs" dxfId="37" priority="40" stopIfTrue="1" operator="between">
      <formula>0</formula>
      <formula>1000000</formula>
    </cfRule>
  </conditionalFormatting>
  <conditionalFormatting sqref="CD49">
    <cfRule type="cellIs" dxfId="36" priority="39" stopIfTrue="1" operator="between">
      <formula>0</formula>
      <formula>1000000</formula>
    </cfRule>
  </conditionalFormatting>
  <conditionalFormatting sqref="BZ52">
    <cfRule type="cellIs" dxfId="35" priority="37" stopIfTrue="1" operator="between">
      <formula>0</formula>
      <formula>1000000</formula>
    </cfRule>
  </conditionalFormatting>
  <conditionalFormatting sqref="CD52">
    <cfRule type="cellIs" dxfId="34" priority="36" stopIfTrue="1" operator="between">
      <formula>0</formula>
      <formula>1000000</formula>
    </cfRule>
  </conditionalFormatting>
  <conditionalFormatting sqref="CH52">
    <cfRule type="cellIs" dxfId="33" priority="35" stopIfTrue="1" operator="between">
      <formula>0</formula>
      <formula>1000000</formula>
    </cfRule>
  </conditionalFormatting>
  <conditionalFormatting sqref="BV68">
    <cfRule type="cellIs" dxfId="32" priority="34" stopIfTrue="1" operator="equal">
      <formula>"Max"</formula>
    </cfRule>
  </conditionalFormatting>
  <conditionalFormatting sqref="BV22">
    <cfRule type="cellIs" dxfId="31" priority="17" stopIfTrue="1" operator="equal">
      <formula>"Max"</formula>
    </cfRule>
  </conditionalFormatting>
  <conditionalFormatting sqref="BV3">
    <cfRule type="cellIs" dxfId="30" priority="32" stopIfTrue="1" operator="between">
      <formula>0</formula>
      <formula>1000000</formula>
    </cfRule>
  </conditionalFormatting>
  <conditionalFormatting sqref="BZ3">
    <cfRule type="cellIs" dxfId="29" priority="31" stopIfTrue="1" operator="between">
      <formula>0</formula>
      <formula>1000000</formula>
    </cfRule>
  </conditionalFormatting>
  <conditionalFormatting sqref="CD3">
    <cfRule type="cellIs" dxfId="28" priority="30" stopIfTrue="1" operator="between">
      <formula>0</formula>
      <formula>1000000</formula>
    </cfRule>
  </conditionalFormatting>
  <conditionalFormatting sqref="CH3">
    <cfRule type="cellIs" dxfId="27" priority="29" stopIfTrue="1" operator="between">
      <formula>0</formula>
      <formula>1000000</formula>
    </cfRule>
  </conditionalFormatting>
  <conditionalFormatting sqref="BZ6">
    <cfRule type="cellIs" dxfId="26" priority="28" stopIfTrue="1" operator="between">
      <formula>0</formula>
      <formula>1000000</formula>
    </cfRule>
  </conditionalFormatting>
  <conditionalFormatting sqref="CD6">
    <cfRule type="cellIs" dxfId="25" priority="27" stopIfTrue="1" operator="between">
      <formula>0</formula>
      <formula>1000000</formula>
    </cfRule>
  </conditionalFormatting>
  <conditionalFormatting sqref="CH6">
    <cfRule type="cellIs" dxfId="24" priority="26" stopIfTrue="1" operator="between">
      <formula>0</formula>
      <formula>1000000</formula>
    </cfRule>
  </conditionalFormatting>
  <conditionalFormatting sqref="CH11">
    <cfRule type="cellIs" dxfId="23" priority="22" stopIfTrue="1" operator="between">
      <formula>0</formula>
      <formula>1000000</formula>
    </cfRule>
  </conditionalFormatting>
  <conditionalFormatting sqref="BV11">
    <cfRule type="cellIs" dxfId="22" priority="25" stopIfTrue="1" operator="between">
      <formula>0</formula>
      <formula>1000000</formula>
    </cfRule>
  </conditionalFormatting>
  <conditionalFormatting sqref="BZ11">
    <cfRule type="cellIs" dxfId="21" priority="24" stopIfTrue="1" operator="between">
      <formula>0</formula>
      <formula>1000000</formula>
    </cfRule>
  </conditionalFormatting>
  <conditionalFormatting sqref="CD11">
    <cfRule type="cellIs" dxfId="20" priority="23" stopIfTrue="1" operator="between">
      <formula>0</formula>
      <formula>1000000</formula>
    </cfRule>
  </conditionalFormatting>
  <conditionalFormatting sqref="BZ14">
    <cfRule type="cellIs" dxfId="19" priority="21" stopIfTrue="1" operator="between">
      <formula>0</formula>
      <formula>1000000</formula>
    </cfRule>
  </conditionalFormatting>
  <conditionalFormatting sqref="CD14">
    <cfRule type="cellIs" dxfId="18" priority="20" stopIfTrue="1" operator="between">
      <formula>0</formula>
      <formula>1000000</formula>
    </cfRule>
  </conditionalFormatting>
  <conditionalFormatting sqref="CH14">
    <cfRule type="cellIs" dxfId="17" priority="19" stopIfTrue="1" operator="between">
      <formula>0</formula>
      <formula>1000000</formula>
    </cfRule>
  </conditionalFormatting>
  <conditionalFormatting sqref="BV30">
    <cfRule type="cellIs" dxfId="16" priority="18" stopIfTrue="1" operator="equal">
      <formula>"Max"</formula>
    </cfRule>
  </conditionalFormatting>
  <conditionalFormatting sqref="AC22">
    <cfRule type="cellIs" dxfId="15" priority="1" stopIfTrue="1" operator="equal">
      <formula>"Max"</formula>
    </cfRule>
  </conditionalFormatting>
  <conditionalFormatting sqref="AC3">
    <cfRule type="cellIs" dxfId="14" priority="16" stopIfTrue="1" operator="between">
      <formula>0</formula>
      <formula>1000000</formula>
    </cfRule>
  </conditionalFormatting>
  <conditionalFormatting sqref="AG3">
    <cfRule type="cellIs" dxfId="13" priority="15" stopIfTrue="1" operator="between">
      <formula>0</formula>
      <formula>1000000</formula>
    </cfRule>
  </conditionalFormatting>
  <conditionalFormatting sqref="AK3">
    <cfRule type="cellIs" dxfId="12" priority="14" stopIfTrue="1" operator="between">
      <formula>0</formula>
      <formula>1000000</formula>
    </cfRule>
  </conditionalFormatting>
  <conditionalFormatting sqref="AO3">
    <cfRule type="cellIs" dxfId="11" priority="13" stopIfTrue="1" operator="between">
      <formula>0</formula>
      <formula>1000000</formula>
    </cfRule>
  </conditionalFormatting>
  <conditionalFormatting sqref="AG6">
    <cfRule type="cellIs" dxfId="10" priority="12" stopIfTrue="1" operator="between">
      <formula>0</formula>
      <formula>1000000</formula>
    </cfRule>
  </conditionalFormatting>
  <conditionalFormatting sqref="AK6">
    <cfRule type="cellIs" dxfId="9" priority="11" stopIfTrue="1" operator="between">
      <formula>0</formula>
      <formula>1000000</formula>
    </cfRule>
  </conditionalFormatting>
  <conditionalFormatting sqref="AO6">
    <cfRule type="cellIs" dxfId="8" priority="10" stopIfTrue="1" operator="between">
      <formula>0</formula>
      <formula>1000000</formula>
    </cfRule>
  </conditionalFormatting>
  <conditionalFormatting sqref="AO11">
    <cfRule type="cellIs" dxfId="7" priority="6" stopIfTrue="1" operator="between">
      <formula>0</formula>
      <formula>1000000</formula>
    </cfRule>
  </conditionalFormatting>
  <conditionalFormatting sqref="AC11">
    <cfRule type="cellIs" dxfId="6" priority="9" stopIfTrue="1" operator="between">
      <formula>0</formula>
      <formula>1000000</formula>
    </cfRule>
  </conditionalFormatting>
  <conditionalFormatting sqref="AG11">
    <cfRule type="cellIs" dxfId="5" priority="8" stopIfTrue="1" operator="between">
      <formula>0</formula>
      <formula>1000000</formula>
    </cfRule>
  </conditionalFormatting>
  <conditionalFormatting sqref="AK11">
    <cfRule type="cellIs" dxfId="4" priority="7" stopIfTrue="1" operator="between">
      <formula>0</formula>
      <formula>1000000</formula>
    </cfRule>
  </conditionalFormatting>
  <conditionalFormatting sqref="AG14">
    <cfRule type="cellIs" dxfId="3" priority="5" stopIfTrue="1" operator="between">
      <formula>0</formula>
      <formula>1000000</formula>
    </cfRule>
  </conditionalFormatting>
  <conditionalFormatting sqref="AK14">
    <cfRule type="cellIs" dxfId="2" priority="4" stopIfTrue="1" operator="between">
      <formula>0</formula>
      <formula>1000000</formula>
    </cfRule>
  </conditionalFormatting>
  <conditionalFormatting sqref="AO14">
    <cfRule type="cellIs" dxfId="1" priority="3" stopIfTrue="1" operator="between">
      <formula>0</formula>
      <formula>1000000</formula>
    </cfRule>
  </conditionalFormatting>
  <conditionalFormatting sqref="AC30">
    <cfRule type="cellIs" dxfId="0" priority="2" stopIfTrue="1" operator="equal">
      <formula>"Max"</formula>
    </cfRule>
  </conditionalFormatting>
  <dataValidations count="1">
    <dataValidation allowBlank="1" showInputMessage="1" showErrorMessage="1" errorTitle="Defining Title Cells" error="Changing the values of these cells will actually break the spreadsheet." sqref="CZ27 CZ25 CS27 CS25 EL18 EL16 EF18 EF16 FL18 FE20 FE18 FL20 AK57 AK55 AE57 AE55 CD57 CD55 BX57 BX55 CD19 CD17 BX19 BX17 AK19 AK17 AE19 AE17"/>
  </dataValidations>
  <pageMargins left="0.5" right="0.5" top="0.5" bottom="0.5" header="0.3" footer="0.3"/>
  <pageSetup orientation="landscape"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86</vt:i4>
      </vt:variant>
    </vt:vector>
  </HeadingPairs>
  <TitlesOfParts>
    <vt:vector size="100" baseType="lpstr">
      <vt:lpstr>#Skill Templates</vt:lpstr>
      <vt:lpstr>Descriptions</vt:lpstr>
      <vt:lpstr>General Merits</vt:lpstr>
      <vt:lpstr>Merit Data</vt:lpstr>
      <vt:lpstr>Success Chance Calculator</vt:lpstr>
      <vt:lpstr>MiniSheet (Old)</vt:lpstr>
      <vt:lpstr>Old Inventory</vt:lpstr>
      <vt:lpstr>OLD Pro Sheet</vt:lpstr>
      <vt:lpstr>Blank Sheet</vt:lpstr>
      <vt:lpstr>Pro Inventory</vt:lpstr>
      <vt:lpstr>Spellbook</vt:lpstr>
      <vt:lpstr>OLD Blank Sheet</vt:lpstr>
      <vt:lpstr>Blank Inventory</vt:lpstr>
      <vt:lpstr>Small Sheets</vt:lpstr>
      <vt:lpstr>AcrobaticsMerit</vt:lpstr>
      <vt:lpstr>AGIMerit</vt:lpstr>
      <vt:lpstr>AlchemyMerit</vt:lpstr>
      <vt:lpstr>AnimalHandlingMerit</vt:lpstr>
      <vt:lpstr>AppraisalMerit</vt:lpstr>
      <vt:lpstr>ArcanaMerit</vt:lpstr>
      <vt:lpstr>ArcheryMerit</vt:lpstr>
      <vt:lpstr>Arms</vt:lpstr>
      <vt:lpstr>AthleticsMerit</vt:lpstr>
      <vt:lpstr>AxesMerit</vt:lpstr>
      <vt:lpstr>Back</vt:lpstr>
      <vt:lpstr>BasicElvenMerit</vt:lpstr>
      <vt:lpstr>Body</vt:lpstr>
      <vt:lpstr>CHAMerit</vt:lpstr>
      <vt:lpstr>CNVMerit</vt:lpstr>
      <vt:lpstr>CommonMerit</vt:lpstr>
      <vt:lpstr>ComprehensionMerit</vt:lpstr>
      <vt:lpstr>CONMerit</vt:lpstr>
      <vt:lpstr>CopperInput</vt:lpstr>
      <vt:lpstr>CrossbowsMerit</vt:lpstr>
      <vt:lpstr>DaggersMerit</vt:lpstr>
      <vt:lpstr>DarkElvenMerit</vt:lpstr>
      <vt:lpstr>DavekMerit</vt:lpstr>
      <vt:lpstr>EnergyMerit</vt:lpstr>
      <vt:lpstr>EulianMerit</vt:lpstr>
      <vt:lpstr>Experience</vt:lpstr>
      <vt:lpstr>ExperienceEarned</vt:lpstr>
      <vt:lpstr>ExperienceSpent</vt:lpstr>
      <vt:lpstr>ExperienceStarting</vt:lpstr>
      <vt:lpstr>ExpressionMerit</vt:lpstr>
      <vt:lpstr>Feet</vt:lpstr>
      <vt:lpstr>FletchingMerit</vt:lpstr>
      <vt:lpstr>FOCMerit</vt:lpstr>
      <vt:lpstr>GaronianMerit</vt:lpstr>
      <vt:lpstr>GeovekMerit</vt:lpstr>
      <vt:lpstr>GnomishMerit</vt:lpstr>
      <vt:lpstr>GoblinMerit</vt:lpstr>
      <vt:lpstr>GoldInput</vt:lpstr>
      <vt:lpstr>Hands</vt:lpstr>
      <vt:lpstr>HandtoHandCombatMerit</vt:lpstr>
      <vt:lpstr>Head</vt:lpstr>
      <vt:lpstr>HealthMerit</vt:lpstr>
      <vt:lpstr>HeavyArmorMerit</vt:lpstr>
      <vt:lpstr>HighElvenMerit</vt:lpstr>
      <vt:lpstr>INSMerit</vt:lpstr>
      <vt:lpstr>INTMerit</vt:lpstr>
      <vt:lpstr>LeatherworkingMerit</vt:lpstr>
      <vt:lpstr>LightArmorMerit</vt:lpstr>
      <vt:lpstr>LowerCommonMerit</vt:lpstr>
      <vt:lpstr>MacesMerit</vt:lpstr>
      <vt:lpstr>MagickaMerit</vt:lpstr>
      <vt:lpstr>MainHand</vt:lpstr>
      <vt:lpstr>MedicineMerit</vt:lpstr>
      <vt:lpstr>MeritData</vt:lpstr>
      <vt:lpstr>OffHand</vt:lpstr>
      <vt:lpstr>PerceptionMerit</vt:lpstr>
      <vt:lpstr>PolearmsMerit</vt:lpstr>
      <vt:lpstr>'Blank Sheet'!Print_Area</vt:lpstr>
      <vt:lpstr>'OLD Blank Sheet'!Print_Area</vt:lpstr>
      <vt:lpstr>'OLD Pro Sheet'!Print_Area</vt:lpstr>
      <vt:lpstr>'Small Sheets'!Print_Area</vt:lpstr>
      <vt:lpstr>Ring1</vt:lpstr>
      <vt:lpstr>Ring2</vt:lpstr>
      <vt:lpstr>SecurityMerit</vt:lpstr>
      <vt:lpstr>ShieldsMerit</vt:lpstr>
      <vt:lpstr>SilverInput</vt:lpstr>
      <vt:lpstr>SmithingMerit</vt:lpstr>
      <vt:lpstr>StavesMerit</vt:lpstr>
      <vt:lpstr>StealthMerit</vt:lpstr>
      <vt:lpstr>StreetwiseMerit</vt:lpstr>
      <vt:lpstr>STRMerit</vt:lpstr>
      <vt:lpstr>SubterfugeMerit</vt:lpstr>
      <vt:lpstr>SurvivalMerit</vt:lpstr>
      <vt:lpstr>SwordsMerit</vt:lpstr>
      <vt:lpstr>TailoringMerit</vt:lpstr>
      <vt:lpstr>Taken</vt:lpstr>
      <vt:lpstr>TechnologyMerit</vt:lpstr>
      <vt:lpstr>TheologyMerit</vt:lpstr>
      <vt:lpstr>ThrowingMerit</vt:lpstr>
      <vt:lpstr>Trinket1</vt:lpstr>
      <vt:lpstr>Trinket2</vt:lpstr>
      <vt:lpstr>VitalityMerit</vt:lpstr>
      <vt:lpstr>VolkenMerit</vt:lpstr>
      <vt:lpstr>Waist</vt:lpstr>
      <vt:lpstr>WISMerit</vt:lpstr>
      <vt:lpstr>WoodElvenMerit</vt:lpstr>
    </vt:vector>
  </TitlesOfParts>
  <Company>Project Saros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McElrath</dc:creator>
  <cp:lastModifiedBy>Michael McElrath</cp:lastModifiedBy>
  <cp:lastPrinted>2014-12-07T04:42:01Z</cp:lastPrinted>
  <dcterms:created xsi:type="dcterms:W3CDTF">2009-05-02T14:56:07Z</dcterms:created>
  <dcterms:modified xsi:type="dcterms:W3CDTF">2014-12-17T19:18:03Z</dcterms:modified>
</cp:coreProperties>
</file>